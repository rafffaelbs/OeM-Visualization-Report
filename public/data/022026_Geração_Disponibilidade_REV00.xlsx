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Geração_Fevereiro" sheetId="1" state="visible" r:id="rId3"/>
    <sheet name=" Janeiro 2026" sheetId="2" state="visible" r:id="rId4"/>
    <sheet name="Fevereiro 2026" sheetId="3" state="visible" r:id="rId5"/>
    <sheet name="REF" sheetId="4" state="visible" r:id="rId6"/>
    <sheet name="De-Para" sheetId="5" state="hidden" r:id="rId7"/>
  </sheets>
  <definedNames>
    <definedName function="false" hidden="true" localSheetId="1" name="_xlnm._FilterDatabase" vbProcedure="false">' Janeiro 2026'!$A$1:$Q$1</definedName>
    <definedName function="false" hidden="true" localSheetId="4" name="_xlnm._FilterDatabase" vbProcedure="false">'De-Para'!$A$1:$C$1</definedName>
    <definedName function="false" hidden="true" localSheetId="2" name="_xlnm._FilterDatabase" vbProcedure="false">'Fevereiro 2026'!$A$1:$Q$3343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<sst xmlns="http://schemas.openxmlformats.org/spreadsheetml/2006/main" count="54645" uniqueCount="4881">
  <si>
    <r>
      <rPr>
        <b val="true"/>
        <sz val="11"/>
        <color theme="0"/>
        <rFont val="Calibri"/>
        <family val="2"/>
        <charset val="1"/>
      </rPr>
      <t xml:space="preserve">Relatório Mensal de Gestão de Performance
</t>
    </r>
    <r>
      <rPr>
        <sz val="11"/>
        <color theme="0"/>
        <rFont val="Calibri"/>
        <family val="2"/>
        <charset val="1"/>
      </rPr>
      <t xml:space="preserve">Usinas Grupo Brasol
O&amp;M Energy Solutions</t>
    </r>
  </si>
  <si>
    <t xml:space="preserve">Versão: 001
Nº de controle:002
Mês referência: Fevereiro
Ano: 2026</t>
  </si>
  <si>
    <t xml:space="preserve">Indicador de Geração VS P50</t>
  </si>
  <si>
    <t xml:space="preserve">Mês</t>
  </si>
  <si>
    <t xml:space="preserve">UC</t>
  </si>
  <si>
    <t xml:space="preserve">Usina BC</t>
  </si>
  <si>
    <t xml:space="preserve">SPE</t>
  </si>
  <si>
    <t xml:space="preserve">Projeto</t>
  </si>
  <si>
    <t xml:space="preserve">Geração Plataforma MWh</t>
  </si>
  <si>
    <t xml:space="preserve">Geração Local MWh</t>
  </si>
  <si>
    <t xml:space="preserve">Previsão</t>
  </si>
  <si>
    <t xml:space="preserve">Geração considerada</t>
  </si>
  <si>
    <t xml:space="preserve">Atingimento Geração [%]</t>
  </si>
  <si>
    <t xml:space="preserve">UFV Araçu I</t>
  </si>
  <si>
    <t xml:space="preserve">BC Energia Araçu I.I</t>
  </si>
  <si>
    <t xml:space="preserve">BC Aracu1</t>
  </si>
  <si>
    <t xml:space="preserve">UFV Araçu II</t>
  </si>
  <si>
    <t xml:space="preserve">BC Energia Araçu II.II</t>
  </si>
  <si>
    <t xml:space="preserve">BC Aracu2</t>
  </si>
  <si>
    <t xml:space="preserve">UFV Araçu III</t>
  </si>
  <si>
    <t xml:space="preserve">BC Energia Araçu II.III</t>
  </si>
  <si>
    <t xml:space="preserve">UFV Araçu IV</t>
  </si>
  <si>
    <t xml:space="preserve">BC Energia Araçu II.IV</t>
  </si>
  <si>
    <t xml:space="preserve">UFV Araçu V</t>
  </si>
  <si>
    <t xml:space="preserve">BC Energia Araçu II.V</t>
  </si>
  <si>
    <t xml:space="preserve">UFV Araçu VI</t>
  </si>
  <si>
    <t xml:space="preserve">BC Energia Araçu III.VI</t>
  </si>
  <si>
    <t xml:space="preserve">BC Aracu3</t>
  </si>
  <si>
    <t xml:space="preserve">UFV Araçu VII</t>
  </si>
  <si>
    <t xml:space="preserve">BC Energia Araçu III.VII</t>
  </si>
  <si>
    <t xml:space="preserve">UFV Araçu VIII</t>
  </si>
  <si>
    <t xml:space="preserve">BC Energia Araçu IV.VIII</t>
  </si>
  <si>
    <t xml:space="preserve">BC Aracu4</t>
  </si>
  <si>
    <t xml:space="preserve">6/4136603-0</t>
  </si>
  <si>
    <t xml:space="preserve">UFV Barra do Garças I</t>
  </si>
  <si>
    <t xml:space="preserve">BC Energia Barra das Garças I</t>
  </si>
  <si>
    <t xml:space="preserve">BC Barra1</t>
  </si>
  <si>
    <t xml:space="preserve">6/4136542-0</t>
  </si>
  <si>
    <t xml:space="preserve">UFV Barra do Garças II</t>
  </si>
  <si>
    <t xml:space="preserve">BC Energia Barra das Garças II</t>
  </si>
  <si>
    <t xml:space="preserve">6/4136538-8</t>
  </si>
  <si>
    <t xml:space="preserve">UFV Barra do Garças III</t>
  </si>
  <si>
    <t xml:space="preserve">BC Energia Barra das Garças III</t>
  </si>
  <si>
    <t xml:space="preserve">UFV Bom Sucesso</t>
  </si>
  <si>
    <t xml:space="preserve">BC Energia Bom Sucesso I</t>
  </si>
  <si>
    <t xml:space="preserve">BC Bom Sucesso</t>
  </si>
  <si>
    <t xml:space="preserve">UFV Caiapônia I</t>
  </si>
  <si>
    <t xml:space="preserve">BC Energia Caiapônia I.I</t>
  </si>
  <si>
    <t xml:space="preserve">BC Caiaponia1</t>
  </si>
  <si>
    <t xml:space="preserve">UFV Caiapônia II</t>
  </si>
  <si>
    <t xml:space="preserve">BC Energia Caiapônia I.II</t>
  </si>
  <si>
    <t xml:space="preserve">UFV Caiapônia III</t>
  </si>
  <si>
    <t xml:space="preserve">BC Energia Caiapônia I.III</t>
  </si>
  <si>
    <t xml:space="preserve">UFV Caiapônia IV</t>
  </si>
  <si>
    <t xml:space="preserve">BC Energia Caiapônia I.IV</t>
  </si>
  <si>
    <t xml:space="preserve">UFV Caiapônia V</t>
  </si>
  <si>
    <t xml:space="preserve">BC Energia Caiapônia I.V</t>
  </si>
  <si>
    <t xml:space="preserve">UFV Caiaponia VI</t>
  </si>
  <si>
    <t xml:space="preserve">BC Energia Caiapônia II.VI</t>
  </si>
  <si>
    <t xml:space="preserve">BC Caiaponia2</t>
  </si>
  <si>
    <t xml:space="preserve">UFV Caiaponia VII</t>
  </si>
  <si>
    <t xml:space="preserve">BC Energia Caiapônia II.VII</t>
  </si>
  <si>
    <t xml:space="preserve">UFV Caiaponia VIII</t>
  </si>
  <si>
    <t xml:space="preserve">BC Energia Caiapônia II.VIII</t>
  </si>
  <si>
    <t xml:space="preserve">UFV Palmeiras de Goiás 1.1</t>
  </si>
  <si>
    <t xml:space="preserve">BC Energia Camarão - Palmeiras de Goiais I.I</t>
  </si>
  <si>
    <t xml:space="preserve">BC Camarao1</t>
  </si>
  <si>
    <t xml:space="preserve">UFV Palmeiras de Goiás 1.2</t>
  </si>
  <si>
    <t xml:space="preserve">BC Energia Camarão - Palmeiras de Goiais I.II</t>
  </si>
  <si>
    <t xml:space="preserve">UFV Palmeiras de Goiás 1.3</t>
  </si>
  <si>
    <t xml:space="preserve">BC Energia Camarão - Palmeiras de Goiais I.III</t>
  </si>
  <si>
    <t xml:space="preserve">UFV Palmeiras de Goiás 1.4</t>
  </si>
  <si>
    <t xml:space="preserve">BC Energia Camarão - Palmeiras de Goiais I.IV</t>
  </si>
  <si>
    <t xml:space="preserve">UFV Palmeiras de Goiás 1.5</t>
  </si>
  <si>
    <t xml:space="preserve">BC Energia Camarão - Palmeiras de Goiais I.V</t>
  </si>
  <si>
    <t xml:space="preserve">UFV Clareira Araçu I</t>
  </si>
  <si>
    <t xml:space="preserve">BC Energia Clareira Araçu I</t>
  </si>
  <si>
    <t xml:space="preserve">BC Clareira1</t>
  </si>
  <si>
    <t xml:space="preserve">UFV Clareira Araçu II</t>
  </si>
  <si>
    <t xml:space="preserve">BC Energia Clareira Araçu II</t>
  </si>
  <si>
    <t xml:space="preserve">UFV Corumbá 1.1</t>
  </si>
  <si>
    <t xml:space="preserve">BC Energia Corumbá I.I</t>
  </si>
  <si>
    <t xml:space="preserve">BC Corumba1</t>
  </si>
  <si>
    <t xml:space="preserve">UFV Corumbá 1.2</t>
  </si>
  <si>
    <t xml:space="preserve">BC Energia Corumbá I.II</t>
  </si>
  <si>
    <t xml:space="preserve">UFV Corumbá 1.3</t>
  </si>
  <si>
    <t xml:space="preserve">BC Energia Corumbá I.III</t>
  </si>
  <si>
    <t xml:space="preserve">UFV Corumbá 2.1</t>
  </si>
  <si>
    <t xml:space="preserve">BC Energia Corumbá II.IV</t>
  </si>
  <si>
    <t xml:space="preserve">BC Corumba2</t>
  </si>
  <si>
    <t xml:space="preserve">UFV Corumbá 2.2</t>
  </si>
  <si>
    <t xml:space="preserve">BC Energia Corumbá II.V</t>
  </si>
  <si>
    <t xml:space="preserve">UFV Corumbá 2.3</t>
  </si>
  <si>
    <t xml:space="preserve">BC Energia Corumbá II.VI</t>
  </si>
  <si>
    <t xml:space="preserve">UFV Panamá I</t>
  </si>
  <si>
    <t xml:space="preserve">BC Energia Panamá I.I</t>
  </si>
  <si>
    <t xml:space="preserve">BC Panama1</t>
  </si>
  <si>
    <t xml:space="preserve">UFV Panamá II</t>
  </si>
  <si>
    <t xml:space="preserve">BC Energia Panamá I.II</t>
  </si>
  <si>
    <t xml:space="preserve">UFV Panamá III</t>
  </si>
  <si>
    <t xml:space="preserve">BC Energia Panamá I.III</t>
  </si>
  <si>
    <t xml:space="preserve">UFV Panamá IV</t>
  </si>
  <si>
    <t xml:space="preserve">BC Energia Panamá I.IV</t>
  </si>
  <si>
    <t xml:space="preserve">UFV Panamá V</t>
  </si>
  <si>
    <t xml:space="preserve">BC Energia Panamá I.V</t>
  </si>
  <si>
    <t xml:space="preserve">UFV Panamá VI</t>
  </si>
  <si>
    <t xml:space="preserve">BC Energia Panamá I.VI</t>
  </si>
  <si>
    <t xml:space="preserve">UFV Panamá VII</t>
  </si>
  <si>
    <t xml:space="preserve">BC Energia Panamá I.VII</t>
  </si>
  <si>
    <t xml:space="preserve">2353016-2</t>
  </si>
  <si>
    <t xml:space="preserve">UFV Paranoá I</t>
  </si>
  <si>
    <t xml:space="preserve">BC Energia Paranoá I.I</t>
  </si>
  <si>
    <t xml:space="preserve">BC Paranoa</t>
  </si>
  <si>
    <t xml:space="preserve">2352648-3</t>
  </si>
  <si>
    <t xml:space="preserve">UFV Paranoá II</t>
  </si>
  <si>
    <t xml:space="preserve">BC Energia Paranoá I.II</t>
  </si>
  <si>
    <t xml:space="preserve">2353023-5</t>
  </si>
  <si>
    <t xml:space="preserve">UFV Paranoá III</t>
  </si>
  <si>
    <t xml:space="preserve">BC Energia Paranoá I.III</t>
  </si>
  <si>
    <t xml:space="preserve">2346023-7</t>
  </si>
  <si>
    <t xml:space="preserve">UFV Paranoá IV</t>
  </si>
  <si>
    <t xml:space="preserve">BC Energia Paranoá I.IV</t>
  </si>
  <si>
    <t xml:space="preserve">2346009-1</t>
  </si>
  <si>
    <t xml:space="preserve">UFV Paranoá V</t>
  </si>
  <si>
    <t xml:space="preserve">BC Energia Paranoá I.V</t>
  </si>
  <si>
    <t xml:space="preserve">2345997-2</t>
  </si>
  <si>
    <t xml:space="preserve">UFV Paranoá VI</t>
  </si>
  <si>
    <t xml:space="preserve">BC Energia Paranoá I.VI</t>
  </si>
  <si>
    <t xml:space="preserve">2345992-1</t>
  </si>
  <si>
    <t xml:space="preserve">UFV Paranoá VII</t>
  </si>
  <si>
    <t xml:space="preserve">BC Energia Paranoá I.VII</t>
  </si>
  <si>
    <t xml:space="preserve">2352661-0</t>
  </si>
  <si>
    <t xml:space="preserve">UFV Paranoá VIII</t>
  </si>
  <si>
    <t xml:space="preserve">BC Energia Paranoá I.VIII</t>
  </si>
  <si>
    <t xml:space="preserve">UFV Rio Bonito 1</t>
  </si>
  <si>
    <t xml:space="preserve">BC Energia Rio Bonito I.I</t>
  </si>
  <si>
    <t xml:space="preserve">BC Rio Bonito1</t>
  </si>
  <si>
    <t xml:space="preserve">UFV Rio Bonito 2</t>
  </si>
  <si>
    <t xml:space="preserve">BC Energia Rio Bonito II.II</t>
  </si>
  <si>
    <t xml:space="preserve">BC Rio Bonito2</t>
  </si>
  <si>
    <t xml:space="preserve">UFV Rio Monte I</t>
  </si>
  <si>
    <t xml:space="preserve">BC Energia Rio Monte I.I</t>
  </si>
  <si>
    <t xml:space="preserve">BC Rio Monte1</t>
  </si>
  <si>
    <t xml:space="preserve">UFV Rio Monte II</t>
  </si>
  <si>
    <t xml:space="preserve">BC Energia Rio Monte I.II</t>
  </si>
  <si>
    <t xml:space="preserve">UFV Rio Monte III</t>
  </si>
  <si>
    <t xml:space="preserve">BC Energia Rio Monte I.III</t>
  </si>
  <si>
    <t xml:space="preserve">UFV Varjão de Minas I</t>
  </si>
  <si>
    <t xml:space="preserve">BC Energia Varjão de Minas I.I</t>
  </si>
  <si>
    <t xml:space="preserve">BC Varjao1</t>
  </si>
  <si>
    <t xml:space="preserve">UFV Varjão de Minas II</t>
  </si>
  <si>
    <t xml:space="preserve">BC Energia Varjão de Minas I.II</t>
  </si>
  <si>
    <t xml:space="preserve">UFV Varjão de Minas III</t>
  </si>
  <si>
    <t xml:space="preserve">BC Energia Varjão de Minas I.III</t>
  </si>
  <si>
    <t xml:space="preserve">UFV Varjão de Minas IV</t>
  </si>
  <si>
    <t xml:space="preserve">BC Energia Varjão de Minas II.IV</t>
  </si>
  <si>
    <t xml:space="preserve">BC Varjao2</t>
  </si>
  <si>
    <t xml:space="preserve">UFV Varjão de Minas V</t>
  </si>
  <si>
    <t xml:space="preserve">BC Energia Varjão de Minas II.V</t>
  </si>
  <si>
    <t xml:space="preserve">UFV Varjão de Minas VI</t>
  </si>
  <si>
    <t xml:space="preserve">BC Energia Varjão de Minas II.VI</t>
  </si>
  <si>
    <t xml:space="preserve">UFV Vazante I</t>
  </si>
  <si>
    <t xml:space="preserve">BC Energia Vazante I.I</t>
  </si>
  <si>
    <t xml:space="preserve">BC Vazante 1</t>
  </si>
  <si>
    <t xml:space="preserve">UFV Vazante II</t>
  </si>
  <si>
    <t xml:space="preserve">BC Energia Vazante I.II</t>
  </si>
  <si>
    <t xml:space="preserve">UFV Vazante III</t>
  </si>
  <si>
    <t xml:space="preserve">BC Energia Vazante I.III</t>
  </si>
  <si>
    <t xml:space="preserve">UFV Vazante IV</t>
  </si>
  <si>
    <t xml:space="preserve">BC Energia Vazante II.IV</t>
  </si>
  <si>
    <t xml:space="preserve">BC Vazante2</t>
  </si>
  <si>
    <t xml:space="preserve">UFV Vazante V</t>
  </si>
  <si>
    <t xml:space="preserve">BC Energia Vazante II.V</t>
  </si>
  <si>
    <t xml:space="preserve">UFV Vazante VI</t>
  </si>
  <si>
    <t xml:space="preserve">BC Energia Vazante II.VI</t>
  </si>
  <si>
    <t xml:space="preserve">UFV Lençóis Paulista I</t>
  </si>
  <si>
    <t xml:space="preserve">BC Energia Lençois Paulista I</t>
  </si>
  <si>
    <t xml:space="preserve">BC Lencois Paulista</t>
  </si>
  <si>
    <t xml:space="preserve">UFV Araçu IX</t>
  </si>
  <si>
    <t xml:space="preserve">BC Energia Araçu V.IX</t>
  </si>
  <si>
    <t xml:space="preserve">BC Aracu5</t>
  </si>
  <si>
    <t xml:space="preserve">UFV Araçu X</t>
  </si>
  <si>
    <t xml:space="preserve">BC Energia Araçu V.X</t>
  </si>
  <si>
    <t xml:space="preserve">UFV Araçu XI</t>
  </si>
  <si>
    <t xml:space="preserve">BC Energia Araçu V.XI</t>
  </si>
  <si>
    <t xml:space="preserve">UFV Araçu XII</t>
  </si>
  <si>
    <t xml:space="preserve">BC Energia Araçu V.XII</t>
  </si>
  <si>
    <t xml:space="preserve">UFV Araçu XIII</t>
  </si>
  <si>
    <t xml:space="preserve">BC Energia Araçu V.XIII</t>
  </si>
  <si>
    <t xml:space="preserve">UFV Turvânia I</t>
  </si>
  <si>
    <t xml:space="preserve">BC Energia Turvânia I.I</t>
  </si>
  <si>
    <t xml:space="preserve">BC Turvania1</t>
  </si>
  <si>
    <t xml:space="preserve">UFV Turvânia II</t>
  </si>
  <si>
    <t xml:space="preserve">BC Energia Turvânia I.II</t>
  </si>
  <si>
    <t xml:space="preserve">UFV Turvânia III</t>
  </si>
  <si>
    <t xml:space="preserve">BC Energia Turvânia I.III</t>
  </si>
  <si>
    <t xml:space="preserve">UFV Turvânia IV</t>
  </si>
  <si>
    <t xml:space="preserve">BC Energia Turvânia I.IV</t>
  </si>
  <si>
    <t xml:space="preserve">UFV Turvânia V</t>
  </si>
  <si>
    <t xml:space="preserve">BC Energia Turvânia I.V</t>
  </si>
  <si>
    <t xml:space="preserve">UFV Formoso I</t>
  </si>
  <si>
    <t xml:space="preserve">BC Energia Formoso I.I</t>
  </si>
  <si>
    <t xml:space="preserve">BC Formoso1</t>
  </si>
  <si>
    <t xml:space="preserve">UFV Formoso II</t>
  </si>
  <si>
    <t xml:space="preserve">BC Energia Formoso I.II</t>
  </si>
  <si>
    <t xml:space="preserve">UFV Formoso III</t>
  </si>
  <si>
    <t xml:space="preserve">BC Energia Formoso I.III</t>
  </si>
  <si>
    <t xml:space="preserve">UFV Formoso IV</t>
  </si>
  <si>
    <t xml:space="preserve">BC Energia Formoso II.I</t>
  </si>
  <si>
    <t xml:space="preserve">BC Formoso2</t>
  </si>
  <si>
    <t xml:space="preserve">UFV Formoso V</t>
  </si>
  <si>
    <t xml:space="preserve">BC Energia Formoso II.II</t>
  </si>
  <si>
    <t xml:space="preserve">UFV Formoso VI</t>
  </si>
  <si>
    <t xml:space="preserve">BC Energia Formoso II.III</t>
  </si>
  <si>
    <t xml:space="preserve">UFV Araguatins I</t>
  </si>
  <si>
    <t xml:space="preserve">BC Energia Araguatins I.I</t>
  </si>
  <si>
    <t xml:space="preserve">BC Araguatins1</t>
  </si>
  <si>
    <t xml:space="preserve">UFV Araguatins II</t>
  </si>
  <si>
    <t xml:space="preserve">BC Energia Araguatins I.II</t>
  </si>
  <si>
    <t xml:space="preserve">UFV Araguatins III</t>
  </si>
  <si>
    <t xml:space="preserve">BC Energia Araguatins I.III</t>
  </si>
  <si>
    <t xml:space="preserve">UFV Araguatins IV</t>
  </si>
  <si>
    <t xml:space="preserve">BC Energia Araguatins II.I</t>
  </si>
  <si>
    <t xml:space="preserve">BC Araguatins2</t>
  </si>
  <si>
    <t xml:space="preserve">UFV Araguatins V</t>
  </si>
  <si>
    <t xml:space="preserve">BC Energia Araguatins II.II</t>
  </si>
  <si>
    <t xml:space="preserve">UFV Araguatins VI</t>
  </si>
  <si>
    <t xml:space="preserve">BC Energia Araguatins II.III</t>
  </si>
  <si>
    <t xml:space="preserve">UFV Ibiuna I</t>
  </si>
  <si>
    <t xml:space="preserve">BC Energia Ibiuna I.I</t>
  </si>
  <si>
    <t xml:space="preserve">BC Ibiuna1</t>
  </si>
  <si>
    <t xml:space="preserve">UFV Ibiuna II</t>
  </si>
  <si>
    <t xml:space="preserve">BC Energia Ibiuna I.II</t>
  </si>
  <si>
    <t xml:space="preserve">Total</t>
  </si>
  <si>
    <t xml:space="preserve">UFV</t>
  </si>
  <si>
    <t xml:space="preserve">Tag</t>
  </si>
  <si>
    <t xml:space="preserve">Início Real do Evento</t>
  </si>
  <si>
    <t xml:space="preserve">Início</t>
  </si>
  <si>
    <t xml:space="preserve">Fim</t>
  </si>
  <si>
    <t xml:space="preserve">Duração</t>
  </si>
  <si>
    <t xml:space="preserve">Estado Operativo</t>
  </si>
  <si>
    <t xml:space="preserve">Condição Operativa</t>
  </si>
  <si>
    <t xml:space="preserve">Origem</t>
  </si>
  <si>
    <t xml:space="preserve">Equipamento</t>
  </si>
  <si>
    <t xml:space="preserve">Causa</t>
  </si>
  <si>
    <t xml:space="preserve">Causas Padrão</t>
  </si>
  <si>
    <t xml:space="preserve">Resolução</t>
  </si>
  <si>
    <t xml:space="preserve">Observação</t>
  </si>
  <si>
    <t xml:space="preserve">Concat - duplicata</t>
  </si>
  <si>
    <t xml:space="preserve">Combinação</t>
  </si>
  <si>
    <t xml:space="preserve">BC Caiaponia2.1</t>
  </si>
  <si>
    <t xml:space="preserve">215KTL-H3(MBUS-12)</t>
  </si>
  <si>
    <t xml:space="preserve">DAU</t>
  </si>
  <si>
    <t xml:space="preserve">RDE</t>
  </si>
  <si>
    <t xml:space="preserve">Queda de rede da concessionária.</t>
  </si>
  <si>
    <t xml:space="preserve">Falha Rede</t>
  </si>
  <si>
    <t xml:space="preserve">Distribuidora</t>
  </si>
  <si>
    <t xml:space="preserve">Foi feito inspeção em todo complexo, checado nível de tensão e resetado relé e rearmado os disjuntores.</t>
  </si>
  <si>
    <t xml:space="preserve">215KTL-H3(MBUS-13)</t>
  </si>
  <si>
    <t xml:space="preserve">215KTL-H3(MBUS-14)</t>
  </si>
  <si>
    <t xml:space="preserve">215KTL-H3(MBUS-15)</t>
  </si>
  <si>
    <t xml:space="preserve">215KTL-H3(MBUS-16)</t>
  </si>
  <si>
    <t xml:space="preserve">BC Caiaponia2.2</t>
  </si>
  <si>
    <t xml:space="preserve">BC Caiaponia2.3</t>
  </si>
  <si>
    <t xml:space="preserve">BC Aracu5.1</t>
  </si>
  <si>
    <t xml:space="preserve">Inverter(MBUS-1)</t>
  </si>
  <si>
    <t xml:space="preserve">Rede</t>
  </si>
  <si>
    <t xml:space="preserve">Função 81 e 86 atuada no relé.</t>
  </si>
  <si>
    <t xml:space="preserve">Distribuídora</t>
  </si>
  <si>
    <t xml:space="preserve">Foi feito inspeção em todo complexo, checado nível de tensão e realizado a manobra de normalização da geração.</t>
  </si>
  <si>
    <t xml:space="preserve">BC Aracu5.2</t>
  </si>
  <si>
    <t xml:space="preserve">BC Aracu5.3</t>
  </si>
  <si>
    <t xml:space="preserve">BC Aracu5.4</t>
  </si>
  <si>
    <t xml:space="preserve">BC Aracu5.5</t>
  </si>
  <si>
    <t xml:space="preserve">Inverter35</t>
  </si>
  <si>
    <t xml:space="preserve">Queda de rede da concessionária</t>
  </si>
  <si>
    <t xml:space="preserve">Inverter40</t>
  </si>
  <si>
    <t xml:space="preserve">Inverter42</t>
  </si>
  <si>
    <t xml:space="preserve">Inverter41</t>
  </si>
  <si>
    <t xml:space="preserve">Inverter44</t>
  </si>
  <si>
    <t xml:space="preserve">Inverter43</t>
  </si>
  <si>
    <t xml:space="preserve">Inverter45</t>
  </si>
  <si>
    <t xml:space="preserve">INV-001</t>
  </si>
  <si>
    <t xml:space="preserve">LIG</t>
  </si>
  <si>
    <t xml:space="preserve">RFO</t>
  </si>
  <si>
    <t xml:space="preserve">COM</t>
  </si>
  <si>
    <t xml:space="preserve">Comunicação</t>
  </si>
  <si>
    <t xml:space="preserve">Configuração do sistema de comunicação</t>
  </si>
  <si>
    <t xml:space="preserve">Falha Comunicação</t>
  </si>
  <si>
    <t xml:space="preserve">Prestador de Serviço O&amp;M</t>
  </si>
  <si>
    <t xml:space="preserve">Configurado sistema de comunicação</t>
  </si>
  <si>
    <t xml:space="preserve">INV-002</t>
  </si>
  <si>
    <t xml:space="preserve">INV-003</t>
  </si>
  <si>
    <t xml:space="preserve">INV-004</t>
  </si>
  <si>
    <t xml:space="preserve">SG60KTL(COM1-001)_001_007</t>
  </si>
  <si>
    <t xml:space="preserve">SG60KTL(COM1-002)_001_010</t>
  </si>
  <si>
    <t xml:space="preserve">SG60KTL(COM1-003)_001_011</t>
  </si>
  <si>
    <t xml:space="preserve">SG60KTL(COM1-004)_001_014</t>
  </si>
  <si>
    <t xml:space="preserve">SG60KTL(COM1-005)_001_017</t>
  </si>
  <si>
    <t xml:space="preserve">SG60KTL(COM1-006)_001_016</t>
  </si>
  <si>
    <t xml:space="preserve">SG60KTL(COM1-007)_001_013</t>
  </si>
  <si>
    <t xml:space="preserve">SG60KTL(COM1-008)_001_001</t>
  </si>
  <si>
    <t xml:space="preserve">SG60KTL(COM1-009)</t>
  </si>
  <si>
    <t xml:space="preserve">SG60KTL(COM1-010)</t>
  </si>
  <si>
    <t xml:space="preserve">SG60KTL(COM1-011)</t>
  </si>
  <si>
    <t xml:space="preserve">SG60KTL(COM1-012)</t>
  </si>
  <si>
    <t xml:space="preserve">SG60KTL(COM1-013)</t>
  </si>
  <si>
    <t xml:space="preserve">SG60KTL(COM1-014)</t>
  </si>
  <si>
    <t xml:space="preserve">SG60KTL(COM1-015)</t>
  </si>
  <si>
    <t xml:space="preserve">SG60KTL(COM3-016)_001_009</t>
  </si>
  <si>
    <t xml:space="preserve">SG60KTL(COM3-017)_001_012</t>
  </si>
  <si>
    <t xml:space="preserve">SG60KTL(COM3-018)_001_008</t>
  </si>
  <si>
    <t xml:space="preserve">SG60KTL(COM3-019)_001_019</t>
  </si>
  <si>
    <t xml:space="preserve">SG60KTL(COM3-020)_001_020</t>
  </si>
  <si>
    <t xml:space="preserve">SG60KTL(COM2-026)</t>
  </si>
  <si>
    <t xml:space="preserve">SG60KTL(COM2-027)</t>
  </si>
  <si>
    <t xml:space="preserve">SG60KTL(COM2-028)</t>
  </si>
  <si>
    <t xml:space="preserve">SG60KTL(COM2-029)</t>
  </si>
  <si>
    <t xml:space="preserve">SG50CX(COM1-021)</t>
  </si>
  <si>
    <t xml:space="preserve">SG50CX(COM1-022)</t>
  </si>
  <si>
    <t xml:space="preserve">SG50CX(COM1-023)</t>
  </si>
  <si>
    <t xml:space="preserve">SG50CX(COM1-024)</t>
  </si>
  <si>
    <t xml:space="preserve">SG50CX(COM1-025)</t>
  </si>
  <si>
    <t xml:space="preserve">BC Ibiuna 1.1</t>
  </si>
  <si>
    <t xml:space="preserve">Inverter(MBUS-12)</t>
  </si>
  <si>
    <t xml:space="preserve">Função 59N atuada no relé.</t>
  </si>
  <si>
    <t xml:space="preserve">Inverter(MBUS-13)</t>
  </si>
  <si>
    <t xml:space="preserve">Inverter(MBUS-14)</t>
  </si>
  <si>
    <t xml:space="preserve">Inverter(MBUS-15)</t>
  </si>
  <si>
    <t xml:space="preserve">BC Ibiuna 1.2</t>
  </si>
  <si>
    <t xml:space="preserve">Função 59N, 27ABC atuada no relé.</t>
  </si>
  <si>
    <t xml:space="preserve">BC Vazante 1.1</t>
  </si>
  <si>
    <t xml:space="preserve">Inverter13</t>
  </si>
  <si>
    <t xml:space="preserve">INV</t>
  </si>
  <si>
    <t xml:space="preserve">Inversor</t>
  </si>
  <si>
    <t xml:space="preserve">Trip no disjuntor.</t>
  </si>
  <si>
    <t xml:space="preserve">Falha Inversor</t>
  </si>
  <si>
    <t xml:space="preserve">BC Formoso1.2</t>
  </si>
  <si>
    <t xml:space="preserve">Função 86 atuada no relé.</t>
  </si>
  <si>
    <t xml:space="preserve">BC Formoso2.1</t>
  </si>
  <si>
    <t xml:space="preserve">BC Formoso2.2</t>
  </si>
  <si>
    <t xml:space="preserve">BC Formoso2.3</t>
  </si>
  <si>
    <t xml:space="preserve">BC Vazante1.3</t>
  </si>
  <si>
    <t xml:space="preserve">Inversor 1</t>
  </si>
  <si>
    <t xml:space="preserve">Inversor 2</t>
  </si>
  <si>
    <t xml:space="preserve">Inversor 3</t>
  </si>
  <si>
    <t xml:space="preserve">Inversor 4</t>
  </si>
  <si>
    <t xml:space="preserve">Inversor 5</t>
  </si>
  <si>
    <t xml:space="preserve">Inversor 6</t>
  </si>
  <si>
    <t xml:space="preserve">Inversor 7</t>
  </si>
  <si>
    <t xml:space="preserve">Inversor 8</t>
  </si>
  <si>
    <t xml:space="preserve">Inversor 9</t>
  </si>
  <si>
    <t xml:space="preserve">Falha de comunicação</t>
  </si>
  <si>
    <t xml:space="preserve">Logger resetado.</t>
  </si>
  <si>
    <t xml:space="preserve">Inverter__5</t>
  </si>
  <si>
    <t xml:space="preserve">Inversor off-line</t>
  </si>
  <si>
    <t xml:space="preserve">Foi realizado um reset no inversor, e foi normalizado.</t>
  </si>
  <si>
    <t xml:space="preserve">Queda de rede da concessionária, sem alarme no relé</t>
  </si>
  <si>
    <t xml:space="preserve">ARAGUATINS 1.1</t>
  </si>
  <si>
    <t xml:space="preserve">Falha atuada no relé: 67C e 86Q.</t>
  </si>
  <si>
    <t xml:space="preserve">Verificado painel dos transformadores e inversores, após verificação e não constatado nenhuma anomalia, foi realizado o reset do relé de proteção e normalizada a geração da UFV.</t>
  </si>
  <si>
    <t xml:space="preserve">ARAGUATINS 1.2</t>
  </si>
  <si>
    <t xml:space="preserve">ARAGUATINS 1.3</t>
  </si>
  <si>
    <t xml:space="preserve">Inverter(MBUS-20)</t>
  </si>
  <si>
    <t xml:space="preserve">BC Camarao1.4</t>
  </si>
  <si>
    <t xml:space="preserve">INV-6T22A9041381</t>
  </si>
  <si>
    <t xml:space="preserve">Durante a verificação foi constatado que houve um desequilíbrio de tensão por parte da concessionária. Falha 47</t>
  </si>
  <si>
    <t xml:space="preserve">ARAGUATINS 2.1</t>
  </si>
  <si>
    <t xml:space="preserve">Disjuntor desarmado, sem alarme no Relé</t>
  </si>
  <si>
    <t xml:space="preserve">INT</t>
  </si>
  <si>
    <t xml:space="preserve">Falha de sinal de internet.</t>
  </si>
  <si>
    <t xml:space="preserve">Conexão c/ Internet</t>
  </si>
  <si>
    <t xml:space="preserve">Realizado reset no modem de internet local. Após a reinicialização, a comunicação foi restabelecida.</t>
  </si>
  <si>
    <t xml:space="preserve">araçu 2.1 inversor 1</t>
  </si>
  <si>
    <t xml:space="preserve">Inversor 1 apresentando Falha 10 - Queda de Rede</t>
  </si>
  <si>
    <t xml:space="preserve">Identificado queda de rede - Falha 10. Foi feito a inspeção no inversor, e no QGBT, o mesmo foi religado e voltou a operar normalmente.</t>
  </si>
  <si>
    <t xml:space="preserve">DEM</t>
  </si>
  <si>
    <t xml:space="preserve">TRF</t>
  </si>
  <si>
    <t xml:space="preserve">Transformador</t>
  </si>
  <si>
    <t xml:space="preserve">Inversor 1 apresentou falha. Ao realizar a análise em campo, verificou-se curto circuito em uma das fases do trafo.</t>
  </si>
  <si>
    <t xml:space="preserve">Urgência</t>
  </si>
  <si>
    <t xml:space="preserve">Troca em Garantia</t>
  </si>
  <si>
    <t xml:space="preserve">Identificado no sistema desequilibrio de fase, ao fazer a inspeção o mantenedor identificou curto circuito no trafo, o mesmo fez as manobras e desenergizou a UFV. Transformador foi coletado e encaminhado para garantia. Usina segue desenergizada.</t>
  </si>
  <si>
    <t xml:space="preserve">Função 27B,C atuada no relé.</t>
  </si>
  <si>
    <t xml:space="preserve">DPR</t>
  </si>
  <si>
    <t xml:space="preserve">Inversor desligado para medição das tensões CC com circuito aberto para relatório semestral da Brasol.</t>
  </si>
  <si>
    <t xml:space="preserve">Manutenção</t>
  </si>
  <si>
    <t xml:space="preserve">Manutenção Preventiva</t>
  </si>
  <si>
    <t xml:space="preserve">Foi realizado o desligamento dos inversores para medição das tensões CC em circuito aberto. Após o procedimento a UFV retomou a operação normal.</t>
  </si>
  <si>
    <t xml:space="preserve">araçu 2.3 inversor 2</t>
  </si>
  <si>
    <t xml:space="preserve">Será desligada para realizar 3 MPCA na cabine de média tensão </t>
  </si>
  <si>
    <t xml:space="preserve">Foi realizado os seguintes serviços: Inspeção no componentes de conexão; Torquiamento em todos os parafusos de conexão; Limpeza da cabine de média tensão.
Após procedimentos a UFV foi ligada e segue operando normalmente.</t>
  </si>
  <si>
    <t xml:space="preserve">araçu 2.1 inversor 2</t>
  </si>
  <si>
    <t xml:space="preserve">araçu 2.1 inversor 3</t>
  </si>
  <si>
    <t xml:space="preserve">araçu 2.2 inversor 1</t>
  </si>
  <si>
    <t xml:space="preserve">araçu 2.2 inversor 2</t>
  </si>
  <si>
    <t xml:space="preserve">araçu 2.2 inversor 3</t>
  </si>
  <si>
    <t xml:space="preserve">Inverter83</t>
  </si>
  <si>
    <t xml:space="preserve">araçu 2.3 inversor 5</t>
  </si>
  <si>
    <t xml:space="preserve">araçu 2.3 inversor 1</t>
  </si>
  <si>
    <t xml:space="preserve">araçu 2.3 inversor 4</t>
  </si>
  <si>
    <t xml:space="preserve">araçu 2.3 inversor 3</t>
  </si>
  <si>
    <t xml:space="preserve">araçu 2.4 inversor 3</t>
  </si>
  <si>
    <t xml:space="preserve">araçu 2.4 inversor 1</t>
  </si>
  <si>
    <t xml:space="preserve">araçu 2.4 inversor 6</t>
  </si>
  <si>
    <t xml:space="preserve">araçu 2.4 inversor 4</t>
  </si>
  <si>
    <t xml:space="preserve">araçu 2.4 inversor 2</t>
  </si>
  <si>
    <t xml:space="preserve">araçu 2.4 inversor 5</t>
  </si>
  <si>
    <t xml:space="preserve">Função 67C atuada no relé.</t>
  </si>
  <si>
    <t xml:space="preserve">Função 67B atuada no relé.</t>
  </si>
  <si>
    <t xml:space="preserve">BC Varjao2.1</t>
  </si>
  <si>
    <t xml:space="preserve">215KTL-H0(MBUS-12)</t>
  </si>
  <si>
    <t xml:space="preserve">Algumas cameras da usina estavam desligadas</t>
  </si>
  <si>
    <t xml:space="preserve">Foi realizado a configuração das antenas e postes e realinhamento</t>
  </si>
  <si>
    <t xml:space="preserve">215KTL-H0(MBUS-13)</t>
  </si>
  <si>
    <t xml:space="preserve">215KTL-H0(MBUS-14)</t>
  </si>
  <si>
    <t xml:space="preserve">215KTL-H0(MBUS-15)</t>
  </si>
  <si>
    <t xml:space="preserve">215KTL-H0(MBUS-16)</t>
  </si>
  <si>
    <t xml:space="preserve">BC Varjao2.2</t>
  </si>
  <si>
    <t xml:space="preserve">BC Varjao2.3</t>
  </si>
  <si>
    <t xml:space="preserve">100KTL-H1(MBUS-1)</t>
  </si>
  <si>
    <t xml:space="preserve">Falta de energia da concessionária, sem alarme no relé.</t>
  </si>
  <si>
    <t xml:space="preserve">Inversor 83 apresentando falha de rede</t>
  </si>
  <si>
    <t xml:space="preserve">Função 67A atuada no relé.</t>
  </si>
  <si>
    <t xml:space="preserve">BC Camarao1.1</t>
  </si>
  <si>
    <t xml:space="preserve">BC Camarao1.2</t>
  </si>
  <si>
    <t xml:space="preserve">Inv. 3</t>
  </si>
  <si>
    <t xml:space="preserve">Inv. 4</t>
  </si>
  <si>
    <t xml:space="preserve">Inverter(MBUS-16)</t>
  </si>
  <si>
    <t xml:space="preserve">BC Camarao1.3</t>
  </si>
  <si>
    <t xml:space="preserve">BC Camarao1.5</t>
  </si>
  <si>
    <t xml:space="preserve">215KTL-H3(MBUS-1)</t>
  </si>
  <si>
    <t xml:space="preserve">Falha no fornecimento de energia da concessionaria. Aberto chamado</t>
  </si>
  <si>
    <t xml:space="preserve">Após várias visitas da equatorial, foi reestabelecido o fornecimento de energia</t>
  </si>
  <si>
    <t xml:space="preserve">Queda da rede da concessionária.</t>
  </si>
  <si>
    <t xml:space="preserve">BC Corumba1.1</t>
  </si>
  <si>
    <t xml:space="preserve">U01.I01</t>
  </si>
  <si>
    <t xml:space="preserve">PRT</t>
  </si>
  <si>
    <t xml:space="preserve">Relé de Proteção</t>
  </si>
  <si>
    <t xml:space="preserve">Relé de proteção da UFV 1.1 apresentou falha E59 (Somente a Pextron resolve). Com isso a UFV 1.1 Ficou fora de operação e o relé foi enviado para garantia.</t>
  </si>
  <si>
    <t xml:space="preserve">Manutenção Corretiva</t>
  </si>
  <si>
    <t xml:space="preserve">Realizado a substituição do relé de proteção. UFV religada e operando normalmente.</t>
  </si>
  <si>
    <t xml:space="preserve">U01.I02</t>
  </si>
  <si>
    <t xml:space="preserve">U01.I03</t>
  </si>
  <si>
    <t xml:space="preserve">U01.I04</t>
  </si>
  <si>
    <t xml:space="preserve">U01.I05</t>
  </si>
  <si>
    <t xml:space="preserve">Função 59N, 86Q atuada no relé.</t>
  </si>
  <si>
    <t xml:space="preserve">SG60KTL</t>
  </si>
  <si>
    <t xml:space="preserve">Função 59N, 51N, e 86Q atuada no relé.</t>
  </si>
  <si>
    <t xml:space="preserve">Usina gerando normalmente, falha de sinal de internet.</t>
  </si>
  <si>
    <t xml:space="preserve">BC Formoso1.1</t>
  </si>
  <si>
    <t xml:space="preserve">BC Formoso1.3</t>
  </si>
  <si>
    <t xml:space="preserve">Inverter__1</t>
  </si>
  <si>
    <t xml:space="preserve">Desligamento programado para análise e ajustes nos relés de proteção.</t>
  </si>
  <si>
    <t xml:space="preserve">Foi realizada análise das falhas dos relés, reapertos e testes. Após isto, foi realizada a manobra para normalização da usina.</t>
  </si>
  <si>
    <t xml:space="preserve">Falha de conexão com o logger.</t>
  </si>
  <si>
    <t xml:space="preserve">Logger resetado</t>
  </si>
  <si>
    <t xml:space="preserve">Usina apresentou o desligamento dos inversores devido à atuação do relé que não apresentou nenhum código de segurança</t>
  </si>
  <si>
    <t xml:space="preserve">Identificado falha no inversor 6</t>
  </si>
  <si>
    <t xml:space="preserve">Após inversor e disjuntor terem sidos religados, inversor apresentou estouro internamente, o mesmor foi substituido e está em pleno funcionamento.</t>
  </si>
  <si>
    <t xml:space="preserve">ARAGUATINS 2.2</t>
  </si>
  <si>
    <t xml:space="preserve">ARAGUATINS 2.3</t>
  </si>
  <si>
    <t xml:space="preserve">Função 27C, 50N, 67C, e 86Q atuada no relé.</t>
  </si>
  <si>
    <t xml:space="preserve">Falha de comunicação do Smartlogger</t>
  </si>
  <si>
    <t xml:space="preserve">Feito a configuração necessária para reestabelecimento da conexão no Logger</t>
  </si>
  <si>
    <t xml:space="preserve">Logger reconfigurado.</t>
  </si>
  <si>
    <t xml:space="preserve">Função 27ABC, 67ABC e 86 atuada no relé.</t>
  </si>
  <si>
    <t xml:space="preserve">BC Varjao1.1</t>
  </si>
  <si>
    <t xml:space="preserve">UFV 1 - INV 1</t>
  </si>
  <si>
    <t xml:space="preserve">Abertos diversos chamados. O time técnico da Cemig foi ao local no mesmo dia, 13/01, às 16h, mas não conseguiu fechar o religador. Disse que retornaria, mas ainda estamos aguardando a visita. Novos chamados estão sendo abertos hoje, 14/01.  16/01 - A equipe de Patos de Minas encontra-se em deslocamento para a usina, a fim de realizar as verificações necessárias. De forma preliminar, foi identificado que a anomalia na rede está localizada antes do religador. Foi realizada a substituição da mufla na saída do religador. Após o procedimento realizado pela concessionária foi realizada a manobra de normalização da usina.</t>
  </si>
  <si>
    <t xml:space="preserve">UFV 1 - INV 5</t>
  </si>
  <si>
    <t xml:space="preserve">UFV 1 - INV 4</t>
  </si>
  <si>
    <t xml:space="preserve">UFV 1 - INV 3</t>
  </si>
  <si>
    <t xml:space="preserve">UFV 1 - INV 2</t>
  </si>
  <si>
    <t xml:space="preserve">BC Turvania1.1</t>
  </si>
  <si>
    <t xml:space="preserve">Função 27 atuada no relé.</t>
  </si>
  <si>
    <t xml:space="preserve">BC Turvania1.2</t>
  </si>
  <si>
    <t xml:space="preserve">BC Turvania1.3</t>
  </si>
  <si>
    <t xml:space="preserve">BC Turvania1.4</t>
  </si>
  <si>
    <t xml:space="preserve">BC Turvania1.5</t>
  </si>
  <si>
    <t xml:space="preserve">Inversor 14 apresentando falha</t>
  </si>
  <si>
    <t xml:space="preserve">Após realização de testes foi identificado problema em uma das strings, a mesma foi desconectada e inversor esta em operação com uma string a menos</t>
  </si>
  <si>
    <t xml:space="preserve">Identificação de sinistro (furto de cabos cc)</t>
  </si>
  <si>
    <t xml:space="preserve">Furto</t>
  </si>
  <si>
    <t xml:space="preserve">Na data da ocorrência o mantenedor estava em atendimento em Ibiúna. Durante inspeção realizada em 16/01/2026, foi identificada invasão e furto de trechos de cabos CC, ocasionando impacto direto na operação dos inversores da usina. Um inversor encontrava-se operando normalmente, dois estavam operando parcialmente (um com 3 strings fora e outro com 9 strings fora) e um inversor estava 100% indisponível devido ao furto.
Ação: Em razão das condições encontradas e visando segurança operacional, a usina foi totalmente desenergizada. A equipe de manutenção deslocou-se hoje, 19/01, para o local. A recomposição dos cabos tem início previsto para 20/01 e os trabalhos de recuperação já estão em andamento. A normalização total da usina está prevista até 24/01. Foi normalizado em 27/01/2026.</t>
  </si>
  <si>
    <t xml:space="preserve">Durante a verificação foi constatado que era uma falta de comunicação, foi feito inspeção e identificado que o conversor de mídia da usina 2.3 estava queimado.</t>
  </si>
  <si>
    <t xml:space="preserve">Foi realizada a substituição do conversor de mídia danificado.</t>
  </si>
  <si>
    <t xml:space="preserve">BC Corumba1.2</t>
  </si>
  <si>
    <t xml:space="preserve">U02.I01</t>
  </si>
  <si>
    <t xml:space="preserve">U02.I02</t>
  </si>
  <si>
    <t xml:space="preserve">U02.I03</t>
  </si>
  <si>
    <t xml:space="preserve">U02.I04</t>
  </si>
  <si>
    <t xml:space="preserve">U02.I05</t>
  </si>
  <si>
    <t xml:space="preserve">BC Corumba1.3</t>
  </si>
  <si>
    <t xml:space="preserve">U03.I01</t>
  </si>
  <si>
    <t xml:space="preserve">U03.I02</t>
  </si>
  <si>
    <t xml:space="preserve">U03.I03</t>
  </si>
  <si>
    <t xml:space="preserve">BC Corumba2.1</t>
  </si>
  <si>
    <t xml:space="preserve">U01. I01</t>
  </si>
  <si>
    <t xml:space="preserve">U01. I02</t>
  </si>
  <si>
    <t xml:space="preserve">BC Corumba2.2</t>
  </si>
  <si>
    <t xml:space="preserve">BC Corumba2.3</t>
  </si>
  <si>
    <t xml:space="preserve">Provedora de Internet</t>
  </si>
  <si>
    <t xml:space="preserve">Foi dectado que o roteador estava queimado, o mesmo foi substituido e reestabelecido o sinal com a intenet</t>
  </si>
  <si>
    <t xml:space="preserve">Suite com 04 portas queimadas, foi feito a troca de cabos para portas em perfeito estado, sendo reestabelecido a comunicação</t>
  </si>
  <si>
    <t xml:space="preserve">Função 47B atuada no relé.</t>
  </si>
  <si>
    <t xml:space="preserve">Inverter36</t>
  </si>
  <si>
    <t xml:space="preserve">Desligamento Programado para substituição do inversor que estava apresentando falha em campo.</t>
  </si>
  <si>
    <t xml:space="preserve">Substituição do inversor A1809100216 pelo A1809100067.</t>
  </si>
  <si>
    <t xml:space="preserve">Falha de link no Smartlogger, UFV gerando normalmente, ficou off no supervisório</t>
  </si>
  <si>
    <t xml:space="preserve">Foi realizado a troca do cabo RJ45, após o procedimento a comunicação da UFV foi normalizada</t>
  </si>
  <si>
    <t xml:space="preserve">Relé de proteção atuado com a falha 47- fase B</t>
  </si>
  <si>
    <t xml:space="preserve">Resetado relé de proteção e ligado disjuntor geral, conferência demais relés (1 e 2) e partida na usina.</t>
  </si>
  <si>
    <t xml:space="preserve">Desligamento da UFV, para passagem de fibra do SCADA</t>
  </si>
  <si>
    <t xml:space="preserve">Prestador de Serviço SCADA</t>
  </si>
  <si>
    <t xml:space="preserve">UFV religada, porém ainda sem comunicação nos supervisórios</t>
  </si>
  <si>
    <t xml:space="preserve">Trackes travados, por problemas de comunicação dos gateways da NCU. Chamado com STI: 24377.</t>
  </si>
  <si>
    <t xml:space="preserve">Após tratativas com o fabricante, o tracker voltou a operar.</t>
  </si>
  <si>
    <t xml:space="preserve">Desligamento da UFV, para passagem de fibra do SCADA no logger</t>
  </si>
  <si>
    <t xml:space="preserve">BC Varjao1.2</t>
  </si>
  <si>
    <t xml:space="preserve">Inversor entrou em modo de proteção por alteração de corrente</t>
  </si>
  <si>
    <t xml:space="preserve">Inversor foi reiniciado </t>
  </si>
  <si>
    <t xml:space="preserve">Relé de proteção atuado com a falha 67B</t>
  </si>
  <si>
    <t xml:space="preserve">Feita inspeção em toda Usina , resetado Relé e rearmado disjuntor.</t>
  </si>
  <si>
    <t xml:space="preserve">SG60KTL(COM1-014)_001_013</t>
  </si>
  <si>
    <t xml:space="preserve">Inversor apresentando falha de queda na rede</t>
  </si>
  <si>
    <t xml:space="preserve">SG60KTL(COM1-013)_001_010</t>
  </si>
  <si>
    <t xml:space="preserve">SG60KTL(COM1-012)_001_011</t>
  </si>
  <si>
    <t xml:space="preserve">SG60KTL(COM1-011)_001_005</t>
  </si>
  <si>
    <t xml:space="preserve">SG60KTL(COM1-010)_001_003</t>
  </si>
  <si>
    <t xml:space="preserve">SG60KTL(COM1-018)_001_012</t>
  </si>
  <si>
    <t xml:space="preserve">SG60KTL(COM1-017)_001_007</t>
  </si>
  <si>
    <t xml:space="preserve">SG60KTL(COM1-016)_001_006</t>
  </si>
  <si>
    <t xml:space="preserve">SG50CX(COM2-015)_001_017</t>
  </si>
  <si>
    <t xml:space="preserve">SG60KTL(COM1-009)_001_002</t>
  </si>
  <si>
    <t xml:space="preserve">SG60KTL(COM1-008)_001_009</t>
  </si>
  <si>
    <t xml:space="preserve">SG60KTL(COM1-007)_001_004</t>
  </si>
  <si>
    <t xml:space="preserve">SG60KTL(COM1-006)_001_014</t>
  </si>
  <si>
    <t xml:space="preserve">SG40CX(COM2-005)_001_015</t>
  </si>
  <si>
    <t xml:space="preserve">SG60KTL(COM1-019)_002_007</t>
  </si>
  <si>
    <t xml:space="preserve">SG60KTL(COM1-020)_002_011</t>
  </si>
  <si>
    <t xml:space="preserve">SG60KTL(COM1-021)_002_017</t>
  </si>
  <si>
    <t xml:space="preserve">SG60KTL(COM1-022)_002_020</t>
  </si>
  <si>
    <t xml:space="preserve">SG40CX(COM2-023)_002_024</t>
  </si>
  <si>
    <t xml:space="preserve">SG40CX(COM2-024)_002_022</t>
  </si>
  <si>
    <t xml:space="preserve">SG60KTL(COM1-007)_002_013</t>
  </si>
  <si>
    <t xml:space="preserve">SG60KTL(COM1-008)_002_002</t>
  </si>
  <si>
    <t xml:space="preserve">SG60KTL(COM1-009)_002_008</t>
  </si>
  <si>
    <t xml:space="preserve">SG60KTL(COM1-010)_002_003</t>
  </si>
  <si>
    <t xml:space="preserve">SG60KTL(COM1-011)_002_010</t>
  </si>
  <si>
    <t xml:space="preserve">SG60KTL(COM1-012)_002_005</t>
  </si>
  <si>
    <t xml:space="preserve">SG60KTL(COM1-001)_002_006</t>
  </si>
  <si>
    <t xml:space="preserve">SG60KTL(COM1-002)_002_016</t>
  </si>
  <si>
    <t xml:space="preserve">SG50CX(COM2-003)_002_021</t>
  </si>
  <si>
    <t xml:space="preserve">SG50CX(COM2-004)_002_023</t>
  </si>
  <si>
    <t xml:space="preserve">SG60KTL(COM1-005)_002_009</t>
  </si>
  <si>
    <t xml:space="preserve">SG60KTL(COM1-006)_002_001</t>
  </si>
  <si>
    <t xml:space="preserve">SG60KTL(COM1-013)_002_004</t>
  </si>
  <si>
    <t xml:space="preserve">SG60KTL(COM1-014)_002_019</t>
  </si>
  <si>
    <t xml:space="preserve">SG60KTL(COM1-015)_002_018</t>
  </si>
  <si>
    <t xml:space="preserve">SG60KTL(COM1-016)_002_014</t>
  </si>
  <si>
    <t xml:space="preserve">SG60KTL(COM1-017)_002_015</t>
  </si>
  <si>
    <t xml:space="preserve">SG60KTL(COM1-018)_002_012</t>
  </si>
  <si>
    <t xml:space="preserve">SG50CX(COM2-004)_001_018</t>
  </si>
  <si>
    <t xml:space="preserve">SG50CX(COM2-003)_001_016</t>
  </si>
  <si>
    <t xml:space="preserve">SG60KTL(COM1-002)_001_008</t>
  </si>
  <si>
    <t xml:space="preserve">Após identificação de sinistro na usina, e identificado que não houve impacto nesse inversor, ele foi desenergizado para realização de verificações na usina.</t>
  </si>
  <si>
    <t xml:space="preserve">Após verificações, o equipamento foi normalizado.</t>
  </si>
  <si>
    <t xml:space="preserve">Após identificação de sinistro na usina, foi constatado que esse inversor estava operando com menos strings, devido ao furto de cabos. Foi desenergizado para manutenção e normalização da geração.</t>
  </si>
  <si>
    <t xml:space="preserve">Após identificação de sinistro na usina, além de strings a menos, apresentou falha interna e está em tratativa de garantia.</t>
  </si>
  <si>
    <t xml:space="preserve">Inverter(MBUS-15) SN ES2380070432: Em tratativa com fabricante, pois ele não aceita nenhum procedimento, nem acesso local. Aparentemente teremos uma substituição em garantia. Mas, conforme avisando antes pela huawei, por conta de pendências relacionadas à emissão de notas fiscais de retorno referentes a outros processos de garantia, as tratativas estão ocorrendo de forma mais demorada que o normal.</t>
  </si>
  <si>
    <t xml:space="preserve">Falha, inversor sem gerar.</t>
  </si>
  <si>
    <t xml:space="preserve">Foi feita a inspeção na string,foi corrigido a falha e adequada novamente no inversor.</t>
  </si>
  <si>
    <t xml:space="preserve">Foi feito uma inspeçao na subestaçao, resetado o relé e rearmado o disjuntor</t>
  </si>
  <si>
    <t xml:space="preserve">Apenas falha de comunicação</t>
  </si>
  <si>
    <t xml:space="preserve">Após reiniciar o roteador, a comunicação foi reestabelecida</t>
  </si>
  <si>
    <t xml:space="preserve">SG75CX(COM1-018)_001_018</t>
  </si>
  <si>
    <t xml:space="preserve">SG75CX(COM1-019)_001_019</t>
  </si>
  <si>
    <t xml:space="preserve">SG75CX(COM1-020)_001_020</t>
  </si>
  <si>
    <t xml:space="preserve">SG75CX(COM1-021)_001_021</t>
  </si>
  <si>
    <t xml:space="preserve">Inversor apresentando alarme de baixa impedância</t>
  </si>
  <si>
    <t xml:space="preserve">Foi realizado testes em todos componentes e detectado uma string com falha, após ser retirada a falha foi religado o inversor e o mesmo segue operando normalmente.</t>
  </si>
  <si>
    <t xml:space="preserve">Função 86Q e 67C atuada no relé.</t>
  </si>
  <si>
    <t xml:space="preserve">Foi realizada a inspeção de todo o complexo e, aproveitando a falta de energia na UFV, foi corrigida a posição do sensor PT100 da UFV 1.3, que não estava instalado no local correto. Em razão disso, os ventiladores estavam operando de forma ininterrupta, mesmo com a temperatura baixa. Após a realocação do PT100 para o local adequado, foi realizado o reset do relé, o rearme dos disjuntores e, assim, o sistema de refrigeração da UFV 1.3 foi normalizado.</t>
  </si>
  <si>
    <t xml:space="preserve">INVERSORES VINCULADOS AO DATA LOGGER B2142330373 COM ALARME DE QUEDA DE REDE / INVERSORES VINCULADOS AO DATA LOGGER B2142330370 PARCIALMENTE OFF-LINE COM ALARME DE QUEDA DE REDE</t>
  </si>
  <si>
    <t xml:space="preserve">Resetado sistema de comunicação, e a usina foi normalizada</t>
  </si>
  <si>
    <t xml:space="preserve">Inversor off-line na plataforma </t>
  </si>
  <si>
    <t xml:space="preserve">Foi realizado inspeção no inversor e QGBT, ao certificar que estava tudo normal, o inversor foi reiniciado.</t>
  </si>
  <si>
    <t xml:space="preserve">Falha de comunicação com os inversores</t>
  </si>
  <si>
    <t xml:space="preserve">Auto-Restart</t>
  </si>
  <si>
    <t xml:space="preserve">Comunicação se normalizou sem nenhuma interferência humana</t>
  </si>
  <si>
    <t xml:space="preserve">Foi realizado uma inspeção no inversor e no logger, Inversor está funcionando normalmente. Internet está oscilando bastante.</t>
  </si>
  <si>
    <t xml:space="preserve">Desligamento programado para execução de MP e adequação do QGBT</t>
  </si>
  <si>
    <t xml:space="preserve">Foi realizado manutenções nos inversores e QGBT. Após a ação, a usina voltou à operação normal.</t>
  </si>
  <si>
    <t xml:space="preserve">I</t>
  </si>
  <si>
    <t xml:space="preserve">G</t>
  </si>
  <si>
    <t xml:space="preserve">K</t>
  </si>
  <si>
    <t xml:space="preserve">H</t>
  </si>
  <si>
    <t xml:space="preserve">F</t>
  </si>
  <si>
    <t xml:space="preserve">D</t>
  </si>
  <si>
    <t xml:space="preserve">E</t>
  </si>
  <si>
    <t xml:space="preserve">C</t>
  </si>
  <si>
    <t xml:space="preserve">B</t>
  </si>
  <si>
    <t xml:space="preserve">A</t>
  </si>
  <si>
    <t xml:space="preserve">J</t>
  </si>
  <si>
    <t xml:space="preserve">Durante a verificação foi constatado que não está chegando nenhuma fase na UFV</t>
  </si>
  <si>
    <t xml:space="preserve">Foram abertos 03 chamados na concessionária de energia e mantenedor segue acompanhando. 468276028, 468276138, 468276223</t>
  </si>
  <si>
    <t xml:space="preserve">Foi feito inspeção nos inversores e religado o disjuntor geral</t>
  </si>
  <si>
    <t xml:space="preserve">Falha de comunicação </t>
  </si>
  <si>
    <t xml:space="preserve">Comunicação reestabeleceu sozinha</t>
  </si>
  <si>
    <t xml:space="preserve">Foi feito a inspeção na subestaçao, resetado o relé e rearmado o disjuntor </t>
  </si>
  <si>
    <t xml:space="preserve">Inverter71</t>
  </si>
  <si>
    <t xml:space="preserve">Inverter72</t>
  </si>
  <si>
    <t xml:space="preserve">Inverter73</t>
  </si>
  <si>
    <t xml:space="preserve">Inverter74</t>
  </si>
  <si>
    <t xml:space="preserve">Inverter75</t>
  </si>
  <si>
    <t xml:space="preserve">Inverter76</t>
  </si>
  <si>
    <t xml:space="preserve">Inverter77</t>
  </si>
  <si>
    <t xml:space="preserve">Inverter4</t>
  </si>
  <si>
    <t xml:space="preserve">Inverter3</t>
  </si>
  <si>
    <t xml:space="preserve">Inverter1</t>
  </si>
  <si>
    <t xml:space="preserve">Inverter2</t>
  </si>
  <si>
    <t xml:space="preserve">BC Vazante2.3</t>
  </si>
  <si>
    <t xml:space="preserve">Inverter(MBUS-11)</t>
  </si>
  <si>
    <t xml:space="preserve">Falha de comunicação, conversor de mídia queimado.</t>
  </si>
  <si>
    <t xml:space="preserve">Usina gerando normalmente, porém ao realizar a inspeção foi identificado que o conversor de mídea estava danificado. Foi realizado o pedido, aguardando a aquisição para substituição</t>
  </si>
  <si>
    <t xml:space="preserve">Falta de energia na UFV Araguatins. Relé atuando na Função 67ABC e 86B.</t>
  </si>
  <si>
    <t xml:space="preserve">Inspecionado todo complexo, não havia nenhuma anomalia foi realizado reset em os relé e rearmado os disjuntores </t>
  </si>
  <si>
    <t xml:space="preserve">Foi feito reset nos relés e fechado disjuntores</t>
  </si>
  <si>
    <t xml:space="preserve">Foi feito uma inspeçao na subestaçao, resetado o relé e rearmado o disjuntor </t>
  </si>
  <si>
    <t xml:space="preserve">Função 27ABC atuada no relé.</t>
  </si>
  <si>
    <t xml:space="preserve">Função 86B atuada no relé.</t>
  </si>
  <si>
    <t xml:space="preserve">Foi feito inspeção em campo e fechado religador</t>
  </si>
  <si>
    <t xml:space="preserve">Inverter34</t>
  </si>
  <si>
    <t xml:space="preserve">Inverter37</t>
  </si>
  <si>
    <t xml:space="preserve">Inverter33</t>
  </si>
  <si>
    <t xml:space="preserve">Inverter29</t>
  </si>
  <si>
    <t xml:space="preserve">Inverter39</t>
  </si>
  <si>
    <t xml:space="preserve">Inverter31</t>
  </si>
  <si>
    <t xml:space="preserve">Inverter30</t>
  </si>
  <si>
    <t xml:space="preserve">Inverter38</t>
  </si>
  <si>
    <t xml:space="preserve">Inverter32</t>
  </si>
  <si>
    <t xml:space="preserve">Reiniciado smart logger e a comunicação retornou</t>
  </si>
  <si>
    <t xml:space="preserve">Relé de proteção atuou na função 27 B</t>
  </si>
  <si>
    <t xml:space="preserve">Foi feita uma inspeção visual, logo após foi feito o reset do relé e reamado o disjuntor </t>
  </si>
  <si>
    <t xml:space="preserve">Fonte do conversor de mídea queimada</t>
  </si>
  <si>
    <t xml:space="preserve">Durante a verificação foi constatado que a UFV estava gerando, apenas a fonte do conversor de mídea estava queimada, realizei a substituição</t>
  </si>
  <si>
    <t xml:space="preserve">Foi trocado o disjuntor do inversor 13 com o inversor 12, para avaliação se o problema do inversor 13 era disjuntor. Após isto, usina foi normalizada.</t>
  </si>
  <si>
    <t xml:space="preserve">Desligamento programado CPFL, para manutenção na Rede</t>
  </si>
  <si>
    <t xml:space="preserve">Manutenção geral na região. Troca do transformador. Apos a manutenção da concessionaria foi rearmado o complexo</t>
  </si>
  <si>
    <t xml:space="preserve">Resetado o sistema de comunicação</t>
  </si>
  <si>
    <t xml:space="preserve">BC Vazante2.2</t>
  </si>
  <si>
    <t xml:space="preserve">Inversor 6T2499045588 apresentou falha 2033 - subtensão da rede elétrica. Apesar dos inversores vizinhos estarem operando normalmente.</t>
  </si>
  <si>
    <t xml:space="preserve">Foi realizado verificação das strings e fusíveis. Não foram identificados problemas físicos. Foi realizado o acionamento do fabricante - e estão sendo realizados os de testes solicitados.</t>
  </si>
  <si>
    <t xml:space="preserve">Inverter12</t>
  </si>
  <si>
    <t xml:space="preserve">Trip no disjuntor</t>
  </si>
  <si>
    <t xml:space="preserve">Foi realizada uma inspeção e não identificado anomalias. O disjuntor foi rearmado e a geração no inversor normalizada. Como o disjuntor havia sido trocado com o disjuntor BT do inversor 13, constatou-se a necessidade de substituição dele. O disjuntor será adquirido e será programada a substituição.</t>
  </si>
  <si>
    <t xml:space="preserve">Relé de proteção atuou na função 27 ABC</t>
  </si>
  <si>
    <t xml:space="preserve">Relé atuado por 47e 86 na fase AB </t>
  </si>
  <si>
    <t xml:space="preserve">Erro de conexão no Smartlogger</t>
  </si>
  <si>
    <t xml:space="preserve">Falta de energia na UFV Araguatins 01 disjuntor desarmado, sem alarme no relé </t>
  </si>
  <si>
    <t xml:space="preserve">Queda de rede da concessionária, Falha 27ABC no relé</t>
  </si>
  <si>
    <t xml:space="preserve">Auto-restart.</t>
  </si>
  <si>
    <t xml:space="preserve">Realizada a abertura de chamados com a CEMIG. Foi feito inspeção em todo complexo, checado nível de tensão e realizado a manobra de normalização da geração.</t>
  </si>
  <si>
    <t xml:space="preserve">Inversor 12, trip do disjuntor.</t>
  </si>
  <si>
    <t xml:space="preserve">Função 47 atuada no relé.</t>
  </si>
  <si>
    <t xml:space="preserve">Falha atuada no relé: 50N e 86Q.</t>
  </si>
  <si>
    <t xml:space="preserve">Baixa impedância de isolamento.</t>
  </si>
  <si>
    <t xml:space="preserve">Foi feito inspeção, nos componentes relacionados ao inversor. Houve uma falha mas o inversor voltou à operação normal, por si só.</t>
  </si>
  <si>
    <t xml:space="preserve">Disjuntor geral desarmado, sem alarme no Relé</t>
  </si>
  <si>
    <t xml:space="preserve">Função 86 nas três fases atuada no relé.</t>
  </si>
  <si>
    <t xml:space="preserve">Função 86 fase B atuada no relé.</t>
  </si>
  <si>
    <t xml:space="preserve">SG36KTL-M-17_001_017</t>
  </si>
  <si>
    <t xml:space="preserve">Queda da rede da concessionária, religador aberto.</t>
  </si>
  <si>
    <t xml:space="preserve">SG60KTL-10_001_010</t>
  </si>
  <si>
    <t xml:space="preserve">SG60KTL-11_001_011</t>
  </si>
  <si>
    <t xml:space="preserve">SG60KTL-12_001_012</t>
  </si>
  <si>
    <t xml:space="preserve">SG60KTL-13_001_013</t>
  </si>
  <si>
    <t xml:space="preserve">SG60KTL-14_001_014</t>
  </si>
  <si>
    <t xml:space="preserve">SG60KTL-15_001_015</t>
  </si>
  <si>
    <t xml:space="preserve">SG60KTL-16_001_016</t>
  </si>
  <si>
    <t xml:space="preserve">SG60KTL-1_001_001</t>
  </si>
  <si>
    <t xml:space="preserve">SG60KTL-2_001_002</t>
  </si>
  <si>
    <t xml:space="preserve">SG60KTL-3_001_003</t>
  </si>
  <si>
    <t xml:space="preserve">SG60KTL-4_001_004</t>
  </si>
  <si>
    <t xml:space="preserve">SG60KTL-5_001_005</t>
  </si>
  <si>
    <t xml:space="preserve">SG60KTL-6_001_006</t>
  </si>
  <si>
    <t xml:space="preserve">SG60KTL-7_001_007</t>
  </si>
  <si>
    <t xml:space="preserve">SG60KTL-8_001_008</t>
  </si>
  <si>
    <t xml:space="preserve">SG60KTL-9_001_009</t>
  </si>
  <si>
    <t xml:space="preserve">Queda da rede da concessionária, disjuntor geral aberto.</t>
  </si>
  <si>
    <t xml:space="preserve">BC Aracu5.2Inverter(MBUS-1)46027,38541666674605446081,9999884259</t>
  </si>
  <si>
    <t xml:space="preserve">DEMTRF</t>
  </si>
  <si>
    <t xml:space="preserve">BC Aracu5.3Inverter(MBUS-1)46050,36111111114605446081,9999884259</t>
  </si>
  <si>
    <t xml:space="preserve">LIGRFOCOM</t>
  </si>
  <si>
    <t xml:space="preserve">Inversor acusou falha de baixa impedância de isolamento, inicialmente, precedida das falhas de falha de energia de rede elétrica (indicando desligamento do inversor) e entrada DC é anormal (indicando anormalidade em algum componente CC). Durante inspeção em campo foi identificado que três strings do inversor estavam em curto.</t>
  </si>
  <si>
    <t xml:space="preserve">Após a retirada das strings que estavam em curto, foi realizado os testes e normalizado o inversor que segue operando sem anomalia. As strings serão reconectadas após realização de correção das strings.</t>
  </si>
  <si>
    <t xml:space="preserve">BC Turvania1.3Inverter(MBUS-13)46054,272916666746054,272916666746054,4340277778</t>
  </si>
  <si>
    <t xml:space="preserve">DAUINV</t>
  </si>
  <si>
    <t xml:space="preserve">STR</t>
  </si>
  <si>
    <t xml:space="preserve">String</t>
  </si>
  <si>
    <t xml:space="preserve">Inversor acusou falha de baixa impedância de isolamento, inicialmente, precedida das falhas de falha de energia de rede elétrica (indicando desligamento do inversor) e entrada DC é anormal (indicando anormalidade em algum componente CC). Durante inspeção em campo foi identificado que três strings do inversor estavam em curto. Strings ainda estão fora de operação.</t>
  </si>
  <si>
    <t xml:space="preserve">Após a retirada das strings que estavam em curto, foi realizado os testes e normalizado o inversor que segue operando sem anomalia. As strings serão reconectadas após realização de correção das strings. O inversor está operacional, mas há perdas relacionadas às strings desconectadas.</t>
  </si>
  <si>
    <t xml:space="preserve">BC Turvania1.3Inverter(MBUS-13)46054,434027777846054,434027777846081,9999884259</t>
  </si>
  <si>
    <t xml:space="preserve">LIGRFOSTR</t>
  </si>
  <si>
    <t xml:space="preserve">BC Aracu5.1Inverter(MBUS-1)46054,360416666746054,360416666746054,3875</t>
  </si>
  <si>
    <t xml:space="preserve">DAURDE</t>
  </si>
  <si>
    <t xml:space="preserve">BC Aracu5.3Inverter(MBUS-1)46054,360416666746054,360416666746054,3875</t>
  </si>
  <si>
    <t xml:space="preserve">BC Aracu5.4Inverter(MBUS-1)46054,360416666746054,360416666746054,3875</t>
  </si>
  <si>
    <t xml:space="preserve">BC Aracu5.5Inverter(MBUS-1)46054,360416666746054,360416666746054,3875</t>
  </si>
  <si>
    <t xml:space="preserve">Falha de comunicação no Smart Logger</t>
  </si>
  <si>
    <t xml:space="preserve">Foi normalizado por si só.</t>
  </si>
  <si>
    <t xml:space="preserve">BC Corumba2.2U02.I0146054,384027777846054,384027777846054,4166666667</t>
  </si>
  <si>
    <t xml:space="preserve">DAURFOCOM</t>
  </si>
  <si>
    <t xml:space="preserve">BC Corumba2.2U02.I0246054,384027777846054,384027777846054,4166666667</t>
  </si>
  <si>
    <t xml:space="preserve">BC Corumba2.2U02.I0346054,384027777846054,384027777846054,4166666667</t>
  </si>
  <si>
    <t xml:space="preserve">BC Corumba2.2U02.I0446054,384027777846054,384027777846054,4166666667</t>
  </si>
  <si>
    <t xml:space="preserve">BC Corumba2.2U02.I0546054,384027777846054,384027777846054,4166666667</t>
  </si>
  <si>
    <t xml:space="preserve">Vazante I</t>
  </si>
  <si>
    <t xml:space="preserve">Foi realizada uma inspeção e não identificado anomalias. O disjuntor foi rearmado e a geração no inversor normalizada.</t>
  </si>
  <si>
    <t xml:space="preserve">BC Vazante 1.1Inverter1246054,414583333346054,414583333346054,4430555556</t>
  </si>
  <si>
    <t xml:space="preserve">Queda de rede, sem função ativa no relé de proteção. Alarme 2032, indicando que a rede elétrica sofre uma interrupção ou o circuito CA está desconectado ou o disjuntor CA está desligado.</t>
  </si>
  <si>
    <t xml:space="preserve">Inspecionado todo complexo, não foi identificado nenhuma anomalia, foi rearmado o disjuntor. Falha muito provávelmente associada à oscilação da rede.</t>
  </si>
  <si>
    <t xml:space="preserve">ARAGUATINS 2.1Inverter(MBUS-12)46054,416666666746054,416666666746054,7395833333</t>
  </si>
  <si>
    <t xml:space="preserve">ARAGUATINS 2.1Inverter(MBUS-15)46054,416666666746054,416666666746054,7395833333</t>
  </si>
  <si>
    <t xml:space="preserve">ARAGUATINS 2.1Inverter(MBUS-14)46054,416666666746054,416666666746054,7395833333</t>
  </si>
  <si>
    <t xml:space="preserve">ARAGUATINS 2.1Inverter(MBUS-1)46054,416666666746054,416666666746054,7395833333</t>
  </si>
  <si>
    <t xml:space="preserve">BC Varjao1.3</t>
  </si>
  <si>
    <t xml:space="preserve">Inversor com alarme acionado (2064), oscilando geração e não atinge potência nominal. Em tratativa sob o chamado 15218400. A Equipe de O&amp;M está aguardando a emissão de notas de remessa pendentes para a huawei, com mais de 100 dias de atraso. Por conta dos atrasos, a huawei responde que "Em caso da falta de retorno das peças defeituosas em 30 dias o cliente estará sujeito a suspensão do envio de novas peças em garantias futuras. Caso o equipamento não seja devolvido dentro deste período, a Huawei reserva-se o direito de cobrar o preço de compra do produto / peças fornecido, degradar o SLA ou até mesmo parar com o envio de peças sobressalentes.". </t>
  </si>
  <si>
    <t xml:space="preserve">Aguardando a garantia para efetuar a reposição do inversor. A Equipe de O&amp;M está aguardando a emissão de notas de remessa pendentes para a huawei, com mais de 100 dias de atraso. Por conta dos atrasos, a huawei responde que "Em caso da falta de retorno das peças defeituosas em 30 dias o cliente estará sujeito a suspensão do envio de novas peças em garantias futuras. Caso o equipamento não seja devolvido dentro deste período, a Huawei reserva-se o direito de cobrar o preço de compra do produto / peças fornecido, degradar o SLA ou até mesmo parar com o envio de peças sobressalentes.". </t>
  </si>
  <si>
    <t xml:space="preserve">BC Varjao1.3215KTL-H0(MBUS-14)46055,298611111146055,298611111146081,9999884259</t>
  </si>
  <si>
    <t xml:space="preserve">LIGRFOINV</t>
  </si>
  <si>
    <t xml:space="preserve">Desarme, sem nenhuma função ativa no relé de proteção. Identificado curto circuito na regua do borne do circuito de iluminação.</t>
  </si>
  <si>
    <t xml:space="preserve">Foi identificado curto-circuito na régua de borne do circuito de iluminação no interior do QGBT da skid. A falha ocasionou desligamento da UFV. Após correção do circuito, o sistema foi normalizado e realizada coleta da oscilografia do relé de proteção para análise do evento. O impacto na geração esteve restrito ao período de indisponibilidade da planta.</t>
  </si>
  <si>
    <t xml:space="preserve">ARAGUATINS 2.1Inverter(MBUS-12)46055,350694444446055,350694444446055,5034722222</t>
  </si>
  <si>
    <t xml:space="preserve">DAUUFV</t>
  </si>
  <si>
    <t xml:space="preserve">ARAGUATINS 2.1Inverter(MBUS-15)46055,350694444446055,350694444446055,5034722222</t>
  </si>
  <si>
    <t xml:space="preserve">ARAGUATINS 2.1Inverter(MBUS-14)46055,350694444446055,350694444446055,5034722222</t>
  </si>
  <si>
    <t xml:space="preserve">ARAGUATINS 2.1Inverter(MBUS-1)46055,350694444446055,350694444446055,5034722222</t>
  </si>
  <si>
    <t xml:space="preserve">Bom Sucesso I</t>
  </si>
  <si>
    <t xml:space="preserve">Foi identificado que o supervisório e as câmeras estão funcionando parcialmente, câmeras ativas 2-6-10</t>
  </si>
  <si>
    <t xml:space="preserve">Feito uma avaliação em todo o complexo, e identificado que o problema estava relacionado a comunicação. Após reiniciar o sistema, os inversores voltaram a comunicar no supervisorio</t>
  </si>
  <si>
    <t xml:space="preserve">BC Bom SucessoSG60KTL46055,381944444446055,381944444446055,4465277778</t>
  </si>
  <si>
    <t xml:space="preserve">BC Bom SucessoI46055,381944444446055,381944444446055,4465277778</t>
  </si>
  <si>
    <t xml:space="preserve">BC Bom SucessoG46055,381944444446055,381944444446055,4465277778</t>
  </si>
  <si>
    <t xml:space="preserve">BC Bom SucessoK46055,381944444446055,381944444446055,4465277778</t>
  </si>
  <si>
    <t xml:space="preserve">BC Bom SucessoH46055,381944444446055,381944444446055,4465277778</t>
  </si>
  <si>
    <t xml:space="preserve">BC Bom SucessoF46055,381944444446055,381944444446055,4465277778</t>
  </si>
  <si>
    <t xml:space="preserve">BC Bom SucessoD46055,381944444446055,381944444446055,4465277778</t>
  </si>
  <si>
    <t xml:space="preserve">BC Bom SucessoE46055,381944444446055,381944444446055,4465277778</t>
  </si>
  <si>
    <t xml:space="preserve">BC Bom SucessoC46055,381944444446055,381944444446055,4465277778</t>
  </si>
  <si>
    <t xml:space="preserve">BC Bom SucessoB46055,381944444446055,381944444446055,4465277778</t>
  </si>
  <si>
    <t xml:space="preserve">BC Bom SucessoA46055,381944444446055,381944444446055,4465277778</t>
  </si>
  <si>
    <t xml:space="preserve">BC Bom SucessoJ46055,381944444446055,381944444446055,4465277778</t>
  </si>
  <si>
    <t xml:space="preserve">Internet</t>
  </si>
  <si>
    <t xml:space="preserve">Foi identificado no supervisório que todos as câmeras e inversores estão Off-line</t>
  </si>
  <si>
    <t xml:space="preserve">Foi feito uma inspeçao no CFTV no roteador e no swicth, foi constatado problema de comunicação - queda de internet </t>
  </si>
  <si>
    <t xml:space="preserve">BC Aracu5.1Inverter(MBUS-1)46055,388888888946055,388888888946055,4569444444</t>
  </si>
  <si>
    <t xml:space="preserve">DAURFOINT</t>
  </si>
  <si>
    <t xml:space="preserve">BC Aracu5.3Inverter(MBUS-1)46055,388888888946055,388888888946055,4569444444</t>
  </si>
  <si>
    <t xml:space="preserve">BC Aracu5.4Inverter(MBUS-1)46055,388888888946055,388888888946055,4569444444</t>
  </si>
  <si>
    <t xml:space="preserve">BC Aracu5.5Inverter(MBUS-1)46055,388888888946055,388888888946055,4569444444</t>
  </si>
  <si>
    <t xml:space="preserve">Araçu VIII</t>
  </si>
  <si>
    <t xml:space="preserve">Desligamento programado para manutenção preventiva nos inversores.</t>
  </si>
  <si>
    <t xml:space="preserve">Foi realizado limpeza nos coolers e nos inversores. Após o procedimento, a usina foi normalizada.</t>
  </si>
  <si>
    <t xml:space="preserve">BC Aracu4SG75CX(COM1-018)_001_01846055,666666666746055,666666666746055,7145833333</t>
  </si>
  <si>
    <t xml:space="preserve">DPRINV</t>
  </si>
  <si>
    <t xml:space="preserve">BC Aracu4SG75CX(COM1-019)_001_01946055,666666666746055,666666666746055,7145833333</t>
  </si>
  <si>
    <t xml:space="preserve">BC Aracu4SG75CX(COM1-020)_001_02046055,666666666746055,666666666746055,7145833333</t>
  </si>
  <si>
    <t xml:space="preserve">BC Aracu4SG75CX(COM1-021)_001_02146055,666666666746055,666666666746055,7145833333</t>
  </si>
  <si>
    <t xml:space="preserve">Panamá I</t>
  </si>
  <si>
    <t xml:space="preserve">BC Panama1.1</t>
  </si>
  <si>
    <t xml:space="preserve">ITAPOAN 001 (COM1-001)_001_001</t>
  </si>
  <si>
    <t xml:space="preserve">Normalizou sozinho com o retorno da energia </t>
  </si>
  <si>
    <t xml:space="preserve">BC Panama1.1ITAPOAN 001 (COM1-001)_001_00146055,826388888946055,826388888946055,9548611111</t>
  </si>
  <si>
    <t xml:space="preserve">Panamá II</t>
  </si>
  <si>
    <t xml:space="preserve">CEREAL_002</t>
  </si>
  <si>
    <t xml:space="preserve">BC Panama1.1CEREAL_00246055,826388888946055,826388888946055,9548611111</t>
  </si>
  <si>
    <t xml:space="preserve">Panamá III</t>
  </si>
  <si>
    <t xml:space="preserve">ITAPOAN_003</t>
  </si>
  <si>
    <t xml:space="preserve">BC Panama1.1ITAPOAN_00346055,826388888946055,826388888946055,9548611111</t>
  </si>
  <si>
    <t xml:space="preserve">Panamá IV</t>
  </si>
  <si>
    <t xml:space="preserve">BC Panama1.2</t>
  </si>
  <si>
    <t xml:space="preserve">ART_004</t>
  </si>
  <si>
    <t xml:space="preserve">BC Panama1.2ART_00446055,826388888946055,826388888946055,9548611111</t>
  </si>
  <si>
    <t xml:space="preserve">Panamá V</t>
  </si>
  <si>
    <t xml:space="preserve">COOGED_005</t>
  </si>
  <si>
    <t xml:space="preserve">BC Panama1.2COOGED_00546055,826388888946055,826388888946055,9548611111</t>
  </si>
  <si>
    <t xml:space="preserve">Panamá VI</t>
  </si>
  <si>
    <t xml:space="preserve">ART_006</t>
  </si>
  <si>
    <t xml:space="preserve">BC Panama1.2ART_00646055,826388888946055,826388888946055,9548611111</t>
  </si>
  <si>
    <t xml:space="preserve">Panamá VII</t>
  </si>
  <si>
    <t xml:space="preserve">RADIO_007</t>
  </si>
  <si>
    <t xml:space="preserve">BC Panama1.2RADIO_00746055,826388888946055,826388888946055,9548611111</t>
  </si>
  <si>
    <t xml:space="preserve">Relé atuado na função 59</t>
  </si>
  <si>
    <t xml:space="preserve">BC Formoso2.1Inverter(MBUS-12)46055,871527777846055,871527777846056,3125</t>
  </si>
  <si>
    <t xml:space="preserve">BC Formoso2.1Inverter(MBUS-14)46055,871527777846055,871527777846056,3125</t>
  </si>
  <si>
    <t xml:space="preserve">BC Formoso2.1Inverter(MBUS-13)46055,871527777846055,871527777846056,3125</t>
  </si>
  <si>
    <t xml:space="preserve">BC Formoso2.1Inverter(MBUS-1)46055,871527777846055,871527777846056,3125</t>
  </si>
  <si>
    <t xml:space="preserve">BC Formoso2.3Inverter(MBUS-13)46055,871527777846055,871527777846056,3125</t>
  </si>
  <si>
    <t xml:space="preserve">BC Formoso2.3Inverter(MBUS-12)46055,871527777846055,871527777846056,3125</t>
  </si>
  <si>
    <t xml:space="preserve">Paranoá I</t>
  </si>
  <si>
    <t xml:space="preserve">Disjuntor geral do cubículo foi desarmado após uma queda de energia.</t>
  </si>
  <si>
    <t xml:space="preserve">BC ParanoaSG60KTL(COM1-014)_001_01346056,529861111146056,529861111146056,5388888889</t>
  </si>
  <si>
    <t xml:space="preserve">BC ParanoaSG60KTL(COM1-013)_001_01046056,529861111146056,529861111146056,5388888889</t>
  </si>
  <si>
    <t xml:space="preserve">BC ParanoaSG60KTL(COM1-012)_001_01146056,529861111146056,529861111146056,5388888889</t>
  </si>
  <si>
    <t xml:space="preserve">BC ParanoaSG60KTL(COM1-011)_001_00546056,529861111146056,529861111146056,5388888889</t>
  </si>
  <si>
    <t xml:space="preserve">BC ParanoaSG60KTL(COM1-010)_001_00346056,529861111146056,529861111146056,5388888889</t>
  </si>
  <si>
    <t xml:space="preserve">BC ParanoaSG60KTL(COM1-018)_001_01246056,529861111146056,529861111146056,5388888889</t>
  </si>
  <si>
    <t xml:space="preserve">BC ParanoaSG60KTL(COM1-017)_001_00746056,529861111146056,529861111146056,5388888889</t>
  </si>
  <si>
    <t xml:space="preserve">BC ParanoaSG60KTL(COM1-016)_001_00646056,529861111146056,529861111146056,5388888889</t>
  </si>
  <si>
    <t xml:space="preserve">BC ParanoaSG50CX(COM2-015)_001_01746056,529861111146056,529861111146056,5388888889</t>
  </si>
  <si>
    <t xml:space="preserve">Paranoá II</t>
  </si>
  <si>
    <t xml:space="preserve">BC ParanoaSG60KTL(COM1-009)_001_00246056,529861111146056,529861111146056,5388888889</t>
  </si>
  <si>
    <t xml:space="preserve">BC ParanoaSG60KTL(COM1-008)_001_00946056,529861111146056,529861111146056,5388888889</t>
  </si>
  <si>
    <t xml:space="preserve">BC ParanoaSG60KTL(COM1-007)_001_00446056,529861111146056,529861111146056,5388888889</t>
  </si>
  <si>
    <t xml:space="preserve">BC ParanoaSG60KTL(COM1-006)_001_01446056,529861111146056,529861111146056,5388888889</t>
  </si>
  <si>
    <t xml:space="preserve">BC ParanoaSG40CX(COM2-005)_001_01546056,529861111146056,529861111146056,5388888889</t>
  </si>
  <si>
    <t xml:space="preserve">Paranoá III</t>
  </si>
  <si>
    <t xml:space="preserve">BC ParanoaSG60KTL(COM1-019)_002_00746056,529861111146056,529861111146056,5388888889</t>
  </si>
  <si>
    <t xml:space="preserve">BC ParanoaSG60KTL(COM1-020)_002_01146056,529861111146056,529861111146056,5388888889</t>
  </si>
  <si>
    <t xml:space="preserve">BC ParanoaSG60KTL(COM1-021)_002_01746056,529861111146056,529861111146056,5388888889</t>
  </si>
  <si>
    <t xml:space="preserve">BC ParanoaSG60KTL(COM1-022)_002_02046056,529861111146056,529861111146056,5388888889</t>
  </si>
  <si>
    <t xml:space="preserve">BC ParanoaSG40CX(COM2-023)_002_02446056,529861111146056,529861111146056,5388888889</t>
  </si>
  <si>
    <t xml:space="preserve">BC ParanoaSG40CX(COM2-024)_002_02246056,529861111146056,529861111146056,5388888889</t>
  </si>
  <si>
    <t xml:space="preserve">Paranoá IV</t>
  </si>
  <si>
    <t xml:space="preserve">BC ParanoaSG60KTL(COM1-007)_002_01346056,529861111146056,529861111146056,5388888889</t>
  </si>
  <si>
    <t xml:space="preserve">BC ParanoaSG60KTL(COM1-008)_002_00246056,529861111146056,529861111146056,5388888889</t>
  </si>
  <si>
    <t xml:space="preserve">BC ParanoaSG60KTL(COM1-009)_002_00846056,529861111146056,529861111146056,5388888889</t>
  </si>
  <si>
    <t xml:space="preserve">BC ParanoaSG60KTL(COM1-010)_002_00346056,529861111146056,529861111146056,5388888889</t>
  </si>
  <si>
    <t xml:space="preserve">BC ParanoaSG60KTL(COM1-011)_002_01046056,529861111146056,529861111146056,5388888889</t>
  </si>
  <si>
    <t xml:space="preserve">BC ParanoaSG60KTL(COM1-012)_002_00546056,529861111146056,529861111146056,5388888889</t>
  </si>
  <si>
    <t xml:space="preserve">Paranoá V</t>
  </si>
  <si>
    <t xml:space="preserve">BC ParanoaSG60KTL(COM1-001)_002_00646056,529861111146056,529861111146056,5388888889</t>
  </si>
  <si>
    <t xml:space="preserve">BC ParanoaSG60KTL(COM1-002)_002_01646056,529861111146056,529861111146056,5388888889</t>
  </si>
  <si>
    <t xml:space="preserve">BC ParanoaSG50CX(COM2-003)_002_02146056,529861111146056,529861111146056,5388888889</t>
  </si>
  <si>
    <t xml:space="preserve">Paranoá VI</t>
  </si>
  <si>
    <t xml:space="preserve">BC ParanoaSG50CX(COM2-004)_002_02346056,529861111146056,529861111146056,5388888889</t>
  </si>
  <si>
    <t xml:space="preserve">BC ParanoaSG60KTL(COM1-005)_002_00946056,529861111146056,529861111146056,5388888889</t>
  </si>
  <si>
    <t xml:space="preserve">BC ParanoaSG60KTL(COM1-006)_002_00146056,529861111146056,529861111146056,5388888889</t>
  </si>
  <si>
    <t xml:space="preserve">Paranoá VII</t>
  </si>
  <si>
    <t xml:space="preserve">BC ParanoaSG60KTL(COM1-013)_002_00446056,529861111146056,529861111146056,5388888889</t>
  </si>
  <si>
    <t xml:space="preserve">BC ParanoaSG60KTL(COM1-014)_002_01946056,529861111146056,529861111146056,5388888889</t>
  </si>
  <si>
    <t xml:space="preserve">BC ParanoaSG60KTL(COM1-015)_002_01846056,529861111146056,529861111146056,5388888889</t>
  </si>
  <si>
    <t xml:space="preserve">BC ParanoaSG60KTL(COM1-016)_002_01446056,529861111146056,529861111146056,5388888889</t>
  </si>
  <si>
    <t xml:space="preserve">BC ParanoaSG60KTL(COM1-017)_002_01546056,529861111146056,529861111146056,5388888889</t>
  </si>
  <si>
    <t xml:space="preserve">BC ParanoaSG60KTL(COM1-018)_002_01246056,529861111146056,529861111146056,5388888889</t>
  </si>
  <si>
    <t xml:space="preserve">Paranoá VIII</t>
  </si>
  <si>
    <t xml:space="preserve">BC ParanoaSG50CX(COM2-004)_001_01846056,529861111146056,529861111146056,5388888889</t>
  </si>
  <si>
    <t xml:space="preserve">BC ParanoaSG50CX(COM2-003)_001_01646056,529861111146056,529861111146056,5388888889</t>
  </si>
  <si>
    <t xml:space="preserve">BC ParanoaSG60KTL(COM1-002)_001_00846056,651388888946056,529861111146056,5388888889</t>
  </si>
  <si>
    <t xml:space="preserve">Falta de energia na UFV.</t>
  </si>
  <si>
    <t xml:space="preserve">Foi aberto um chamado junto à concessionária. Após o restabelecimento da energia, foi realizada a inspeção de todo o complexo, com verificação dos níveis de tensão, reset do relé e rearme dos disjuntores.</t>
  </si>
  <si>
    <t xml:space="preserve">BC ParanoaSG60KTL(COM1-014)_001_01346056,651388888946056,651388888946056,75</t>
  </si>
  <si>
    <t xml:space="preserve">BC ParanoaSG60KTL(COM1-013)_001_01046056,651388888946056,651388888946056,75</t>
  </si>
  <si>
    <t xml:space="preserve">BC ParanoaSG60KTL(COM1-012)_001_01146056,651388888946056,651388888946056,75</t>
  </si>
  <si>
    <t xml:space="preserve">BC ParanoaSG60KTL(COM1-011)_001_00546056,651388888946056,651388888946056,75</t>
  </si>
  <si>
    <t xml:space="preserve">BC ParanoaSG60KTL(COM1-010)_001_00346056,651388888946056,651388888946056,75</t>
  </si>
  <si>
    <t xml:space="preserve">BC ParanoaSG60KTL(COM1-018)_001_01246056,651388888946056,651388888946056,75</t>
  </si>
  <si>
    <t xml:space="preserve">BC ParanoaSG60KTL(COM1-017)_001_00746056,651388888946056,651388888946056,75</t>
  </si>
  <si>
    <t xml:space="preserve">BC ParanoaSG60KTL(COM1-016)_001_00646056,651388888946056,651388888946056,75</t>
  </si>
  <si>
    <t xml:space="preserve">BC ParanoaSG50CX(COM2-015)_001_01746056,651388888946056,651388888946056,75</t>
  </si>
  <si>
    <t xml:space="preserve">BC ParanoaSG60KTL(COM1-009)_001_00246056,651388888946056,651388888946056,75</t>
  </si>
  <si>
    <t xml:space="preserve">BC ParanoaSG60KTL(COM1-008)_001_00946056,651388888946056,651388888946056,75</t>
  </si>
  <si>
    <t xml:space="preserve">BC ParanoaSG60KTL(COM1-007)_001_00446056,651388888946056,651388888946056,75</t>
  </si>
  <si>
    <t xml:space="preserve">BC ParanoaSG60KTL(COM1-006)_001_01446056,651388888946056,651388888946056,75</t>
  </si>
  <si>
    <t xml:space="preserve">BC ParanoaSG40CX(COM2-005)_001_01546056,651388888946056,651388888946056,75</t>
  </si>
  <si>
    <t xml:space="preserve">BC ParanoaSG60KTL(COM1-019)_002_00746056,651388888946056,651388888946056,75</t>
  </si>
  <si>
    <t xml:space="preserve">BC ParanoaSG60KTL(COM1-020)_002_01146056,651388888946056,651388888946056,75</t>
  </si>
  <si>
    <t xml:space="preserve">BC ParanoaSG60KTL(COM1-021)_002_01746056,651388888946056,651388888946056,75</t>
  </si>
  <si>
    <t xml:space="preserve">BC ParanoaSG60KTL(COM1-022)_002_02046056,651388888946056,651388888946056,75</t>
  </si>
  <si>
    <t xml:space="preserve">BC ParanoaSG40CX(COM2-023)_002_02446056,651388888946056,651388888946056,75</t>
  </si>
  <si>
    <t xml:space="preserve">BC ParanoaSG40CX(COM2-024)_002_02246056,651388888946056,651388888946056,75</t>
  </si>
  <si>
    <t xml:space="preserve">BC ParanoaSG60KTL(COM1-007)_002_01346056,651388888946056,651388888946056,75</t>
  </si>
  <si>
    <t xml:space="preserve">BC ParanoaSG60KTL(COM1-008)_002_00246056,651388888946056,651388888946056,75</t>
  </si>
  <si>
    <t xml:space="preserve">BC ParanoaSG60KTL(COM1-009)_002_00846056,651388888946056,651388888946056,75</t>
  </si>
  <si>
    <t xml:space="preserve">BC ParanoaSG60KTL(COM1-010)_002_00346056,651388888946056,651388888946056,75</t>
  </si>
  <si>
    <t xml:space="preserve">BC ParanoaSG60KTL(COM1-011)_002_01046056,651388888946056,651388888946056,75</t>
  </si>
  <si>
    <t xml:space="preserve">BC ParanoaSG60KTL(COM1-012)_002_00546056,651388888946056,651388888946056,75</t>
  </si>
  <si>
    <t xml:space="preserve">BC ParanoaSG60KTL(COM1-001)_002_00646056,651388888946056,651388888946056,75</t>
  </si>
  <si>
    <t xml:space="preserve">BC ParanoaSG60KTL(COM1-002)_002_01646056,651388888946056,651388888946056,75</t>
  </si>
  <si>
    <t xml:space="preserve">BC ParanoaSG50CX(COM2-003)_002_02146056,651388888946056,651388888946056,75</t>
  </si>
  <si>
    <t xml:space="preserve">BC ParanoaSG50CX(COM2-004)_002_02346056,651388888946056,651388888946056,75</t>
  </si>
  <si>
    <t xml:space="preserve">BC ParanoaSG60KTL(COM1-005)_002_00946056,651388888946056,651388888946056,75</t>
  </si>
  <si>
    <t xml:space="preserve">BC ParanoaSG60KTL(COM1-006)_002_00146056,651388888946056,651388888946056,75</t>
  </si>
  <si>
    <t xml:space="preserve">BC ParanoaSG60KTL(COM1-013)_002_00446056,651388888946056,651388888946056,75</t>
  </si>
  <si>
    <t xml:space="preserve">BC ParanoaSG60KTL(COM1-014)_002_01946056,651388888946056,651388888946056,75</t>
  </si>
  <si>
    <t xml:space="preserve">BC ParanoaSG60KTL(COM1-015)_002_01846056,651388888946056,651388888946056,75</t>
  </si>
  <si>
    <t xml:space="preserve">BC ParanoaSG60KTL(COM1-016)_002_01446056,651388888946056,651388888946056,75</t>
  </si>
  <si>
    <t xml:space="preserve">BC ParanoaSG60KTL(COM1-017)_002_01546056,651388888946056,651388888946056,75</t>
  </si>
  <si>
    <t xml:space="preserve">BC ParanoaSG60KTL(COM1-018)_002_01246056,651388888946056,651388888946056,75</t>
  </si>
  <si>
    <t xml:space="preserve">BC ParanoaSG50CX(COM2-004)_001_01846056,651388888946056,651388888946056,75</t>
  </si>
  <si>
    <t xml:space="preserve">BC ParanoaSG50CX(COM2-003)_001_01646056,651388888946056,651388888946056,75</t>
  </si>
  <si>
    <t xml:space="preserve">BC ParanoaSG60KTL(COM1-002)_001_00846056,651388888946056,651388888946056,75</t>
  </si>
  <si>
    <t xml:space="preserve">Relé atuado na função 47A, 81 e 86</t>
  </si>
  <si>
    <t xml:space="preserve">BC Aracu5.1Inverter(MBUS-1)46056,876388888946056,876388888946057,2993055556</t>
  </si>
  <si>
    <t xml:space="preserve">BC Aracu5.3Inverter(MBUS-1)46056,876388888946056,876388888946057,2993055556</t>
  </si>
  <si>
    <t xml:space="preserve">BC Aracu5.4Inverter(MBUS-1)46056,876388888946056,876388888946057,2993055556</t>
  </si>
  <si>
    <t xml:space="preserve">BC Aracu5.5Inverter(MBUS-1)46056,876388888946056,876388888946057,2993055556</t>
  </si>
  <si>
    <t xml:space="preserve">ARAGUATINS 1.1Inverter(MBUS-12)46057,272222222246057,272222222246057,3541666667</t>
  </si>
  <si>
    <t xml:space="preserve">ARAGUATINS 1.1Inverter(MBUS-13)46057,272222222246057,272222222246057,3541666667</t>
  </si>
  <si>
    <t xml:space="preserve">ARAGUATINS 1.1Inverter(MBUS-14)46057,272222222246057,272222222246057,3541666667</t>
  </si>
  <si>
    <t xml:space="preserve">ARAGUATINS 1.1Inverter(MBUS-15)46057,272222222246057,272222222246057,3541666667</t>
  </si>
  <si>
    <t xml:space="preserve">ARAGUATINS 1.2Inverter(MBUS-12)46057,272222222246057,272222222246057,3541666667</t>
  </si>
  <si>
    <t xml:space="preserve">ARAGUATINS 1.2Inverter(MBUS-13)46057,272222222246057,272222222246057,3541666667</t>
  </si>
  <si>
    <t xml:space="preserve">ARAGUATINS 1.2Inverter(MBUS-14)46057,272222222246057,272222222246057,3541666667</t>
  </si>
  <si>
    <t xml:space="preserve">ARAGUATINS 1.2Inverter(MBUS-15)46057,272222222246057,272222222246057,3541666667</t>
  </si>
  <si>
    <t xml:space="preserve">ARAGUATINS 1.3Inverter(MBUS-20)46057,272222222246057,272222222246057,3541666667</t>
  </si>
  <si>
    <t xml:space="preserve">ARAGUATINS 1.3Inverter(MBUS-1)46057,272222222246057,272222222246057,3541666667</t>
  </si>
  <si>
    <t xml:space="preserve">Relé atuado na função 27AB, 47A, 86Q, 67C</t>
  </si>
  <si>
    <t xml:space="preserve">ARAGUATINS 2.1Inverter(MBUS-12)46057,272222222246057,272222222246057,3541666667</t>
  </si>
  <si>
    <t xml:space="preserve">ARAGUATINS 2.1Inverter(MBUS-15)46057,272222222246057,272222222246057,3541666667</t>
  </si>
  <si>
    <t xml:space="preserve">ARAGUATINS 2.1Inverter(MBUS-14)46057,272222222246057,272222222246057,3541666667</t>
  </si>
  <si>
    <t xml:space="preserve">ARAGUATINS 2.1Inverter(MBUS-1)46057,272222222246057,272222222246057,3541666667</t>
  </si>
  <si>
    <t xml:space="preserve">ARAGUATINS 2.2Inverter(MBUS-15)46057,272222222246057,272222222246057,3541666667</t>
  </si>
  <si>
    <t xml:space="preserve">ARAGUATINS 2.2Inverter(MBUS-13)46057,272222222246057,272222222246057,3541666667</t>
  </si>
  <si>
    <t xml:space="preserve">ARAGUATINS 2.2Inverter(MBUS-14)46057,272222222246057,272222222246057,3541666667</t>
  </si>
  <si>
    <t xml:space="preserve">ARAGUATINS 2.2Inverter(MBUS-12)46057,272222222246057,272222222246057,3541666667</t>
  </si>
  <si>
    <t xml:space="preserve">ARAGUATINS 2.3Inverter(MBUS-12)46057,272222222246057,272222222246057,3541666667</t>
  </si>
  <si>
    <t xml:space="preserve">ARAGUATINS 2.3Inverter(MBUS-13)46057,272222222246057,272222222246057,3541666667</t>
  </si>
  <si>
    <t xml:space="preserve">Desligamento programado</t>
  </si>
  <si>
    <t xml:space="preserve">Os inversores foram desligados para a limpeza dos coolers e dos próprios inversores</t>
  </si>
  <si>
    <t xml:space="preserve">BC Aracu5.1Inverter(MBUS-1)46057,638888888946057,638888888946057,6736111111</t>
  </si>
  <si>
    <t xml:space="preserve">BC Aracu5.3Inverter(MBUS-1)46057,638888888946057,638888888946057,6736111111</t>
  </si>
  <si>
    <t xml:space="preserve">BC Aracu5.5Inverter(MBUS-1)46057,638888888946057,638888888946057,6736111111</t>
  </si>
  <si>
    <t xml:space="preserve">Falha de comunicação com o logger da usina.</t>
  </si>
  <si>
    <t xml:space="preserve">Foi feito inspeções nos componentes relacionados a geração, e foi constatado que houve somente falha de comunicação</t>
  </si>
  <si>
    <t xml:space="preserve">BC Camarao1.3215KTL-H3(MBUS-16)46057,661111111146057,661111111146057,6736111111</t>
  </si>
  <si>
    <t xml:space="preserve">BC Camarao1.3215KTL-H3(MBUS-14)46057,661111111146057,661111111146057,6736111111</t>
  </si>
  <si>
    <t xml:space="preserve">BC Camarao1.3215KTL-H3(MBUS-15)46057,661111111146057,661111111146057,6736111111</t>
  </si>
  <si>
    <t xml:space="preserve">BC Camarao1.3215KTL-H3(MBUS-12)46057,661111111146057,661111111146057,6736111111</t>
  </si>
  <si>
    <t xml:space="preserve">BC Camarao1.3215KTL-H3(MBUS-13)46057,661111111146057,661111111146057,6736111111</t>
  </si>
  <si>
    <t xml:space="preserve">Relé atuado na função 81 e 86</t>
  </si>
  <si>
    <t xml:space="preserve">BC Aracu5.1Inverter(MBUS-1)46057,972222222246057,972222222246058,2986111111</t>
  </si>
  <si>
    <t xml:space="preserve">BC Aracu5.3Inverter(MBUS-1)46057,972222222246057,972222222246058,2986111111</t>
  </si>
  <si>
    <t xml:space="preserve">BC Aracu5.4Inverter(MBUS-1)46057,972222222246057,972222222246058,2986111111</t>
  </si>
  <si>
    <t xml:space="preserve">BC Aracu5.5Inverter(MBUS-1)46057,972222222246057,972222222246058,2986111111</t>
  </si>
  <si>
    <t xml:space="preserve">Caiaponia I</t>
  </si>
  <si>
    <t xml:space="preserve">BC Caiaponia1SG60KTL(COM1-001)_001_00746058,058333333346058,058333333346058,3659722222</t>
  </si>
  <si>
    <t xml:space="preserve">BC Caiaponia1SG60KTL(COM1-002)_001_01046058,058333333346058,058333333346058,3659722222</t>
  </si>
  <si>
    <t xml:space="preserve">BC Caiaponia1SG60KTL(COM1-003)_001_01146058,058333333346058,058333333346058,3659722222</t>
  </si>
  <si>
    <t xml:space="preserve">BC Caiaponia1SG60KTL(COM1-004)_001_01446058,058333333346058,058333333346058,3659722222</t>
  </si>
  <si>
    <t xml:space="preserve">BC Caiaponia1SG60KTL(COM1-005)_001_01746058,058333333346058,058333333346058,3659722222</t>
  </si>
  <si>
    <t xml:space="preserve">BC Caiaponia1SG60KTL(COM1-006)_001_01646058,058333333346058,058333333346058,3659722222</t>
  </si>
  <si>
    <t xml:space="preserve">BC Caiaponia1SG60KTL(COM1-007)_001_01346058,058333333346058,058333333346058,3659722222</t>
  </si>
  <si>
    <t xml:space="preserve">BC Caiaponia1SG60KTL(COM1-008)_001_00146058,058333333346058,058333333346058,3659722222</t>
  </si>
  <si>
    <t xml:space="preserve">Caiaponia II</t>
  </si>
  <si>
    <t xml:space="preserve">BC Caiaponia1SG60KTL(COM1-009)46058,058333333346058,058333333346058,3659722222</t>
  </si>
  <si>
    <t xml:space="preserve">BC Caiaponia1SG60KTL(COM1-010)46058,058333333346058,058333333346058,3659722222</t>
  </si>
  <si>
    <t xml:space="preserve">BC Caiaponia1SG60KTL(COM1-011)46058,058333333346058,058333333346058,3659722222</t>
  </si>
  <si>
    <t xml:space="preserve">BC Caiaponia1SG60KTL(COM1-012)46058,058333333346058,058333333346058,3659722222</t>
  </si>
  <si>
    <t xml:space="preserve">BC Caiaponia1SG60KTL(COM1-013)46058,058333333346058,058333333346058,3659722222</t>
  </si>
  <si>
    <t xml:space="preserve">BC Caiaponia1SG60KTL(COM1-014)46058,058333333346058,058333333346058,3659722222</t>
  </si>
  <si>
    <t xml:space="preserve">BC Caiaponia1SG60KTL(COM1-015)46058,058333333346058,058333333346058,3659722222</t>
  </si>
  <si>
    <t xml:space="preserve">Caiaponia III</t>
  </si>
  <si>
    <t xml:space="preserve">BC Caiaponia1SG60KTL(COM3-016)_001_00946058,058333333346058,058333333346058,3659722222</t>
  </si>
  <si>
    <t xml:space="preserve">BC Caiaponia1SG60KTL(COM3-017)_001_01246058,058333333346058,058333333346058,3659722222</t>
  </si>
  <si>
    <t xml:space="preserve">BC Caiaponia1SG60KTL(COM3-018)_001_00846058,058333333346058,058333333346058,3659722222</t>
  </si>
  <si>
    <t xml:space="preserve">BC Caiaponia1SG60KTL(COM3-019)_001_01946058,058333333346058,058333333346058,3659722222</t>
  </si>
  <si>
    <t xml:space="preserve">BC Caiaponia1SG60KTL(COM3-020)_001_02046058,058333333346058,058333333346058,3659722222</t>
  </si>
  <si>
    <t xml:space="preserve">Caiaponia IV</t>
  </si>
  <si>
    <t xml:space="preserve">BC Caiaponia1SG60KTL(COM2-026)46058,058333333346058,058333333346058,3659722222</t>
  </si>
  <si>
    <t xml:space="preserve">BC Caiaponia1SG60KTL(COM2-027)46058,058333333346058,058333333346058,3659722222</t>
  </si>
  <si>
    <t xml:space="preserve">BC Caiaponia1SG60KTL(COM2-028)46058,058333333346058,058333333346058,3659722222</t>
  </si>
  <si>
    <t xml:space="preserve">BC Caiaponia1SG60KTL(COM2-029)46058,058333333346058,058333333346058,3659722222</t>
  </si>
  <si>
    <t xml:space="preserve">Caiaponia V</t>
  </si>
  <si>
    <t xml:space="preserve">BC Caiaponia1SG50CX(COM1-021)46058,058333333346058,058333333346058,3659722222</t>
  </si>
  <si>
    <t xml:space="preserve">BC Caiaponia1SG50CX(COM1-022)46058,058333333346058,058333333346058,3659722222</t>
  </si>
  <si>
    <t xml:space="preserve">BC Caiaponia1SG50CX(COM1-023)46058,058333333346058,058333333346058,3659722222</t>
  </si>
  <si>
    <t xml:space="preserve">BC Caiaponia1SG50CX(COM1-024)46058,058333333346058,058333333346058,3659722222</t>
  </si>
  <si>
    <t xml:space="preserve">BC Caiaponia1SG50CX(COM1-025)46058,058333333346058,058333333346058,3659722222</t>
  </si>
  <si>
    <t xml:space="preserve">BC Caiaponia2.1215KTL-H3(MBUS-12)46058,058333333346058,058333333346058,3659722222</t>
  </si>
  <si>
    <t xml:space="preserve">BC Caiaponia2.1215KTL-H3(MBUS-13)46058,058333333346058,058333333346058,3659722222</t>
  </si>
  <si>
    <t xml:space="preserve">BC Caiaponia2.1215KTL-H3(MBUS-14)46058,058333333346058,058333333346058,3659722222</t>
  </si>
  <si>
    <t xml:space="preserve">BC Caiaponia2.1215KTL-H3(MBUS-15)46058,058333333346058,058333333346058,3659722222</t>
  </si>
  <si>
    <t xml:space="preserve">BC Caiaponia2.1215KTL-H3(MBUS-16)46058,058333333346058,058333333346058,3659722222</t>
  </si>
  <si>
    <t xml:space="preserve">BC Caiaponia2.2215KTL-H3(MBUS-12)46058,058333333346058,058333333346058,3659722222</t>
  </si>
  <si>
    <t xml:space="preserve">BC Caiaponia2.2215KTL-H3(MBUS-13)46058,058333333346058,058333333346058,3659722222</t>
  </si>
  <si>
    <t xml:space="preserve">BC Caiaponia2.2215KTL-H3(MBUS-14)46058,058333333346058,058333333346058,3659722222</t>
  </si>
  <si>
    <t xml:space="preserve">BC Caiaponia2.2215KTL-H3(MBUS-15)46058,058333333346058,058333333346058,3659722222</t>
  </si>
  <si>
    <t xml:space="preserve">BC Caiaponia2.2215KTL-H3(MBUS-16)46058,058333333346058,058333333346058,3659722222</t>
  </si>
  <si>
    <t xml:space="preserve">BC Caiaponia2.3215KTL-H3(MBUS-12)46058,058333333346058,058333333346058,3659722222</t>
  </si>
  <si>
    <t xml:space="preserve">BC Caiaponia2.3215KTL-H3(MBUS-13)46058,058333333346058,058333333346058,3659722222</t>
  </si>
  <si>
    <t xml:space="preserve">BC Caiaponia2.3215KTL-H3(MBUS-14)46058,058333333346058,058333333346058,3659722222</t>
  </si>
  <si>
    <t xml:space="preserve">BC Caiaponia2.3215KTL-H3(MBUS-15)46058,058333333346058,058333333346058,3659722222</t>
  </si>
  <si>
    <t xml:space="preserve">BC Caiaponia2.3215KTL-H3(MBUS-16)46058,058333333346058,058333333346058,3659722222</t>
  </si>
  <si>
    <t xml:space="preserve">Foi feito inspeção nos componentes relacionado à geração e foi constatado que houve um problema de comunicação sendo assim logo voltou a comunicação normal.</t>
  </si>
  <si>
    <t xml:space="preserve">BC Camarao1.3215KTL-H3(MBUS-16)46058,402777777846058,402777777846058,4236111111</t>
  </si>
  <si>
    <t xml:space="preserve">BC Camarao1.3215KTL-H3(MBUS-14)46058,402777777846058,402777777846058,4236111111</t>
  </si>
  <si>
    <t xml:space="preserve">BC Camarao1.3215KTL-H3(MBUS-15)46058,402777777846058,402777777846058,4236111111</t>
  </si>
  <si>
    <t xml:space="preserve">BC Camarao1.3215KTL-H3(MBUS-12)46058,402777777846058,402777777846058,4236111111</t>
  </si>
  <si>
    <t xml:space="preserve">BC Camarao1.3215KTL-H3(MBUS-13)46058,402777777846058,402777777846058,4236111111</t>
  </si>
  <si>
    <t xml:space="preserve">Rio Monte III</t>
  </si>
  <si>
    <t xml:space="preserve">Foi identificado no supervisório que o inversor 32 está off-line, falha 02 (Sobretensão de Rede).</t>
  </si>
  <si>
    <t xml:space="preserve">Foi verificado as tensões e feito reset no inversor.</t>
  </si>
  <si>
    <t xml:space="preserve">BC Rio Monte1Inverter3246058,441666666746058,441666666746058,5055555556</t>
  </si>
  <si>
    <t xml:space="preserve">BC Vazante 1.1Inverter1246058,540972222246058,540972222246058,6770833333</t>
  </si>
  <si>
    <t xml:space="preserve">BC Caiaponia1SG60KTL(COM1-001)_001_00746058,575694444446058,575694444446058,6694444444</t>
  </si>
  <si>
    <t xml:space="preserve">BC Caiaponia1SG60KTL(COM1-002)_001_01046058,575694444446058,575694444446058,6694444444</t>
  </si>
  <si>
    <t xml:space="preserve">BC Caiaponia1SG60KTL(COM1-003)_001_01146058,575694444446058,575694444446058,6694444444</t>
  </si>
  <si>
    <t xml:space="preserve">BC Caiaponia1SG60KTL(COM1-004)_001_01446058,575694444446058,575694444446058,6694444444</t>
  </si>
  <si>
    <t xml:space="preserve">BC Caiaponia1SG60KTL(COM1-005)_001_01746058,575694444446058,575694444446058,6694444444</t>
  </si>
  <si>
    <t xml:space="preserve">BC Caiaponia1SG60KTL(COM1-006)_001_01646058,575694444446058,575694444446058,6694444444</t>
  </si>
  <si>
    <t xml:space="preserve">BC Caiaponia1SG60KTL(COM1-007)_001_01346058,575694444446058,575694444446058,6694444444</t>
  </si>
  <si>
    <t xml:space="preserve">BC Caiaponia1SG60KTL(COM1-008)_001_00146058,575694444446058,575694444446058,6694444444</t>
  </si>
  <si>
    <t xml:space="preserve">BC Caiaponia1SG60KTL(COM1-009)46058,575694444446058,575694444446058,6694444444</t>
  </si>
  <si>
    <t xml:space="preserve">BC Caiaponia1SG60KTL(COM1-010)46058,575694444446058,575694444446058,6694444444</t>
  </si>
  <si>
    <t xml:space="preserve">BC Caiaponia1SG60KTL(COM1-011)46058,575694444446058,575694444446058,6694444444</t>
  </si>
  <si>
    <t xml:space="preserve">BC Caiaponia1SG60KTL(COM1-012)46058,575694444446058,575694444446058,6694444444</t>
  </si>
  <si>
    <t xml:space="preserve">BC Caiaponia1SG60KTL(COM1-013)46058,575694444446058,575694444446058,6694444444</t>
  </si>
  <si>
    <t xml:space="preserve">BC Caiaponia1SG60KTL(COM1-014)46058,575694444446058,575694444446058,6694444444</t>
  </si>
  <si>
    <t xml:space="preserve">BC Caiaponia1SG60KTL(COM1-015)46058,575694444446058,575694444446058,6694444444</t>
  </si>
  <si>
    <t xml:space="preserve">BC Caiaponia1SG60KTL(COM3-016)_001_00946058,575694444446058,575694444446058,6694444444</t>
  </si>
  <si>
    <t xml:space="preserve">BC Caiaponia1SG60KTL(COM3-017)_001_01246058,575694444446058,575694444446058,6694444444</t>
  </si>
  <si>
    <t xml:space="preserve">BC Caiaponia1SG60KTL(COM3-018)_001_00846058,575694444446058,575694444446058,6694444444</t>
  </si>
  <si>
    <t xml:space="preserve">BC Caiaponia1SG60KTL(COM3-019)_001_01946058,575694444446058,575694444446058,6694444444</t>
  </si>
  <si>
    <t xml:space="preserve">BC Caiaponia1SG60KTL(COM3-020)_001_02046058,575694444446058,575694444446058,6694444444</t>
  </si>
  <si>
    <t xml:space="preserve">BC Caiaponia1SG60KTL(COM2-026)46058,575694444446058,575694444446058,6694444444</t>
  </si>
  <si>
    <t xml:space="preserve">BC Caiaponia1SG60KTL(COM2-027)46058,575694444446058,575694444446058,6694444444</t>
  </si>
  <si>
    <t xml:space="preserve">BC Caiaponia1SG60KTL(COM2-028)46058,575694444446058,575694444446058,6694444444</t>
  </si>
  <si>
    <t xml:space="preserve">BC Caiaponia1SG60KTL(COM2-029)46058,575694444446058,575694444446058,6694444444</t>
  </si>
  <si>
    <t xml:space="preserve">BC Caiaponia1SG50CX(COM1-021)46058,575694444446058,575694444446058,6694444444</t>
  </si>
  <si>
    <t xml:space="preserve">BC Caiaponia1SG50CX(COM1-022)46058,575694444446058,575694444446058,6694444444</t>
  </si>
  <si>
    <t xml:space="preserve">BC Caiaponia1SG50CX(COM1-023)46058,575694444446058,575694444446058,6694444444</t>
  </si>
  <si>
    <t xml:space="preserve">BC Caiaponia1SG50CX(COM1-024)46058,575694444446058,575694444446058,6694444444</t>
  </si>
  <si>
    <t xml:space="preserve">BC Caiaponia1SG50CX(COM1-025)46058,575694444446058,575694444446058,6694444444</t>
  </si>
  <si>
    <t xml:space="preserve">BC Caiaponia2.1215KTL-H3(MBUS-12)46058,575694444446058,575694444446058,6694444444</t>
  </si>
  <si>
    <t xml:space="preserve">BC Caiaponia2.1215KTL-H3(MBUS-13)46058,575694444446058,575694444446058,6694444444</t>
  </si>
  <si>
    <t xml:space="preserve">BC Caiaponia2.1215KTL-H3(MBUS-14)46058,575694444446058,575694444446058,6694444444</t>
  </si>
  <si>
    <t xml:space="preserve">BC Caiaponia2.1215KTL-H3(MBUS-15)46058,575694444446058,575694444446058,6694444444</t>
  </si>
  <si>
    <t xml:space="preserve">BC Caiaponia2.1215KTL-H3(MBUS-16)46058,575694444446058,575694444446058,6694444444</t>
  </si>
  <si>
    <t xml:space="preserve">BC Caiaponia2.2215KTL-H3(MBUS-12)46058,575694444446058,575694444446058,6694444444</t>
  </si>
  <si>
    <t xml:space="preserve">BC Caiaponia2.2215KTL-H3(MBUS-13)46058,575694444446058,575694444446058,6694444444</t>
  </si>
  <si>
    <t xml:space="preserve">BC Caiaponia2.2215KTL-H3(MBUS-14)46058,575694444446058,575694444446058,6694444444</t>
  </si>
  <si>
    <t xml:space="preserve">BC Caiaponia2.2215KTL-H3(MBUS-15)46058,575694444446058,575694444446058,6694444444</t>
  </si>
  <si>
    <t xml:space="preserve">BC Caiaponia2.2215KTL-H3(MBUS-16)46058,575694444446058,575694444446058,6694444444</t>
  </si>
  <si>
    <t xml:space="preserve">BC Caiaponia2.3215KTL-H3(MBUS-12)46058,575694444446058,575694444446058,6694444444</t>
  </si>
  <si>
    <t xml:space="preserve">BC Caiaponia2.3215KTL-H3(MBUS-13)46058,575694444446058,575694444446058,6694444444</t>
  </si>
  <si>
    <t xml:space="preserve">BC Caiaponia2.3215KTL-H3(MBUS-14)46058,575694444446058,575694444446058,6694444444</t>
  </si>
  <si>
    <t xml:space="preserve">BC Caiaponia2.3215KTL-H3(MBUS-15)46058,575694444446058,575694444446058,6694444444</t>
  </si>
  <si>
    <t xml:space="preserve">BC Caiaponia2.3215KTL-H3(MBUS-16)46058,575694444446058,575694444446058,6694444444</t>
  </si>
  <si>
    <t xml:space="preserve">BC Caiaponia1SG60KTL(COM1-001)_001_00746058,701388888946058,701388888946058,8659722222</t>
  </si>
  <si>
    <t xml:space="preserve">BC Caiaponia1SG60KTL(COM1-002)_001_01046058,701388888946058,701388888946058,8659722222</t>
  </si>
  <si>
    <t xml:space="preserve">BC Caiaponia1SG60KTL(COM1-003)_001_01146058,701388888946058,701388888946058,8659722222</t>
  </si>
  <si>
    <t xml:space="preserve">BC Caiaponia1SG60KTL(COM1-004)_001_01446058,701388888946058,701388888946058,8659722222</t>
  </si>
  <si>
    <t xml:space="preserve">BC Caiaponia1SG60KTL(COM1-005)_001_01746058,701388888946058,701388888946058,8659722222</t>
  </si>
  <si>
    <t xml:space="preserve">BC Caiaponia1SG60KTL(COM1-006)_001_01646058,701388888946058,701388888946058,8659722222</t>
  </si>
  <si>
    <t xml:space="preserve">BC Caiaponia1SG60KTL(COM1-007)_001_01346058,701388888946058,701388888946058,8659722222</t>
  </si>
  <si>
    <t xml:space="preserve">BC Caiaponia1SG60KTL(COM1-008)_001_00146058,701388888946058,701388888946058,8659722222</t>
  </si>
  <si>
    <t xml:space="preserve">BC Caiaponia1SG60KTL(COM1-009)46058,701388888946058,701388888946058,8659722222</t>
  </si>
  <si>
    <t xml:space="preserve">BC Caiaponia1SG60KTL(COM1-010)46058,701388888946058,701388888946058,8659722222</t>
  </si>
  <si>
    <t xml:space="preserve">BC Caiaponia1SG60KTL(COM1-011)46058,701388888946058,701388888946058,8659722222</t>
  </si>
  <si>
    <t xml:space="preserve">BC Caiaponia1SG60KTL(COM1-012)46058,701388888946058,701388888946058,8659722222</t>
  </si>
  <si>
    <t xml:space="preserve">BC Caiaponia1SG60KTL(COM1-013)46058,701388888946058,701388888946058,8659722222</t>
  </si>
  <si>
    <t xml:space="preserve">BC Caiaponia1SG60KTL(COM1-014)46058,701388888946058,701388888946058,8659722222</t>
  </si>
  <si>
    <t xml:space="preserve">BC Caiaponia1SG60KTL(COM1-015)46058,701388888946058,701388888946058,8659722222</t>
  </si>
  <si>
    <t xml:space="preserve">BC Caiaponia1SG60KTL(COM3-016)_001_00946058,701388888946058,701388888946058,8659722222</t>
  </si>
  <si>
    <t xml:space="preserve">BC Caiaponia1SG60KTL(COM3-017)_001_01246058,701388888946058,701388888946058,8659722222</t>
  </si>
  <si>
    <t xml:space="preserve">BC Caiaponia1SG60KTL(COM3-018)_001_00846058,701388888946058,701388888946058,8659722222</t>
  </si>
  <si>
    <t xml:space="preserve">BC Caiaponia1SG60KTL(COM3-019)_001_01946058,701388888946058,701388888946058,8659722222</t>
  </si>
  <si>
    <t xml:space="preserve">BC Caiaponia1SG60KTL(COM3-020)_001_02046058,701388888946058,701388888946058,8659722222</t>
  </si>
  <si>
    <t xml:space="preserve">BC Caiaponia1SG60KTL(COM2-026)46058,701388888946058,701388888946058,8659722222</t>
  </si>
  <si>
    <t xml:space="preserve">BC Caiaponia1SG60KTL(COM2-027)46058,701388888946058,701388888946058,8659722222</t>
  </si>
  <si>
    <t xml:space="preserve">BC Caiaponia1SG60KTL(COM2-028)46058,701388888946058,701388888946058,8659722222</t>
  </si>
  <si>
    <t xml:space="preserve">BC Caiaponia1SG60KTL(COM2-029)46058,701388888946058,701388888946058,8659722222</t>
  </si>
  <si>
    <t xml:space="preserve">BC Caiaponia1SG50CX(COM1-021)46058,701388888946058,701388888946058,8659722222</t>
  </si>
  <si>
    <t xml:space="preserve">BC Caiaponia1SG50CX(COM1-022)46058,701388888946058,701388888946058,8659722222</t>
  </si>
  <si>
    <t xml:space="preserve">BC Caiaponia1SG50CX(COM1-023)46058,701388888946058,701388888946058,8659722222</t>
  </si>
  <si>
    <t xml:space="preserve">BC Caiaponia1SG50CX(COM1-024)46058,701388888946058,701388888946058,8659722222</t>
  </si>
  <si>
    <t xml:space="preserve">BC Caiaponia1SG50CX(COM1-025)46058,701388888946058,701388888946058,8659722222</t>
  </si>
  <si>
    <t xml:space="preserve">BC Caiaponia2.1215KTL-H3(MBUS-12)46058,701388888946058,701388888946058,8659722222</t>
  </si>
  <si>
    <t xml:space="preserve">BC Caiaponia2.1215KTL-H3(MBUS-13)46058,701388888946058,701388888946058,8659722222</t>
  </si>
  <si>
    <t xml:space="preserve">BC Caiaponia2.1215KTL-H3(MBUS-14)46058,701388888946058,701388888946058,8659722222</t>
  </si>
  <si>
    <t xml:space="preserve">BC Caiaponia2.1215KTL-H3(MBUS-15)46058,701388888946058,701388888946058,8659722222</t>
  </si>
  <si>
    <t xml:space="preserve">BC Caiaponia2.1215KTL-H3(MBUS-16)46058,701388888946058,701388888946058,8659722222</t>
  </si>
  <si>
    <t xml:space="preserve">BC Caiaponia2.2215KTL-H3(MBUS-12)46058,701388888946058,701388888946058,8659722222</t>
  </si>
  <si>
    <t xml:space="preserve">BC Caiaponia2.2215KTL-H3(MBUS-13)46058,701388888946058,701388888946058,8659722222</t>
  </si>
  <si>
    <t xml:space="preserve">BC Caiaponia2.2215KTL-H3(MBUS-14)46058,701388888946058,701388888946058,8659722222</t>
  </si>
  <si>
    <t xml:space="preserve">BC Caiaponia2.2215KTL-H3(MBUS-15)46058,701388888946058,701388888946058,8659722222</t>
  </si>
  <si>
    <t xml:space="preserve">BC Caiaponia2.2215KTL-H3(MBUS-16)46058,701388888946058,701388888946058,8659722222</t>
  </si>
  <si>
    <t xml:space="preserve">BC Caiaponia2.3215KTL-H3(MBUS-12)46058,701388888946058,701388888946058,8659722222</t>
  </si>
  <si>
    <t xml:space="preserve">BC Caiaponia2.3215KTL-H3(MBUS-13)46058,701388888946058,701388888946058,8659722222</t>
  </si>
  <si>
    <t xml:space="preserve">BC Caiaponia2.3215KTL-H3(MBUS-14)46058,701388888946058,701388888946058,8659722222</t>
  </si>
  <si>
    <t xml:space="preserve">BC Caiaponia2.3215KTL-H3(MBUS-15)46058,701388888946058,701388888946058,8659722222</t>
  </si>
  <si>
    <t xml:space="preserve">BC Caiaponia2.3215KTL-H3(MBUS-16)46058,701388888946058,701388888946058,8659722222</t>
  </si>
  <si>
    <t xml:space="preserve">A Usina apresentou falha com o código 47 - desequilíbrio de tensão.</t>
  </si>
  <si>
    <t xml:space="preserve">Foi realizado inspeções nos componentes do sistema de geração reiniciado o relé de proteção e religando o disjuntor, após a ação, a usina retomou operação normal.</t>
  </si>
  <si>
    <t xml:space="preserve">BC Turvania1.1Inverter(MBUS-14)46058,7062546058,7062546058,7361111111</t>
  </si>
  <si>
    <t xml:space="preserve">BC Turvania1.1Inverter(MBUS-15)46058,7062546058,7062546058,7361111111</t>
  </si>
  <si>
    <t xml:space="preserve">BC Turvania1.1Inverter(MBUS-12)46058,7062546058,7062546058,7361111111</t>
  </si>
  <si>
    <t xml:space="preserve">BC Turvania1.1Inverter(MBUS-13)46058,7062546058,7062546058,7361111111</t>
  </si>
  <si>
    <t xml:space="preserve">BC Turvania1.2Inverter(MBUS-14)46058,7062546058,7062546058,7361111111</t>
  </si>
  <si>
    <t xml:space="preserve">BC Turvania1.2Inverter(MBUS-13)46058,7062546058,7062546058,7361111111</t>
  </si>
  <si>
    <t xml:space="preserve">BC Turvania1.2Inverter(MBUS-12)46058,7062546058,7062546058,7361111111</t>
  </si>
  <si>
    <t xml:space="preserve">BC Turvania1.2Inverter(MBUS-15)46058,7062546058,7062546058,7361111111</t>
  </si>
  <si>
    <t xml:space="preserve">BC Turvania1.3Inverter(MBUS-13)46058,7062546058,7062546058,7361111111</t>
  </si>
  <si>
    <t xml:space="preserve">BC Turvania1.3Inverter(MBUS-14)46058,7062546058,7062546058,7361111111</t>
  </si>
  <si>
    <t xml:space="preserve">BC Turvania1.3Inverter(MBUS-15)46058,7062546058,7062546058,7361111111</t>
  </si>
  <si>
    <t xml:space="preserve">BC Turvania1.3Inverter(MBUS-1)46058,7062546058,7062546058,7361111111</t>
  </si>
  <si>
    <t xml:space="preserve">BC Turvania1.4Inverter(MBUS-14)46058,7062546058,7062546058,7361111111</t>
  </si>
  <si>
    <t xml:space="preserve">BC Turvania1.4Inverter(MBUS-15)46058,7062546058,7062546058,7361111111</t>
  </si>
  <si>
    <t xml:space="preserve">BC Turvania1.4Inverter(MBUS-13)46058,7062546058,7062546058,7361111111</t>
  </si>
  <si>
    <t xml:space="preserve">BC Turvania1.4Inverter(MBUS-12)46058,7062546058,7062546058,7361111111</t>
  </si>
  <si>
    <t xml:space="preserve">BC Turvania1.5Inverter(MBUS-13)46058,7062546058,7062546058,7361111111</t>
  </si>
  <si>
    <t xml:space="preserve">BC Turvania1.5Inverter(MBUS-12)46058,7062546058,7062546058,7361111111</t>
  </si>
  <si>
    <t xml:space="preserve">BC Turvania1.5Inverter(MBUS-14)46058,7062546058,7062546058,7361111111</t>
  </si>
  <si>
    <t xml:space="preserve">BC Turvania1.5Inverter(MBUS-1)46058,7062546058,7062546058,7361111111</t>
  </si>
  <si>
    <t xml:space="preserve">BC Turvania1.1Inverter(MBUS-14)46058,716666666746058,716666666746058,7395833333</t>
  </si>
  <si>
    <t xml:space="preserve">BC Turvania1.1Inverter(MBUS-15)46058,716666666746058,716666666746058,7395833333</t>
  </si>
  <si>
    <t xml:space="preserve">BC Turvania1.1Inverter(MBUS-12)46058,716666666746058,716666666746058,7395833333</t>
  </si>
  <si>
    <t xml:space="preserve">BC Turvania1.1Inverter(MBUS-13)46058,716666666746058,716666666746058,7395833333</t>
  </si>
  <si>
    <t xml:space="preserve">BC Turvania1.2Inverter(MBUS-14)46058,716666666746058,716666666746058,7395833333</t>
  </si>
  <si>
    <t xml:space="preserve">BC Turvania1.2Inverter(MBUS-13)46058,716666666746058,716666666746058,7395833333</t>
  </si>
  <si>
    <t xml:space="preserve">BC Turvania1.2Inverter(MBUS-12)46058,716666666746058,716666666746058,7395833333</t>
  </si>
  <si>
    <t xml:space="preserve">BC Turvania1.2Inverter(MBUS-15)46058,716666666746058,716666666746058,7395833333</t>
  </si>
  <si>
    <t xml:space="preserve">BC Turvania1.3Inverter(MBUS-13)46058,716666666746058,716666666746058,7395833333</t>
  </si>
  <si>
    <t xml:space="preserve">BC Turvania1.3Inverter(MBUS-14)46058,716666666746058,716666666746058,7395833333</t>
  </si>
  <si>
    <t xml:space="preserve">BC Turvania1.3Inverter(MBUS-15)46058,716666666746058,716666666746058,7395833333</t>
  </si>
  <si>
    <t xml:space="preserve">BC Turvania1.3Inverter(MBUS-1)46058,716666666746058,716666666746058,7395833333</t>
  </si>
  <si>
    <t xml:space="preserve">BC Turvania1.4Inverter(MBUS-14)46058,716666666746058,716666666746058,7395833333</t>
  </si>
  <si>
    <t xml:space="preserve">BC Turvania1.4Inverter(MBUS-15)46058,716666666746058,716666666746058,7395833333</t>
  </si>
  <si>
    <t xml:space="preserve">BC Turvania1.4Inverter(MBUS-13)46058,716666666746058,716666666746058,7395833333</t>
  </si>
  <si>
    <t xml:space="preserve">BC Turvania1.4Inverter(MBUS-12)46058,716666666746058,716666666746058,7395833333</t>
  </si>
  <si>
    <t xml:space="preserve">BC Turvania1.5Inverter(MBUS-13)46058,716666666746058,716666666746058,7395833333</t>
  </si>
  <si>
    <t xml:space="preserve">BC Turvania1.5Inverter(MBUS-12)46058,716666666746058,716666666746058,7395833333</t>
  </si>
  <si>
    <t xml:space="preserve">BC Turvania1.5Inverter(MBUS-14)46058,716666666746058,716666666746058,7395833333</t>
  </si>
  <si>
    <t xml:space="preserve">BC Turvania1.5Inverter(MBUS-1)46058,716666666746058,716666666746058,7395833333</t>
  </si>
  <si>
    <t xml:space="preserve">Queda de energia na UFV com abertura do disjuntor geral, relé atuou na função 67C e 86Q </t>
  </si>
  <si>
    <t xml:space="preserve">ARAGUATINS 1.1Inverter(MBUS-12)46058,716666666746058,716666666746058,7395833333</t>
  </si>
  <si>
    <t xml:space="preserve">ARAGUATINS 1.1Inverter(MBUS-13)46058,716666666746058,716666666746058,7395833333</t>
  </si>
  <si>
    <t xml:space="preserve">ARAGUATINS 1.1Inverter(MBUS-14)46058,716666666746058,716666666746058,7395833333</t>
  </si>
  <si>
    <t xml:space="preserve">ARAGUATINS 1.1Inverter(MBUS-15)46058,716666666746058,716666666746058,7395833333</t>
  </si>
  <si>
    <t xml:space="preserve">ARAGUATINS 1.2Inverter(MBUS-12)46058,716666666746058,716666666746058,7395833333</t>
  </si>
  <si>
    <t xml:space="preserve">ARAGUATINS 1.2Inverter(MBUS-13)46058,716666666746058,716666666746058,7395833333</t>
  </si>
  <si>
    <t xml:space="preserve">ARAGUATINS 1.2Inverter(MBUS-14)46058,716666666746058,716666666746058,7395833333</t>
  </si>
  <si>
    <t xml:space="preserve">ARAGUATINS 1.2Inverter(MBUS-15)46058,716666666746058,716666666746058,7395833333</t>
  </si>
  <si>
    <t xml:space="preserve">ARAGUATINS 1.3Inverter(MBUS-20)46058,716666666746058,716666666746058,7395833333</t>
  </si>
  <si>
    <t xml:space="preserve">ARAGUATINS 1.3Inverter(MBUS-1)46058,716666666746058,716666666746058,7395833333</t>
  </si>
  <si>
    <t xml:space="preserve">Paranoá teve seu complexo integramentede desenergizado para realização de visita técnica conduzida pela concessionária Neoenergia, no âmbito de manutenção programada.</t>
  </si>
  <si>
    <t xml:space="preserve">A pedido da Neonergia,foram efetuados registros fotográficos do transformador de potencial (pt) e do transformador de corrente (tc), bem como verificação dos valores de corrente e tensão do sistema.</t>
  </si>
  <si>
    <t xml:space="preserve">BC ParanoaSG60KTL(COM1-014)_001_01346059,475694444446059,475694444446059,5277777778</t>
  </si>
  <si>
    <t xml:space="preserve">DPRUFV</t>
  </si>
  <si>
    <t xml:space="preserve">BC ParanoaSG60KTL(COM1-013)_001_01046059,475694444446059,475694444446059,5277777778</t>
  </si>
  <si>
    <t xml:space="preserve">BC ParanoaSG60KTL(COM1-012)_001_01146059,475694444446059,475694444446059,5277777778</t>
  </si>
  <si>
    <t xml:space="preserve">BC ParanoaSG60KTL(COM1-011)_001_00546059,475694444446059,475694444446059,5277777778</t>
  </si>
  <si>
    <t xml:space="preserve">BC ParanoaSG60KTL(COM1-010)_001_00346059,475694444446059,475694444446059,5277777778</t>
  </si>
  <si>
    <t xml:space="preserve">BC ParanoaSG60KTL(COM1-018)_001_01246059,475694444446059,475694444446059,5277777778</t>
  </si>
  <si>
    <t xml:space="preserve">BC ParanoaSG60KTL(COM1-017)_001_00746059,475694444446059,475694444446059,5277777778</t>
  </si>
  <si>
    <t xml:space="preserve">BC ParanoaSG60KTL(COM1-016)_001_00646059,475694444446059,475694444446059,5277777778</t>
  </si>
  <si>
    <t xml:space="preserve">BC ParanoaSG50CX(COM2-015)_001_01746059,475694444446059,475694444446059,5277777778</t>
  </si>
  <si>
    <t xml:space="preserve">BC ParanoaSG60KTL(COM1-009)_001_00246059,475694444446059,475694444446059,5277777778</t>
  </si>
  <si>
    <t xml:space="preserve">BC ParanoaSG60KTL(COM1-008)_001_00946059,475694444446059,475694444446059,5277777778</t>
  </si>
  <si>
    <t xml:space="preserve">BC ParanoaSG60KTL(COM1-007)_001_00446059,475694444446059,475694444446059,5277777778</t>
  </si>
  <si>
    <t xml:space="preserve">BC ParanoaSG60KTL(COM1-006)_001_01446059,475694444446059,475694444446059,5277777778</t>
  </si>
  <si>
    <t xml:space="preserve">BC ParanoaSG40CX(COM2-005)_001_01546059,475694444446059,475694444446059,5277777778</t>
  </si>
  <si>
    <t xml:space="preserve">BC ParanoaSG60KTL(COM1-019)_002_00746059,475694444446059,475694444446059,5277777778</t>
  </si>
  <si>
    <t xml:space="preserve">BC ParanoaSG60KTL(COM1-020)_002_01146059,475694444446059,475694444446059,5277777778</t>
  </si>
  <si>
    <t xml:space="preserve">BC ParanoaSG60KTL(COM1-021)_002_01746059,475694444446059,475694444446059,5277777778</t>
  </si>
  <si>
    <t xml:space="preserve">BC ParanoaSG60KTL(COM1-022)_002_02046059,475694444446059,475694444446059,5277777778</t>
  </si>
  <si>
    <t xml:space="preserve">BC ParanoaSG40CX(COM2-023)_002_02446059,475694444446059,475694444446059,5277777778</t>
  </si>
  <si>
    <t xml:space="preserve">BC ParanoaSG40CX(COM2-024)_002_02246059,475694444446059,475694444446059,5277777778</t>
  </si>
  <si>
    <t xml:space="preserve">BC ParanoaSG60KTL(COM1-007)_002_01346059,475694444446059,475694444446059,5277777778</t>
  </si>
  <si>
    <t xml:space="preserve">BC ParanoaSG60KTL(COM1-008)_002_00246059,475694444446059,475694444446059,5277777778</t>
  </si>
  <si>
    <t xml:space="preserve">BC ParanoaSG60KTL(COM1-009)_002_00846059,475694444446059,475694444446059,5277777778</t>
  </si>
  <si>
    <t xml:space="preserve">BC ParanoaSG60KTL(COM1-010)_002_00346059,475694444446059,475694444446059,5277777778</t>
  </si>
  <si>
    <t xml:space="preserve">BC ParanoaSG60KTL(COM1-011)_002_01046059,475694444446059,475694444446059,5277777778</t>
  </si>
  <si>
    <t xml:space="preserve">BC ParanoaSG60KTL(COM1-012)_002_00546059,475694444446059,475694444446059,5277777778</t>
  </si>
  <si>
    <t xml:space="preserve">BC ParanoaSG60KTL(COM1-001)_002_00646059,475694444446059,475694444446059,5277777778</t>
  </si>
  <si>
    <t xml:space="preserve">BC ParanoaSG60KTL(COM1-002)_002_01646059,475694444446059,475694444446059,5277777778</t>
  </si>
  <si>
    <t xml:space="preserve">BC ParanoaSG50CX(COM2-003)_002_02146059,475694444446059,475694444446059,5277777778</t>
  </si>
  <si>
    <t xml:space="preserve">BC ParanoaSG50CX(COM2-004)_002_02346059,475694444446059,475694444446059,5277777778</t>
  </si>
  <si>
    <t xml:space="preserve">BC ParanoaSG60KTL(COM1-005)_002_00946059,475694444446059,475694444446059,5277777778</t>
  </si>
  <si>
    <t xml:space="preserve">BC ParanoaSG60KTL(COM1-006)_002_00146059,475694444446059,475694444446059,5277777778</t>
  </si>
  <si>
    <t xml:space="preserve">BC ParanoaSG60KTL(COM1-013)_002_00446059,475694444446059,475694444446059,5277777778</t>
  </si>
  <si>
    <t xml:space="preserve">BC ParanoaSG60KTL(COM1-014)_002_01946059,475694444446059,475694444446059,5277777778</t>
  </si>
  <si>
    <t xml:space="preserve">BC ParanoaSG60KTL(COM1-015)_002_01846059,475694444446059,475694444446059,5277777778</t>
  </si>
  <si>
    <t xml:space="preserve">BC ParanoaSG60KTL(COM1-016)_002_01446059,475694444446059,475694444446059,5277777778</t>
  </si>
  <si>
    <t xml:space="preserve">BC ParanoaSG60KTL(COM1-017)_002_01546059,475694444446059,475694444446059,5277777778</t>
  </si>
  <si>
    <t xml:space="preserve">BC ParanoaSG60KTL(COM1-018)_002_01246059,475694444446059,475694444446059,5277777778</t>
  </si>
  <si>
    <t xml:space="preserve">BC ParanoaSG50CX(COM2-004)_001_01846059,475694444446059,475694444446059,5277777778</t>
  </si>
  <si>
    <t xml:space="preserve">BC ParanoaSG50CX(COM2-003)_001_01646059,475694444446059,475694444446059,5277777778</t>
  </si>
  <si>
    <t xml:space="preserve">BC ParanoaSG60KTL(COM1-002)_001_00846059,475694444446059,475694444446059,5277777778</t>
  </si>
  <si>
    <t xml:space="preserve">Rio Monte I</t>
  </si>
  <si>
    <t xml:space="preserve">Foi identificado no supervisório que os inversores estão com falha, em campo, foi identificado falha de rede da concessionária. </t>
  </si>
  <si>
    <t xml:space="preserve">Foi feito reclamação para melhorar a tensão da rede da concessionária. Após normalização da rede, foi realizada a manobra de normalização da usina.</t>
  </si>
  <si>
    <t xml:space="preserve">BC Rio Monte1Inverter3546059,540277777846059,540277777846059,6527777778</t>
  </si>
  <si>
    <t xml:space="preserve">Rio Monte II</t>
  </si>
  <si>
    <t xml:space="preserve">BC Rio Monte1Inverter4046059,540277777846059,540277777846059,6527777778</t>
  </si>
  <si>
    <t xml:space="preserve">BC Rio Monte1Inverter4246059,540277777846059,540277777846059,6527777778</t>
  </si>
  <si>
    <t xml:space="preserve">BC Rio Monte1Inverter4146059,540277777846059,540277777846059,6527777778</t>
  </si>
  <si>
    <t xml:space="preserve">BC Rio Monte1Inverter4446059,540277777846059,540277777846059,6527777778</t>
  </si>
  <si>
    <t xml:space="preserve">BC Rio Monte1Inverter4346059,540277777846059,540277777846059,6527777778</t>
  </si>
  <si>
    <t xml:space="preserve">BC Rio Monte1Inverter4546059,540277777846059,540277777846059,6527777778</t>
  </si>
  <si>
    <t xml:space="preserve">BC Rio Monte1Inverter3446059,540277777846059,540277777846059,6527777778</t>
  </si>
  <si>
    <t xml:space="preserve">BC Rio Monte1Inverter3746059,540277777846059,540277777846059,6527777778</t>
  </si>
  <si>
    <t xml:space="preserve">BC Rio Monte1Inverter3346059,540277777846059,540277777846059,6527777778</t>
  </si>
  <si>
    <t xml:space="preserve">BC Rio Monte1Inverter2946059,540277777846059,540277777846059,6527777778</t>
  </si>
  <si>
    <t xml:space="preserve">BC Rio Monte1Inverter3646059,540277777846059,540277777846059,6527777778</t>
  </si>
  <si>
    <t xml:space="preserve">BC Rio Monte1Inverter3946059,540277777846059,540277777846059,6527777778</t>
  </si>
  <si>
    <t xml:space="preserve">BC Rio Monte1Inverter3146059,540277777846059,540277777846059,6527777778</t>
  </si>
  <si>
    <t xml:space="preserve">BC Rio Monte1Inverter3046059,540277777846059,540277777846059,6527777778</t>
  </si>
  <si>
    <t xml:space="preserve">BC Rio Monte1Inverter3846059,540277777846059,540277777846059,6527777778</t>
  </si>
  <si>
    <t xml:space="preserve">BC Rio Monte1Inverter3246059,540277777846059,540277777846059,6527777778</t>
  </si>
  <si>
    <t xml:space="preserve">Relé de proteção atuou na função 27A. A função acabou não se propagando para as demais usinas do complexo, pois não houve desarme nas demais.</t>
  </si>
  <si>
    <t xml:space="preserve">Foi realizado inspeção nos componentes do sistema de geração resetado o relé de proteção e rearmado o disjuntor, após a ação, a usina retomou operação normal.</t>
  </si>
  <si>
    <t xml:space="preserve">BC Formoso2.1Inverter(MBUS-12)46059,638888888946059,638888888946059,65625</t>
  </si>
  <si>
    <t xml:space="preserve">BC Formoso2.1Inverter(MBUS-14)46059,638888888946059,638888888946059,65625</t>
  </si>
  <si>
    <t xml:space="preserve">BC Formoso2.1Inverter(MBUS-13)46059,638888888946059,638888888946059,65625</t>
  </si>
  <si>
    <t xml:space="preserve">BC Formoso2.1Inverter(MBUS-1)46059,638888888946059,638888888946059,65625</t>
  </si>
  <si>
    <t xml:space="preserve">Relé de proteção atuou na função 81 e 86</t>
  </si>
  <si>
    <t xml:space="preserve">BC Aracu5.1Inverter(MBUS-1)46059,702777777846059,702777777846060,2840277778</t>
  </si>
  <si>
    <t xml:space="preserve">BC Aracu5.3Inverter(MBUS-1)46059,702777777846059,702777777846060,2840277778</t>
  </si>
  <si>
    <t xml:space="preserve">BC Aracu5.4Inverter(MBUS-1)46059,702777777846059,702777777846060,2840277778</t>
  </si>
  <si>
    <t xml:space="preserve">BC Aracu5.5Inverter(MBUS-1)46059,702777777846059,702777777846060,2840277778</t>
  </si>
  <si>
    <t xml:space="preserve">Relé de proteção atuou na função 50N e 86Q</t>
  </si>
  <si>
    <t xml:space="preserve">ARAGUATINS 1.1Inverter(MBUS-12)46059,750694444446059,750694444446059,8680555556</t>
  </si>
  <si>
    <t xml:space="preserve">ARAGUATINS 1.1Inverter(MBUS-13)46059,750694444446059,750694444446059,8680555556</t>
  </si>
  <si>
    <t xml:space="preserve">ARAGUATINS 1.1Inverter(MBUS-14)46059,750694444446059,750694444446059,8680555556</t>
  </si>
  <si>
    <t xml:space="preserve">ARAGUATINS 1.1Inverter(MBUS-15)46059,750694444446059,750694444446059,8680555556</t>
  </si>
  <si>
    <t xml:space="preserve">ARAGUATINS 1.2Inverter(MBUS-12)46059,750694444446059,750694444446059,8680555556</t>
  </si>
  <si>
    <t xml:space="preserve">ARAGUATINS 1.2Inverter(MBUS-13)46059,750694444446059,750694444446059,8680555556</t>
  </si>
  <si>
    <t xml:space="preserve">ARAGUATINS 1.2Inverter(MBUS-14)46059,750694444446059,750694444446059,8680555556</t>
  </si>
  <si>
    <t xml:space="preserve">ARAGUATINS 1.2Inverter(MBUS-15)46059,750694444446059,750694444446059,8680555556</t>
  </si>
  <si>
    <t xml:space="preserve">ARAGUATINS 1.3Inverter(MBUS-20)46059,750694444446059,750694444446059,8680555556</t>
  </si>
  <si>
    <t xml:space="preserve">ARAGUATINS 1.3Inverter(MBUS-1)46059,750694444446059,750694444446059,8680555556</t>
  </si>
  <si>
    <t xml:space="preserve">Realizado o reset do conversor de mídea</t>
  </si>
  <si>
    <t xml:space="preserve">ARAGUATINS 2.1Inverter(MBUS-12)46059,750694444446059,750694444446059,8680555556</t>
  </si>
  <si>
    <t xml:space="preserve">LIGRFOINT</t>
  </si>
  <si>
    <t xml:space="preserve">ARAGUATINS 2.1Inverter(MBUS-14)46059,750694444446059,750694444446059,8680555556</t>
  </si>
  <si>
    <t xml:space="preserve">ARAGUATINS 2.1Inverter(MBUS-1)46059,750694444446059,750694444446059,8680555556</t>
  </si>
  <si>
    <t xml:space="preserve">ARAGUATINS 2.1Inverter(MBUS-11)46059,750694444446059,750694444446059,8680555556</t>
  </si>
  <si>
    <t xml:space="preserve">Inversor apresentou alarme de anomalidade - 2064</t>
  </si>
  <si>
    <t xml:space="preserve">Foi acionado o suporte técnico HDT energy que passou os procedimentos como:reset eletrônico, reset padrão de fábrica e atualização do software, foi executado e os inversores voltou a funcionar normalmente </t>
  </si>
  <si>
    <t xml:space="preserve">ARAGUATINS 2.1Inverter(MBUS-12)46060,2562546060,2562546064</t>
  </si>
  <si>
    <t xml:space="preserve">ARAGUATINS 2.1Inverter(MBUS-14)46060,2562546060,2562546064</t>
  </si>
  <si>
    <t xml:space="preserve">Foi feito a inspeção na subestaçao e resetado o relé e rearmado o disjuntor </t>
  </si>
  <si>
    <t xml:space="preserve">BC Aracu5.1Inverter(MBUS-1)46060,509722222246060,509722222246060,5208333333</t>
  </si>
  <si>
    <t xml:space="preserve">BC Aracu5.3Inverter(MBUS-1)46060,509722222246060,509722222246060,5208333333</t>
  </si>
  <si>
    <t xml:space="preserve">BC Aracu5.4Inverter(MBUS-1)46060,509722222246060,509722222246060,5208333333</t>
  </si>
  <si>
    <t xml:space="preserve">BC Aracu5.5Inverter(MBUS-1)46060,509722222246060,509722222246060,5208333333</t>
  </si>
  <si>
    <t xml:space="preserve">A usina passará por um processo de desenergização para possibilitar a inspeção técnica dos transformadores pela Brasol.</t>
  </si>
  <si>
    <t xml:space="preserve">Colaborador Brasol</t>
  </si>
  <si>
    <t xml:space="preserve">A pedido da BRASOL ,foram efetuados registros fotográficos do transformador de potencial (pt) e do transformador de corrente (tc), bem como verificação dos inversores</t>
  </si>
  <si>
    <t xml:space="preserve">BC ParanoaSG60KTL(COM1-014)_001_01346060,592361111146060,592361111146060,68125</t>
  </si>
  <si>
    <t xml:space="preserve">BC ParanoaSG60KTL(COM1-013)_001_01046060,592361111146060,592361111146060,68125</t>
  </si>
  <si>
    <t xml:space="preserve">BC ParanoaSG60KTL(COM1-012)_001_01146060,592361111146060,592361111146060,68125</t>
  </si>
  <si>
    <t xml:space="preserve">BC ParanoaSG60KTL(COM1-011)_001_00546060,592361111146060,592361111146060,68125</t>
  </si>
  <si>
    <t xml:space="preserve">BC ParanoaSG60KTL(COM1-010)_001_00346060,592361111146060,592361111146060,68125</t>
  </si>
  <si>
    <t xml:space="preserve">BC ParanoaSG60KTL(COM1-018)_001_01246060,592361111146060,592361111146060,68125</t>
  </si>
  <si>
    <t xml:space="preserve">BC ParanoaSG60KTL(COM1-017)_001_00746060,592361111146060,592361111146060,68125</t>
  </si>
  <si>
    <t xml:space="preserve">BC ParanoaSG60KTL(COM1-016)_001_00646060,592361111146060,592361111146060,68125</t>
  </si>
  <si>
    <t xml:space="preserve">BC ParanoaSG50CX(COM2-015)_001_01746060,592361111146060,592361111146060,68125</t>
  </si>
  <si>
    <t xml:space="preserve">BC ParanoaSG60KTL(COM1-009)_001_00246060,592361111146060,592361111146060,68125</t>
  </si>
  <si>
    <t xml:space="preserve">BC ParanoaSG60KTL(COM1-008)_001_00946060,592361111146060,592361111146060,68125</t>
  </si>
  <si>
    <t xml:space="preserve">BC ParanoaSG60KTL(COM1-007)_001_00446060,592361111146060,592361111146060,68125</t>
  </si>
  <si>
    <t xml:space="preserve">BC ParanoaSG60KTL(COM1-006)_001_01446060,592361111146060,592361111146060,68125</t>
  </si>
  <si>
    <t xml:space="preserve">BC ParanoaSG40CX(COM2-005)_001_01546060,592361111146060,592361111146060,68125</t>
  </si>
  <si>
    <t xml:space="preserve">BC ParanoaSG60KTL(COM1-019)_002_00746060,592361111146060,592361111146060,68125</t>
  </si>
  <si>
    <t xml:space="preserve">BC ParanoaSG60KTL(COM1-020)_002_01146060,592361111146060,592361111146060,68125</t>
  </si>
  <si>
    <t xml:space="preserve">BC ParanoaSG60KTL(COM1-021)_002_01746060,592361111146060,592361111146060,68125</t>
  </si>
  <si>
    <t xml:space="preserve">BC ParanoaSG60KTL(COM1-022)_002_02046060,592361111146060,592361111146060,68125</t>
  </si>
  <si>
    <t xml:space="preserve">BC ParanoaSG40CX(COM2-023)_002_02446060,592361111146060,592361111146060,68125</t>
  </si>
  <si>
    <t xml:space="preserve">BC ParanoaSG40CX(COM2-024)_002_02246060,592361111146060,592361111146060,68125</t>
  </si>
  <si>
    <t xml:space="preserve">BC ParanoaSG60KTL(COM1-007)_002_01346060,592361111146060,592361111146060,68125</t>
  </si>
  <si>
    <t xml:space="preserve">BC ParanoaSG60KTL(COM1-008)_002_00246060,592361111146060,592361111146060,68125</t>
  </si>
  <si>
    <t xml:space="preserve">BC ParanoaSG60KTL(COM1-009)_002_00846060,592361111146060,592361111146060,68125</t>
  </si>
  <si>
    <t xml:space="preserve">BC ParanoaSG60KTL(COM1-010)_002_00346060,592361111146060,592361111146060,68125</t>
  </si>
  <si>
    <t xml:space="preserve">BC ParanoaSG60KTL(COM1-011)_002_01046060,592361111146060,592361111146060,68125</t>
  </si>
  <si>
    <t xml:space="preserve">BC ParanoaSG60KTL(COM1-012)_002_00546060,592361111146060,592361111146060,68125</t>
  </si>
  <si>
    <t xml:space="preserve">BC ParanoaSG60KTL(COM1-001)_002_00646060,592361111146060,592361111146060,68125</t>
  </si>
  <si>
    <t xml:space="preserve">BC ParanoaSG60KTL(COM1-002)_002_01646060,592361111146060,592361111146060,68125</t>
  </si>
  <si>
    <t xml:space="preserve">BC ParanoaSG50CX(COM2-003)_002_02146060,592361111146060,592361111146060,68125</t>
  </si>
  <si>
    <t xml:space="preserve">BC ParanoaSG50CX(COM2-004)_002_02346060,592361111146060,592361111146060,68125</t>
  </si>
  <si>
    <t xml:space="preserve">BC ParanoaSG60KTL(COM1-005)_002_00946060,592361111146060,592361111146060,68125</t>
  </si>
  <si>
    <t xml:space="preserve">BC ParanoaSG60KTL(COM1-006)_002_00146060,592361111146060,592361111146060,68125</t>
  </si>
  <si>
    <t xml:space="preserve">BC ParanoaSG60KTL(COM1-013)_002_00446060,592361111146060,592361111146060,68125</t>
  </si>
  <si>
    <t xml:space="preserve">BC ParanoaSG60KTL(COM1-014)_002_01946060,592361111146060,592361111146060,68125</t>
  </si>
  <si>
    <t xml:space="preserve">BC ParanoaSG60KTL(COM1-015)_002_01846060,592361111146060,592361111146060,68125</t>
  </si>
  <si>
    <t xml:space="preserve">BC ParanoaSG60KTL(COM1-016)_002_01446060,592361111146060,592361111146060,68125</t>
  </si>
  <si>
    <t xml:space="preserve">BC ParanoaSG60KTL(COM1-017)_002_01546060,592361111146060,592361111146060,68125</t>
  </si>
  <si>
    <t xml:space="preserve">BC ParanoaSG60KTL(COM1-018)_002_01246060,592361111146060,592361111146060,68125</t>
  </si>
  <si>
    <t xml:space="preserve">BC ParanoaSG50CX(COM2-004)_001_01846060,592361111146060,592361111146060,68125</t>
  </si>
  <si>
    <t xml:space="preserve">BC ParanoaSG50CX(COM2-003)_001_01646060,592361111146060,592361111146060,68125</t>
  </si>
  <si>
    <t xml:space="preserve">BC ParanoaSG60KTL(COM1-002)_001_00846060,592361111146060,592361111146060,68125</t>
  </si>
  <si>
    <t xml:space="preserve">Relé de proteção atuou na função 27ABC, 67 e 86</t>
  </si>
  <si>
    <t xml:space="preserve">Foi realizada a inspeção rearmado os disjuntores e normalizado a geração nos inversores.</t>
  </si>
  <si>
    <t xml:space="preserve">BC Lencois PaulistaInverter(MBUS-13)46060,611111111146060,611111111146060,6979166667</t>
  </si>
  <si>
    <t xml:space="preserve">BC Lencois PaulistaInverter(MBUS-14)46060,611111111146060,611111111146060,6979166667</t>
  </si>
  <si>
    <t xml:space="preserve">BC Lencois PaulistaInverter(MBUS-12)46060,611111111146060,611111111146060,6979166667</t>
  </si>
  <si>
    <t xml:space="preserve">BC Lencois PaulistaInverter(MBUS-15)46060,611111111146060,611111111146060,6979166667</t>
  </si>
  <si>
    <t xml:space="preserve">BC Aracu5.1Inverter(MBUS-1)46061,021527777846061,021527777846061,3756944444</t>
  </si>
  <si>
    <t xml:space="preserve">BC Aracu5.3Inverter(MBUS-1)46061,021527777846061,021527777846061,3756944444</t>
  </si>
  <si>
    <t xml:space="preserve">BC Aracu5.4Inverter(MBUS-1)46061,021527777846061,021527777846061,3756944444</t>
  </si>
  <si>
    <t xml:space="preserve">BC Aracu5.5Inverter(MBUS-1)46061,021527777846061,021527777846061,3756944444</t>
  </si>
  <si>
    <t xml:space="preserve">Após inspeção detalhada em todo o complexo, confirmou-se a estabilidade dos níveis de tensão. Diante da ausência de inconformidades, os relés foram resetados e os disjuntores devidamente rearmados.</t>
  </si>
  <si>
    <t xml:space="preserve">BC Corumba1.1U01.I0146061,254861111146061,254861111146061,3194444444</t>
  </si>
  <si>
    <t xml:space="preserve">BC Corumba1.1U01.I0246061,254861111146061,254861111146061,3194444444</t>
  </si>
  <si>
    <t xml:space="preserve">BC Corumba1.1U01.I0346061,254861111146061,254861111146061,3194444444</t>
  </si>
  <si>
    <t xml:space="preserve">BC Corumba1.1U01.I0446061,254861111146061,254861111146061,3194444444</t>
  </si>
  <si>
    <t xml:space="preserve">BC Corumba1.1U01.I0546061,254861111146061,254861111146061,3194444444</t>
  </si>
  <si>
    <t xml:space="preserve">BC Corumba1.2U02.I0146061,254861111146061,254861111146061,3194444444</t>
  </si>
  <si>
    <t xml:space="preserve">BC Corumba1.2U02.I0246061,254861111146061,254861111146061,3194444444</t>
  </si>
  <si>
    <t xml:space="preserve">BC Corumba1.2U02.I0346061,254861111146061,254861111146061,3194444444</t>
  </si>
  <si>
    <t xml:space="preserve">BC Corumba1.2U02.I0446061,254861111146061,254861111146061,3194444444</t>
  </si>
  <si>
    <t xml:space="preserve">BC Corumba1.2U02.I0546061,254861111146061,254861111146061,3194444444</t>
  </si>
  <si>
    <t xml:space="preserve">BC Corumba1.3U03.I0146061,254861111146061,254861111146061,3194444444</t>
  </si>
  <si>
    <t xml:space="preserve">BC Corumba1.3U03.I0246061,254861111146061,254861111146061,3194444444</t>
  </si>
  <si>
    <t xml:space="preserve">BC Corumba1.3U03.I0346061,254861111146061,254861111146061,3194444444</t>
  </si>
  <si>
    <t xml:space="preserve">BC Corumba2.1Inverter(MBUS-14)46061,254861111146061,254861111146061,3194444444</t>
  </si>
  <si>
    <t xml:space="preserve">BC Corumba2.1Inverter(MBUS-15)46061,254861111146061,254861111146061,3194444444</t>
  </si>
  <si>
    <t xml:space="preserve">BC Corumba2.1Inverter(MBUS-16)46061,254861111146061,254861111146061,3194444444</t>
  </si>
  <si>
    <t xml:space="preserve">BC Corumba2.1U01. I0146061,254861111146061,254861111146061,3194444444</t>
  </si>
  <si>
    <t xml:space="preserve">BC Corumba2.1U01. I0246061,254861111146061,254861111146061,3194444444</t>
  </si>
  <si>
    <t xml:space="preserve">BC Corumba2.2U02.I0146061,254861111146061,254861111146061,3194444444</t>
  </si>
  <si>
    <t xml:space="preserve">BC Corumba2.2U02.I0246061,254861111146061,254861111146061,3194444444</t>
  </si>
  <si>
    <t xml:space="preserve">BC Corumba2.2U02.I0346061,254861111146061,254861111146061,3194444444</t>
  </si>
  <si>
    <t xml:space="preserve">BC Corumba2.2U02.I0446061,254861111146061,254861111146061,3194444444</t>
  </si>
  <si>
    <t xml:space="preserve">BC Corumba2.2U02.I0546061,254861111146061,254861111146061,3194444444</t>
  </si>
  <si>
    <t xml:space="preserve">BC Vazante 1.1Inverter1246061,520833333346061,520833333346061,6215277778</t>
  </si>
  <si>
    <t xml:space="preserve">Relé de proteção atuou na função 27ABC e 86</t>
  </si>
  <si>
    <t xml:space="preserve">Resetado rele, armado disjuntor de entrada do cubículo, e acompanhado religação da iluminação, sistema CFTV e energização painel QGBT.</t>
  </si>
  <si>
    <t xml:space="preserve">BC Lencois PaulistaInverter(MBUS-13)46061,840277777846061,840277777846061,9513888889</t>
  </si>
  <si>
    <t xml:space="preserve">BC Lencois PaulistaInverter(MBUS-14)46061,840277777846061,840277777846061,9513888889</t>
  </si>
  <si>
    <t xml:space="preserve">BC Lencois PaulistaInverter(MBUS-12)46061,840277777846061,840277777846061,9513888889</t>
  </si>
  <si>
    <t xml:space="preserve">BC Lencois PaulistaInverter(MBUS-15)46061,840277777846061,840277777846061,9513888889</t>
  </si>
  <si>
    <t xml:space="preserve">Sem internet nas duas UFV devido a um problema na torre de internet via rádio da região, provocado pelas fortes chuvas dessa noite. </t>
  </si>
  <si>
    <t xml:space="preserve">Foi feito contato com o provedor de internet que já estava ciente do problema e normalizou a conexão.</t>
  </si>
  <si>
    <t xml:space="preserve">BC Varjao1.1UFV 1 - INV 146062,006944444446062,006944444446062,4513888889</t>
  </si>
  <si>
    <t xml:space="preserve">BC Varjao1.1UFV 1 - INV 546062,006944444446062,006944444446062,4513888889</t>
  </si>
  <si>
    <t xml:space="preserve">BC Varjao1.1UFV 1 - INV 446062,006944444446062,006944444446062,4513888889</t>
  </si>
  <si>
    <t xml:space="preserve">BC Varjao1.1UFV 1 - INV 346062,006944444446062,006944444446062,4513888889</t>
  </si>
  <si>
    <t xml:space="preserve">BC Varjao1.1UFV 1 - INV 246062,006944444446062,006944444446062,4513888889</t>
  </si>
  <si>
    <t xml:space="preserve">BC Varjao1.2215KTL-H0(MBUS-12)46062,006944444446062,006944444446062,4513888889</t>
  </si>
  <si>
    <t xml:space="preserve">BC Varjao1.2215KTL-H0(MBUS-13)46062,006944444446062,006944444446062,4513888889</t>
  </si>
  <si>
    <t xml:space="preserve">BC Varjao1.2215KTL-H0(MBUS-14)46062,006944444446062,006944444446062,4513888889</t>
  </si>
  <si>
    <t xml:space="preserve">BC Varjao1.2215KTL-H0(MBUS-15)46062,006944444446062,006944444446062,4513888889</t>
  </si>
  <si>
    <t xml:space="preserve">BC Varjao1.2215KTL-H0(MBUS-16)46062,006944444446062,006944444446062,4513888889</t>
  </si>
  <si>
    <t xml:space="preserve">BC Varjao1.3Inverter(MBUS-1)46062,006944444446062,006944444446062,4513888889</t>
  </si>
  <si>
    <t xml:space="preserve">UF3Inv2</t>
  </si>
  <si>
    <t xml:space="preserve">BC Varjao1.3UF3Inv246062,006944444446062,006944444446062,4513888889</t>
  </si>
  <si>
    <t xml:space="preserve">BC Varjao1.3215KTL-H0(MBUS-14)46062,006944444446062,006944444446062,4513888889</t>
  </si>
  <si>
    <t xml:space="preserve">BC Varjao2.1215KTL-H0(MBUS-12)46062,006944444446062,006944444446062,4513888889</t>
  </si>
  <si>
    <t xml:space="preserve">BC Varjao2.1215KTL-H0(MBUS-13)46062,006944444446062,006944444446062,4513888889</t>
  </si>
  <si>
    <t xml:space="preserve">BC Varjao2.1215KTL-H0(MBUS-14)46062,006944444446062,006944444446062,4513888889</t>
  </si>
  <si>
    <t xml:space="preserve">BC Varjao2.1215KTL-H0(MBUS-15)46062,006944444446062,006944444446062,4513888889</t>
  </si>
  <si>
    <t xml:space="preserve">BC Varjao2.1215KTL-H0(MBUS-16)46062,006944444446062,006944444446062,4513888889</t>
  </si>
  <si>
    <t xml:space="preserve">BC Varjao2.2215KTL-H0(MBUS-13)46062,006944444446062,006944444446062,4513888889</t>
  </si>
  <si>
    <t xml:space="preserve">BC Varjao2.2215KTL-H0(MBUS-14)46062,006944444446062,006944444446062,4513888889</t>
  </si>
  <si>
    <t xml:space="preserve">BC Varjao2.2215KTL-H0(MBUS-15)46062,006944444446062,006944444446062,4513888889</t>
  </si>
  <si>
    <t xml:space="preserve">BC Varjao2.2215KTL-H0(MBUS-16)46062,006944444446062,006944444446062,4513888889</t>
  </si>
  <si>
    <t xml:space="preserve">BC Varjao2.2215KTL-H0(MBUS-12)46062,006944444446062,006944444446062,4513888889</t>
  </si>
  <si>
    <t xml:space="preserve">BC Varjao2.3100KTL-H1(MBUS-1)46062,006944444446062,006944444446062,4513888889</t>
  </si>
  <si>
    <t xml:space="preserve">BC Varjao2.3215KTL-H0(MBUS-13)46062,006944444446062,006944444446062,4513888889</t>
  </si>
  <si>
    <t xml:space="preserve">BC Varjao2.3215KTL-H0(MBUS-12)46062,006944444446062,006944444446062,4513888889</t>
  </si>
  <si>
    <t xml:space="preserve">Durante a verificação foi constatado que o smart logger está com instabilidade de comunicação com o aplicativo fusion.</t>
  </si>
  <si>
    <t xml:space="preserve">O funcionamento do equipamento foi normalizado de forma autônoma. No entanto, identificamos uma falha recorrente de comunicação. Diante da persistência do problema, acionamos o suporte técnico para avaliação em garantia. O prazo para análise do caso é de 5 dias úteis.</t>
  </si>
  <si>
    <t xml:space="preserve">BC Corumba2.2U02.I0146062,368055555646062,368055555646062,5</t>
  </si>
  <si>
    <t xml:space="preserve">BC Corumba2.2U02.I0246062,368055555646062,368055555646062,5</t>
  </si>
  <si>
    <t xml:space="preserve">BC Corumba2.2U02.I0346062,368055555646062,368055555646062,5</t>
  </si>
  <si>
    <t xml:space="preserve">BC Corumba2.2U02.I0446062,368055555646062,368055555646062,5</t>
  </si>
  <si>
    <t xml:space="preserve">BC Corumba2.2U02.I0546062,368055555646062,368055555646062,5</t>
  </si>
  <si>
    <t xml:space="preserve">A Usina apresentou falha com o código 47 (desequilíbrio de tensão).</t>
  </si>
  <si>
    <t xml:space="preserve">Foi realizado inspeções nos componentes do sistema de geração reiniciado o relé de proteção e religando o disjuntor após a ação, a usina retornar operação normal.</t>
  </si>
  <si>
    <t xml:space="preserve">BC Turvania1.1Inverter(MBUS-14)46062,458333333346062,458333333346062,4986111111</t>
  </si>
  <si>
    <t xml:space="preserve">BC Turvania1.1Inverter(MBUS-15)46062,458333333346062,458333333346062,4986111111</t>
  </si>
  <si>
    <t xml:space="preserve">BC Turvania1.1Inverter(MBUS-12)46062,458333333346062,458333333346062,4986111111</t>
  </si>
  <si>
    <t xml:space="preserve">BC Turvania1.1Inverter(MBUS-13)46062,458333333346062,458333333346062,4986111111</t>
  </si>
  <si>
    <t xml:space="preserve">BC Turvania1.2Inverter(MBUS-14)46062,458333333346062,458333333346062,4986111111</t>
  </si>
  <si>
    <t xml:space="preserve">BC Turvania1.2Inverter(MBUS-13)46062,458333333346062,458333333346062,4986111111</t>
  </si>
  <si>
    <t xml:space="preserve">BC Turvania1.2Inverter(MBUS-12)46062,458333333346062,458333333346062,4986111111</t>
  </si>
  <si>
    <t xml:space="preserve">BC Turvania1.2Inverter(MBUS-15)46062,458333333346062,458333333346062,4986111111</t>
  </si>
  <si>
    <t xml:space="preserve">BC Turvania1.3Inverter(MBUS-13)46062,458333333346062,458333333346062,4986111111</t>
  </si>
  <si>
    <t xml:space="preserve">BC Turvania1.3Inverter(MBUS-14)46062,458333333346062,458333333346062,4986111111</t>
  </si>
  <si>
    <t xml:space="preserve">BC Turvania1.3Inverter(MBUS-15)46062,458333333346062,458333333346062,4986111111</t>
  </si>
  <si>
    <t xml:space="preserve">BC Turvania1.3Inverter(MBUS-1)46062,458333333346062,458333333346062,4986111111</t>
  </si>
  <si>
    <t xml:space="preserve">BC Turvania1.4Inverter(MBUS-14)46062,458333333346062,458333333346062,4986111111</t>
  </si>
  <si>
    <t xml:space="preserve">BC Turvania1.4Inverter(MBUS-15)46062,458333333346062,458333333346062,4986111111</t>
  </si>
  <si>
    <t xml:space="preserve">BC Turvania1.4Inverter(MBUS-13)46062,458333333346062,458333333346062,4986111111</t>
  </si>
  <si>
    <t xml:space="preserve">BC Turvania1.4Inverter(MBUS-12)46062,458333333346062,458333333346062,4986111111</t>
  </si>
  <si>
    <t xml:space="preserve">BC Turvania1.5Inverter(MBUS-13)46062,458333333346062,458333333346062,4986111111</t>
  </si>
  <si>
    <t xml:space="preserve">BC Turvania1.5Inverter(MBUS-12)46062,458333333346062,458333333346062,4986111111</t>
  </si>
  <si>
    <t xml:space="preserve">BC Turvania1.5Inverter(MBUS-14)46062,458333333346062,458333333346062,4986111111</t>
  </si>
  <si>
    <t xml:space="preserve">BC Turvania1.5Inverter(MBUS-1)46062,458333333346062,458333333346062,4986111111</t>
  </si>
  <si>
    <t xml:space="preserve">Falha de comunicação com o logger.</t>
  </si>
  <si>
    <t xml:space="preserve">BC Varjao1.1UFV 1 - INV 146062,472222222246062,472222222246062,4791666667</t>
  </si>
  <si>
    <t xml:space="preserve">BC Varjao1.1UFV 1 - INV 546062,472222222246062,472222222246062,4791666667</t>
  </si>
  <si>
    <t xml:space="preserve">BC Varjao1.1UFV 1 - INV 446062,472222222246062,472222222246062,4791666667</t>
  </si>
  <si>
    <t xml:space="preserve">BC Varjao1.1UFV 1 - INV 346062,472222222246062,472222222246062,4791666667</t>
  </si>
  <si>
    <t xml:space="preserve">BC Varjao1.1UFV 1 - INV 246062,472222222246062,472222222246062,4791666667</t>
  </si>
  <si>
    <t xml:space="preserve">BC Varjao1.2215KTL-H0(MBUS-12)46062,472222222246062,472222222246062,4791666667</t>
  </si>
  <si>
    <t xml:space="preserve">BC Varjao1.2215KTL-H0(MBUS-13)46062,472222222246062,472222222246062,4791666667</t>
  </si>
  <si>
    <t xml:space="preserve">BC Varjao1.2215KTL-H0(MBUS-14)46062,472222222246062,472222222246062,4791666667</t>
  </si>
  <si>
    <t xml:space="preserve">BC Varjao1.2215KTL-H0(MBUS-15)46062,472222222246062,472222222246062,4791666667</t>
  </si>
  <si>
    <t xml:space="preserve">BC Varjao1.2215KTL-H0(MBUS-16)46062,472222222246062,472222222246062,4791666667</t>
  </si>
  <si>
    <t xml:space="preserve">BC Varjao1.3Inverter(MBUS-1)46062,472222222246062,472222222246062,4791666667</t>
  </si>
  <si>
    <t xml:space="preserve">BC Varjao1.3UF3Inv246062,472222222246062,472222222246062,4791666667</t>
  </si>
  <si>
    <t xml:space="preserve">BC Varjao1.3215KTL-H0(MBUS-14)46062,472222222246062,472222222246062,4791666667</t>
  </si>
  <si>
    <t xml:space="preserve">Queda de energia na UFV Araguatins 01 e 02, todos os inversores e CFTV  estavam offline, relé atuou nas funções 27a, 51n, 67c e 86q </t>
  </si>
  <si>
    <t xml:space="preserve">Inspecionado todo o complexo, resetado os relé e rearmado os disjuntores, UFV e CFTV normalizado com sucesso </t>
  </si>
  <si>
    <t xml:space="preserve">ARAGUATINS 1.1Inverter(MBUS-12)46062,576388888946062,576388888946062,6944444444</t>
  </si>
  <si>
    <t xml:space="preserve">ARAGUATINS 1.1Inverter(MBUS-13)46062,576388888946062,576388888946062,6944444444</t>
  </si>
  <si>
    <t xml:space="preserve">ARAGUATINS 1.1Inverter(MBUS-14)46062,576388888946062,576388888946062,6944444444</t>
  </si>
  <si>
    <t xml:space="preserve">ARAGUATINS 1.1Inverter(MBUS-15)46062,576388888946062,576388888946062,6944444444</t>
  </si>
  <si>
    <t xml:space="preserve">ARAGUATINS 1.2Inverter(MBUS-12)46062,576388888946062,576388888946062,6944444444</t>
  </si>
  <si>
    <t xml:space="preserve">ARAGUATINS 1.2Inverter(MBUS-13)46062,576388888946062,576388888946062,6944444444</t>
  </si>
  <si>
    <t xml:space="preserve">ARAGUATINS 1.2Inverter(MBUS-14)46062,576388888946062,576388888946062,6944444444</t>
  </si>
  <si>
    <t xml:space="preserve">ARAGUATINS 1.2Inverter(MBUS-15)46062,576388888946062,576388888946062,6944444444</t>
  </si>
  <si>
    <t xml:space="preserve">ARAGUATINS 1.3Inverter(MBUS-20)46062,576388888946062,576388888946062,6944444444</t>
  </si>
  <si>
    <t xml:space="preserve">ARAGUATINS 1.3Inverter(MBUS-1)46062,576388888946062,576388888946062,6944444444</t>
  </si>
  <si>
    <t xml:space="preserve">ARAGUATINS 2.1Inverter(MBUS-12)46062,576388888946062,576388888946062,6944444444</t>
  </si>
  <si>
    <t xml:space="preserve">ARAGUATINS 2.1Inverter(MBUS-15)46062,576388888946062,576388888946062,6944444444</t>
  </si>
  <si>
    <t xml:space="preserve">ARAGUATINS 2.1Inverter(MBUS-14)46062,576388888946062,576388888946062,6944444444</t>
  </si>
  <si>
    <t xml:space="preserve">ARAGUATINS 2.1Inverter(MBUS-1)46062,576388888946062,576388888946062,6944444444</t>
  </si>
  <si>
    <t xml:space="preserve">ARAGUATINS 2.2Inverter(MBUS-15)46062,576388888946062,576388888946062,6944444444</t>
  </si>
  <si>
    <t xml:space="preserve">ARAGUATINS 2.2Inverter(MBUS-13)46062,576388888946062,576388888946062,6944444444</t>
  </si>
  <si>
    <t xml:space="preserve">ARAGUATINS 2.2Inverter(MBUS-14)46062,576388888946062,576388888946062,6944444444</t>
  </si>
  <si>
    <t xml:space="preserve">ARAGUATINS 2.2Inverter(MBUS-12)46062,576388888946062,576388888946062,6944444444</t>
  </si>
  <si>
    <t xml:space="preserve">ARAGUATINS 2.3Inverter(MBUS-12)46062,576388888946062,576388888946062,6944444444</t>
  </si>
  <si>
    <t xml:space="preserve">ARAGUATINS 2.3Inverter(MBUS-13)46062,576388888946062,576388888946062,6944444444</t>
  </si>
  <si>
    <t xml:space="preserve">O procedimento visa a vedação técnica com selante de poliuretano (PU 40) no QGBT, em virtude da identificação de vazamentos no equipamento.</t>
  </si>
  <si>
    <t xml:space="preserve">Foi feita a aplicação de PU40 nos pontos críticos identificado. Procedeu-se à limpeza interna do equipamento aproveitando a interrupção programada. Após o término a UFV foi energizada</t>
  </si>
  <si>
    <t xml:space="preserve">BC Corumba2.3U03.I0146062,666666666746062,666666666746062,7381944444</t>
  </si>
  <si>
    <t xml:space="preserve">BC Corumba2.3U03.I0246062,666666666746062,666666666746062,7381944444</t>
  </si>
  <si>
    <t xml:space="preserve">BC Corumba2.3U03.I0346062,666666666746062,666666666746062,7381944444</t>
  </si>
  <si>
    <t xml:space="preserve">Efetuado o reset no aparelho smartlogger</t>
  </si>
  <si>
    <t xml:space="preserve">BC Vazante2.3Inverter(MBUS-11)46062,697916666746062,697916666746063,3680555556</t>
  </si>
  <si>
    <t xml:space="preserve">BC Vazante2.3Inverter(MBUS-12)46062,697916666746062,697916666746063,3680555556</t>
  </si>
  <si>
    <t xml:space="preserve">BC Vazante2.3Inverter(MBUS-13)46062,697916666746062,697916666746063,3680555556</t>
  </si>
  <si>
    <t xml:space="preserve">Problema de comunicação entre a smart logger e o Fusion.</t>
  </si>
  <si>
    <t xml:space="preserve">Foi preciso realizar a configuração direto no smartlogger para normalizar a conexão</t>
  </si>
  <si>
    <t xml:space="preserve">BC Varjao2.1215KTL-H0(MBUS-12)46063,097222222246063,097222222246063,34375</t>
  </si>
  <si>
    <t xml:space="preserve">BC Varjao2.1215KTL-H0(MBUS-13)46063,097222222246063,097222222246063,34375</t>
  </si>
  <si>
    <t xml:space="preserve">BC Varjao2.1215KTL-H0(MBUS-14)46063,097222222246063,097222222246063,34375</t>
  </si>
  <si>
    <t xml:space="preserve">BC Varjao2.1215KTL-H0(MBUS-15)46063,097222222246063,097222222246063,34375</t>
  </si>
  <si>
    <t xml:space="preserve">BC Varjao2.1215KTL-H0(MBUS-16)46063,097222222246063,097222222246063,34375</t>
  </si>
  <si>
    <t xml:space="preserve">BC Varjao2.2215KTL-H0(MBUS-13)46063,097222222246063,097222222246063,34375</t>
  </si>
  <si>
    <t xml:space="preserve">BC Varjao2.2215KTL-H0(MBUS-14)46063,097222222246063,097222222246063,34375</t>
  </si>
  <si>
    <t xml:space="preserve">BC Varjao2.2215KTL-H0(MBUS-15)46063,097222222246063,097222222246063,34375</t>
  </si>
  <si>
    <t xml:space="preserve">BC Varjao2.2215KTL-H0(MBUS-16)46063,097222222246063,097222222246063,34375</t>
  </si>
  <si>
    <t xml:space="preserve">BC Varjao2.2215KTL-H0(MBUS-12)46063,097222222246063,097222222246063,34375</t>
  </si>
  <si>
    <t xml:space="preserve">FOI FEITO RESET NO SMART LOGGER, MESMO ASSIM A COMUNICAÇÃO NÃO RETORNOU, AS 19:25 A COMUNICAÇÃO RETORNOU DE FORMA AUTOMÁTICA .</t>
  </si>
  <si>
    <t xml:space="preserve">BC Corumba2.2U02.I0146063,302083333346063,302083333346063,7881944444</t>
  </si>
  <si>
    <t xml:space="preserve">BC Corumba2.2U02.I0246063,302083333346063,302083333346063,7881944444</t>
  </si>
  <si>
    <t xml:space="preserve">BC Corumba2.2U02.I0346063,302083333346063,302083333346063,7881944444</t>
  </si>
  <si>
    <t xml:space="preserve">BC Corumba2.2U02.I0446063,302083333346063,302083333346063,7881944444</t>
  </si>
  <si>
    <t xml:space="preserve">BC Corumba2.2U02.I0546063,302083333346063,302083333346063,7881944444</t>
  </si>
  <si>
    <t xml:space="preserve">Realizou inspenção nos componentes do inversor, onde foi constatada uma anomalia em um dos cabos da string</t>
  </si>
  <si>
    <t xml:space="preserve">As tratativas para reparo definitivo já foram iniciadas. o inversor opera normalmente no momento</t>
  </si>
  <si>
    <t xml:space="preserve">BC Corumba1.2U02.I0146063,366666666746063,366666666746063,40625</t>
  </si>
  <si>
    <t xml:space="preserve">Falha 86 e 27AC. Houve falha no fornecimento da CPFL (Concessionária de energia)</t>
  </si>
  <si>
    <t xml:space="preserve">Inspeção PMT, reset do relé e rearme disjuntor geral de proteção</t>
  </si>
  <si>
    <t xml:space="preserve">BC Ibiuna 1.1Inverter(MBUS-12)46063,378472222246063,378472222246063,3854166667</t>
  </si>
  <si>
    <t xml:space="preserve">BC Ibiuna 1.1Inverter(MBUS-13)46063,378472222246063,378472222246063,3854166667</t>
  </si>
  <si>
    <t xml:space="preserve">BC Ibiuna 1.1Inverter(MBUS-14)46063,378472222246063,378472222246063,3854166667</t>
  </si>
  <si>
    <t xml:space="preserve">BC Ibiuna 1.1Inverter(MBUS-15)46063,378472222246063,378472222246063,3854166667</t>
  </si>
  <si>
    <t xml:space="preserve">BC Ibiuna 1.2Inverter(MBUS-12)46063,378472222246063,378472222246063,3854166667</t>
  </si>
  <si>
    <t xml:space="preserve">BC Ibiuna 1.2Inverter(MBUS-13)46063,378472222246063,378472222246063,3854166667</t>
  </si>
  <si>
    <t xml:space="preserve">BC Ibiuna 1.2Inverter(MBUS-14)46063,378472222246063,378472222246063,3854166667</t>
  </si>
  <si>
    <t xml:space="preserve">BC Ibiuna 1.2Inverter(MBUS-15)46063,378472222246063,378472222246063,3854166667</t>
  </si>
  <si>
    <t xml:space="preserve">Falha na comunicação com o smart logger</t>
  </si>
  <si>
    <t xml:space="preserve">BC Formoso2.2Inverter(MBUS-14)46063,404861111146063,404861111146063,4583333333</t>
  </si>
  <si>
    <t xml:space="preserve">BC Formoso2.2Inverter(MBUS-13)46063,404861111146063,404861111146063,4583333333</t>
  </si>
  <si>
    <t xml:space="preserve">BC Formoso2.2Inverter(MBUS-12)46063,404861111146063,404861111146063,4583333333</t>
  </si>
  <si>
    <t xml:space="preserve">BC Formoso2.2Inverter(MBUS-1)46063,404861111146063,404861111146063,4583333333</t>
  </si>
  <si>
    <t xml:space="preserve">Teste operacional no sistema offgrid da UFV, a pedido do engenheiro Gabriel, da empresa sigma para verificar comportamento das baterias durante falta de energia, por meio de simulação de ausência de fornecimento da concessionária.</t>
  </si>
  <si>
    <t xml:space="preserve">Executado teste operacional no sistema off-grid, com simulação de falta de energia da concessionária. Verificada a manutenção do sistema energizado po meio das baterias, com acompanhamento durante o teste, confirmado o pleno funcionamento do sistema off-grid.</t>
  </si>
  <si>
    <t xml:space="preserve">BC ParanoaSG60KTL(COM1-014)_001_01346063,561111111146063,561111111146063,5729166667</t>
  </si>
  <si>
    <t xml:space="preserve">DPRRDE</t>
  </si>
  <si>
    <t xml:space="preserve">BC ParanoaSG60KTL(COM1-013)_001_01046063,561111111146063,561111111146063,5729166667</t>
  </si>
  <si>
    <t xml:space="preserve">BC ParanoaSG60KTL(COM1-012)_001_01146063,561111111146063,561111111146063,5729166667</t>
  </si>
  <si>
    <t xml:space="preserve">BC ParanoaSG60KTL(COM1-011)_001_00546063,561111111146063,561111111146063,5729166667</t>
  </si>
  <si>
    <t xml:space="preserve">BC ParanoaSG60KTL(COM1-010)_001_00346063,561111111146063,561111111146063,5729166667</t>
  </si>
  <si>
    <t xml:space="preserve">BC ParanoaSG60KTL(COM1-018)_001_01246063,561111111146063,561111111146063,5729166667</t>
  </si>
  <si>
    <t xml:space="preserve">BC ParanoaSG60KTL(COM1-017)_001_00746063,561111111146063,561111111146063,5729166667</t>
  </si>
  <si>
    <t xml:space="preserve">BC ParanoaSG60KTL(COM1-016)_001_00646063,561111111146063,561111111146063,5729166667</t>
  </si>
  <si>
    <t xml:space="preserve">BC ParanoaSG50CX(COM2-015)_001_01746063,561111111146063,561111111146063,5729166667</t>
  </si>
  <si>
    <t xml:space="preserve">BC ParanoaSG60KTL(COM1-009)_001_00246063,561111111146063,561111111146063,5729166667</t>
  </si>
  <si>
    <t xml:space="preserve">BC ParanoaSG60KTL(COM1-008)_001_00946063,561111111146063,561111111146063,5729166667</t>
  </si>
  <si>
    <t xml:space="preserve">BC ParanoaSG60KTL(COM1-007)_001_00446063,561111111146063,561111111146063,5729166667</t>
  </si>
  <si>
    <t xml:space="preserve">BC ParanoaSG60KTL(COM1-006)_001_01446063,561111111146063,561111111146063,5729166667</t>
  </si>
  <si>
    <t xml:space="preserve">BC ParanoaSG40CX(COM2-005)_001_01546063,561111111146063,561111111146063,5729166667</t>
  </si>
  <si>
    <t xml:space="preserve">BC ParanoaSG60KTL(COM1-019)_002_00746063,561111111146063,561111111146063,5729166667</t>
  </si>
  <si>
    <t xml:space="preserve">BC ParanoaSG60KTL(COM1-020)_002_01146063,561111111146063,561111111146063,5729166667</t>
  </si>
  <si>
    <t xml:space="preserve">BC ParanoaSG60KTL(COM1-021)_002_01746063,561111111146063,561111111146063,5729166667</t>
  </si>
  <si>
    <t xml:space="preserve">BC ParanoaSG60KTL(COM1-022)_002_02046063,561111111146063,561111111146063,5729166667</t>
  </si>
  <si>
    <t xml:space="preserve">BC ParanoaSG40CX(COM2-023)_002_02446063,561111111146063,561111111146063,5729166667</t>
  </si>
  <si>
    <t xml:space="preserve">BC ParanoaSG40CX(COM2-024)_002_02246063,561111111146063,561111111146063,5729166667</t>
  </si>
  <si>
    <t xml:space="preserve">BC ParanoaSG60KTL(COM1-007)_002_01346063,561111111146063,561111111146063,5729166667</t>
  </si>
  <si>
    <t xml:space="preserve">BC ParanoaSG60KTL(COM1-008)_002_00246063,561111111146063,561111111146063,5729166667</t>
  </si>
  <si>
    <t xml:space="preserve">BC ParanoaSG60KTL(COM1-009)_002_00846063,561111111146063,561111111146063,5729166667</t>
  </si>
  <si>
    <t xml:space="preserve">BC ParanoaSG60KTL(COM1-010)_002_00346063,561111111146063,561111111146063,5729166667</t>
  </si>
  <si>
    <t xml:space="preserve">BC ParanoaSG60KTL(COM1-011)_002_01046063,561111111146063,561111111146063,5729166667</t>
  </si>
  <si>
    <t xml:space="preserve">BC ParanoaSG60KTL(COM1-012)_002_00546063,561111111146063,561111111146063,5729166667</t>
  </si>
  <si>
    <t xml:space="preserve">BC ParanoaSG60KTL(COM1-001)_002_00646063,561111111146063,561111111146063,5729166667</t>
  </si>
  <si>
    <t xml:space="preserve">BC ParanoaSG60KTL(COM1-002)_002_01646063,561111111146063,561111111146063,5729166667</t>
  </si>
  <si>
    <t xml:space="preserve">BC ParanoaSG50CX(COM2-003)_002_02146063,561111111146063,561111111146063,5729166667</t>
  </si>
  <si>
    <t xml:space="preserve">BC ParanoaSG50CX(COM2-004)_002_02346063,561111111146063,561111111146063,5729166667</t>
  </si>
  <si>
    <t xml:space="preserve">BC ParanoaSG60KTL(COM1-005)_002_00946063,561111111146063,561111111146063,5729166667</t>
  </si>
  <si>
    <t xml:space="preserve">BC ParanoaSG60KTL(COM1-006)_002_00146063,561111111146063,561111111146063,5729166667</t>
  </si>
  <si>
    <t xml:space="preserve">BC ParanoaSG60KTL(COM1-013)_002_00446063,561111111146063,561111111146063,5729166667</t>
  </si>
  <si>
    <t xml:space="preserve">BC ParanoaSG60KTL(COM1-014)_002_01946063,561111111146063,561111111146063,5729166667</t>
  </si>
  <si>
    <t xml:space="preserve">BC ParanoaSG60KTL(COM1-015)_002_01846063,561111111146063,561111111146063,5729166667</t>
  </si>
  <si>
    <t xml:space="preserve">BC ParanoaSG60KTL(COM1-016)_002_01446063,561111111146063,561111111146063,5729166667</t>
  </si>
  <si>
    <t xml:space="preserve">BC ParanoaSG60KTL(COM1-017)_002_01546063,561111111146063,561111111146063,5729166667</t>
  </si>
  <si>
    <t xml:space="preserve">BC ParanoaSG60KTL(COM1-018)_002_01246063,561111111146063,561111111146063,5729166667</t>
  </si>
  <si>
    <t xml:space="preserve">BC ParanoaSG50CX(COM2-004)_001_01846063,561111111146063,561111111146063,5729166667</t>
  </si>
  <si>
    <t xml:space="preserve">BC ParanoaSG50CX(COM2-003)_001_01646063,561111111146063,561111111146063,5729166667</t>
  </si>
  <si>
    <t xml:space="preserve">BC ParanoaSG60KTL(COM1-002)_001_00846063,561111111146063,561111111146063,5729166667</t>
  </si>
  <si>
    <t xml:space="preserve">Inversor 6t2499045588 e ES217007326 apresentou falha 2033 - subtensão na rede (ufv2.1 e 2.3 ficará sem comunicação)</t>
  </si>
  <si>
    <t xml:space="preserve">Foi feito chamado com fabricante resultando em alguns testes de CA e CC e no aterramento da carcaça do inversor e reapertando terminais de CA e conectores MC4 do inversor e realizado a atualização dos inversores</t>
  </si>
  <si>
    <t xml:space="preserve">BC Vazante2.2Inverter(MBUS-1)46063,701388888946063,701388888946063,7361111111</t>
  </si>
  <si>
    <t xml:space="preserve">Inverter(MBUS-10)</t>
  </si>
  <si>
    <t xml:space="preserve">BC Vazante2.2Inverter(MBUS-10)46063,701388888946063,701388888946063,7361111111</t>
  </si>
  <si>
    <t xml:space="preserve">BC Vazante2.2Inverter(MBUS-12)46063,701388888946063,701388888946063,7361111111</t>
  </si>
  <si>
    <t xml:space="preserve">Inverter(MBUS-6)</t>
  </si>
  <si>
    <t xml:space="preserve">BC Vazante2.2Inverter(MBUS-6)46063,701388888946063,701388888946063,7361111111</t>
  </si>
  <si>
    <t xml:space="preserve">Inverter(MBUS-7)</t>
  </si>
  <si>
    <t xml:space="preserve">BC Vazante2.2Inverter(MBUS-7)46063,701388888946063,701388888946063,7361111111</t>
  </si>
  <si>
    <t xml:space="preserve">O disjuntor do Inversor 12 (A1908230207) estava apresentando TRIP recorrente. Após testes e troca de posição para verificação, foi constatado que o equipamento está danificado. Será realizada a substituição do disjuntor. Durante a intervenção, Vazante Vazante 1 (1.2 e 1.3) e 2 (2.1, 2.2 e 2.3) ficarão sem comunicação, porém seguirão gerando normalmente, pois a comunicação de internet do complexo vem da usina 1.1.</t>
  </si>
  <si>
    <t xml:space="preserve">Foi feito a troca do disjuntor e normalizado a comunicação das UFV vazante 1  1.1 1.2 1.3 e vazante 2 2.1 2.2 2.3</t>
  </si>
  <si>
    <t xml:space="preserve">BC Vazante 1.1Inverter1246064,395833333346064,395833333346064,4402777778</t>
  </si>
  <si>
    <t xml:space="preserve">Vazante II</t>
  </si>
  <si>
    <t xml:space="preserve">BC Vazante1.2</t>
  </si>
  <si>
    <t xml:space="preserve">Inverter 1</t>
  </si>
  <si>
    <t xml:space="preserve">O disjuntor do Inversor 12 (A1908230207) estava apresentando TRIP recorrente. Após testes e troca de posição para verificação, foi constatado que o equipamento está danificado. Será realizada a substituição do disjuntor. Durante a intervenção, Vazante Vazante 1 (1.2 e 1.3) e 2 (2.1, 2.2 e 2.3) ficarão sem comunicação, porém seguirão gerando normalmente</t>
  </si>
  <si>
    <t xml:space="preserve">BC Vazante1.2Inverter 146064,395833333346064,395833333346064,4402777778</t>
  </si>
  <si>
    <t xml:space="preserve">Inverter 2</t>
  </si>
  <si>
    <t xml:space="preserve">BC Vazante1.2Inverter 246064,395833333346064,395833333346064,4402777778</t>
  </si>
  <si>
    <t xml:space="preserve">Inverter 3</t>
  </si>
  <si>
    <t xml:space="preserve">BC Vazante1.2Inverter 346064,395833333346064,395833333346064,4402777778</t>
  </si>
  <si>
    <t xml:space="preserve">Inverter 4</t>
  </si>
  <si>
    <t xml:space="preserve">BC Vazante1.2Inverter 446064,395833333346064,395833333346064,4402777778</t>
  </si>
  <si>
    <t xml:space="preserve">Inverter 5</t>
  </si>
  <si>
    <t xml:space="preserve">BC Vazante1.2Inverter 546064,395833333346064,395833333346064,4402777778</t>
  </si>
  <si>
    <t xml:space="preserve">Inverter 6</t>
  </si>
  <si>
    <t xml:space="preserve">BC Vazante1.2Inverter 646064,395833333346064,395833333346064,4402777778</t>
  </si>
  <si>
    <t xml:space="preserve">Inverter 7</t>
  </si>
  <si>
    <t xml:space="preserve">BC Vazante1.2Inverter 746064,395833333346064,395833333346064,4402777778</t>
  </si>
  <si>
    <t xml:space="preserve">Inverter 8</t>
  </si>
  <si>
    <t xml:space="preserve">BC Vazante1.2Inverter 846064,395833333346064,395833333346064,4402777778</t>
  </si>
  <si>
    <t xml:space="preserve">Inverter 9</t>
  </si>
  <si>
    <t xml:space="preserve">BC Vazante1.2Inverter 946064,395833333346064,395833333346064,4402777778</t>
  </si>
  <si>
    <t xml:space="preserve">Inverter 10</t>
  </si>
  <si>
    <t xml:space="preserve">BC Vazante1.2Inverter 1046064,395833333346064,395833333346064,4402777778</t>
  </si>
  <si>
    <t xml:space="preserve">Inverter 11</t>
  </si>
  <si>
    <t xml:space="preserve">BC Vazante1.2Inverter 1146064,395833333346064,395833333346064,4402777778</t>
  </si>
  <si>
    <t xml:space="preserve">Inverter 12</t>
  </si>
  <si>
    <t xml:space="preserve">BC Vazante1.2Inverter 1246064,395833333346064,395833333346064,4402777778</t>
  </si>
  <si>
    <t xml:space="preserve">Inverter 13</t>
  </si>
  <si>
    <t xml:space="preserve">BC Vazante1.2Inverter 1346064,395833333346064,395833333346064,4402777778</t>
  </si>
  <si>
    <t xml:space="preserve">Inverter 14</t>
  </si>
  <si>
    <t xml:space="preserve">BC Vazante1.2Inverter 1446064,395833333346064,395833333346064,4402777778</t>
  </si>
  <si>
    <t xml:space="preserve">Inverter 15</t>
  </si>
  <si>
    <t xml:space="preserve">BC Vazante1.2Inverter 1546064,395833333346064,395833333346064,4402777778</t>
  </si>
  <si>
    <t xml:space="preserve">Inverter 16</t>
  </si>
  <si>
    <t xml:space="preserve">BC Vazante1.2Inverter 1646064,395833333346064,395833333346064,4402777778</t>
  </si>
  <si>
    <t xml:space="preserve">Inverter 17</t>
  </si>
  <si>
    <t xml:space="preserve">BC Vazante1.2Inverter 1746064,395833333346064,395833333346064,4402777778</t>
  </si>
  <si>
    <t xml:space="preserve">Vazante III</t>
  </si>
  <si>
    <t xml:space="preserve">BC Vazante1.3Inversor 146064,395833333346064,395833333346064,4402777778</t>
  </si>
  <si>
    <t xml:space="preserve">BC Vazante1.3Inversor 246064,395833333346064,395833333346064,4402777778</t>
  </si>
  <si>
    <t xml:space="preserve">BC Vazante1.3Inversor 346064,395833333346064,395833333346064,4402777778</t>
  </si>
  <si>
    <t xml:space="preserve">BC Vazante1.3Inversor 446064,395833333346064,395833333346064,4402777778</t>
  </si>
  <si>
    <t xml:space="preserve">BC Vazante1.3Inversor 546064,395833333346064,395833333346064,4402777778</t>
  </si>
  <si>
    <t xml:space="preserve">BC Vazante1.3Inversor 646064,395833333346064,395833333346064,4402777778</t>
  </si>
  <si>
    <t xml:space="preserve">BC Vazante1.3Inversor 746064,395833333346064,395833333346064,4402777778</t>
  </si>
  <si>
    <t xml:space="preserve">BC Vazante1.3Inversor 846064,395833333346064,395833333346064,4402777778</t>
  </si>
  <si>
    <t xml:space="preserve">BC Vazante1.3Inversor 946064,395833333346064,395833333346064,4402777778</t>
  </si>
  <si>
    <t xml:space="preserve">BC Vazante2.1</t>
  </si>
  <si>
    <t xml:space="preserve">BC Vazante2.1Inverter(MBUS-1)46064,395833333346064,395833333346064,4402777778</t>
  </si>
  <si>
    <t xml:space="preserve">Inverter(MBUS-5)</t>
  </si>
  <si>
    <t xml:space="preserve">BC Vazante2.1Inverter(MBUS-5)46064,395833333346064,395833333346064,4402777778</t>
  </si>
  <si>
    <t xml:space="preserve">Inverter(MBUS-4)</t>
  </si>
  <si>
    <t xml:space="preserve">BC Vazante2.1Inverter(MBUS-4)46064,395833333346064,395833333346064,4402777778</t>
  </si>
  <si>
    <t xml:space="preserve">BC Vazante2.1Inverter(MBUS-12)46064,395833333346064,395833333346064,4402777778</t>
  </si>
  <si>
    <t xml:space="preserve">Inverter(MBUS-2)</t>
  </si>
  <si>
    <t xml:space="preserve">BC Vazante2.1Inverter(MBUS-2)46064,395833333346064,395833333346064,4402777778</t>
  </si>
  <si>
    <t xml:space="preserve">BC Vazante2.2Inverter(MBUS-1)46064,395833333346064,395833333346064,4402777778</t>
  </si>
  <si>
    <t xml:space="preserve">BC Vazante2.2Inverter(MBUS-10)46064,395833333346064,395833333346064,4402777778</t>
  </si>
  <si>
    <t xml:space="preserve">BC Vazante2.2Inverter(MBUS-12)46064,395833333346064,395833333346064,4402777778</t>
  </si>
  <si>
    <t xml:space="preserve">BC Vazante2.2Inverter(MBUS-6)46064,395833333346064,395833333346064,4402777778</t>
  </si>
  <si>
    <t xml:space="preserve">BC Vazante2.2Inverter(MBUS-7)46064,395833333346064,395833333346064,4402777778</t>
  </si>
  <si>
    <t xml:space="preserve">BC Vazante2.3Inverter(MBUS-11)46064,395833333346064,395833333346064,4402777778</t>
  </si>
  <si>
    <t xml:space="preserve">BC Vazante2.3Inverter(MBUS-12)46064,395833333346064,395833333346064,4402777778</t>
  </si>
  <si>
    <t xml:space="preserve">BC Vazante2.3Inverter(MBUS-13)46064,395833333346064,395833333346064,4402777778</t>
  </si>
  <si>
    <t xml:space="preserve">Será realizada inspeção programada no transformador da UFV Vazante 1.2, com o objetivo de verificar as condições operacionais e garantir a integridade do equipamento.</t>
  </si>
  <si>
    <t xml:space="preserve">Foi realizada a limpeza e o reaperto dos parafusos no barramento do disjuntor geral, a fim de garantir o adequado contato elétrico e a confiabilidade operacional do sistema. A UFV foi reenergizada às 12h50 e segue operando normalmente.</t>
  </si>
  <si>
    <t xml:space="preserve">BC Vazante1.2Inverter 146064,440277777846064,440277777846064,5694444444</t>
  </si>
  <si>
    <t xml:space="preserve">BC Vazante1.2Inverter 246064,440277777846064,440277777846064,5694444444</t>
  </si>
  <si>
    <t xml:space="preserve">BC Vazante1.2Inverter 346064,440277777846064,440277777846064,5694444444</t>
  </si>
  <si>
    <t xml:space="preserve">BC Vazante1.2Inverter 446064,440277777846064,440277777846064,5694444444</t>
  </si>
  <si>
    <t xml:space="preserve">BC Vazante1.2Inverter 546064,440277777846064,440277777846064,5694444444</t>
  </si>
  <si>
    <t xml:space="preserve">BC Vazante1.2Inverter 646064,440277777846064,440277777846064,5694444444</t>
  </si>
  <si>
    <t xml:space="preserve">BC Vazante1.2Inverter 746064,440277777846064,440277777846064,5694444444</t>
  </si>
  <si>
    <t xml:space="preserve">BC Vazante1.2Inverter 846064,440277777846064,440277777846064,5694444444</t>
  </si>
  <si>
    <t xml:space="preserve">BC Vazante1.2Inverter 946064,440277777846064,440277777846064,5694444444</t>
  </si>
  <si>
    <t xml:space="preserve">BC Vazante1.2Inverter 1046064,440277777846064,440277777846064,5694444444</t>
  </si>
  <si>
    <t xml:space="preserve">BC Vazante1.2Inverter 1146064,440277777846064,440277777846064,5694444444</t>
  </si>
  <si>
    <t xml:space="preserve">BC Vazante1.2Inverter 1246064,440277777846064,440277777846064,5694444444</t>
  </si>
  <si>
    <t xml:space="preserve">BC Vazante1.2Inverter 1346064,440277777846064,440277777846064,5694444444</t>
  </si>
  <si>
    <t xml:space="preserve">BC Vazante1.2Inverter 1446064,440277777846064,440277777846064,5694444444</t>
  </si>
  <si>
    <t xml:space="preserve">BC Vazante1.2Inverter 1546064,440277777846064,440277777846064,5694444444</t>
  </si>
  <si>
    <t xml:space="preserve">BC Vazante1.2Inverter 1646064,440277777846064,440277777846064,5694444444</t>
  </si>
  <si>
    <t xml:space="preserve">BC Vazante1.2Inverter 1746064,440277777846064,440277777846064,5694444444</t>
  </si>
  <si>
    <t xml:space="preserve">Os disjuntores do QGBT desarmaram devido à variação de tensão na rede elétrica</t>
  </si>
  <si>
    <t xml:space="preserve">Foi feito inspeção no QGBT e nos inversores, foi rearmado o disjuntor geral do QGBT.</t>
  </si>
  <si>
    <t xml:space="preserve">BC Varjao2.1215KTL-H0(MBUS-12)46064,491666666746064,491666666746064,53125</t>
  </si>
  <si>
    <t xml:space="preserve">BC Varjao2.1215KTL-H0(MBUS-13)46064,491666666746064,491666666746064,53125</t>
  </si>
  <si>
    <t xml:space="preserve">BC Varjao2.1215KTL-H0(MBUS-14)46064,491666666746064,491666666746064,53125</t>
  </si>
  <si>
    <t xml:space="preserve">BC Varjao2.1215KTL-H0(MBUS-15)46064,491666666746064,491666666746064,53125</t>
  </si>
  <si>
    <t xml:space="preserve">BC Varjao2.1215KTL-H0(MBUS-16)46064,491666666746064,491666666746064,53125</t>
  </si>
  <si>
    <t xml:space="preserve">BC Varjao2.2215KTL-H0(MBUS-13)46064,491666666746064,491666666746064,53125</t>
  </si>
  <si>
    <t xml:space="preserve">BC Varjao2.2215KTL-H0(MBUS-14)46064,491666666746064,491666666746064,53125</t>
  </si>
  <si>
    <t xml:space="preserve">BC Varjao2.2215KTL-H0(MBUS-15)46064,491666666746064,491666666746064,53125</t>
  </si>
  <si>
    <t xml:space="preserve">BC Varjao2.2215KTL-H0(MBUS-16)46064,491666666746064,491666666746064,53125</t>
  </si>
  <si>
    <t xml:space="preserve">BC Varjao2.2215KTL-H0(MBUS-12)46064,491666666746064,491666666746064,53125</t>
  </si>
  <si>
    <t xml:space="preserve">BC Varjao2.1215KTL-H0(MBUS-12)46064,616666666746064,616666666746064,7222222222</t>
  </si>
  <si>
    <t xml:space="preserve">BC Varjao2.1215KTL-H0(MBUS-13)46064,616666666746064,616666666746064,7222222222</t>
  </si>
  <si>
    <t xml:space="preserve">BC Varjao2.1215KTL-H0(MBUS-14)46064,616666666746064,616666666746064,7222222222</t>
  </si>
  <si>
    <t xml:space="preserve">BC Varjao2.1215KTL-H0(MBUS-15)46064,616666666746064,616666666746064,7222222222</t>
  </si>
  <si>
    <t xml:space="preserve">BC Varjao2.1215KTL-H0(MBUS-16)46064,616666666746064,616666666746064,7222222222</t>
  </si>
  <si>
    <t xml:space="preserve">BC Varjao2.2215KTL-H0(MBUS-13)46064,616666666746064,616666666746064,7222222222</t>
  </si>
  <si>
    <t xml:space="preserve">BC Varjao2.2215KTL-H0(MBUS-14)46064,616666666746064,616666666746064,7222222222</t>
  </si>
  <si>
    <t xml:space="preserve">BC Varjao2.2215KTL-H0(MBUS-15)46064,616666666746064,616666666746064,7222222222</t>
  </si>
  <si>
    <t xml:space="preserve">BC Varjao2.2215KTL-H0(MBUS-16)46064,616666666746064,616666666746064,7222222222</t>
  </si>
  <si>
    <t xml:space="preserve">BC Varjao2.2215KTL-H0(MBUS-12)46064,616666666746064,616666666746064,7222222222</t>
  </si>
  <si>
    <t xml:space="preserve">UFV passará por uma interrupção programada para a realização de manutenção corretiva. O procedimento visa a vedação técnica com selante de poliuretano (PU 40) no QGBT, em virtude da identificação de vazamentos no equipamento. </t>
  </si>
  <si>
    <t xml:space="preserve">Foi feita a aplicação de PU40 nos pontos críticos identificados. Procedeu-se à limpeza interna do equipamento aproveitando a interrupção programada. Após o término a UFV foi energizada.</t>
  </si>
  <si>
    <t xml:space="preserve">BC Corumba1.3U03.I0146064,666666666746064,666666666746064,7083333333</t>
  </si>
  <si>
    <t xml:space="preserve">UFV passará por uma interrupção programada para a realização de manutenção corretiva. O procedimento visa a vedação técnica com selante de poliuretano (PU 40) no QGBT, em virtude da identificação de vazamentos no equipamento.</t>
  </si>
  <si>
    <t xml:space="preserve">BC Corumba1.3U03.I0246064,666666666746064,666666666746064,7083333333</t>
  </si>
  <si>
    <t xml:space="preserve">BC Corumba1.3U03.I0346064,666666666746064,666666666746064,7083333333</t>
  </si>
  <si>
    <t xml:space="preserve">DUR</t>
  </si>
  <si>
    <t xml:space="preserve">• 01:26: Registro no sistema supervisório de desligamento do CFTV, com todas as câmeras off-line. A falha de comunicação foi identificada pela equipe de operação remota da O&amp;M Energy Solutions. • 01:27: Acionamento imediato da equipe de campo e do mantenedor responsável, com abertura de ocorrência no grupo COI Brasol | COI (BC) Energy Solutions. • 07:30: Acionamento da polícia. • 08:40: Comparecimento da Polícia Militar de GO ao local. Durante a inspeção presencial, foram constatados indícios de invasão na planta, além de sinais de violação da infraestrutura elétrica e do sistema de segurança. • 12:00: Restabelecimento da comunicação por meio de ligação provisória do cabeamento CA que alimenta a sala de controle. • 14:30: Chegada da gerência de O&amp;M para apoio nas análises e levantamentos. • 16:00: Chegada de empresa terceirizada contratada para reforço da segurança e vigilância noturna. • 18:00: Início das rondas locais noturnas.</t>
  </si>
  <si>
    <t xml:space="preserve">Após a detecção da falha, a equipe de operação comunicou o ocorrido e acionou imediatamente o mantenedor e a equipe de campo. Foi realizada inspeção técnica no local, com identificação do ponto de invasão e levantamento preliminar dos danos. O Boletim de Ocorrência foi registrado junto às autoridades policiais, que compareceram ao local, estando o documento ainda em elaboração. Foram iniciadas tentativas de recuperação das imagens do CFTV e o planejamento das ações corretivas para recomposição da infraestrutura elétrica, substituição dos cabos furtados e restabelecimento do monitoramento e dos inversores afetados. O sistema de CFTV e os inversores tiveram o monitoramento restabelecido por volta das 12h do dia 12/02/2026. Atualmente, a UFV CORUMBÁ 2.1 opera parcialmente, com três inversores desligados. A equipe de O&amp;M permanece em campo realizando a manutenção e substituição dos cabos furtados para energizar integralmente a usina no menor prazo possível.</t>
  </si>
  <si>
    <t xml:space="preserve">BC Corumba1.1U01.I0146065,059722222246065,059722222246065,2534722222</t>
  </si>
  <si>
    <t xml:space="preserve">DURUFV</t>
  </si>
  <si>
    <t xml:space="preserve">BC Corumba1.1U01.I0246065,059722222246065,059722222246065,2534722222</t>
  </si>
  <si>
    <t xml:space="preserve">BC Corumba1.1U01.I0346065,059722222246065,059722222246065,2534722222</t>
  </si>
  <si>
    <t xml:space="preserve">BC Corumba1.1U01.I0446065,059722222246065,059722222246065,2534722222</t>
  </si>
  <si>
    <t xml:space="preserve">BC Corumba1.1U01.I0546065,059722222246065,059722222246065,2534722222</t>
  </si>
  <si>
    <t xml:space="preserve">BC Corumba1.2U02.I0146065,059722222246065,059722222246065,2534722222</t>
  </si>
  <si>
    <t xml:space="preserve">BC Corumba1.2U02.I0246065,059722222246065,059722222246065,2534722222</t>
  </si>
  <si>
    <t xml:space="preserve">BC Corumba1.2U02.I0346065,059722222246065,059722222246065,2534722222</t>
  </si>
  <si>
    <t xml:space="preserve">BC Corumba1.2U02.I0446065,059722222246065,059722222246065,2534722222</t>
  </si>
  <si>
    <t xml:space="preserve">BC Corumba1.2U02.I0546065,059722222246065,059722222246065,2534722222</t>
  </si>
  <si>
    <t xml:space="preserve">BC Corumba1.3U03.I0146065,059722222246065,059722222246065,2534722222</t>
  </si>
  <si>
    <t xml:space="preserve">BC Corumba1.3U03.I0246065,059722222246065,059722222246065,2534722222</t>
  </si>
  <si>
    <t xml:space="preserve">BC Corumba1.3U03.I0346065,059722222246065,059722222246065,2534722222</t>
  </si>
  <si>
    <t xml:space="preserve">BC Corumba2.1Inverter(MBUS-14)46065,059722222246065,059722222246080,46875</t>
  </si>
  <si>
    <t xml:space="preserve">BC Corumba2.1Inverter(MBUS-15)46065,059722222246065,059722222246066,7083333333</t>
  </si>
  <si>
    <t xml:space="preserve">BC Corumba2.1Inverter(MBUS-16)46065,059722222246065,059722222246066,7152777778</t>
  </si>
  <si>
    <t xml:space="preserve">BC Corumba2.1U01. I0146065,059722222246065,059722222246066,5625</t>
  </si>
  <si>
    <t xml:space="preserve">BC Corumba2.1U01. I0246065,059722222246065,059722222246066,4861111111</t>
  </si>
  <si>
    <t xml:space="preserve">BC Corumba2.2U02.I0146065,059722222246065,059722222246065,2534722222</t>
  </si>
  <si>
    <t xml:space="preserve">BC Corumba2.2U02.I0246065,059722222246065,059722222246065,2534722222</t>
  </si>
  <si>
    <t xml:space="preserve">BC Corumba2.2U02.I0346065,059722222246065,059722222246065,2534722222</t>
  </si>
  <si>
    <t xml:space="preserve">BC Corumba2.2U02.I0446065,059722222246065,059722222246065,2534722222</t>
  </si>
  <si>
    <t xml:space="preserve">BC Corumba2.2U02.I0546065,059722222246065,059722222246065,2534722222</t>
  </si>
  <si>
    <t xml:space="preserve">BC Corumba2.3U03.I0146065,059722222246065,059722222246065,2534722222</t>
  </si>
  <si>
    <t xml:space="preserve">BC Corumba2.3U03.I0246065,059722222246065,059722222246065,2534722222</t>
  </si>
  <si>
    <t xml:space="preserve">BC Corumba2.3U03.I0346065,059722222246065,059722222246065,2534722222</t>
  </si>
  <si>
    <t xml:space="preserve">Houve uma instabilidade no fornecimento de internet</t>
  </si>
  <si>
    <t xml:space="preserve">Foi reiniciado todo o sistema de comunicação. Sem impacto para geração</t>
  </si>
  <si>
    <t xml:space="preserve">BC Panama1.1ITAPOAN 001 (COM1-001)_001_00146065,267361111146065,267361111146066,4708333333</t>
  </si>
  <si>
    <t xml:space="preserve">BC Panama1.1CEREAL_00246065,267361111146065,267361111146066,4708333333</t>
  </si>
  <si>
    <t xml:space="preserve">BC Panama1.1ITAPOAN_00346065,267361111146065,267361111146066,4708333333</t>
  </si>
  <si>
    <t xml:space="preserve">O relé atuou na função 32C. Após a realização dos testes em dois inversores que estavam em garantia, foi efetuado o reset eletrônico do equipamento. Com isso, o inversor voltou a operar com 100% de sua capacidade nominal, que é de 275 kW. Ao normalizar a UFV, ocorreu o desarme, pois a potência gerada ficou acima da capacidade do transformador.</t>
  </si>
  <si>
    <t xml:space="preserve">Foram realizados os ajustes e o comissionamento dos inversores, efetuado o reset no relé e rearmado o disjuntor. Após esses procedimentos, a UFV voltou a operar com sua capacidade nominal.</t>
  </si>
  <si>
    <t xml:space="preserve">ARAGUATINS 2.1Inverter(MBUS-12)46065,376388888946065,376388888946065,4277777778</t>
  </si>
  <si>
    <t xml:space="preserve">ARAGUATINS 2.1Inverter(MBUS-15)46065,376388888946065,376388888946065,4277777778</t>
  </si>
  <si>
    <t xml:space="preserve">ARAGUATINS 2.1Inverter(MBUS-14)46065,376388888946065,376388888946065,4277777778</t>
  </si>
  <si>
    <t xml:space="preserve">ARAGUATINS 2.1Inverter(MBUS-1)46065,376388888946065,376388888946065,4277777778</t>
  </si>
  <si>
    <t xml:space="preserve">BC Varjao2.1215KTL-H0(MBUS-12)46065,381944444446065,381944444446065,5138888889</t>
  </si>
  <si>
    <t xml:space="preserve">BC Varjao2.1215KTL-H0(MBUS-13)46065,381944444446065,381944444446065,5138888889</t>
  </si>
  <si>
    <t xml:space="preserve">BC Varjao2.1215KTL-H0(MBUS-14)46065,381944444446065,381944444446065,5138888889</t>
  </si>
  <si>
    <t xml:space="preserve">BC Varjao2.1215KTL-H0(MBUS-15)46065,381944444446065,381944444446065,5138888889</t>
  </si>
  <si>
    <t xml:space="preserve">BC Varjao2.1215KTL-H0(MBUS-16)46065,381944444446065,381944444446065,5138888889</t>
  </si>
  <si>
    <t xml:space="preserve">FALHA 86, 27AC. HOUVE FALHA NO FORNECIMENTO DA CPFL</t>
  </si>
  <si>
    <t xml:space="preserve">INSPENÇÃO PMT,RESET DO RELÉ E REARME DISJUNTOR GERAL DE PROTEÇÃO</t>
  </si>
  <si>
    <t xml:space="preserve">BC Ibiuna 1.1Inverter(MBUS-12)46065,583333333346065,583333333346065,5868055556</t>
  </si>
  <si>
    <t xml:space="preserve">BC Ibiuna 1.1Inverter(MBUS-13)46065,583333333346065,583333333346065,5868055556</t>
  </si>
  <si>
    <t xml:space="preserve">BC Ibiuna 1.1Inverter(MBUS-14)46065,583333333346065,583333333346065,5868055556</t>
  </si>
  <si>
    <t xml:space="preserve">BC Ibiuna 1.1Inverter(MBUS-15)46065,583333333346065,583333333346065,5868055556</t>
  </si>
  <si>
    <t xml:space="preserve">BC Ibiuna 1.2Inverter(MBUS-12)46065,583333333346065,583333333346065,5868055556</t>
  </si>
  <si>
    <t xml:space="preserve">BC Ibiuna 1.2Inverter(MBUS-13)46065,583333333346065,583333333346065,5868055556</t>
  </si>
  <si>
    <t xml:space="preserve">BC Ibiuna 1.2Inverter(MBUS-14)46065,583333333346065,583333333346065,5868055556</t>
  </si>
  <si>
    <t xml:space="preserve">BC Ibiuna 1.2Inverter(MBUS-15)46065,583333333346065,583333333346065,5868055556</t>
  </si>
  <si>
    <t xml:space="preserve">Será realizado o desligamento do inversor ES 2240060626</t>
  </si>
  <si>
    <t xml:space="preserve">Foi realizado o remanejamento de duas strings para adequação ao projeto.</t>
  </si>
  <si>
    <t xml:space="preserve">BC Varjao1.3Inverter(MBUS-1)46065,611111111146065,611111111146066,3125</t>
  </si>
  <si>
    <t xml:space="preserve">Cabo da rede da cocessionària partido dentro usina</t>
  </si>
  <si>
    <t xml:space="preserve">A concessionária Equatorial Energia foi acionada. As equipes compareceram à usina, realizaram a emenda do cabo e restabeleceram o fornecimento de energia, normalizando, em seguida, o funcionamento do CFTV.</t>
  </si>
  <si>
    <t xml:space="preserve">BC Formoso1.1Inverter(MBUS-13)46065,701388888946065,701388888946065,8881944444</t>
  </si>
  <si>
    <t xml:space="preserve">BC Formoso1.1Inverter(MBUS-12)46065,701388888946065,701388888946065,8881944444</t>
  </si>
  <si>
    <t xml:space="preserve">BC Formoso1.1Inverter(MBUS-15)46065,701388888946065,701388888946065,8881944444</t>
  </si>
  <si>
    <t xml:space="preserve">BC Formoso1.1Inverter(MBUS-14)46065,701388888946065,701388888946065,8881944444</t>
  </si>
  <si>
    <t xml:space="preserve">BC Formoso1.2Inverter(MBUS-13)46065,701388888946065,701388888946065,8881944444</t>
  </si>
  <si>
    <t xml:space="preserve">BC Formoso1.2Inverter(MBUS-12)46065,701388888946065,701388888946065,8881944444</t>
  </si>
  <si>
    <t xml:space="preserve">BC Formoso1.2Inverter(MBUS-15)46065,701388888946065,701388888946065,8881944444</t>
  </si>
  <si>
    <t xml:space="preserve">BC Formoso1.2Inverter(MBUS-14)46065,701388888946065,701388888946065,8881944444</t>
  </si>
  <si>
    <t xml:space="preserve">BC Formoso1.3Inverter(MBUS-13)46065,701388888946065,701388888946065,8881944444</t>
  </si>
  <si>
    <t xml:space="preserve">BC Formoso1.3Inverter(MBUS-12)46065,701388888946065,701388888946065,8881944444</t>
  </si>
  <si>
    <t xml:space="preserve">BC Formoso2.1Inverter(MBUS-12)46065,701388888946065,701388888946065,8881944444</t>
  </si>
  <si>
    <t xml:space="preserve">BC Formoso2.1Inverter(MBUS-14)46065,701388888946065,701388888946065,8881944444</t>
  </si>
  <si>
    <t xml:space="preserve">BC Formoso2.1Inverter(MBUS-13)46065,701388888946065,701388888946065,8881944444</t>
  </si>
  <si>
    <t xml:space="preserve">BC Formoso2.1Inverter(MBUS-1)46065,701388888946065,701388888946065,8881944444</t>
  </si>
  <si>
    <t xml:space="preserve">BC Formoso2.2Inverter(MBUS-14)46065,701388888946065,701388888946065,8881944444</t>
  </si>
  <si>
    <t xml:space="preserve">BC Formoso2.2Inverter(MBUS-13)46065,701388888946065,701388888946065,8881944444</t>
  </si>
  <si>
    <t xml:space="preserve">BC Formoso2.2Inverter(MBUS-12)46065,701388888946065,701388888946065,8881944444</t>
  </si>
  <si>
    <t xml:space="preserve">BC Formoso2.2Inverter(MBUS-1)46065,701388888946065,701388888946065,8881944444</t>
  </si>
  <si>
    <t xml:space="preserve">BC Formoso2.3Inverter(MBUS-13)46065,701388888946065,701388888946065,8881944444</t>
  </si>
  <si>
    <t xml:space="preserve">BC Formoso2.3Inverter(MBUS-12)46065,701388888946065,701388888946065,8881944444</t>
  </si>
  <si>
    <t xml:space="preserve">Desarme do disjuntor geral, após oscilação da rede.</t>
  </si>
  <si>
    <t xml:space="preserve">BC Aracu4SG75CX(COM1-018)_001_01846065,840277777846065,840277777846066,2986111111</t>
  </si>
  <si>
    <t xml:space="preserve">BC Aracu4SG75CX(COM1-019)_001_01946065,840277777846065,840277777846066,2986111111</t>
  </si>
  <si>
    <t xml:space="preserve">BC Aracu4SG75CX(COM1-020)_001_02046065,840277777846065,840277777846066,2986111111</t>
  </si>
  <si>
    <t xml:space="preserve">BC Aracu4SG75CX(COM1-021)_001_02146065,840277777846065,840277777846066,2986111111</t>
  </si>
  <si>
    <t xml:space="preserve">Falha 81 e 86 no relé</t>
  </si>
  <si>
    <t xml:space="preserve">Foi realizada a inspeção, reset do relé, rearmado os disjuntores e normalizado a geração nos inversores.</t>
  </si>
  <si>
    <t xml:space="preserve">BC Aracu5.1Inverter(MBUS-1)46065,840277777846065,840277777846066,2986111111</t>
  </si>
  <si>
    <t xml:space="preserve">BC Aracu5.3Inverter(MBUS-1)46065,840277777846065,840277777846066,2986111111</t>
  </si>
  <si>
    <t xml:space="preserve">BC Aracu5.4Inverter(MBUS-1)46065,840277777846065,840277777846066,2986111111</t>
  </si>
  <si>
    <t xml:space="preserve">BC Aracu5.5Inverter(MBUS-1)46065,840277777846065,840277777846066,2986111111</t>
  </si>
  <si>
    <t xml:space="preserve">Foi feito inspeção relacionado a usina 1.3 e foi constatado que é uma falha de comunicação no Smart Logger.</t>
  </si>
  <si>
    <t xml:space="preserve">BC Camarao1.3215KTL-H3(MBUS-16)46066,454861111146066,454861111146066,4618055556</t>
  </si>
  <si>
    <t xml:space="preserve">BC Camarao1.3215KTL-H3(MBUS-14)46066,454861111146066,454861111146066,4618055556</t>
  </si>
  <si>
    <t xml:space="preserve">BC Camarao1.3215KTL-H3(MBUS-15)46066,454861111146066,454861111146066,4618055556</t>
  </si>
  <si>
    <t xml:space="preserve">BC Camarao1.3215KTL-H3(MBUS-12)46066,454861111146066,454861111146066,4618055556</t>
  </si>
  <si>
    <t xml:space="preserve">BC Camarao1.3215KTL-H3(MBUS-13)46066,454861111146066,454861111146066,4618055556</t>
  </si>
  <si>
    <t xml:space="preserve">Falha de comunicação no logger</t>
  </si>
  <si>
    <t xml:space="preserve">Foram feitas inspeções nos componentes relacionados a comunicação, e foi constatado que era falha de comunicação no logger.</t>
  </si>
  <si>
    <t xml:space="preserve">BC Bom SucessoSG60KTL46066,479166666746066,479166666746066,5138888889</t>
  </si>
  <si>
    <t xml:space="preserve">Manutenção corretiva do transformador que está com vazamento de óleo.</t>
  </si>
  <si>
    <t xml:space="preserve">Foi feita inspeção e manutenção com limpeza no transformador.</t>
  </si>
  <si>
    <t xml:space="preserve">BC ParanoaSG60KTL(COM1-001)_002_00646066,546527777846066,546527777846066,7083333333</t>
  </si>
  <si>
    <t xml:space="preserve">DPRTRF</t>
  </si>
  <si>
    <t xml:space="preserve">BC ParanoaSG60KTL(COM1-002)_002_01646066,546527777846066,546527777846066,7083333333</t>
  </si>
  <si>
    <t xml:space="preserve">BC ParanoaSG50CX(COM2-003)_002_02146066,546527777846066,546527777846066,7083333333</t>
  </si>
  <si>
    <t xml:space="preserve">A ocorrência está associada a falha 47 nos relés de proteção, que indentifica sequência de fase de tensão incorreta/invertida na rede da concessionária. Como medida de proteção, o relé de proteção atuou, ocasionando o desligamento da UFV</t>
  </si>
  <si>
    <t xml:space="preserve">Concessionária (Equatorial) realizou manobras nos religadores da rede, após a finalização, o fornencimento de energia voltou ao normal e assim normalizando as usinas.</t>
  </si>
  <si>
    <t xml:space="preserve">BC Formoso2.1Inverter(MBUS-12)46067,688888888946067,688888888946071,3541666667</t>
  </si>
  <si>
    <t xml:space="preserve">BC Formoso2.1Inverter(MBUS-14)46067,688888888946067,688888888946071,3541666667</t>
  </si>
  <si>
    <t xml:space="preserve">BC Formoso2.1Inverter(MBUS-13)46067,688888888946067,688888888946071,3541666667</t>
  </si>
  <si>
    <t xml:space="preserve">BC Formoso2.1Inverter(MBUS-1)46067,688888888946067,688888888946071,3541666667</t>
  </si>
  <si>
    <t xml:space="preserve">BC Formoso2.2Inverter(MBUS-14)46067,688888888946067,688888888946071,3541666667</t>
  </si>
  <si>
    <t xml:space="preserve">BC Formoso2.2Inverter(MBUS-13)46067,688888888946067,688888888946071,3541666667</t>
  </si>
  <si>
    <t xml:space="preserve">BC Formoso2.2Inverter(MBUS-12)46067,688888888946067,688888888946071,3541666667</t>
  </si>
  <si>
    <t xml:space="preserve">BC Formoso2.2Inverter(MBUS-1)46067,688888888946067,688888888946071,3541666667</t>
  </si>
  <si>
    <t xml:space="preserve">BC Formoso2.3Inverter(MBUS-13)46067,688888888946067,688888888946071,3541666667</t>
  </si>
  <si>
    <t xml:space="preserve">BC Formoso2.3Inverter(MBUS-12)46067,688888888946067,688888888946071,3541666667</t>
  </si>
  <si>
    <t xml:space="preserve">Foi identificado no supervisório que o inversor 215 KTL-H3 ( MBUS- 14 ) está Off-line.</t>
  </si>
  <si>
    <t xml:space="preserve">Foi feito reset no inversor, após o reset o inversor voltou a geração.</t>
  </si>
  <si>
    <t xml:space="preserve">BC Caiaponia2.3215KTL-H3(MBUS-14)46068,298611111146068,298611111146068,5111111111</t>
  </si>
  <si>
    <t xml:space="preserve">A Usina apresentou Falha com cód 47 desequilíbrio tensão.</t>
  </si>
  <si>
    <t xml:space="preserve">Foi realizado inspeção nos componentes do sistema de geração reiniciado o relé de proteção e religando o disjuntor. Após a ação, a usina retornou à operação normal.</t>
  </si>
  <si>
    <t xml:space="preserve">BC Camarao1.1Inverter(MBUS-1)46068,315972222246068,315972222246068,4076388889</t>
  </si>
  <si>
    <t xml:space="preserve">BC Camarao1.1215KTL-H3(MBUS-12)46068,315972222246068,315972222246068,4076388889</t>
  </si>
  <si>
    <t xml:space="preserve">BC Camarao1.1215KTL-H3(MBUS-13)46068,315972222246068,315972222246068,4076388889</t>
  </si>
  <si>
    <t xml:space="preserve">BC Camarao1.1215KTL-H3(MBUS-16)46068,315972222246068,315972222246068,4076388889</t>
  </si>
  <si>
    <t xml:space="preserve">BC Camarao1.1215KTL-H3(MBUS-15)46068,315972222246068,315972222246068,4076388889</t>
  </si>
  <si>
    <t xml:space="preserve">BC Camarao1.2Inverter(MBUS-1)46068,315972222246068,315972222246068,4076388889</t>
  </si>
  <si>
    <t xml:space="preserve">BC Camarao1.2Inv. 346068,315972222246068,315972222246068,4076388889</t>
  </si>
  <si>
    <t xml:space="preserve">BC Camarao1.2Inv. 446068,315972222246068,315972222246068,4076388889</t>
  </si>
  <si>
    <t xml:space="preserve">BC Camarao1.2Inverter(MBUS-16)46068,315972222246068,315972222246068,4076388889</t>
  </si>
  <si>
    <t xml:space="preserve">BC Camarao1.2Inverter(MBUS-12)46068,315972222246068,315972222246068,4076388889</t>
  </si>
  <si>
    <t xml:space="preserve">BC Camarao1.3215KTL-H3(MBUS-16)46068,315972222246068,315972222246068,4076388889</t>
  </si>
  <si>
    <t xml:space="preserve">BC Camarao1.3215KTL-H3(MBUS-14)46068,315972222246068,315972222246068,4076388889</t>
  </si>
  <si>
    <t xml:space="preserve">BC Camarao1.3215KTL-H3(MBUS-15)46068,315972222246068,315972222246068,4076388889</t>
  </si>
  <si>
    <t xml:space="preserve">BC Camarao1.3215KTL-H3(MBUS-12)46068,315972222246068,315972222246068,4076388889</t>
  </si>
  <si>
    <t xml:space="preserve">BC Camarao1.3215KTL-H3(MBUS-13)46068,315972222246068,315972222246068,4076388889</t>
  </si>
  <si>
    <t xml:space="preserve">BC Camarao1.4INV-6T22A904138146068,315972222246068,315972222246068,4076388889</t>
  </si>
  <si>
    <t xml:space="preserve">BC Camarao1.4215KTL-H3(MBUS-14)46068,315972222246068,315972222246068,4076388889</t>
  </si>
  <si>
    <t xml:space="preserve">BC Camarao1.4215KTL-H3(MBUS-13)46068,315972222246068,315972222246068,4076388889</t>
  </si>
  <si>
    <t xml:space="preserve">BC Camarao1.4215KTL-H3(MBUS-16)46068,315972222246068,315972222246068,4076388889</t>
  </si>
  <si>
    <t xml:space="preserve">BC Camarao1.4215KTL-H3(MBUS-15)46068,315972222246068,315972222246068,4076388889</t>
  </si>
  <si>
    <t xml:space="preserve">BC Camarao1.5215KTL-H3(MBUS-15)46068,315972222246068,315972222246068,4076388889</t>
  </si>
  <si>
    <t xml:space="preserve">BC Camarao1.5215KTL-H3(MBUS-13)46068,315972222246068,315972222246068,4076388889</t>
  </si>
  <si>
    <t xml:space="preserve">BC Camarao1.5215KTL-H3(MBUS-12)46068,315972222246068,315972222246068,4076388889</t>
  </si>
  <si>
    <t xml:space="preserve">BC Camarao1.5215KTL-H3(MBUS-1)46068,315972222246068,315972222246068,4076388889</t>
  </si>
  <si>
    <t xml:space="preserve">BC Camarao1.5215KTL-H3(MBUS-14)46068,315972222246068,315972222246068,4076388889</t>
  </si>
  <si>
    <t xml:space="preserve">Foi feito inspeções no complexo foi constatado falha da comunicação na internet foi reiniciado o sistema e após a ação voltou a comunicação normal.</t>
  </si>
  <si>
    <t xml:space="preserve">BC Bom SucessoSG60KTL46068,315972222246068,315972222246068,4819444444</t>
  </si>
  <si>
    <t xml:space="preserve">BC Bom SucessoI46068,315972222246068,315972222246068,4819444444</t>
  </si>
  <si>
    <t xml:space="preserve">BC Bom SucessoG46068,315972222246068,315972222246068,4819444444</t>
  </si>
  <si>
    <t xml:space="preserve">BC Bom SucessoK46068,315972222246068,315972222246068,4819444444</t>
  </si>
  <si>
    <t xml:space="preserve">BC Bom SucessoH46068,315972222246068,315972222246068,4819444444</t>
  </si>
  <si>
    <t xml:space="preserve">BC Bom SucessoF46068,315972222246068,315972222246068,4819444444</t>
  </si>
  <si>
    <t xml:space="preserve">BC Bom SucessoD46068,315972222246068,315972222246068,4819444444</t>
  </si>
  <si>
    <t xml:space="preserve">BC Bom SucessoE46068,315972222246068,315972222246068,4819444444</t>
  </si>
  <si>
    <t xml:space="preserve">BC Bom SucessoC46068,315972222246068,315972222246068,4819444444</t>
  </si>
  <si>
    <t xml:space="preserve">BC Bom SucessoB46068,315972222246068,315972222246068,4819444444</t>
  </si>
  <si>
    <t xml:space="preserve">BC Bom SucessoA46068,315972222246068,315972222246068,4819444444</t>
  </si>
  <si>
    <t xml:space="preserve">BC Bom SucessoJ46068,315972222246068,315972222246068,4819444444</t>
  </si>
  <si>
    <t xml:space="preserve">Relé de proteção atuado com a falha 67C e 86Q</t>
  </si>
  <si>
    <t xml:space="preserve">Inspecionado todo complexo, não havia nenhuma anomalia, diante disto, foi realizado o reset do relé e rearmado disjuntor geral UFV normalizada com sucesso </t>
  </si>
  <si>
    <t xml:space="preserve">ARAGUATINS 1.1Inverter(MBUS-12)46068,392361111146068,392361111146068,4465277778</t>
  </si>
  <si>
    <t xml:space="preserve">ARAGUATINS 1.1Inverter(MBUS-13)46068,392361111146068,392361111146068,4465277778</t>
  </si>
  <si>
    <t xml:space="preserve">ARAGUATINS 1.1Inverter(MBUS-14)46068,392361111146068,392361111146068,4465277778</t>
  </si>
  <si>
    <t xml:space="preserve">ARAGUATINS 1.1Inverter(MBUS-15)46068,392361111146068,392361111146068,4465277778</t>
  </si>
  <si>
    <t xml:space="preserve">ARAGUATINS 1.2Inverter(MBUS-12)46068,392361111146068,392361111146068,4465277778</t>
  </si>
  <si>
    <t xml:space="preserve">ARAGUATINS 1.2Inverter(MBUS-13)46068,392361111146068,392361111146068,4465277778</t>
  </si>
  <si>
    <t xml:space="preserve">ARAGUATINS 1.2Inverter(MBUS-14)46068,392361111146068,392361111146068,4465277778</t>
  </si>
  <si>
    <t xml:space="preserve">ARAGUATINS 1.2Inverter(MBUS-15)46068,392361111146068,392361111146068,4465277778</t>
  </si>
  <si>
    <t xml:space="preserve">Relé de proteção atuado com a falha 81 e 86</t>
  </si>
  <si>
    <t xml:space="preserve">BC Aracu5.1Inverter(MBUS-1)46068,638888888946068,638888888946069,2979166667</t>
  </si>
  <si>
    <t xml:space="preserve">BC Aracu5.3Inverter(MBUS-1)46068,638888888946068,638888888946069,2979166667</t>
  </si>
  <si>
    <t xml:space="preserve">BC Aracu5.4Inverter(MBUS-1)46068,638888888946068,638888888946069,2979166667</t>
  </si>
  <si>
    <t xml:space="preserve">BC Aracu5.5Inverter(MBUS-1)46068,638888888946068,638888888946069,2979166667</t>
  </si>
  <si>
    <t xml:space="preserve">Queda de energia apenas no disjuntor geral da ufv Araguatins 01, relé atuou na função 50N e 86Q</t>
  </si>
  <si>
    <t xml:space="preserve">ARAGUATINS 1.1Inverter(MBUS-12)46069,251388888946069,251388888946069,3611111111</t>
  </si>
  <si>
    <t xml:space="preserve">ARAGUATINS 1.1Inverter(MBUS-13)46069,251388888946069,251388888946069,3611111111</t>
  </si>
  <si>
    <t xml:space="preserve">ARAGUATINS 1.1Inverter(MBUS-14)46069,251388888946069,251388888946069,3611111111</t>
  </si>
  <si>
    <t xml:space="preserve">ARAGUATINS 1.1Inverter(MBUS-15)46069,251388888946069,251388888946069,3611111111</t>
  </si>
  <si>
    <t xml:space="preserve">ARAGUATINS 1.2Inverter(MBUS-12)46069,251388888946069,251388888946069,3611111111</t>
  </si>
  <si>
    <t xml:space="preserve">ARAGUATINS 1.2Inverter(MBUS-13)46069,251388888946069,251388888946069,3611111111</t>
  </si>
  <si>
    <t xml:space="preserve">ARAGUATINS 1.2Inverter(MBUS-14)46069,251388888946069,251388888946069,3611111111</t>
  </si>
  <si>
    <t xml:space="preserve">ARAGUATINS 1.2Inverter(MBUS-15)46069,251388888946069,251388888946069,3611111111</t>
  </si>
  <si>
    <t xml:space="preserve">ARAGUATINS 1.3Inverter(MBUS-20)46069,251388888946069,251388888946069,3611111111</t>
  </si>
  <si>
    <t xml:space="preserve">ARAGUATINS 1.3Inverter(MBUS-1)46069,701388888946069,701388888946069,8020833333</t>
  </si>
  <si>
    <t xml:space="preserve">Desenergizar usina 2.3 para realizar substituição de três ventiladores danificados </t>
  </si>
  <si>
    <t xml:space="preserve">Foi realizado a substituição dos ventiladores danificados da UFV 2.3.</t>
  </si>
  <si>
    <t xml:space="preserve">ARAGUATINS 2.3Inverter(MBUS-12)46069,701388888946069,701388888946069,8020833333</t>
  </si>
  <si>
    <t xml:space="preserve">ARAGUATINS 2.3Inverter(MBUS-13)46069,701388888946069,701388888946069,8020833333</t>
  </si>
  <si>
    <t xml:space="preserve">Queda de energia na UFV depois de uma forte chuva, relé atuando nas funções 50N, 51N e 86Q </t>
  </si>
  <si>
    <t xml:space="preserve">Inspecionado todo complexo Araguatins I e II não havia nenhuma anomalia foi realizado reset dos relé e rearmado os disjuntores, UFV e CFTV normalizado com sucesso</t>
  </si>
  <si>
    <t xml:space="preserve">ARAGUATINS 1.1Inverter(MBUS-12)46069,815972222246069,815972222246070,4013888889</t>
  </si>
  <si>
    <t xml:space="preserve">ARAGUATINS 1.1Inverter(MBUS-13)46069,815972222246069,815972222246070,4013888889</t>
  </si>
  <si>
    <t xml:space="preserve">ARAGUATINS 1.1Inverter(MBUS-14)46069,815972222246069,815972222246070,4013888889</t>
  </si>
  <si>
    <t xml:space="preserve">ARAGUATINS 1.1Inverter(MBUS-15)46069,815972222246069,815972222246070,4013888889</t>
  </si>
  <si>
    <t xml:space="preserve">ARAGUATINS 1.2Inverter(MBUS-12)46069,815972222246069,815972222246070,4013888889</t>
  </si>
  <si>
    <t xml:space="preserve">ARAGUATINS 1.2Inverter(MBUS-13)46069,815972222246069,815972222246070,4013888889</t>
  </si>
  <si>
    <t xml:space="preserve">ARAGUATINS 1.2Inverter(MBUS-14)46069,815972222246069,815972222246070,4013888889</t>
  </si>
  <si>
    <t xml:space="preserve">ARAGUATINS 1.2Inverter(MBUS-15)46069,815972222246069,815972222246070,4013888889</t>
  </si>
  <si>
    <t xml:space="preserve">ARAGUATINS 1.3Inverter(MBUS-20)46069,815972222246069,815972222246070,4013888889</t>
  </si>
  <si>
    <t xml:space="preserve">ARAGUATINS 1.3Inverter(MBUS-1)46069,815972222246069,815972222246070,4013888889</t>
  </si>
  <si>
    <t xml:space="preserve">ARAGUATINS 2.1Inverter(MBUS-12)46069,815972222246069,815972222246070,4013888889</t>
  </si>
  <si>
    <t xml:space="preserve">ARAGUATINS 2.1Inverter(MBUS-15)46069,815972222246069,815972222246070,4013888889</t>
  </si>
  <si>
    <t xml:space="preserve">ARAGUATINS 2.1Inverter(MBUS-14)46069,815972222246069,815972222246070,4013888889</t>
  </si>
  <si>
    <t xml:space="preserve">ARAGUATINS 2.1Inverter(MBUS-1)46069,815972222246069,815972222246070,4013888889</t>
  </si>
  <si>
    <t xml:space="preserve">ARAGUATINS 2.2Inverter(MBUS-15)46069,815972222246069,815972222246070,4013888889</t>
  </si>
  <si>
    <t xml:space="preserve">ARAGUATINS 2.2Inverter(MBUS-13)46069,815972222246069,815972222246070,4013888889</t>
  </si>
  <si>
    <t xml:space="preserve">ARAGUATINS 2.2Inverter(MBUS-14)46069,815972222246069,815972222246070,4013888889</t>
  </si>
  <si>
    <t xml:space="preserve">ARAGUATINS 2.2Inverter(MBUS-12)46069,815972222246069,815972222246070,4013888889</t>
  </si>
  <si>
    <t xml:space="preserve">ARAGUATINS 2.3Inverter(MBUS-12)46069,815972222246069,815972222246070,4013888889</t>
  </si>
  <si>
    <t xml:space="preserve">ARAGUATINS 2.3Inverter(MBUS-13)46069,815972222246069,815972222246070,4013888889</t>
  </si>
  <si>
    <t xml:space="preserve">Foi identificado no supervisório que o inversor 16 A1912210182 está com falha 10 Falta de energia na rede.</t>
  </si>
  <si>
    <t xml:space="preserve">BC Vazante1.2Inverter 1646070,516666666746070,516666666746070,6006944444</t>
  </si>
  <si>
    <t xml:space="preserve">Foi identificado no supervisório que todas as câmeras e inversores estão off-line.</t>
  </si>
  <si>
    <t xml:space="preserve">O sistema restabeleceu a estabilidade de forma autônoma</t>
  </si>
  <si>
    <t xml:space="preserve">BC Varjao2.1215KTL-H0(MBUS-12)46070,690972222246070,690972222246070,7083333333</t>
  </si>
  <si>
    <t xml:space="preserve">BC Varjao2.1215KTL-H0(MBUS-13)46070,690972222246070,690972222246070,7083333333</t>
  </si>
  <si>
    <t xml:space="preserve">BC Varjao2.1215KTL-H0(MBUS-14)46070,690972222246070,690972222246070,7083333333</t>
  </si>
  <si>
    <t xml:space="preserve">BC Varjao2.1215KTL-H0(MBUS-15)46070,690972222246070,690972222246070,7083333333</t>
  </si>
  <si>
    <t xml:space="preserve">BC Varjao2.1215KTL-H0(MBUS-16)46070,690972222246070,690972222246070,7083333333</t>
  </si>
  <si>
    <t xml:space="preserve">BC Varjao2.2215KTL-H0(MBUS-13)46070,690972222246070,690972222246070,7083333333</t>
  </si>
  <si>
    <t xml:space="preserve">BC Varjao2.2215KTL-H0(MBUS-14)46070,690972222246070,690972222246070,7083333333</t>
  </si>
  <si>
    <t xml:space="preserve">BC Varjao2.2215KTL-H0(MBUS-15)46070,690972222246070,690972222246070,7083333333</t>
  </si>
  <si>
    <t xml:space="preserve">BC Varjao2.2215KTL-H0(MBUS-16)46070,690972222246070,690972222246070,7083333333</t>
  </si>
  <si>
    <t xml:space="preserve">BC Varjao2.2215KTL-H0(MBUS-12)46070,690972222246070,690972222246070,7083333333</t>
  </si>
  <si>
    <t xml:space="preserve">BC Varjao2.3100KTL-H1(MBUS-1)46070,690972222246070,690972222246070,7083333333</t>
  </si>
  <si>
    <t xml:space="preserve">BC Varjao2.3215KTL-H0(MBUS-13)46070,690972222246070,690972222246070,7083333333</t>
  </si>
  <si>
    <t xml:space="preserve">BC Varjao2.3215KTL-H0(MBUS-12)46070,690972222246070,690972222246070,7083333333</t>
  </si>
  <si>
    <t xml:space="preserve">Erro no roteador do CFTV.</t>
  </si>
  <si>
    <t xml:space="preserve">Foi preciso resetar e configurar o roteador do CFTV novamente para corrigir o erro.</t>
  </si>
  <si>
    <t xml:space="preserve">BC Varjao1.1UFV 1 - INV 146070,945138888946070,945138888946071,3263888889</t>
  </si>
  <si>
    <t xml:space="preserve">BC Varjao1.1UFV 1 - INV 546070,945138888946070,945138888946071,3263888889</t>
  </si>
  <si>
    <t xml:space="preserve">BC Varjao1.1UFV 1 - INV 446070,945138888946070,945138888946071,3263888889</t>
  </si>
  <si>
    <t xml:space="preserve">BC Varjao1.1UFV 1 - INV 346070,945138888946070,945138888946071,3263888889</t>
  </si>
  <si>
    <t xml:space="preserve">BC Varjao1.1UFV 1 - INV 246070,945138888946070,945138888946071,3263888889</t>
  </si>
  <si>
    <t xml:space="preserve">BC Varjao1.2215KTL-H0(MBUS-12)46070,945138888946070,945138888946071,3263888889</t>
  </si>
  <si>
    <t xml:space="preserve">BC Varjao1.2215KTL-H0(MBUS-13)46070,945138888946070,945138888946071,3263888889</t>
  </si>
  <si>
    <t xml:space="preserve">BC Varjao1.2215KTL-H0(MBUS-14)46070,945138888946070,945138888946071,3263888889</t>
  </si>
  <si>
    <t xml:space="preserve">BC Varjao1.2215KTL-H0(MBUS-15)46070,945138888946070,945138888946071,3263888889</t>
  </si>
  <si>
    <t xml:space="preserve">BC Varjao1.2215KTL-H0(MBUS-16)46070,945138888946070,945138888946071,3263888889</t>
  </si>
  <si>
    <t xml:space="preserve">BC Varjao1.3Inverter(MBUS-1)46070,945138888946070,945138888946071,3263888889</t>
  </si>
  <si>
    <t xml:space="preserve">BC Varjao1.3UF3Inv246070,945138888946070,945138888946071,3263888889</t>
  </si>
  <si>
    <t xml:space="preserve">BC Varjao1.3215KTL-H0(MBUS-14)46070,945138888946070,945138888946071,3263888889</t>
  </si>
  <si>
    <t xml:space="preserve">Foi identificado que as baterias do sistema não estavam conseguindo manter parte das câmeras ativas durante o período da madrugada, ocasionando a indisponibilidade temporária do CFTV.</t>
  </si>
  <si>
    <t xml:space="preserve">Com o início da incidência solar, as baterias foram gradativamente restabelecendo sua carga, permitindo que as câmeras retomassem a comunicação de forma autônoma. O sistema foi normalizado às 06:23 do dia 18/02/2026.</t>
  </si>
  <si>
    <t xml:space="preserve">BC Corumba1.1U01.I0146071,150694444446071,150694444446071,2659722222</t>
  </si>
  <si>
    <t xml:space="preserve">BC Corumba1.1U01.I0246071,150694444446071,150694444446071,2659722222</t>
  </si>
  <si>
    <t xml:space="preserve">BC Corumba1.1U01.I0346071,150694444446071,150694444446071,2659722222</t>
  </si>
  <si>
    <t xml:space="preserve">BC Corumba1.1U01.I0446071,150694444446071,150694444446071,2659722222</t>
  </si>
  <si>
    <t xml:space="preserve">BC Corumba1.1U01.I0546071,150694444446071,150694444446071,2659722222</t>
  </si>
  <si>
    <t xml:space="preserve">BC Corumba1.2U02.I0146071,150694444446071,150694444446071,2659722222</t>
  </si>
  <si>
    <t xml:space="preserve">BC Corumba1.2U02.I0246071,150694444446071,150694444446071,2659722222</t>
  </si>
  <si>
    <t xml:space="preserve">BC Corumba1.2U02.I0346071,150694444446071,150694444446071,2659722222</t>
  </si>
  <si>
    <t xml:space="preserve">BC Corumba1.2U02.I0446071,150694444446071,150694444446071,2659722222</t>
  </si>
  <si>
    <t xml:space="preserve">BC Corumba1.2U02.I0546071,150694444446071,150694444446071,2659722222</t>
  </si>
  <si>
    <t xml:space="preserve">BC Corumba1.3U03.I0146071,150694444446071,150694444446071,2659722222</t>
  </si>
  <si>
    <t xml:space="preserve">BC Corumba1.3U03.I0246071,150694444446071,150694444446071,2659722222</t>
  </si>
  <si>
    <t xml:space="preserve">BC Corumba1.3U03.I0346071,150694444446071,150694444446071,2659722222</t>
  </si>
  <si>
    <t xml:space="preserve">BC Corumba2.1Inverter(MBUS-14)46071,150694444446071,150694444446071,2659722222</t>
  </si>
  <si>
    <t xml:space="preserve">BC Corumba2.1Inverter(MBUS-15)46071,150694444446071,150694444446071,2659722222</t>
  </si>
  <si>
    <t xml:space="preserve">BC Corumba2.1Inverter(MBUS-16)46071,150694444446071,150694444446071,2659722222</t>
  </si>
  <si>
    <t xml:space="preserve">BC Corumba2.1U01. I0146071,150694444446071,150694444446071,2659722222</t>
  </si>
  <si>
    <t xml:space="preserve">BC Corumba2.1U01. I0246071,150694444446071,150694444446071,2659722222</t>
  </si>
  <si>
    <t xml:space="preserve">BC Corumba2.2U02.I0146071,150694444446071,150694444446071,2659722222</t>
  </si>
  <si>
    <t xml:space="preserve">BC Corumba2.2U02.I0246071,150694444446071,150694444446071,2659722222</t>
  </si>
  <si>
    <t xml:space="preserve">BC Corumba2.2U02.I0346071,150694444446071,150694444446071,2659722222</t>
  </si>
  <si>
    <t xml:space="preserve">BC Corumba2.2U02.I0446071,150694444446071,150694444446071,2659722222</t>
  </si>
  <si>
    <t xml:space="preserve">BC Corumba2.2U02.I0546071,150694444446071,150694444446071,2659722222</t>
  </si>
  <si>
    <t xml:space="preserve">BC Corumba2.3U03.I0146071,150694444446071,150694444446071,2659722222</t>
  </si>
  <si>
    <t xml:space="preserve">BC Corumba2.3U03.I0246071,150694444446071,150694444446071,2659722222</t>
  </si>
  <si>
    <t xml:space="preserve">BC Corumba2.3U03.I0346071,150694444446071,150694444446071,2659722222</t>
  </si>
  <si>
    <t xml:space="preserve">Atuação dos relés de proteção 81 e 86, ocasionando o desligamento automático da UFV/CFTV.</t>
  </si>
  <si>
    <t xml:space="preserve">Realizada inspeção completa no complexo, não sendo identificada nenhuma anomalia. Em seguida, foi efetuado o reset dos relés de proteção e o rearme do disjuntor geral, com normalização da UFV realizada com sucesso.</t>
  </si>
  <si>
    <t xml:space="preserve">BC Aracu5.1Inverter(MBUS-1)46071,276388888946071,276388888946071,2979166667</t>
  </si>
  <si>
    <t xml:space="preserve">BC Aracu5.3Inverter(MBUS-1)46071,276388888946071,276388888946071,2979166667</t>
  </si>
  <si>
    <t xml:space="preserve">BC Aracu5.4Inverter(MBUS-1)46071,276388888946071,276388888946071,2979166667</t>
  </si>
  <si>
    <t xml:space="preserve">BC Aracu5.5Inverter(MBUS-1)46071,276388888946071,276388888946071,2979166667</t>
  </si>
  <si>
    <t xml:space="preserve">Atuação dos relés de proteção 67C e 88Q, ocasionando o desligamento automático da UFV/CFTV.</t>
  </si>
  <si>
    <t xml:space="preserve">ARAGUATINS 2.1Inverter(MBUS-12)46071,4062546071,4062546071,4388888889</t>
  </si>
  <si>
    <t xml:space="preserve">ARAGUATINS 2.1Inverter(MBUS-15)46071,4062546071,4062546071,4388888889</t>
  </si>
  <si>
    <t xml:space="preserve">ARAGUATINS 2.1Inverter(MBUS-14)46071,4062546071,4062546071,4388888889</t>
  </si>
  <si>
    <t xml:space="preserve">ARAGUATINS 2.1Inverter(MBUS-1)46071,4062546071,4062546071,4388888889</t>
  </si>
  <si>
    <t xml:space="preserve">ARAGUATINS 2.2Inverter(MBUS-15)46071,4062546071,4062546071,4388888889</t>
  </si>
  <si>
    <t xml:space="preserve">ARAGUATINS 2.2Inverter(MBUS-13)46071,4062546071,4062546071,4388888889</t>
  </si>
  <si>
    <t xml:space="preserve">ARAGUATINS 2.2Inverter(MBUS-14)46071,4062546071,4062546071,4388888889</t>
  </si>
  <si>
    <t xml:space="preserve">ARAGUATINS 2.2Inverter(MBUS-12)46071,4062546071,4062546071,4388888889</t>
  </si>
  <si>
    <t xml:space="preserve">ARAGUATINS 2.3Inverter(MBUS-12)46071,4062546071,4062546071,4388888889</t>
  </si>
  <si>
    <t xml:space="preserve">ARAGUATINS 2.3Inverter(MBUS-13)46071,4062546071,4062546071,4388888889</t>
  </si>
  <si>
    <t xml:space="preserve">Devido à interrupção de energia na UFV Araguatins 2, a UFV Araguatins 1.1 perdeu o sinal de comunicação. No entanto, permaneceu operando normalmente, sem impacto na geração de energia.</t>
  </si>
  <si>
    <t xml:space="preserve">Após a normalização da UFV Araguatins 2, origem do link de comunicação da UFV Araguatins 1.1, o sinal foi restabelecido, normalizando a comunicação da Araguatins 1.1.</t>
  </si>
  <si>
    <t xml:space="preserve">ARAGUATINS 1.1Inverter(MBUS-12)46071,4062546071,4062546071,4388888889</t>
  </si>
  <si>
    <t xml:space="preserve">ARAGUATINS 1.1Inverter(MBUS-13)46071,4062546071,4062546071,4388888889</t>
  </si>
  <si>
    <t xml:space="preserve">ARAGUATINS 1.1Inverter(MBUS-14)46071,4062546071,4062546071,4388888889</t>
  </si>
  <si>
    <t xml:space="preserve">ARAGUATINS 1.1Inverter(MBUS-15)46071,4062546071,4062546071,4388888889</t>
  </si>
  <si>
    <t xml:space="preserve">Queda de rede, por parte da concessionária atuando os relés 27ABC</t>
  </si>
  <si>
    <t xml:space="preserve">BC Caiaponia1SG60KTL(COM1-001)_001_00746071,599305555646071,599305555646071,7013888889</t>
  </si>
  <si>
    <t xml:space="preserve">BC Caiaponia1SG60KTL(COM1-002)_001_01046071,599305555646071,599305555646071,7013888889</t>
  </si>
  <si>
    <t xml:space="preserve">BC Caiaponia1SG60KTL(COM1-003)_001_01146071,599305555646071,599305555646071,7013888889</t>
  </si>
  <si>
    <t xml:space="preserve">BC Caiaponia1SG60KTL(COM1-004)_001_01446071,599305555646071,599305555646071,7013888889</t>
  </si>
  <si>
    <t xml:space="preserve">BC Caiaponia1SG60KTL(COM1-005)_001_01746071,599305555646071,599305555646071,7013888889</t>
  </si>
  <si>
    <t xml:space="preserve">BC Caiaponia1SG60KTL(COM1-006)_001_01646071,599305555646071,599305555646071,7013888889</t>
  </si>
  <si>
    <t xml:space="preserve">BC Caiaponia1SG60KTL(COM1-007)_001_01346071,599305555646071,599305555646071,7013888889</t>
  </si>
  <si>
    <t xml:space="preserve">BC Caiaponia1SG60KTL(COM1-008)_001_00146071,599305555646071,599305555646071,7013888889</t>
  </si>
  <si>
    <t xml:space="preserve">BC Caiaponia1SG60KTL(COM1-009)46071,599305555646071,599305555646071,7013888889</t>
  </si>
  <si>
    <t xml:space="preserve">BC Caiaponia1SG60KTL(COM1-010)46071,599305555646071,599305555646071,7013888889</t>
  </si>
  <si>
    <t xml:space="preserve">BC Caiaponia1SG60KTL(COM1-011)46071,599305555646071,599305555646071,7013888889</t>
  </si>
  <si>
    <t xml:space="preserve">BC Caiaponia1SG60KTL(COM1-012)46071,599305555646071,599305555646071,7013888889</t>
  </si>
  <si>
    <t xml:space="preserve">BC Caiaponia1SG60KTL(COM1-013)46071,599305555646071,599305555646071,7013888889</t>
  </si>
  <si>
    <t xml:space="preserve">BC Caiaponia1SG60KTL(COM1-014)46071,599305555646071,599305555646071,7013888889</t>
  </si>
  <si>
    <t xml:space="preserve">BC Caiaponia1SG60KTL(COM1-015)46071,599305555646071,599305555646071,7013888889</t>
  </si>
  <si>
    <t xml:space="preserve">BC Caiaponia1SG60KTL(COM3-016)_001_00946071,599305555646071,599305555646071,7013888889</t>
  </si>
  <si>
    <t xml:space="preserve">BC Caiaponia1SG60KTL(COM3-017)_001_01246071,599305555646071,599305555646071,7013888889</t>
  </si>
  <si>
    <t xml:space="preserve">BC Caiaponia1SG60KTL(COM3-018)_001_00846071,599305555646071,599305555646071,7013888889</t>
  </si>
  <si>
    <t xml:space="preserve">BC Caiaponia1SG60KTL(COM3-019)_001_01946071,599305555646071,599305555646071,7013888889</t>
  </si>
  <si>
    <t xml:space="preserve">BC Caiaponia1SG60KTL(COM3-020)_001_02046071,599305555646071,599305555646071,7013888889</t>
  </si>
  <si>
    <t xml:space="preserve">BC Caiaponia1SG60KTL(COM2-026)46071,599305555646071,599305555646071,7013888889</t>
  </si>
  <si>
    <t xml:space="preserve">BC Caiaponia1SG60KTL(COM2-027)46071,599305555646071,599305555646071,7013888889</t>
  </si>
  <si>
    <t xml:space="preserve">BC Caiaponia1SG60KTL(COM2-028)46071,599305555646071,599305555646071,7013888889</t>
  </si>
  <si>
    <t xml:space="preserve">BC Caiaponia1SG60KTL(COM2-029)46071,599305555646071,599305555646071,7013888889</t>
  </si>
  <si>
    <t xml:space="preserve">BC Caiaponia1SG50CX(COM1-021)46071,599305555646071,599305555646071,7013888889</t>
  </si>
  <si>
    <t xml:space="preserve">BC Caiaponia1SG50CX(COM1-022)46071,599305555646071,599305555646071,7013888889</t>
  </si>
  <si>
    <t xml:space="preserve">BC Caiaponia1SG50CX(COM1-023)46071,599305555646071,599305555646071,7013888889</t>
  </si>
  <si>
    <t xml:space="preserve">BC Caiaponia1SG50CX(COM1-024)46071,599305555646071,599305555646071,7013888889</t>
  </si>
  <si>
    <t xml:space="preserve">BC Caiaponia1SG50CX(COM1-025)46071,599305555646071,599305555646071,7013888889</t>
  </si>
  <si>
    <t xml:space="preserve">BC Caiaponia2.1215KTL-H3(MBUS-12)46071,599305555646071,599305555646071,7013888889</t>
  </si>
  <si>
    <t xml:space="preserve">BC Caiaponia2.1215KTL-H3(MBUS-13)46071,599305555646071,599305555646071,7013888889</t>
  </si>
  <si>
    <t xml:space="preserve">BC Caiaponia2.1215KTL-H3(MBUS-14)46071,599305555646071,599305555646071,7013888889</t>
  </si>
  <si>
    <t xml:space="preserve">BC Caiaponia2.1215KTL-H3(MBUS-15)46071,599305555646071,599305555646071,7013888889</t>
  </si>
  <si>
    <t xml:space="preserve">BC Caiaponia2.1215KTL-H3(MBUS-16)46071,599305555646071,599305555646071,7013888889</t>
  </si>
  <si>
    <t xml:space="preserve">BC Caiaponia2.2215KTL-H3(MBUS-12)46071,599305555646071,599305555646071,7013888889</t>
  </si>
  <si>
    <t xml:space="preserve">BC Caiaponia2.2215KTL-H3(MBUS-13)46071,599305555646071,599305555646071,7013888889</t>
  </si>
  <si>
    <t xml:space="preserve">BC Caiaponia2.2215KTL-H3(MBUS-14)46071,599305555646071,599305555646071,7013888889</t>
  </si>
  <si>
    <t xml:space="preserve">BC Caiaponia2.2215KTL-H3(MBUS-15)46071,599305555646071,599305555646071,7013888889</t>
  </si>
  <si>
    <t xml:space="preserve">BC Caiaponia2.2215KTL-H3(MBUS-16)46071,599305555646071,599305555646071,7013888889</t>
  </si>
  <si>
    <t xml:space="preserve">BC Caiaponia2.3215KTL-H3(MBUS-12)46071,599305555646071,599305555646071,7013888889</t>
  </si>
  <si>
    <t xml:space="preserve">BC Caiaponia2.3215KTL-H3(MBUS-13)46071,599305555646071,599305555646071,7013888889</t>
  </si>
  <si>
    <t xml:space="preserve">BC Caiaponia2.3215KTL-H3(MBUS-14)46071,599305555646071,599305555646071,7013888889</t>
  </si>
  <si>
    <t xml:space="preserve">BC Caiaponia2.3215KTL-H3(MBUS-15)46071,599305555646071,599305555646071,7013888889</t>
  </si>
  <si>
    <t xml:space="preserve">BC Caiaponia2.3215KTL-H3(MBUS-16)46071,599305555646071,599305555646071,7013888889</t>
  </si>
  <si>
    <t xml:space="preserve">Foi identificado no supervisório que todas os inversores e câmeras estão Off-line</t>
  </si>
  <si>
    <t xml:space="preserve">Foi realizado o acionamento de contato local na cidade para verificação da ocorrência. No entanto, a UFV retomou a operação antes da realização da inspeção em campo. Posteriormente, a verificação foi concluída, confirmando que todos os equipamentos se encontram operacionais.</t>
  </si>
  <si>
    <t xml:space="preserve">BC Panama1.1ITAPOAN 001 (COM1-001)_001_00146071,628472222246071,628472222246071,6631944444</t>
  </si>
  <si>
    <t xml:space="preserve">BC Panama1.1CEREAL_00246071,628472222246071,628472222246071,6631944444</t>
  </si>
  <si>
    <t xml:space="preserve">BC Panama1.1ITAPOAN_00346071,628472222246071,628472222246071,6631944444</t>
  </si>
  <si>
    <t xml:space="preserve">BC Panama1.2ART_00446071,628472222246071,628472222246071,6631944444</t>
  </si>
  <si>
    <t xml:space="preserve">BC Panama1.2COOGED_00546071,628472222246071,628472222246071,6631944444</t>
  </si>
  <si>
    <t xml:space="preserve">BC Panama1.2ART_00646071,628472222246071,628472222246071,6631944444</t>
  </si>
  <si>
    <t xml:space="preserve">BC Panama1.2RADIO_00746071,628472222246071,628472222246071,6631944444</t>
  </si>
  <si>
    <t xml:space="preserve">Queda de rede, por parte da concessionária atuando os relés 67C e 86Q</t>
  </si>
  <si>
    <t xml:space="preserve">Inspecionado todo o complexo de Araguatins 1 e 2, não havia nenhuma anomalia foi realizado reset dos relé e rearmado os disjuntores UFV e CFTV normalizado.</t>
  </si>
  <si>
    <t xml:space="preserve">ARAGUATINS 1.1Inverter(MBUS-12)46071,680555555646071,680555555646071,7256944444</t>
  </si>
  <si>
    <t xml:space="preserve">ARAGUATINS 1.1Inverter(MBUS-13)46071,680555555646071,680555555646071,7256944444</t>
  </si>
  <si>
    <t xml:space="preserve">ARAGUATINS 1.1Inverter(MBUS-14)46071,680555555646071,680555555646071,7256944444</t>
  </si>
  <si>
    <t xml:space="preserve">ARAGUATINS 1.1Inverter(MBUS-15)46071,680555555646071,680555555646071,7256944444</t>
  </si>
  <si>
    <t xml:space="preserve">ARAGUATINS 1.2Inverter(MBUS-12)46071,680555555646071,680555555646071,7256944444</t>
  </si>
  <si>
    <t xml:space="preserve">ARAGUATINS 1.2Inverter(MBUS-13)46071,680555555646071,680555555646071,7256944444</t>
  </si>
  <si>
    <t xml:space="preserve">ARAGUATINS 1.2Inverter(MBUS-14)46071,680555555646071,680555555646071,7256944444</t>
  </si>
  <si>
    <t xml:space="preserve">ARAGUATINS 1.2Inverter(MBUS-15)46071,680555555646071,680555555646071,7256944444</t>
  </si>
  <si>
    <t xml:space="preserve">ARAGUATINS 1.3Inverter(MBUS-20)46071,680555555646071,680555555646071,7256944444</t>
  </si>
  <si>
    <t xml:space="preserve">ARAGUATINS 1.3Inverter(MBUS-1)46071,680555555646071,680555555646071,7256944444</t>
  </si>
  <si>
    <t xml:space="preserve">ARAGUATINS 2.1Inverter(MBUS-12)46071,680555555646071,680555555646071,7256944444</t>
  </si>
  <si>
    <t xml:space="preserve">ARAGUATINS 2.1Inverter(MBUS-15)46071,680555555646071,680555555646071,7256944444</t>
  </si>
  <si>
    <t xml:space="preserve">ARAGUATINS 2.1Inverter(MBUS-14)46071,680555555646071,680555555646071,7256944444</t>
  </si>
  <si>
    <t xml:space="preserve">ARAGUATINS 2.1Inverter(MBUS-1)46071,680555555646071,680555555646071,7256944444</t>
  </si>
  <si>
    <t xml:space="preserve">ARAGUATINS 2.2Inverter(MBUS-15)46071,680555555646071,680555555646071,7256944444</t>
  </si>
  <si>
    <t xml:space="preserve">ARAGUATINS 2.2Inverter(MBUS-13)46071,680555555646071,680555555646071,7256944444</t>
  </si>
  <si>
    <t xml:space="preserve">ARAGUATINS 2.2Inverter(MBUS-14)46071,680555555646071,680555555646071,7256944444</t>
  </si>
  <si>
    <t xml:space="preserve">ARAGUATINS 2.2Inverter(MBUS-12)46071,680555555646071,680555555646071,7256944444</t>
  </si>
  <si>
    <t xml:space="preserve">ARAGUATINS 2.3Inverter(MBUS-12)46071,680555555646071,680555555646071,7256944444</t>
  </si>
  <si>
    <t xml:space="preserve">ARAGUATINS 2.3Inverter(MBUS-13)46071,680555555646071,680555555646071,7256944444</t>
  </si>
  <si>
    <t xml:space="preserve">Foi realizada inspeção em todo o complexo, constatando-se que a UFV está operando normalmente, porém com falha de comunicação. Foi identificado cabo de internet danificado, sendo acionado o suporte técnico para que a comunicação seja restabelecida no menor prazo possível.</t>
  </si>
  <si>
    <t xml:space="preserve">Foi realizada a solda na fibra óptica do cabo de internet que havia se rompido, responsável pela comunicação das UFVs Araçu 3, 4 e 5. Também foi efetuada inspeção no sistema de CFTV, e todas as câmeras encontram-se operando normalmente</t>
  </si>
  <si>
    <t xml:space="preserve">BC Aracu4SG75CX(COM1-018)_001_01846071,681944444446071,681944444446073,4027777778</t>
  </si>
  <si>
    <t xml:space="preserve">BC Aracu4SG75CX(COM1-019)_001_01946071,681944444446071,681944444446073,4027777778</t>
  </si>
  <si>
    <t xml:space="preserve">BC Aracu4SG75CX(COM1-020)_001_02046071,681944444446071,681944444446073,4027777778</t>
  </si>
  <si>
    <t xml:space="preserve">BC Aracu4SG75CX(COM1-021)_001_02146071,681944444446071,681944444446073,4027777778</t>
  </si>
  <si>
    <t xml:space="preserve">Araçu VI</t>
  </si>
  <si>
    <t xml:space="preserve">BC Aracu3Inverter446071,681944444446071,681944444446073,4027777778</t>
  </si>
  <si>
    <t xml:space="preserve">BC Aracu3Inverter346071,681944444446071,681944444446073,4027777778</t>
  </si>
  <si>
    <t xml:space="preserve">Araçu VII</t>
  </si>
  <si>
    <t xml:space="preserve">BC Aracu3Inverter146071,681944444446071,681944444446073,4027777778</t>
  </si>
  <si>
    <t xml:space="preserve">BC Aracu3Inverter246071,681944444446071,681944444446073,4027777778</t>
  </si>
  <si>
    <t xml:space="preserve">BC Aracu5.1Inverter(MBUS-1)46071,681944444446071,681944444446073,4027777778</t>
  </si>
  <si>
    <t xml:space="preserve">BC Aracu5.4Inverter(MBUS-1)46071,681944444446071,681944444446073,4027777778</t>
  </si>
  <si>
    <t xml:space="preserve">BC Aracu5.5Inverter(MBUS-1)46071,681944444446071,681944444446073,4027777778</t>
  </si>
  <si>
    <t xml:space="preserve">Falha no fornecimento de energia da concessionária </t>
  </si>
  <si>
    <t xml:space="preserve">Foi feita uma inspeção, não encontrando nenhuma anomalia, foi rearmado os disjuntores</t>
  </si>
  <si>
    <t xml:space="preserve">BC Formoso2.1Inverter(MBUS-12)46072,069444444446072,069444444446072,3263888889</t>
  </si>
  <si>
    <t xml:space="preserve">BC Formoso2.1Inverter(MBUS-14)46072,069444444446072,069444444446072,3263888889</t>
  </si>
  <si>
    <t xml:space="preserve">BC Formoso2.1Inverter(MBUS-13)46072,069444444446072,069444444446072,3263888889</t>
  </si>
  <si>
    <t xml:space="preserve">BC Formoso2.1Inverter(MBUS-1)46072,069444444446072,069444444446072,3263888889</t>
  </si>
  <si>
    <t xml:space="preserve">BC Formoso2.2Inverter(MBUS-14)46072,069444444446072,069444444446072,3263888889</t>
  </si>
  <si>
    <t xml:space="preserve">BC Formoso2.2Inverter(MBUS-13)46072,069444444446072,069444444446072,3263888889</t>
  </si>
  <si>
    <t xml:space="preserve">BC Formoso2.2Inverter(MBUS-12)46072,069444444446072,069444444446072,3263888889</t>
  </si>
  <si>
    <t xml:space="preserve">BC Formoso2.2Inverter(MBUS-1)46072,069444444446072,069444444446072,3263888889</t>
  </si>
  <si>
    <t xml:space="preserve">BC Formoso2.3Inverter(MBUS-13)46072,069444444446072,069444444446072,3263888889</t>
  </si>
  <si>
    <t xml:space="preserve">BC Formoso2.3Inverter(MBUS-12)46072,069444444446072,069444444446072,3263888889</t>
  </si>
  <si>
    <t xml:space="preserve">Falha no inversor - Baixa Resistência</t>
  </si>
  <si>
    <t xml:space="preserve">Foi feito a inspeção relacionado ao sistema geração do inversor. Após a inspeção foi desligado e reiniciado o mesmo após a ação, voltou a geração normal.</t>
  </si>
  <si>
    <t xml:space="preserve">BC Turvania1.3Inverter(MBUS-13)46072,284722222246072,284722222246072,3194444444</t>
  </si>
  <si>
    <t xml:space="preserve">Houve queda de energia na UFV Araguatins 01 e 02, com atuação do relé geral em ambas as usinas pelas funções 86Q e 67C. Observação: após a normalização da UFV 02, ocorreu nova abertura do disjuntor geral aproximadamente 10 minutos após o retorno à operação, com reincidência das mesmas funções de proteção (86Q e 67C)</t>
  </si>
  <si>
    <t xml:space="preserve">Inspecionado todo complexo, resetado o relé e rearmado disjuntor, UFV e CFTV  normalizado </t>
  </si>
  <si>
    <t xml:space="preserve">ARAGUATINS 1.1Inverter(MBUS-12)46072,634722222246072,634722222246072,71875</t>
  </si>
  <si>
    <t xml:space="preserve">ARAGUATINS 1.1Inverter(MBUS-13)46072,634722222246072,634722222246072,71875</t>
  </si>
  <si>
    <t xml:space="preserve">ARAGUATINS 1.1Inverter(MBUS-14)46072,634722222246072,634722222246072,71875</t>
  </si>
  <si>
    <t xml:space="preserve">ARAGUATINS 1.1Inverter(MBUS-15)46072,634722222246072,634722222246072,71875</t>
  </si>
  <si>
    <t xml:space="preserve">ARAGUATINS 1.2Inverter(MBUS-12)46072,634722222246072,634722222246072,71875</t>
  </si>
  <si>
    <t xml:space="preserve">ARAGUATINS 1.2Inverter(MBUS-13)46072,634722222246072,634722222246072,71875</t>
  </si>
  <si>
    <t xml:space="preserve">ARAGUATINS 1.2Inverter(MBUS-14)46072,634722222246072,634722222246072,71875</t>
  </si>
  <si>
    <t xml:space="preserve">ARAGUATINS 1.2Inverter(MBUS-15)46072,634722222246072,634722222246072,71875</t>
  </si>
  <si>
    <t xml:space="preserve">ARAGUATINS 1.3Inverter(MBUS-20)46072,634722222246072,634722222246072,71875</t>
  </si>
  <si>
    <t xml:space="preserve">ARAGUATINS 1.3Inverter(MBUS-1)46072,634722222246072,634722222246072,71875</t>
  </si>
  <si>
    <t xml:space="preserve">ARAGUATINS 2.1Inverter(MBUS-12)46072,634722222246072,634722222246072,71875</t>
  </si>
  <si>
    <t xml:space="preserve">ARAGUATINS 2.1Inverter(MBUS-15)46072,634722222246072,634722222246072,71875</t>
  </si>
  <si>
    <t xml:space="preserve">ARAGUATINS 2.1Inverter(MBUS-14)46072,634722222246072,634722222246072,71875</t>
  </si>
  <si>
    <t xml:space="preserve">ARAGUATINS 2.1Inverter(MBUS-1)46072,634722222246072,634722222246072,71875</t>
  </si>
  <si>
    <t xml:space="preserve">ARAGUATINS 2.2Inverter(MBUS-15)46072,634722222246072,634722222246072,71875</t>
  </si>
  <si>
    <t xml:space="preserve">ARAGUATINS 2.2Inverter(MBUS-13)46072,634722222246072,634722222246072,71875</t>
  </si>
  <si>
    <t xml:space="preserve">ARAGUATINS 2.2Inverter(MBUS-14)46072,634722222246072,634722222246072,71875</t>
  </si>
  <si>
    <t xml:space="preserve">ARAGUATINS 2.2Inverter(MBUS-12)46072,634722222246072,634722222246072,71875</t>
  </si>
  <si>
    <t xml:space="preserve">ARAGUATINS 2.3Inverter(MBUS-12)46072,634722222246072,634722222246072,71875</t>
  </si>
  <si>
    <t xml:space="preserve">ARAGUATINS 2.3Inverter(MBUS-13)46072,634722222246072,634722222246072,71875</t>
  </si>
  <si>
    <t xml:space="preserve">O transformador foi desligado para realização de inspeção com o objetivo de verificar possível vazamento de óleo. O início da manobra ocorreu às 15:56, com o desligamento completo da usina às 16:21.</t>
  </si>
  <si>
    <t xml:space="preserve">Realizada manutenção preventiva no transformador, incluindo reapertos e verificação de possíveis vazamentos. A usina foi normalizada às 17:50.</t>
  </si>
  <si>
    <t xml:space="preserve">BC ParanoaSG60KTL(COM1-001)_002_00646072,6812546072,6812546072,7430555556</t>
  </si>
  <si>
    <t xml:space="preserve">BC ParanoaSG60KTL(COM1-002)_002_01646072,6812546072,6812546072,7430555556</t>
  </si>
  <si>
    <t xml:space="preserve">BC ParanoaSG50CX(COM2-003)_002_02146072,6812546072,6812546072,7430555556</t>
  </si>
  <si>
    <t xml:space="preserve">O transformador foi desligado para realização de inspeção com o objetivo de verificar possível vazamento de óleo.</t>
  </si>
  <si>
    <t xml:space="preserve">Realizada manutenção preventiva no transformador, incluindo reapertos. A usina foi normalizada às 17:50.</t>
  </si>
  <si>
    <t xml:space="preserve">BC ParanoaSG60KTL(COM1-014)_001_01346072,704861111146072,704861111146072,7430555556</t>
  </si>
  <si>
    <t xml:space="preserve">BC ParanoaSG60KTL(COM1-013)_001_01046072,704861111146072,704861111146072,7430555556</t>
  </si>
  <si>
    <t xml:space="preserve">BC ParanoaSG60KTL(COM1-012)_001_01146072,704861111146072,704861111146072,7430555556</t>
  </si>
  <si>
    <t xml:space="preserve">BC ParanoaSG60KTL(COM1-011)_001_00546072,704861111146072,704861111146072,7430555556</t>
  </si>
  <si>
    <t xml:space="preserve">BC ParanoaSG60KTL(COM1-010)_001_00346072,704861111146072,704861111146072,7430555556</t>
  </si>
  <si>
    <t xml:space="preserve">BC ParanoaSG60KTL(COM1-018)_001_01246072,704861111146072,704861111146072,7430555556</t>
  </si>
  <si>
    <t xml:space="preserve">BC ParanoaSG60KTL(COM1-017)_001_00746072,704861111146072,704861111146072,7430555556</t>
  </si>
  <si>
    <t xml:space="preserve">BC ParanoaSG60KTL(COM1-016)_001_00646072,704861111146072,704861111146072,7430555556</t>
  </si>
  <si>
    <t xml:space="preserve">BC ParanoaSG50CX(COM2-015)_001_01746072,704861111146072,704861111146072,7430555556</t>
  </si>
  <si>
    <t xml:space="preserve">BC ParanoaSG60KTL(COM1-009)_001_00246072,704861111146072,704861111146072,7430555556</t>
  </si>
  <si>
    <t xml:space="preserve">BC ParanoaSG60KTL(COM1-008)_001_00946072,704861111146072,704861111146072,7430555556</t>
  </si>
  <si>
    <t xml:space="preserve">BC ParanoaSG60KTL(COM1-007)_001_00446072,704861111146072,704861111146072,7430555556</t>
  </si>
  <si>
    <t xml:space="preserve">BC ParanoaSG60KTL(COM1-006)_001_01446072,704861111146072,704861111146072,7430555556</t>
  </si>
  <si>
    <t xml:space="preserve">BC ParanoaSG40CX(COM2-005)_001_01546072,704861111146072,704861111146072,7430555556</t>
  </si>
  <si>
    <t xml:space="preserve">BC ParanoaSG60KTL(COM1-019)_002_00746072,704861111146072,704861111146072,7430555556</t>
  </si>
  <si>
    <t xml:space="preserve">BC ParanoaSG60KTL(COM1-020)_002_01146072,704861111146072,704861111146072,7430555556</t>
  </si>
  <si>
    <t xml:space="preserve">BC ParanoaSG60KTL(COM1-021)_002_01746072,704861111146072,704861111146072,7430555556</t>
  </si>
  <si>
    <t xml:space="preserve">BC ParanoaSG60KTL(COM1-022)_002_02046072,704861111146072,704861111146072,7430555556</t>
  </si>
  <si>
    <t xml:space="preserve">BC ParanoaSG40CX(COM2-023)_002_02446072,704861111146072,704861111146072,7430555556</t>
  </si>
  <si>
    <t xml:space="preserve">BC ParanoaSG40CX(COM2-024)_002_02246072,704861111146072,704861111146072,7430555556</t>
  </si>
  <si>
    <t xml:space="preserve">BC ParanoaSG60KTL(COM1-007)_002_01346072,704861111146072,704861111146072,7430555556</t>
  </si>
  <si>
    <t xml:space="preserve">BC ParanoaSG60KTL(COM1-008)_002_00246072,704861111146072,704861111146072,7430555556</t>
  </si>
  <si>
    <t xml:space="preserve">BC ParanoaSG60KTL(COM1-009)_002_00846072,704861111146072,704861111146072,7430555556</t>
  </si>
  <si>
    <t xml:space="preserve">BC ParanoaSG60KTL(COM1-010)_002_00346072,704861111146072,704861111146072,7430555556</t>
  </si>
  <si>
    <t xml:space="preserve">BC ParanoaSG60KTL(COM1-011)_002_01046072,704861111146072,704861111146072,7430555556</t>
  </si>
  <si>
    <t xml:space="preserve">BC ParanoaSG60KTL(COM1-012)_002_00546072,704861111146072,704861111146072,7430555556</t>
  </si>
  <si>
    <t xml:space="preserve">BC ParanoaSG50CX(COM2-004)_002_02346072,704861111146072,704861111146072,7430555556</t>
  </si>
  <si>
    <t xml:space="preserve">BC ParanoaSG60KTL(COM1-005)_002_00946072,704861111146072,704861111146072,7430555556</t>
  </si>
  <si>
    <t xml:space="preserve">BC ParanoaSG60KTL(COM1-006)_002_00146072,704861111146072,704861111146072,7430555556</t>
  </si>
  <si>
    <t xml:space="preserve">BC ParanoaSG60KTL(COM1-013)_002_00446072,704861111146072,704861111146072,7430555556</t>
  </si>
  <si>
    <t xml:space="preserve">BC ParanoaSG60KTL(COM1-014)_002_01946072,704861111146072,704861111146072,7430555556</t>
  </si>
  <si>
    <t xml:space="preserve">BC ParanoaSG60KTL(COM1-015)_002_01846072,704861111146072,704861111146072,7430555556</t>
  </si>
  <si>
    <t xml:space="preserve">BC ParanoaSG60KTL(COM1-016)_002_01446072,704861111146072,704861111146072,7430555556</t>
  </si>
  <si>
    <t xml:space="preserve">BC ParanoaSG60KTL(COM1-017)_002_01546072,704861111146072,704861111146072,7430555556</t>
  </si>
  <si>
    <t xml:space="preserve">BC ParanoaSG60KTL(COM1-018)_002_01246072,704861111146072,704861111146072,7430555556</t>
  </si>
  <si>
    <t xml:space="preserve">BC ParanoaSG50CX(COM2-004)_001_01846072,704861111146072,704861111146072,7430555556</t>
  </si>
  <si>
    <t xml:space="preserve">BC ParanoaSG50CX(COM2-003)_001_01646072,704861111146072,704861111146072,7430555556</t>
  </si>
  <si>
    <t xml:space="preserve">BC ParanoaSG60KTL(COM1-002)_001_00846072,704861111146072,704861111146072,7430555556</t>
  </si>
  <si>
    <t xml:space="preserve">Rio Bonito I</t>
  </si>
  <si>
    <t xml:space="preserve">Feita a inspeção, rearmado os disjuntores, fechado o religador.</t>
  </si>
  <si>
    <t xml:space="preserve">BC Rio Bonito1SG36KTL-M-17_001_01746072,762546072,762546072,7694444444</t>
  </si>
  <si>
    <t xml:space="preserve">BC Rio Bonito1SG60KTL-10_001_01046072,762546072,762546072,7694444444</t>
  </si>
  <si>
    <t xml:space="preserve">BC Rio Bonito1SG60KTL-11_001_01146072,762546072,762546072,7694444444</t>
  </si>
  <si>
    <t xml:space="preserve">BC Rio Bonito1SG60KTL-12_001_01246072,762546072,762546072,7694444444</t>
  </si>
  <si>
    <t xml:space="preserve">BC Rio Bonito1SG60KTL-13_001_01346072,762546072,762546072,7694444444</t>
  </si>
  <si>
    <t xml:space="preserve">BC Rio Bonito1SG60KTL-14_001_01446072,762546072,762546072,7694444444</t>
  </si>
  <si>
    <t xml:space="preserve">BC Rio Bonito1SG60KTL-15_001_01546072,762546072,762546072,7694444444</t>
  </si>
  <si>
    <t xml:space="preserve">BC Rio Bonito1SG60KTL-16_001_01646072,762546072,762546072,7694444444</t>
  </si>
  <si>
    <t xml:space="preserve">BC Rio Bonito1SG60KTL-1_001_00146072,762546072,762546072,7694444444</t>
  </si>
  <si>
    <t xml:space="preserve">BC Rio Bonito1SG60KTL-2_001_00246072,762546072,762546072,7694444444</t>
  </si>
  <si>
    <t xml:space="preserve">BC Rio Bonito1SG60KTL-3_001_00346072,762546072,762546072,7694444444</t>
  </si>
  <si>
    <t xml:space="preserve">BC Rio Bonito1SG60KTL-4_001_00446072,762546072,762546072,7694444444</t>
  </si>
  <si>
    <t xml:space="preserve">BC Rio Bonito1SG60KTL-5_001_00546072,762546072,762546072,7694444444</t>
  </si>
  <si>
    <t xml:space="preserve">BC Rio Bonito1SG60KTL-6_001_00646072,762546072,762546072,7694444444</t>
  </si>
  <si>
    <t xml:space="preserve">BC Rio Bonito1SG60KTL-7_001_00746072,762546072,762546072,7694444444</t>
  </si>
  <si>
    <t xml:space="preserve">BC Rio Bonito1SG60KTL-8_001_00846072,762546072,762546072,7694444444</t>
  </si>
  <si>
    <t xml:space="preserve">BC Rio Bonito1SG60KTL-9_001_00946072,762546072,762546072,7694444444</t>
  </si>
  <si>
    <t xml:space="preserve">Rio Bonito II</t>
  </si>
  <si>
    <t xml:space="preserve">BC Rio Bonito2INV-00146072,762546072,762546072,7694444444</t>
  </si>
  <si>
    <t xml:space="preserve">BC Rio Bonito2INV-00246072,762546072,762546072,7694444444</t>
  </si>
  <si>
    <t xml:space="preserve">BC Rio Bonito2INV-00346072,762546072,762546072,7694444444</t>
  </si>
  <si>
    <t xml:space="preserve">BC Rio Bonito2INV-00446072,762546072,762546072,7694444444</t>
  </si>
  <si>
    <t xml:space="preserve">Foi identificado no supervisório que os inversores do complexo estão  off-line.  Todas as câmeras da CFTV estão off-line</t>
  </si>
  <si>
    <t xml:space="preserve">CFTV / UFV normalizaram de forma autônoma sem intervenção</t>
  </si>
  <si>
    <t xml:space="preserve">BC Turvania1.1Inverter(MBUS-14)46072,984027777846072,984027777846072,9951388889</t>
  </si>
  <si>
    <t xml:space="preserve">BC Turvania1.1Inverter(MBUS-15)46072,984027777846072,984027777846072,9951388889</t>
  </si>
  <si>
    <t xml:space="preserve">BC Turvania1.1Inverter(MBUS-12)46072,984027777846072,984027777846072,9951388889</t>
  </si>
  <si>
    <t xml:space="preserve">BC Turvania1.1Inverter(MBUS-13)46072,984027777846072,984027777846072,9951388889</t>
  </si>
  <si>
    <t xml:space="preserve">BC Turvania1.2Inverter(MBUS-14)46072,984027777846072,984027777846072,9951388889</t>
  </si>
  <si>
    <t xml:space="preserve">BC Turvania1.2Inverter(MBUS-13)46072,984027777846072,984027777846072,9951388889</t>
  </si>
  <si>
    <t xml:space="preserve">BC Turvania1.2Inverter(MBUS-12)46072,984027777846072,984027777846072,9951388889</t>
  </si>
  <si>
    <t xml:space="preserve">BC Turvania1.2Inverter(MBUS-15)46072,984027777846072,984027777846072,9951388889</t>
  </si>
  <si>
    <t xml:space="preserve">BC Turvania1.3Inverter(MBUS-13)46072,984027777846072,984027777846072,9951388889</t>
  </si>
  <si>
    <t xml:space="preserve">BC Turvania1.3Inverter(MBUS-14)46072,984027777846072,984027777846072,9951388889</t>
  </si>
  <si>
    <t xml:space="preserve">BC Turvania1.3Inverter(MBUS-15)46072,984027777846072,984027777846072,9951388889</t>
  </si>
  <si>
    <t xml:space="preserve">BC Turvania1.3Inverter(MBUS-1)46072,984027777846072,984027777846072,9951388889</t>
  </si>
  <si>
    <t xml:space="preserve">BC Turvania1.4Inverter(MBUS-14)46072,984027777846072,984027777846072,9951388889</t>
  </si>
  <si>
    <t xml:space="preserve">BC Turvania1.4Inverter(MBUS-15)46072,984027777846072,984027777846072,9951388889</t>
  </si>
  <si>
    <t xml:space="preserve">BC Turvania1.4Inverter(MBUS-13)46072,984027777846072,984027777846072,9951388889</t>
  </si>
  <si>
    <t xml:space="preserve">BC Turvania1.4Inverter(MBUS-12)46072,984027777846072,984027777846072,9951388889</t>
  </si>
  <si>
    <t xml:space="preserve">BC Turvania1.5Inverter(MBUS-13)46072,984027777846072,984027777846072,9951388889</t>
  </si>
  <si>
    <t xml:space="preserve">BC Turvania1.5Inverter(MBUS-12)46072,984027777846072,984027777846072,9951388889</t>
  </si>
  <si>
    <t xml:space="preserve">BC Turvania1.5Inverter(MBUS-14)46072,984027777846072,984027777846072,9951388889</t>
  </si>
  <si>
    <t xml:space="preserve">BC Turvania1.5Inverter(MBUS-1)46072,984027777846072,984027777846072,9951388889</t>
  </si>
  <si>
    <t xml:space="preserve">Falha no fornecimento de energia por parte da concecionária </t>
  </si>
  <si>
    <t xml:space="preserve">Foi feita a inspeção visual, nenhuma anomalia foi indentificada, foi feito o reset do relé e rearmado o disjuntor</t>
  </si>
  <si>
    <t xml:space="preserve">BC Formoso2.1Inverter(MBUS-12)46073,208333333346073,208333333346073,3472222222</t>
  </si>
  <si>
    <t xml:space="preserve">BC Formoso2.1Inverter(MBUS-14)46073,208333333346073,208333333346073,3472222222</t>
  </si>
  <si>
    <t xml:space="preserve">BC Formoso2.1Inverter(MBUS-13)46073,208333333346073,208333333346073,3472222222</t>
  </si>
  <si>
    <t xml:space="preserve">BC Formoso2.1Inverter(MBUS-1)46073,208333333346073,208333333346073,3472222222</t>
  </si>
  <si>
    <t xml:space="preserve">BC Formoso2.2Inverter(MBUS-14)46073,208333333346073,208333333346073,3472222222</t>
  </si>
  <si>
    <t xml:space="preserve">BC Formoso2.2Inverter(MBUS-13)46073,208333333346073,208333333346073,3472222222</t>
  </si>
  <si>
    <t xml:space="preserve">BC Formoso2.2Inverter(MBUS-12)46073,208333333346073,208333333346073,3472222222</t>
  </si>
  <si>
    <t xml:space="preserve">BC Formoso2.2Inverter(MBUS-1)46073,208333333346073,208333333346073,3472222222</t>
  </si>
  <si>
    <t xml:space="preserve">BC Formoso2.3Inverter(MBUS-13)46073,208333333346073,208333333346073,3472222222</t>
  </si>
  <si>
    <t xml:space="preserve">BC Formoso2.3Inverter(MBUS-12)46073,208333333346073,208333333346073,3472222222</t>
  </si>
  <si>
    <t xml:space="preserve">Falha atuada no relé 67A e 86Q</t>
  </si>
  <si>
    <t xml:space="preserve">Verificado painel dos trasformadores e inversores, após veerificação e não constatado nenhuma anomalia , foi realizado o reset do relé de proteção e normalizada a geração da ufv.</t>
  </si>
  <si>
    <t xml:space="preserve">BC Ibiuna 1.1Inverter(MBUS-12)46073,365277777846073,365277777846073,3694444444</t>
  </si>
  <si>
    <t xml:space="preserve">BC Ibiuna 1.1Inverter(MBUS-13)46073,365277777846073,365277777846073,3694444444</t>
  </si>
  <si>
    <t xml:space="preserve">BC Ibiuna 1.1Inverter(MBUS-14)46073,365277777846073,365277777846073,3694444444</t>
  </si>
  <si>
    <t xml:space="preserve">BC Ibiuna 1.1Inverter(MBUS-15)46073,365277777846073,365277777846073,3694444444</t>
  </si>
  <si>
    <t xml:space="preserve">BC Ibiuna 1.2Inverter(MBUS-12)46073,365277777846073,365277777846073,3694444444</t>
  </si>
  <si>
    <t xml:space="preserve">BC Ibiuna 1.2Inverter(MBUS-13)46073,365277777846073,365277777846073,3694444444</t>
  </si>
  <si>
    <t xml:space="preserve">BC Ibiuna 1.2Inverter(MBUS-14)46073,365277777846073,365277777846073,3694444444</t>
  </si>
  <si>
    <t xml:space="preserve">BC Ibiuna 1.2Inverter(MBUS-15)46073,365277777846073,365277777846073,3694444444</t>
  </si>
  <si>
    <t xml:space="preserve">Continuação da realização da manutenção preventiva no transformador, incluindo reapertos. A usina foi normalizada às 14:00.</t>
  </si>
  <si>
    <t xml:space="preserve">BC ParanoaSG60KTL(COM1-014)_001_01346073,416666666746073,416666666746073,5833333333</t>
  </si>
  <si>
    <t xml:space="preserve">BC ParanoaSG60KTL(COM1-013)_001_01046073,416666666746073,416666666746073,5833333333</t>
  </si>
  <si>
    <t xml:space="preserve">BC ParanoaSG60KTL(COM1-012)_001_01146073,416666666746073,416666666746073,5833333333</t>
  </si>
  <si>
    <t xml:space="preserve">BC ParanoaSG60KTL(COM1-011)_001_00546073,416666666746073,416666666746073,5833333333</t>
  </si>
  <si>
    <t xml:space="preserve">BC ParanoaSG60KTL(COM1-010)_001_00346073,416666666746073,416666666746073,5833333333</t>
  </si>
  <si>
    <t xml:space="preserve">BC ParanoaSG60KTL(COM1-018)_001_01246073,416666666746073,416666666746073,5833333333</t>
  </si>
  <si>
    <t xml:space="preserve">BC ParanoaSG60KTL(COM1-017)_001_00746073,416666666746073,416666666746073,5833333333</t>
  </si>
  <si>
    <t xml:space="preserve">BC ParanoaSG60KTL(COM1-016)_001_00646073,416666666746073,416666666746073,5833333333</t>
  </si>
  <si>
    <t xml:space="preserve">BC ParanoaSG50CX(COM2-015)_001_01746073,416666666746073,416666666746073,5833333333</t>
  </si>
  <si>
    <t xml:space="preserve">Foi identificado pelo supervisório que todos as Inversores estão estão Off-line e o CFTV está sem acesso.</t>
  </si>
  <si>
    <t xml:space="preserve">Verificada atuação da função 47 nas fases A, B e C no relé de segurança da cabine do PMT. Foi realizado o reset dos alarmes no relé de proteção e efetuado o fechamento do disjuntor. Durante a inspeção, foi identificado furto de cabos CC, resultando na indisponibilidade de 3 inversores, que permaneceram desligados. Devido à ocorrência de furto no local, foi realizada avaliação prévia dos danos e análise dos riscos antes da reenergização da UFV.</t>
  </si>
  <si>
    <t xml:space="preserve">BC Lencois PaulistaInverter(MBUS-13)46074,215277777846074,215277777846074,5590277778</t>
  </si>
  <si>
    <t xml:space="preserve">BC Lencois PaulistaInverter(MBUS-14)46074,215277777846074,215277777846081,9999884259</t>
  </si>
  <si>
    <t xml:space="preserve">BC Lencois PaulistaInverter(MBUS-12)46074,215277777846074,215277777846081,9999884259</t>
  </si>
  <si>
    <t xml:space="preserve">BC Lencois PaulistaInverter(MBUS-15)46074,215277777846074,215277777846081,9999884259</t>
  </si>
  <si>
    <t xml:space="preserve">O inversor de SN GR2449002684 apresentou falha de cooler (ID da falha 2086), identificada apenas via acesso local na SmartLogger, não sendo registrada na plataforma FusionSolar.</t>
  </si>
  <si>
    <t xml:space="preserve">Após inspeção local, foi identificado que um dos coolers do inversor encontra-se inoperante. O inversor será desenergizado para verificação das conexões do cooler. Foi realizado o reaperto dos conectores e o cooler voltou à operar. Após isto, foi realizada a manobra de normalização da geração do inversor.</t>
  </si>
  <si>
    <t xml:space="preserve">BC Turvania1.2Inverter(MBUS-15)46073,604166666746073,604166666746073,6145833333</t>
  </si>
  <si>
    <t xml:space="preserve">Foi identificado pelo supervisório que todos as Inversores estão  Off-line e o CFTV está sem acesso. Foi identificado queda de rede.</t>
  </si>
  <si>
    <t xml:space="preserve">Foi feito a inspeção visual, nenhuma anomalia foi identificada, foi feito o reset do relé e rearmado o disjuntor.</t>
  </si>
  <si>
    <t xml:space="preserve">BC Caiaponia1SG60KTL(COM1-001)_001_00746074,312546074,312546074,4131944444</t>
  </si>
  <si>
    <t xml:space="preserve">BC Caiaponia1SG60KTL(COM1-002)_001_01046074,312546074,312546074,4131944444</t>
  </si>
  <si>
    <t xml:space="preserve">BC Caiaponia1SG60KTL(COM1-003)_001_01146074,312546074,312546074,4131944444</t>
  </si>
  <si>
    <t xml:space="preserve">BC Caiaponia1SG60KTL(COM1-004)_001_01446074,312546074,312546074,4131944444</t>
  </si>
  <si>
    <t xml:space="preserve">BC Caiaponia1SG60KTL(COM1-005)_001_01746074,312546074,312546074,4131944444</t>
  </si>
  <si>
    <t xml:space="preserve">BC Caiaponia1SG60KTL(COM1-006)_001_01646074,312546074,312546074,4131944444</t>
  </si>
  <si>
    <t xml:space="preserve">BC Caiaponia1SG60KTL(COM1-007)_001_01346074,312546074,312546074,4131944444</t>
  </si>
  <si>
    <t xml:space="preserve">BC Caiaponia1SG60KTL(COM1-008)_001_00146074,312546074,312546074,4131944444</t>
  </si>
  <si>
    <t xml:space="preserve">BC Caiaponia1SG60KTL(COM1-009)46074,312546074,312546074,4131944444</t>
  </si>
  <si>
    <t xml:space="preserve">BC Caiaponia1SG60KTL(COM1-010)46074,312546074,312546074,4131944444</t>
  </si>
  <si>
    <t xml:space="preserve">BC Caiaponia1SG60KTL(COM1-011)46074,312546074,312546074,4131944444</t>
  </si>
  <si>
    <t xml:space="preserve">BC Caiaponia1SG60KTL(COM1-012)46074,312546074,312546074,4131944444</t>
  </si>
  <si>
    <t xml:space="preserve">BC Caiaponia1SG60KTL(COM1-013)46074,312546074,312546074,4131944444</t>
  </si>
  <si>
    <t xml:space="preserve">BC Caiaponia1SG60KTL(COM1-014)46074,312546074,312546074,4131944444</t>
  </si>
  <si>
    <t xml:space="preserve">BC Caiaponia1SG60KTL(COM1-015)46074,312546074,312546074,4131944444</t>
  </si>
  <si>
    <t xml:space="preserve">BC Caiaponia1SG60KTL(COM3-016)_001_00946074,312546074,312546074,4131944444</t>
  </si>
  <si>
    <t xml:space="preserve">BC Caiaponia1SG60KTL(COM3-017)_001_01246074,312546074,312546074,4131944444</t>
  </si>
  <si>
    <t xml:space="preserve">BC Caiaponia1SG60KTL(COM3-018)_001_00846074,312546074,312546074,4131944444</t>
  </si>
  <si>
    <t xml:space="preserve">BC Caiaponia1SG60KTL(COM3-019)_001_01946074,312546074,312546074,4131944444</t>
  </si>
  <si>
    <t xml:space="preserve">BC Caiaponia1SG60KTL(COM3-020)_001_02046074,312546074,312546074,4131944444</t>
  </si>
  <si>
    <t xml:space="preserve">BC Caiaponia1SG60KTL(COM2-026)46074,312546074,312546074,4131944444</t>
  </si>
  <si>
    <t xml:space="preserve">BC Caiaponia1SG60KTL(COM2-027)46074,312546074,312546074,4131944444</t>
  </si>
  <si>
    <t xml:space="preserve">BC Caiaponia1SG60KTL(COM2-028)46074,312546074,312546074,4131944444</t>
  </si>
  <si>
    <t xml:space="preserve">BC Caiaponia1SG60KTL(COM2-029)46074,312546074,312546074,4131944444</t>
  </si>
  <si>
    <t xml:space="preserve">BC Caiaponia1SG50CX(COM1-021)46074,312546074,312546074,4131944444</t>
  </si>
  <si>
    <t xml:space="preserve">BC Caiaponia1SG50CX(COM1-022)46074,312546074,312546074,4131944444</t>
  </si>
  <si>
    <t xml:space="preserve">BC Caiaponia1SG50CX(COM1-023)46074,312546074,312546074,4131944444</t>
  </si>
  <si>
    <t xml:space="preserve">BC Caiaponia1SG50CX(COM1-024)46074,312546074,312546074,4131944444</t>
  </si>
  <si>
    <t xml:space="preserve">BC Caiaponia1SG50CX(COM1-025)46074,312546074,312546074,4131944444</t>
  </si>
  <si>
    <t xml:space="preserve">BC Caiaponia2.1215KTL-H3(MBUS-12)46074,312546074,312546074,4131944444</t>
  </si>
  <si>
    <t xml:space="preserve">BC Caiaponia2.1215KTL-H3(MBUS-13)46074,312546074,312546074,4131944444</t>
  </si>
  <si>
    <t xml:space="preserve">BC Caiaponia2.1215KTL-H3(MBUS-14)46074,312546074,312546074,4131944444</t>
  </si>
  <si>
    <t xml:space="preserve">BC Caiaponia2.1215KTL-H3(MBUS-15)46074,312546074,312546074,4131944444</t>
  </si>
  <si>
    <t xml:space="preserve">BC Caiaponia2.1215KTL-H3(MBUS-16)46074,312546074,312546074,4131944444</t>
  </si>
  <si>
    <t xml:space="preserve">BC Caiaponia2.2215KTL-H3(MBUS-12)46074,312546074,312546074,4131944444</t>
  </si>
  <si>
    <t xml:space="preserve">BC Caiaponia2.2215KTL-H3(MBUS-13)46074,312546074,312546074,4131944444</t>
  </si>
  <si>
    <t xml:space="preserve">BC Caiaponia2.2215KTL-H3(MBUS-14)46074,312546074,312546074,4131944444</t>
  </si>
  <si>
    <t xml:space="preserve">BC Caiaponia2.2215KTL-H3(MBUS-15)46074,312546074,312546074,4131944444</t>
  </si>
  <si>
    <t xml:space="preserve">BC Caiaponia2.2215KTL-H3(MBUS-16)46074,312546074,312546074,4131944444</t>
  </si>
  <si>
    <t xml:space="preserve">BC Caiaponia2.3215KTL-H3(MBUS-12)46074,312546074,312546074,4131944444</t>
  </si>
  <si>
    <t xml:space="preserve">BC Caiaponia2.3215KTL-H3(MBUS-13)46074,312546074,312546074,4131944444</t>
  </si>
  <si>
    <t xml:space="preserve">BC Caiaponia2.3215KTL-H3(MBUS-14)46074,312546074,312546074,4131944444</t>
  </si>
  <si>
    <t xml:space="preserve">BC Caiaponia2.3215KTL-H3(MBUS-15)46074,312546074,312546074,4131944444</t>
  </si>
  <si>
    <t xml:space="preserve">BC Caiaponia2.3215KTL-H3(MBUS-16)46074,312546074,312546074,4131944444</t>
  </si>
  <si>
    <t xml:space="preserve">O inversor Inverter(MBUS-1) 6T24A9047135 está off-line. Falha de comunicação no sistema, porém usina está gerando.</t>
  </si>
  <si>
    <t xml:space="preserve">Foi resetado o erro no sistema e logo o inversor voltou a geração normal.</t>
  </si>
  <si>
    <t xml:space="preserve">BC Camarao1.2Inverter(MBUS-1)46074,371527777846074,371527777846074,4680555556</t>
  </si>
  <si>
    <t xml:space="preserve">Falha de comunicação com a internet</t>
  </si>
  <si>
    <t xml:space="preserve">Foi feito inspeção geral nos skids UFV 1 e 2, Não houve atuação do relé. Tendo isso em vista verificou-se que haviam conectores RJ-45 mal conectados portanto, os mesmos foram reconectados e os conversores reiniciados.</t>
  </si>
  <si>
    <t xml:space="preserve">BC Ibiuna 1.1Inverter(MBUS-12)46074,510416666746074,510416666746074,60625</t>
  </si>
  <si>
    <t xml:space="preserve">BC Ibiuna 1.1Inverter(MBUS-13)46074,510416666746074,510416666746074,60625</t>
  </si>
  <si>
    <t xml:space="preserve">BC Ibiuna 1.1Inverter(MBUS-14)46074,510416666746074,510416666746074,60625</t>
  </si>
  <si>
    <t xml:space="preserve">BC Ibiuna 1.1Inverter(MBUS-15)46074,510416666746074,510416666746074,60625</t>
  </si>
  <si>
    <t xml:space="preserve">BC Ibiuna 1.2Inverter(MBUS-12)46074,510416666746074,510416666746074,60625</t>
  </si>
  <si>
    <t xml:space="preserve">BC Ibiuna 1.2Inverter(MBUS-13)46074,510416666746074,510416666746074,60625</t>
  </si>
  <si>
    <t xml:space="preserve">BC Ibiuna 1.2Inverter(MBUS-14)46074,510416666746074,510416666746074,60625</t>
  </si>
  <si>
    <t xml:space="preserve">BC Ibiuna 1.2Inverter(MBUS-15)46074,510416666746074,510416666746074,60625</t>
  </si>
  <si>
    <t xml:space="preserve">Foi identificado pelo supervisório que o inversor 16 SG60KTL A1912210182 está off-line. (trip no disjuntor)</t>
  </si>
  <si>
    <t xml:space="preserve">Foi realizada inspeção no sistema, não sendo identificadas anomalias. O disjuntor foi rearmado e a geração do inversor foi normalizada.</t>
  </si>
  <si>
    <t xml:space="preserve">BC Vazante1.2Inverter 1646074,604166666746074,604166666746074,7395833333</t>
  </si>
  <si>
    <t xml:space="preserve">Inversores e CFTV offline por falta de internet.</t>
  </si>
  <si>
    <t xml:space="preserve">Foi reiniciado os roteadores e depois acionar o provedor de internet que normalizou a conexão.</t>
  </si>
  <si>
    <t xml:space="preserve">BC Varjao2.1215KTL-H0(MBUS-12)46074,614583333346074,614583333346074,6875</t>
  </si>
  <si>
    <t xml:space="preserve">BC Varjao2.1215KTL-H0(MBUS-13)46074,614583333346074,614583333346074,6875</t>
  </si>
  <si>
    <t xml:space="preserve">BC Varjao2.1215KTL-H0(MBUS-14)46074,614583333346074,614583333346074,6875</t>
  </si>
  <si>
    <t xml:space="preserve">BC Varjao2.1215KTL-H0(MBUS-15)46074,614583333346074,614583333346074,6875</t>
  </si>
  <si>
    <t xml:space="preserve">BC Varjao2.1215KTL-H0(MBUS-16)46074,614583333346074,614583333346074,6875</t>
  </si>
  <si>
    <t xml:space="preserve">BC Varjao2.2215KTL-H0(MBUS-13)46074,614583333346074,614583333346074,6875</t>
  </si>
  <si>
    <t xml:space="preserve">BC Varjao2.2215KTL-H0(MBUS-14)46074,614583333346074,614583333346074,6875</t>
  </si>
  <si>
    <t xml:space="preserve">BC Varjao2.2215KTL-H0(MBUS-15)46074,614583333346074,614583333346074,6875</t>
  </si>
  <si>
    <t xml:space="preserve">BC Varjao2.2215KTL-H0(MBUS-16)46074,614583333346074,614583333346074,6875</t>
  </si>
  <si>
    <t xml:space="preserve">BC Varjao2.2215KTL-H0(MBUS-12)46074,614583333346074,614583333346074,6875</t>
  </si>
  <si>
    <t xml:space="preserve">BC Varjao2.3100KTL-H1(MBUS-1)46074,614583333346074,614583333346074,6875</t>
  </si>
  <si>
    <t xml:space="preserve">BC Varjao2.3215KTL-H0(MBUS-13)46074,614583333346074,614583333346074,6875</t>
  </si>
  <si>
    <t xml:space="preserve">BC Varjao2.3215KTL-H0(MBUS-12)46074,614583333346074,614583333346074,6875</t>
  </si>
  <si>
    <t xml:space="preserve">Relé geral atuando nas funções 50N e 86Q</t>
  </si>
  <si>
    <t xml:space="preserve">Inspecionado todo complexo, reset no relé geral e CFTV e rearmado os disjuntores geral, UFV e CFTV normalizado </t>
  </si>
  <si>
    <t xml:space="preserve">ARAGUATINS 1.1Inverter(MBUS-12)46074,929166666746074,929166666746075,0104166667</t>
  </si>
  <si>
    <t xml:space="preserve">ARAGUATINS 1.1Inverter(MBUS-13)46074,929166666746074,929166666746075,0104166667</t>
  </si>
  <si>
    <t xml:space="preserve">ARAGUATINS 1.1Inverter(MBUS-14)46074,929166666746074,929166666746075,0104166667</t>
  </si>
  <si>
    <t xml:space="preserve">ARAGUATINS 1.1Inverter(MBUS-15)46074,929166666746074,929166666746075,0104166667</t>
  </si>
  <si>
    <t xml:space="preserve">ARAGUATINS 1.2Inverter(MBUS-12)46074,929166666746074,929166666746075,0104166667</t>
  </si>
  <si>
    <t xml:space="preserve">ARAGUATINS 1.2Inverter(MBUS-13)46074,929166666746074,929166666746075,0104166667</t>
  </si>
  <si>
    <t xml:space="preserve">ARAGUATINS 1.2Inverter(MBUS-14)46074,929166666746074,929166666746075,0104166667</t>
  </si>
  <si>
    <t xml:space="preserve">ARAGUATINS 1.2Inverter(MBUS-15)46074,929166666746074,929166666746075,0104166667</t>
  </si>
  <si>
    <t xml:space="preserve">ARAGUATINS 1.3Inverter(MBUS-20)46074,929166666746074,929166666746075,0104166667</t>
  </si>
  <si>
    <t xml:space="preserve">ARAGUATINS 1.3Inverter(MBUS-1)46074,929166666746074,929166666746075,0104166667</t>
  </si>
  <si>
    <t xml:space="preserve">ARAGUATINS 2.1Inverter(MBUS-12)46074,929166666746074,929166666746075,0104166667</t>
  </si>
  <si>
    <t xml:space="preserve">ARAGUATINS 2.1Inverter(MBUS-15)46074,929166666746074,929166666746075,0104166667</t>
  </si>
  <si>
    <t xml:space="preserve">ARAGUATINS 2.1Inverter(MBUS-14)46074,929166666746074,929166666746075,0104166667</t>
  </si>
  <si>
    <t xml:space="preserve">ARAGUATINS 2.1Inverter(MBUS-1)46074,929166666746074,929166666746075,0104166667</t>
  </si>
  <si>
    <t xml:space="preserve">ARAGUATINS 2.2Inverter(MBUS-15)46074,929166666746074,929166666746075,0104166667</t>
  </si>
  <si>
    <t xml:space="preserve">ARAGUATINS 2.2Inverter(MBUS-13)46074,929166666746074,929166666746075,0104166667</t>
  </si>
  <si>
    <t xml:space="preserve">ARAGUATINS 2.2Inverter(MBUS-14)46074,929166666746074,929166666746075,0104166667</t>
  </si>
  <si>
    <t xml:space="preserve">ARAGUATINS 2.2Inverter(MBUS-12)46074,929166666746074,929166666746075,0104166667</t>
  </si>
  <si>
    <t xml:space="preserve">ARAGUATINS 2.3Inverter(MBUS-12)46074,929166666746074,929166666746075,0104166667</t>
  </si>
  <si>
    <t xml:space="preserve">ARAGUATINS 2.3Inverter(MBUS-13)46074,929166666746074,929166666746075,0104166667</t>
  </si>
  <si>
    <t xml:space="preserve">Falha no fornecimento de energia por parte da concessionária, ocasionando o desarme do disjuntor geral de formoso 2.</t>
  </si>
  <si>
    <t xml:space="preserve">Foi feita uma inspenção e nenhuma anomalia encontrada, então foi feito o reset do relé de proteção e rearmado o disjuntor</t>
  </si>
  <si>
    <t xml:space="preserve">BC Formoso2.1Inverter(MBUS-12)46075,1062546075,1062546075,6423611111</t>
  </si>
  <si>
    <t xml:space="preserve">BC Formoso2.1Inverter(MBUS-14)46075,1062546075,1062546075,6423611111</t>
  </si>
  <si>
    <t xml:space="preserve">BC Formoso2.1Inverter(MBUS-13)46075,1062546075,1062546075,6423611111</t>
  </si>
  <si>
    <t xml:space="preserve">BC Formoso2.1Inverter(MBUS-1)46075,1062546075,1062546075,6423611111</t>
  </si>
  <si>
    <t xml:space="preserve">BC Formoso2.2Inverter(MBUS-14)46075,1062546075,1062546075,6423611111</t>
  </si>
  <si>
    <t xml:space="preserve">BC Formoso2.2Inverter(MBUS-13)46075,1062546075,1062546075,6423611111</t>
  </si>
  <si>
    <t xml:space="preserve">BC Formoso2.2Inverter(MBUS-12)46075,1062546075,1062546075,6423611111</t>
  </si>
  <si>
    <t xml:space="preserve">BC Formoso2.2Inverter(MBUS-1)46075,1062546075,1062546075,6423611111</t>
  </si>
  <si>
    <t xml:space="preserve">BC Formoso2.3Inverter(MBUS-13)46075,1062546075,1062546075,6423611111</t>
  </si>
  <si>
    <t xml:space="preserve">BC Formoso2.3Inverter(MBUS-12)46075,1062546075,1062546075,6423611111</t>
  </si>
  <si>
    <t xml:space="preserve">Araçu I</t>
  </si>
  <si>
    <t xml:space="preserve">Baixa resistência de isolamento do sist.</t>
  </si>
  <si>
    <t xml:space="preserve">Anomalia no arranjo FV</t>
  </si>
  <si>
    <t xml:space="preserve">Não Aplicável</t>
  </si>
  <si>
    <t xml:space="preserve">A UFV apresentou alarme de baixa resistência de isolamento, ocasionando a interrupção momentânea da geração. Posteriormente, o sistema restabeleceu a comunicação de forma automática, com todos os inversores retornando ao funcionamento normal, sem necessidade de intervenção técnica.</t>
  </si>
  <si>
    <t xml:space="preserve">BC Aracu1Inverter7146075,319444444446075,319444444446075,3472222222</t>
  </si>
  <si>
    <t xml:space="preserve">BC Aracu1Inverter7246075,319444444446075,319444444446075,3472222222</t>
  </si>
  <si>
    <t xml:space="preserve">BC Aracu1Inverter7346075,319444444446075,319444444446075,3472222222</t>
  </si>
  <si>
    <t xml:space="preserve">BC Aracu1Inverter7446075,319444444446075,319444444446075,3472222222</t>
  </si>
  <si>
    <t xml:space="preserve">BC Aracu1Inverter7546075,319444444446075,319444444446075,3472222222</t>
  </si>
  <si>
    <t xml:space="preserve">BC Aracu1Inverter7646075,319444444446075,319444444446075,3472222222</t>
  </si>
  <si>
    <t xml:space="preserve">BC Aracu1Inverter7746075,319444444446075,319444444446075,3472222222</t>
  </si>
  <si>
    <t xml:space="preserve">O inversor 1 da UFV Corumbá 2.2 apresentou falha. Durante a verificação, foi constatada instabilidade no funcionamento do equipamento.</t>
  </si>
  <si>
    <t xml:space="preserve">Foi executado reset físico do equipamento, com a desconexão das strings e o desligamento dos disjuntores CA e CC. Após aguardar 15 minutos, realizou-se a religação de todos os componentes, resultando na normalização do funcionamento do equipamento.</t>
  </si>
  <si>
    <t xml:space="preserve">BC Corumba2.2U02.I0146075,417361111146075,417361111146075,4604166667</t>
  </si>
  <si>
    <t xml:space="preserve">Foi indentificado pelo supervisório que o inversor 12 está off-line. (trip no disjuntor)</t>
  </si>
  <si>
    <t xml:space="preserve">Foi realizada uma inspenção e não indentificado anomalias. O disjuntor foi rearmado e a geração no inversor normalizada</t>
  </si>
  <si>
    <t xml:space="preserve">BCVazante1.1Inverter1246075,527777777846075,527777777846075,6944444444</t>
  </si>
  <si>
    <t xml:space="preserve">Relé geral atuando nas funções 86, 27B</t>
  </si>
  <si>
    <t xml:space="preserve">Realizada a inspenção completa não sendo indentificado nenhuma anomalia em seguida foi efetuado o reset no relé de proteção e o rearme do disjuntor geral com normalização da ufv, normalizada com sucesso.</t>
  </si>
  <si>
    <t xml:space="preserve">BC Aracu5.1Inverter(MBUS-1)46075,638888888946075,638888888946075,6645833333</t>
  </si>
  <si>
    <t xml:space="preserve">BC Aracu5.3Inverter(MBUS-1)46075,638888888946075,638888888946075,6645833333</t>
  </si>
  <si>
    <t xml:space="preserve">BC Aracu5.4Inverter(MBUS-1)46075,638888888946075,638888888946075,6645833333</t>
  </si>
  <si>
    <t xml:space="preserve">BC Aracu5.5Inverter(MBUS-1)46075,638888888946075,638888888946075,6645833333</t>
  </si>
  <si>
    <t xml:space="preserve">Queda de energia na UFV, sem apresentar falha no relé</t>
  </si>
  <si>
    <t xml:space="preserve">Inspecionado visualmente todo complexo, rearmado disjuntor, UFV normalizado com sucesso </t>
  </si>
  <si>
    <t xml:space="preserve">ARAGUATINS 2.1Inverter(MBUS-12)46076,403472222246076,403472222246076,4201388889</t>
  </si>
  <si>
    <t xml:space="preserve">ARAGUATINS 2.1Inverter(MBUS-15)46076,403472222246076,403472222246076,4201388889</t>
  </si>
  <si>
    <t xml:space="preserve">ARAGUATINS 2.1Inverter(MBUS-14)46076,403472222246076,403472222246076,4201388889</t>
  </si>
  <si>
    <t xml:space="preserve">ARAGUATINS 2.1Inverter(MBUS-1)46076,403472222246076,403472222246076,4201388889</t>
  </si>
  <si>
    <t xml:space="preserve">Foi identificado pelo supervisório que o inversor  Inverter(MBUS-1) 6T24A9047135 está com alarme ativo de Baixa impedância de isolamento (2062) e Corrente residual anormal (2051).</t>
  </si>
  <si>
    <t xml:space="preserve">Após a identificação dos alarmes de Baixa impedância de isolamento (2062) e Corrente residual anormal (2051), foi realizada inspeção nas strings do equipamento, sendo constatado cabo rompido na string 3.3 do Tracker 40 (cliente 1.2). Efetuado o reparo e a recomposição da string, com posterior normalização dos parâmetros elétricos e restabelecimento da geração.</t>
  </si>
  <si>
    <t xml:space="preserve">BC Camarao1.2Inverter(MBUS-1)46076,551388888946076,551388888946076,7506944444</t>
  </si>
  <si>
    <t xml:space="preserve">Interrupção da internet devido a dano cabo de rede, ocasionando câmeras fora de operação.</t>
  </si>
  <si>
    <t xml:space="preserve">Foi instalado um eletroduto para proteção da infraestrutura e realizada a substituição do cabo de rede pelo provedor. Após a troca, a conexão foi restabelecida e o sistema normalizado.</t>
  </si>
  <si>
    <t xml:space="preserve">BC Varjao2.1215KTL-H0(MBUS-12)46076,673611111146076,673611111146077,4375</t>
  </si>
  <si>
    <t xml:space="preserve">BC Varjao2.1215KTL-H0(MBUS-13)46076,673611111146076,673611111146077,4375</t>
  </si>
  <si>
    <t xml:space="preserve">BC Varjao2.1215KTL-H0(MBUS-14)46076,673611111146076,673611111146077,4375</t>
  </si>
  <si>
    <t xml:space="preserve">BC Varjao2.1215KTL-H0(MBUS-15)46076,673611111146076,673611111146077,4375</t>
  </si>
  <si>
    <t xml:space="preserve">BC Varjao2.1215KTL-H0(MBUS-16)46076,673611111146076,673611111146077,4375</t>
  </si>
  <si>
    <t xml:space="preserve">BC Varjao2.2215KTL-H0(MBUS-13)46076,673611111146076,673611111146077,4375</t>
  </si>
  <si>
    <t xml:space="preserve">BC Varjao2.2215KTL-H0(MBUS-14)46076,673611111146076,673611111146077,4375</t>
  </si>
  <si>
    <t xml:space="preserve">BC Varjao2.2215KTL-H0(MBUS-15)46076,673611111146076,673611111146077,4375</t>
  </si>
  <si>
    <t xml:space="preserve">BC Varjao2.2215KTL-H0(MBUS-16)46076,673611111146076,673611111146077,4375</t>
  </si>
  <si>
    <t xml:space="preserve">BC Varjao2.2215KTL-H0(MBUS-12)46076,673611111146076,673611111146077,4375</t>
  </si>
  <si>
    <t xml:space="preserve">BC Varjao2.3100KTL-H1(MBUS-1)46076,673611111146076,673611111146077,4375</t>
  </si>
  <si>
    <t xml:space="preserve">BC Varjao2.3215KTL-H0(MBUS-13)46076,673611111146076,673611111146077,4375</t>
  </si>
  <si>
    <t xml:space="preserve">BC Varjao2.3215KTL-H0(MBUS-12)46076,673611111146076,673611111146077,4375</t>
  </si>
  <si>
    <t xml:space="preserve">Relé geral atuando nas função 27ABC</t>
  </si>
  <si>
    <t xml:space="preserve">Foi realizada inspeção no complexo, não sendo identificada nenhuma anomalia. Em seguida, foi efetuado o reset dos relés de proteção e realizado o fechamento dos disjuntores, restabelecendo a operação do sistema.</t>
  </si>
  <si>
    <t xml:space="preserve">BC Caiaponia1SG60KTL(COM1-001)_001_00746077,291666666746077,291666666746077,3333333333</t>
  </si>
  <si>
    <t xml:space="preserve">BC Caiaponia1SG60KTL(COM1-002)_001_01046077,291666666746077,291666666746077,3333333333</t>
  </si>
  <si>
    <t xml:space="preserve">BC Caiaponia1SG60KTL(COM1-003)_001_01146077,291666666746077,291666666746077,3333333333</t>
  </si>
  <si>
    <t xml:space="preserve">BC Caiaponia1SG60KTL(COM1-004)_001_01446077,291666666746077,291666666746077,3333333333</t>
  </si>
  <si>
    <t xml:space="preserve">BC Caiaponia1SG60KTL(COM1-005)_001_01746077,291666666746077,291666666746077,3333333333</t>
  </si>
  <si>
    <t xml:space="preserve">BC Caiaponia1SG60KTL(COM1-006)_001_01646077,291666666746077,291666666746077,3333333333</t>
  </si>
  <si>
    <t xml:space="preserve">BC Caiaponia1SG60KTL(COM1-007)_001_01346077,291666666746077,291666666746077,3333333333</t>
  </si>
  <si>
    <t xml:space="preserve">BC Caiaponia1SG60KTL(COM1-008)_001_00146077,291666666746077,291666666746077,3333333333</t>
  </si>
  <si>
    <t xml:space="preserve">BC Caiaponia1SG60KTL(COM1-009)46077,291666666746077,291666666746077,3333333333</t>
  </si>
  <si>
    <t xml:space="preserve">BC Caiaponia1SG60KTL(COM1-010)46077,291666666746077,291666666746077,3333333333</t>
  </si>
  <si>
    <t xml:space="preserve">BC Caiaponia1SG60KTL(COM1-011)46077,291666666746077,291666666746077,3333333333</t>
  </si>
  <si>
    <t xml:space="preserve">BC Caiaponia1SG60KTL(COM1-012)46077,291666666746077,291666666746077,3333333333</t>
  </si>
  <si>
    <t xml:space="preserve">BC Caiaponia1SG60KTL(COM1-013)46077,291666666746077,291666666746077,3333333333</t>
  </si>
  <si>
    <t xml:space="preserve">BC Caiaponia1SG60KTL(COM1-014)46077,291666666746077,291666666746077,3333333333</t>
  </si>
  <si>
    <t xml:space="preserve">BC Caiaponia1SG60KTL(COM1-015)46077,291666666746077,291666666746077,3333333333</t>
  </si>
  <si>
    <t xml:space="preserve">BC Caiaponia1SG60KTL(COM3-016)_001_00946077,291666666746077,291666666746077,3333333333</t>
  </si>
  <si>
    <t xml:space="preserve">BC Caiaponia1SG60KTL(COM3-017)_001_01246077,291666666746077,291666666746077,3333333333</t>
  </si>
  <si>
    <t xml:space="preserve">BC Caiaponia1SG60KTL(COM3-018)_001_00846077,291666666746077,291666666746077,3333333333</t>
  </si>
  <si>
    <t xml:space="preserve">BC Caiaponia1SG60KTL(COM3-019)_001_01946077,291666666746077,291666666746077,3333333333</t>
  </si>
  <si>
    <t xml:space="preserve">BC Caiaponia1SG60KTL(COM3-020)_001_02046077,291666666746077,291666666746077,3333333333</t>
  </si>
  <si>
    <t xml:space="preserve">BC Caiaponia1SG60KTL(COM2-026)46077,291666666746077,291666666746077,3333333333</t>
  </si>
  <si>
    <t xml:space="preserve">BC Caiaponia1SG60KTL(COM2-027)46077,291666666746077,291666666746077,3333333333</t>
  </si>
  <si>
    <t xml:space="preserve">BC Caiaponia1SG60KTL(COM2-028)46077,291666666746077,291666666746077,3333333333</t>
  </si>
  <si>
    <t xml:space="preserve">BC Caiaponia1SG60KTL(COM2-029)46077,291666666746077,291666666746077,3333333333</t>
  </si>
  <si>
    <t xml:space="preserve">BC Caiaponia1SG50CX(COM1-021)46077,291666666746077,291666666746077,3333333333</t>
  </si>
  <si>
    <t xml:space="preserve">BC Caiaponia1SG50CX(COM1-022)46077,291666666746077,291666666746077,3333333333</t>
  </si>
  <si>
    <t xml:space="preserve">BC Caiaponia1SG50CX(COM1-023)46077,291666666746077,291666666746077,3333333333</t>
  </si>
  <si>
    <t xml:space="preserve">BC Caiaponia1SG50CX(COM1-024)46077,291666666746077,291666666746077,3333333333</t>
  </si>
  <si>
    <t xml:space="preserve">BC Caiaponia1SG50CX(COM1-025)46077,291666666746077,291666666746077,3333333333</t>
  </si>
  <si>
    <t xml:space="preserve">BC Caiaponia2.1215KTL-H3(MBUS-12)46077,291666666746077,291666666746077,3333333333</t>
  </si>
  <si>
    <t xml:space="preserve">BC Caiaponia2.1215KTL-H3(MBUS-13)46077,291666666746077,291666666746077,3333333333</t>
  </si>
  <si>
    <t xml:space="preserve">BC Caiaponia2.1215KTL-H3(MBUS-14)46077,291666666746077,291666666746077,3333333333</t>
  </si>
  <si>
    <t xml:space="preserve">BC Caiaponia2.1215KTL-H3(MBUS-15)46077,291666666746077,291666666746077,3333333333</t>
  </si>
  <si>
    <t xml:space="preserve">BC Caiaponia2.1215KTL-H3(MBUS-16)46077,291666666746077,291666666746077,3333333333</t>
  </si>
  <si>
    <t xml:space="preserve">BC Caiaponia2.2215KTL-H3(MBUS-12)46077,291666666746077,291666666746077,3333333333</t>
  </si>
  <si>
    <t xml:space="preserve">BC Caiaponia2.2215KTL-H3(MBUS-13)46077,291666666746077,291666666746077,3333333333</t>
  </si>
  <si>
    <t xml:space="preserve">BC Caiaponia2.2215KTL-H3(MBUS-14)46077,291666666746077,291666666746077,3333333333</t>
  </si>
  <si>
    <t xml:space="preserve">BC Caiaponia2.2215KTL-H3(MBUS-15)46077,291666666746077,291666666746077,3333333333</t>
  </si>
  <si>
    <t xml:space="preserve">BC Caiaponia2.2215KTL-H3(MBUS-16)46077,291666666746077,291666666746077,3333333333</t>
  </si>
  <si>
    <t xml:space="preserve">BC Caiaponia2.3215KTL-H3(MBUS-12)46077,291666666746077,291666666746077,3333333333</t>
  </si>
  <si>
    <t xml:space="preserve">BC Caiaponia2.3215KTL-H3(MBUS-13)46077,291666666746077,291666666746077,3333333333</t>
  </si>
  <si>
    <t xml:space="preserve">BC Caiaponia2.3215KTL-H3(MBUS-14)46077,291666666746077,291666666746077,3333333333</t>
  </si>
  <si>
    <t xml:space="preserve">BC Caiaponia2.3215KTL-H3(MBUS-15)46077,291666666746077,291666666746077,3333333333</t>
  </si>
  <si>
    <t xml:space="preserve">BC Caiaponia2.3215KTL-H3(MBUS-16)46077,291666666746077,291666666746077,3333333333</t>
  </si>
  <si>
    <t xml:space="preserve">Ocorreu desligamento geral da UFV Araguatins 1 e 2 após atuação das proteções do relé de proteção nas funções ANSI 67C (sobrecorrente direcional – fase C) e ANSI 86 (bloqueio), ocasionando o desligamento da usina e a indisponibilidade temporária do sistema de CFTV</t>
  </si>
  <si>
    <t xml:space="preserve">Realizada inspeção em todo o complexo. Após verificação das condições operacionais, foi efetuado o reset do relé e o rearme do disjuntor, normalizando tanto a operação da UFV e do sistema de CFTV.</t>
  </si>
  <si>
    <t xml:space="preserve">ARAGUATINS 1.1Inverter(MBUS-12)46077,586111111146077,586111111146077,6284722222</t>
  </si>
  <si>
    <t xml:space="preserve">ARAGUATINS 1.1Inverter(MBUS-13)46077,586111111146077,586111111146077,6284722222</t>
  </si>
  <si>
    <t xml:space="preserve">ARAGUATINS 1.1Inverter(MBUS-14)46077,586111111146077,586111111146077,6284722222</t>
  </si>
  <si>
    <t xml:space="preserve">ARAGUATINS 1.1Inverter(MBUS-15)46077,586111111146077,586111111146077,6284722222</t>
  </si>
  <si>
    <t xml:space="preserve">ARAGUATINS 1.2Inverter(MBUS-12)46077,586111111146077,586111111146077,6284722222</t>
  </si>
  <si>
    <t xml:space="preserve">ARAGUATINS 1.2Inverter(MBUS-13)46077,586111111146077,586111111146077,6284722222</t>
  </si>
  <si>
    <t xml:space="preserve">ARAGUATINS 1.2Inverter(MBUS-14)46077,586111111146077,586111111146077,6284722222</t>
  </si>
  <si>
    <t xml:space="preserve">ARAGUATINS 1.2Inverter(MBUS-15)46077,586111111146077,586111111146077,6284722222</t>
  </si>
  <si>
    <t xml:space="preserve">ARAGUATINS 1.3Inverter(MBUS-20)46077,586111111146077,586111111146077,6284722222</t>
  </si>
  <si>
    <t xml:space="preserve">ARAGUATINS 1.3Inverter(MBUS-1)46077,586111111146077,586111111146077,6284722222</t>
  </si>
  <si>
    <t xml:space="preserve">ARAGUATINS 2.1Inverter(MBUS-12)46077,586111111146077,586111111146077,6284722222</t>
  </si>
  <si>
    <t xml:space="preserve">ARAGUATINS 2.1Inverter(MBUS-15)46077,586111111146077,586111111146077,6284722222</t>
  </si>
  <si>
    <t xml:space="preserve">ARAGUATINS 2.1Inverter(MBUS-14)46077,586111111146077,586111111146077,6284722222</t>
  </si>
  <si>
    <t xml:space="preserve">ARAGUATINS 2.1Inverter(MBUS-1)46077,586111111146077,586111111146077,6284722222</t>
  </si>
  <si>
    <t xml:space="preserve">ARAGUATINS 2.2Inverter(MBUS-15)46077,586111111146077,586111111146077,6284722222</t>
  </si>
  <si>
    <t xml:space="preserve">ARAGUATINS 2.2Inverter(MBUS-13)46077,586111111146077,586111111146077,6284722222</t>
  </si>
  <si>
    <t xml:space="preserve">ARAGUATINS 2.2Inverter(MBUS-14)46077,586111111146077,586111111146077,6284722222</t>
  </si>
  <si>
    <t xml:space="preserve">ARAGUATINS 2.2Inverter(MBUS-12)46077,586111111146077,586111111146077,6284722222</t>
  </si>
  <si>
    <t xml:space="preserve">ARAGUATINS 2.3Inverter(MBUS-12)46077,586111111146077,586111111146077,6284722222</t>
  </si>
  <si>
    <t xml:space="preserve">ARAGUATINS 2.3Inverter(MBUS-13)46077,586111111146077,586111111146077,6284722222</t>
  </si>
  <si>
    <t xml:space="preserve">A Usina 2.1 encontra-se temporariamente fora de operação em razão da substituição e reconfiguração do relé térmico do transformador. A equipe técnica está atuando no local para execução do serviço, com previsão de restabelecimento da operação até o final da tarde do dia 25/02</t>
  </si>
  <si>
    <t xml:space="preserve">Foi substituído o relé de temperatura do trafo e realizada a programação. Após isso, foi realizada a manobra de normalização da usina.</t>
  </si>
  <si>
    <t xml:space="preserve">ARAGUATINS 2.1Inverter(MBUS-15)46077,709027777846077,709027777846079,5243055556</t>
  </si>
  <si>
    <t xml:space="preserve">ARAGUATINS 2.1Inverter(MBUS-14)46077,709027777846077,709027777846079,5243055556</t>
  </si>
  <si>
    <t xml:space="preserve">ARAGUATINS 2.1Inverter(MBUS-1)46077,709027777846077,709027777846079,5243055556</t>
  </si>
  <si>
    <t xml:space="preserve">BC Aracu4SG75CX(COM1-018)_001_01846077,868055555646077,868055555646077,8972222222</t>
  </si>
  <si>
    <t xml:space="preserve">BC Aracu4SG75CX(COM1-019)_001_01946077,868055555646077,868055555646077,8972222222</t>
  </si>
  <si>
    <t xml:space="preserve">BC Aracu4SG75CX(COM1-020)_001_02046077,868055555646077,868055555646077,8972222222</t>
  </si>
  <si>
    <t xml:space="preserve">BC Aracu4SG75CX(COM1-021)_001_02146077,868055555646077,868055555646077,8972222222</t>
  </si>
  <si>
    <t xml:space="preserve">Queda de energia na UFV atuando os relés 81/86</t>
  </si>
  <si>
    <t xml:space="preserve">BC Aracu5.1Inverter(MBUS-1)46077,868055555646077,868055555646077,8972222222</t>
  </si>
  <si>
    <t xml:space="preserve">BC Aracu5.3Inverter(MBUS-1)46077,868055555646077,868055555646077,8972222222</t>
  </si>
  <si>
    <t xml:space="preserve">BC Aracu5.4Inverter(MBUS-1)46077,868055555646077,868055555646077,8972222222</t>
  </si>
  <si>
    <t xml:space="preserve">BC Aracu5.5Inverter(MBUS-1)46077,868055555646077,868055555646077,8972222222</t>
  </si>
  <si>
    <t xml:space="preserve">Relé atuou nas funções 27B, 50N e 86Q</t>
  </si>
  <si>
    <t xml:space="preserve">Realizada inspeção visualmente em todo complexo, Araguatins l e ll, reset nos relés geral e rearmado os disjuntores geral normalizando a UFV e CFTV </t>
  </si>
  <si>
    <t xml:space="preserve">ARAGUATINS 1.1Inverter(MBUS-12)46077,892361111146077,892361111146078,3555555556</t>
  </si>
  <si>
    <t xml:space="preserve">ARAGUATINS 1.1Inverter(MBUS-13)46077,892361111146077,892361111146078,3555555556</t>
  </si>
  <si>
    <t xml:space="preserve">ARAGUATINS 1.1Inverter(MBUS-14)46077,892361111146077,892361111146078,3555555556</t>
  </si>
  <si>
    <t xml:space="preserve">ARAGUATINS 1.1Inverter(MBUS-15)46077,892361111146077,892361111146078,3555555556</t>
  </si>
  <si>
    <t xml:space="preserve">ARAGUATINS 1.2Inverter(MBUS-12)46077,892361111146077,892361111146078,3555555556</t>
  </si>
  <si>
    <t xml:space="preserve">ARAGUATINS 1.2Inverter(MBUS-13)46077,892361111146077,892361111146078,3555555556</t>
  </si>
  <si>
    <t xml:space="preserve">ARAGUATINS 1.2Inverter(MBUS-14)46077,892361111146077,892361111146078,3555555556</t>
  </si>
  <si>
    <t xml:space="preserve">ARAGUATINS 1.2Inverter(MBUS-15)46077,892361111146077,892361111146078,3555555556</t>
  </si>
  <si>
    <t xml:space="preserve">ARAGUATINS 1.3Inverter(MBUS-20)46077,892361111146077,892361111146078,3555555556</t>
  </si>
  <si>
    <t xml:space="preserve">ARAGUATINS 1.3Inverter(MBUS-1)46077,892361111146077,892361111146078,3555555556</t>
  </si>
  <si>
    <t xml:space="preserve">Relé atuou nas funções 27ABC</t>
  </si>
  <si>
    <t xml:space="preserve">BC Caiaponia1SG60KTL(COM1-001)_001_00746078,013888888946078,013888888946078,3298611111</t>
  </si>
  <si>
    <t xml:space="preserve">BC Caiaponia1SG60KTL(COM1-002)_001_01046078,013888888946078,013888888946078,3298611111</t>
  </si>
  <si>
    <t xml:space="preserve">BC Caiaponia1SG60KTL(COM1-003)_001_01146078,013888888946078,013888888946078,3298611111</t>
  </si>
  <si>
    <t xml:space="preserve">BC Caiaponia1SG60KTL(COM1-004)_001_01446078,013888888946078,013888888946078,3298611111</t>
  </si>
  <si>
    <t xml:space="preserve">BC Caiaponia1SG60KTL(COM1-005)_001_01746078,013888888946078,013888888946078,3298611111</t>
  </si>
  <si>
    <t xml:space="preserve">BC Caiaponia1SG60KTL(COM1-006)_001_01646078,013888888946078,013888888946078,3298611111</t>
  </si>
  <si>
    <t xml:space="preserve">BC Caiaponia1SG60KTL(COM1-007)_001_01346078,013888888946078,013888888946078,3298611111</t>
  </si>
  <si>
    <t xml:space="preserve">BC Caiaponia1SG60KTL(COM1-008)_001_00146078,013888888946078,013888888946078,3298611111</t>
  </si>
  <si>
    <t xml:space="preserve">BC Caiaponia1SG60KTL(COM1-009)46078,013888888946078,013888888946078,3298611111</t>
  </si>
  <si>
    <t xml:space="preserve">BC Caiaponia1SG60KTL(COM1-010)46078,013888888946078,013888888946078,3298611111</t>
  </si>
  <si>
    <t xml:space="preserve">BC Caiaponia1SG60KTL(COM1-011)46078,013888888946078,013888888946078,3298611111</t>
  </si>
  <si>
    <t xml:space="preserve">BC Caiaponia1SG60KTL(COM1-012)46078,013888888946078,013888888946078,3298611111</t>
  </si>
  <si>
    <t xml:space="preserve">BC Caiaponia1SG60KTL(COM1-013)46078,013888888946078,013888888946078,3298611111</t>
  </si>
  <si>
    <t xml:space="preserve">BC Caiaponia1SG60KTL(COM1-014)46078,013888888946078,013888888946078,3298611111</t>
  </si>
  <si>
    <t xml:space="preserve">BC Caiaponia1SG60KTL(COM1-015)46078,013888888946078,013888888946078,3298611111</t>
  </si>
  <si>
    <t xml:space="preserve">BC Caiaponia1SG60KTL(COM3-016)_001_00946078,013888888946078,013888888946078,3298611111</t>
  </si>
  <si>
    <t xml:space="preserve">BC Caiaponia1SG60KTL(COM3-017)_001_01246078,013888888946078,013888888946078,3298611111</t>
  </si>
  <si>
    <t xml:space="preserve">BC Caiaponia1SG60KTL(COM3-018)_001_00846078,013888888946078,013888888946078,3298611111</t>
  </si>
  <si>
    <t xml:space="preserve">BC Caiaponia1SG60KTL(COM3-019)_001_01946078,013888888946078,013888888946078,3298611111</t>
  </si>
  <si>
    <t xml:space="preserve">BC Caiaponia1SG60KTL(COM3-020)_001_02046078,013888888946078,013888888946078,3298611111</t>
  </si>
  <si>
    <t xml:space="preserve">BC Caiaponia1SG60KTL(COM2-026)46078,013888888946078,013888888946078,3298611111</t>
  </si>
  <si>
    <t xml:space="preserve">BC Caiaponia1SG60KTL(COM2-027)46078,013888888946078,013888888946078,3298611111</t>
  </si>
  <si>
    <t xml:space="preserve">BC Caiaponia1SG60KTL(COM2-028)46078,013888888946078,013888888946078,3298611111</t>
  </si>
  <si>
    <t xml:space="preserve">BC Caiaponia1SG60KTL(COM2-029)46078,013888888946078,013888888946078,3298611111</t>
  </si>
  <si>
    <t xml:space="preserve">BC Caiaponia1SG50CX(COM1-021)46078,013888888946078,013888888946078,3298611111</t>
  </si>
  <si>
    <t xml:space="preserve">BC Caiaponia1SG50CX(COM1-022)46078,013888888946078,013888888946078,3298611111</t>
  </si>
  <si>
    <t xml:space="preserve">BC Caiaponia1SG50CX(COM1-023)46078,013888888946078,013888888946078,3298611111</t>
  </si>
  <si>
    <t xml:space="preserve">BC Caiaponia1SG50CX(COM1-024)46078,013888888946078,013888888946078,3298611111</t>
  </si>
  <si>
    <t xml:space="preserve">BC Caiaponia1SG50CX(COM1-025)46078,013888888946078,013888888946078,3298611111</t>
  </si>
  <si>
    <t xml:space="preserve">BC Caiaponia2.1215KTL-H3(MBUS-12)46078,013888888946078,013888888946078,3298611111</t>
  </si>
  <si>
    <t xml:space="preserve">BC Caiaponia2.1215KTL-H3(MBUS-13)46078,013888888946078,013888888946078,3298611111</t>
  </si>
  <si>
    <t xml:space="preserve">BC Caiaponia2.1215KTL-H3(MBUS-14)46078,013888888946078,013888888946078,3298611111</t>
  </si>
  <si>
    <t xml:space="preserve">BC Caiaponia2.1215KTL-H3(MBUS-15)46078,013888888946078,013888888946078,3298611111</t>
  </si>
  <si>
    <t xml:space="preserve">BC Caiaponia2.1215KTL-H3(MBUS-16)46078,013888888946078,013888888946078,3298611111</t>
  </si>
  <si>
    <t xml:space="preserve">BC Caiaponia2.2215KTL-H3(MBUS-12)46078,013888888946078,013888888946078,3298611111</t>
  </si>
  <si>
    <t xml:space="preserve">BC Caiaponia2.2215KTL-H3(MBUS-13)46078,013888888946078,013888888946078,3298611111</t>
  </si>
  <si>
    <t xml:space="preserve">BC Caiaponia2.2215KTL-H3(MBUS-14)46078,013888888946078,013888888946078,3298611111</t>
  </si>
  <si>
    <t xml:space="preserve">BC Caiaponia2.2215KTL-H3(MBUS-15)46078,013888888946078,013888888946078,3298611111</t>
  </si>
  <si>
    <t xml:space="preserve">BC Caiaponia2.2215KTL-H3(MBUS-16)46078,013888888946078,013888888946078,3298611111</t>
  </si>
  <si>
    <t xml:space="preserve">BC Caiaponia2.3215KTL-H3(MBUS-12)46078,013888888946078,013888888946078,3298611111</t>
  </si>
  <si>
    <t xml:space="preserve">BC Caiaponia2.3215KTL-H3(MBUS-13)46078,013888888946078,013888888946078,3298611111</t>
  </si>
  <si>
    <t xml:space="preserve">BC Caiaponia2.3215KTL-H3(MBUS-14)46078,013888888946078,013888888946078,3298611111</t>
  </si>
  <si>
    <t xml:space="preserve">BC Caiaponia2.3215KTL-H3(MBUS-15)46078,013888888946078,013888888946078,3298611111</t>
  </si>
  <si>
    <t xml:space="preserve">BC Caiaponia2.3215KTL-H3(MBUS-16)46078,013888888946078,013888888946078,3298611111</t>
  </si>
  <si>
    <t xml:space="preserve">Relé atuou nas funções 50N e 86Q</t>
  </si>
  <si>
    <t xml:space="preserve">inspecionado visualmente todo complexo, Araguatins ll , reset nos relés geral e rearmado os disjuntores geral normalizando a UFV e CFTV </t>
  </si>
  <si>
    <t xml:space="preserve">ARAGUATINS 2.2Inverter(MBUS-15)46078,173611111146078,173611111146078,3555555556</t>
  </si>
  <si>
    <t xml:space="preserve">ARAGUATINS 2.2Inverter(MBUS-13)46078,173611111146078,173611111146078,3555555556</t>
  </si>
  <si>
    <t xml:space="preserve">ARAGUATINS 2.2Inverter(MBUS-14)46078,173611111146078,173611111146078,3555555556</t>
  </si>
  <si>
    <t xml:space="preserve">ARAGUATINS 2.2Inverter(MBUS-12)46078,173611111146078,173611111146078,3555555556</t>
  </si>
  <si>
    <t xml:space="preserve">ARAGUATINS 2.3Inverter(MBUS-12)46078,173611111146078,173611111146078,3555555556</t>
  </si>
  <si>
    <t xml:space="preserve">ARAGUATINS 2.3Inverter(MBUS-13)46078,173611111146078,173611111146078,3555555556</t>
  </si>
  <si>
    <t xml:space="preserve">Barra do Garças I</t>
  </si>
  <si>
    <t xml:space="preserve">Indisponibilidade de energia elétrica na rede de distribuição da concessionária na região.</t>
  </si>
  <si>
    <t xml:space="preserve">Foi aberto chamado junto à concessionária de energia para verificação da ocorrência. Após atendimento e atuação da equipe responsável, o fornecimento de energia foi restabelecido, normalizando a operação do sistema</t>
  </si>
  <si>
    <t xml:space="preserve">BC Barra1Inverter__546078,229166666746078,229166666746078,3333333333</t>
  </si>
  <si>
    <t xml:space="preserve">BC Barra1Inverter__146078,229166666746078,229166666746078,3333333333</t>
  </si>
  <si>
    <t xml:space="preserve">Barra do Garças II</t>
  </si>
  <si>
    <t xml:space="preserve">Inverter__4</t>
  </si>
  <si>
    <t xml:space="preserve">BC Barra1Inverter__446078,229166666746078,229166666746078,3333333333</t>
  </si>
  <si>
    <t xml:space="preserve">Inverter__3</t>
  </si>
  <si>
    <t xml:space="preserve">BC Barra1Inverter__346078,229166666746078,229166666746078,3333333333</t>
  </si>
  <si>
    <t xml:space="preserve">Inverter__2</t>
  </si>
  <si>
    <t xml:space="preserve">BC Barra1Inverter__246078,229166666746078,229166666746078,3333333333</t>
  </si>
  <si>
    <t xml:space="preserve">Inverter__7</t>
  </si>
  <si>
    <t xml:space="preserve">BC Barra1Inverter__746078,229166666746078,229166666746078,3333333333</t>
  </si>
  <si>
    <t xml:space="preserve">Barra do Garças III</t>
  </si>
  <si>
    <t xml:space="preserve">Inverter__9</t>
  </si>
  <si>
    <t xml:space="preserve">BC Barra1Inverter__946078,229166666746078,229166666746078,3333333333</t>
  </si>
  <si>
    <t xml:space="preserve">Inverter__8</t>
  </si>
  <si>
    <t xml:space="preserve">BC Barra1Inverter__846078,229166666746078,229166666746078,3333333333</t>
  </si>
  <si>
    <t xml:space="preserve">Inverter__10</t>
  </si>
  <si>
    <t xml:space="preserve">BC Barra1Inverter__1046078,229166666746078,229166666746078,3333333333</t>
  </si>
  <si>
    <t xml:space="preserve">Inverter__6</t>
  </si>
  <si>
    <t xml:space="preserve">BC Barra1Inverter__646078,229166666746078,229166666746078,3333333333</t>
  </si>
  <si>
    <t xml:space="preserve">Relé atuou nas funções 81 e 86</t>
  </si>
  <si>
    <t xml:space="preserve">Foi realizada inspeção completa no complexo, não sendo identificadas anomalias. Em seguida, efetuou-se o reset do relé de proteção e o rearme do disjuntor geral, resultando na normalização da operação da UFV com sucesso.</t>
  </si>
  <si>
    <t xml:space="preserve">BC Aracu5.1Inverter(MBUS-1)46078,546078,546078,5555555556</t>
  </si>
  <si>
    <t xml:space="preserve">BC Aracu5.3Inverter(MBUS-1)46078,546078,546078,5555555556</t>
  </si>
  <si>
    <t xml:space="preserve">BC Aracu5.4Inverter(MBUS-1)46078,546078,546078,5555555556</t>
  </si>
  <si>
    <t xml:space="preserve">BC Aracu5.5Inverter(MBUS-1)46078,546078,546078,5555555556</t>
  </si>
  <si>
    <t xml:space="preserve">Foi indentificado no sistema de supervisório que todos os inversores encontram-se off-line, com alarme ativo de falta de energia na rede. Em inspenção, foi constatado que a chave-faca do poste está aberta</t>
  </si>
  <si>
    <t xml:space="preserve">Após chamados abertos com equatorial a rede da concessionária foi normalizada, e posteriormente a usina</t>
  </si>
  <si>
    <t xml:space="preserve">BC Panama1.1ITAPOAN 001 (COM1-001)_001_00146078,5437546078,5437546078,7875</t>
  </si>
  <si>
    <t xml:space="preserve">BC Panama1.1CEREAL_00246078,5437546078,5437546078,7875</t>
  </si>
  <si>
    <t xml:space="preserve">BC Panama1.1ITAPOAN_00346078,5437546078,5437546078,7875</t>
  </si>
  <si>
    <t xml:space="preserve">BC Panama1.2ART_00446078,5437546078,5437546078,7875</t>
  </si>
  <si>
    <t xml:space="preserve">BC Panama1.2COOGED_00546078,5437546078,5437546078,7875</t>
  </si>
  <si>
    <t xml:space="preserve">BC Panama1.2ART_00646078,5437546078,5437546078,7875</t>
  </si>
  <si>
    <t xml:space="preserve">BC Panama1.2RADIO_00746078,5437546078,5437546078,7875</t>
  </si>
  <si>
    <t xml:space="preserve">Queda de energia na UFV, relé geral atuando na função 67C e 86Q</t>
  </si>
  <si>
    <t xml:space="preserve">Foi feita a inspeção, nenhuma anomalia foi encontrada, então foi feito o reset dos relés e reamado os disjuntores </t>
  </si>
  <si>
    <t xml:space="preserve">ARAGUATINS 1.1Inverter(MBUS-12)46078,565972222246078,565972222246078,60625</t>
  </si>
  <si>
    <t xml:space="preserve">ARAGUATINS 1.1Inverter(MBUS-13)46078,565972222246078,565972222246078,60625</t>
  </si>
  <si>
    <t xml:space="preserve">ARAGUATINS 1.1Inverter(MBUS-14)46078,565972222246078,565972222246078,60625</t>
  </si>
  <si>
    <t xml:space="preserve">ARAGUATINS 1.1Inverter(MBUS-15)46078,565972222246078,565972222246078,60625</t>
  </si>
  <si>
    <t xml:space="preserve">ARAGUATINS 1.2Inverter(MBUS-12)46078,565972222246078,565972222246078,60625</t>
  </si>
  <si>
    <t xml:space="preserve">ARAGUATINS 1.2Inverter(MBUS-13)46078,565972222246078,565972222246078,60625</t>
  </si>
  <si>
    <t xml:space="preserve">ARAGUATINS 1.2Inverter(MBUS-14)46078,565972222246078,565972222246078,60625</t>
  </si>
  <si>
    <t xml:space="preserve">ARAGUATINS 1.2Inverter(MBUS-15)46078,565972222246078,565972222246078,60625</t>
  </si>
  <si>
    <t xml:space="preserve">ARAGUATINS 1.3Inverter(MBUS-20)46078,565972222246078,565972222246078,60625</t>
  </si>
  <si>
    <t xml:space="preserve">ARAGUATINS 1.3Inverter(MBUS-1)46078,565972222246078,565972222246078,60625</t>
  </si>
  <si>
    <t xml:space="preserve">Relé atuou nas funções 59N</t>
  </si>
  <si>
    <t xml:space="preserve">BC Formoso2.1Inverter(MBUS-12)46078,569444444446078,569444444446078,6180555556</t>
  </si>
  <si>
    <t xml:space="preserve">BC Formoso2.1Inverter(MBUS-14)46078,569444444446078,569444444446078,6180555556</t>
  </si>
  <si>
    <t xml:space="preserve">BC Formoso2.1Inverter(MBUS-13)46078,569444444446078,569444444446078,6180555556</t>
  </si>
  <si>
    <t xml:space="preserve">BC Formoso2.1Inverter(MBUS-1)46078,569444444446078,569444444446078,6180555556</t>
  </si>
  <si>
    <t xml:space="preserve">BC Formoso2.2Inverter(MBUS-14)46078,569444444446078,569444444446078,6180555556</t>
  </si>
  <si>
    <t xml:space="preserve">BC Formoso2.2Inverter(MBUS-13)46078,569444444446078,569444444446078,6180555556</t>
  </si>
  <si>
    <t xml:space="preserve">BC Formoso2.2Inverter(MBUS-12)46078,569444444446078,569444444446078,6180555556</t>
  </si>
  <si>
    <t xml:space="preserve">BC Formoso2.2Inverter(MBUS-1)46078,569444444446078,569444444446078,6180555556</t>
  </si>
  <si>
    <t xml:space="preserve">BC Formoso2.3Inverter(MBUS-13)46078,569444444446078,569444444446078,6180555556</t>
  </si>
  <si>
    <t xml:space="preserve">BC Formoso2.3Inverter(MBUS-12)46078,569444444446078,569444444446078,6180555556</t>
  </si>
  <si>
    <t xml:space="preserve">Falha de Comunicação</t>
  </si>
  <si>
    <t xml:space="preserve">BC Bom SucessoSG60KTL46079,261805555646079,261805555646079,2763888889</t>
  </si>
  <si>
    <t xml:space="preserve">BC Bom SucessoI46079,261805555646079,261805555646079,2763888889</t>
  </si>
  <si>
    <t xml:space="preserve">BC Bom SucessoG46079,261805555646079,261805555646079,2763888889</t>
  </si>
  <si>
    <t xml:space="preserve">BC Bom SucessoK46079,261805555646079,261805555646079,2763888889</t>
  </si>
  <si>
    <t xml:space="preserve">BC Bom SucessoH46079,261805555646079,261805555646079,2763888889</t>
  </si>
  <si>
    <t xml:space="preserve">BC Bom SucessoF46079,261805555646079,261805555646079,2763888889</t>
  </si>
  <si>
    <t xml:space="preserve">BC Bom SucessoD46079,261805555646079,261805555646079,2763888889</t>
  </si>
  <si>
    <t xml:space="preserve">BC Bom SucessoE46079,261805555646079,261805555646079,2763888889</t>
  </si>
  <si>
    <t xml:space="preserve">BC Bom SucessoC46079,261805555646079,261805555646079,2763888889</t>
  </si>
  <si>
    <t xml:space="preserve">BC Bom SucessoB46079,261805555646079,261805555646079,2763888889</t>
  </si>
  <si>
    <t xml:space="preserve">BC Bom SucessoA46079,261805555646079,261805555646079,2763888889</t>
  </si>
  <si>
    <t xml:space="preserve">BC Bom SucessoJ46079,261805555646079,261805555646079,2763888889</t>
  </si>
  <si>
    <t xml:space="preserve">Realizar a inspeção mensal no transformador e cabine de média tensão (MPCA).</t>
  </si>
  <si>
    <t xml:space="preserve">Foi realizada a inspeção no transformador e cabine de média tensão</t>
  </si>
  <si>
    <t xml:space="preserve">BC Barra1Inverter__546079,393055555646079,393055555646079,4791666667</t>
  </si>
  <si>
    <t xml:space="preserve">BC Barra1Inverter__146079,393055555646079,393055555646079,4791666667</t>
  </si>
  <si>
    <t xml:space="preserve">BC Barra1Inverter__446079,393055555646079,393055555646079,4791666667</t>
  </si>
  <si>
    <t xml:space="preserve">BC Barra1Inverter__346079,393055555646079,393055555646079,4791666667</t>
  </si>
  <si>
    <t xml:space="preserve">BC Barra1Inverter__246079,393055555646079,393055555646079,4791666667</t>
  </si>
  <si>
    <t xml:space="preserve">BC Barra1Inverter__746079,393055555646079,393055555646079,4791666667</t>
  </si>
  <si>
    <t xml:space="preserve">BC Barra1Inverter__946079,393055555646079,393055555646079,4791666667</t>
  </si>
  <si>
    <t xml:space="preserve">BC Barra1Inverter__846079,393055555646079,393055555646079,4791666667</t>
  </si>
  <si>
    <t xml:space="preserve">BC Barra1Inverter__1046079,393055555646079,393055555646079,4791666667</t>
  </si>
  <si>
    <t xml:space="preserve">BC Barra1Inverter__646079,393055555646079,393055555646079,4791666667</t>
  </si>
  <si>
    <t xml:space="preserve">Foi feita a reconfiguração na smart logger e normalizado a comunicação</t>
  </si>
  <si>
    <t xml:space="preserve">BC Formoso1.1Inverter(MBUS-13)46079,576388888946079,576388888946079,6159722222</t>
  </si>
  <si>
    <t xml:space="preserve">BC Formoso1.1Inverter(MBUS-12)46079,576388888946079,576388888946079,6159722222</t>
  </si>
  <si>
    <t xml:space="preserve">BC Formoso1.1Inverter(MBUS-15)46079,576388888946079,576388888946079,6159722222</t>
  </si>
  <si>
    <t xml:space="preserve">BC Formoso1.1Inverter(MBUS-14)46079,576388888946079,576388888946079,6159722222</t>
  </si>
  <si>
    <t xml:space="preserve">Queda de energia na UFV - relé geral atuou na função 67C e 86Q</t>
  </si>
  <si>
    <t xml:space="preserve">Inspecionando visualmente todo complexo, reset no relé geral e rearmado disjuntor geral</t>
  </si>
  <si>
    <t xml:space="preserve">ARAGUATINS 1.1Inverter(MBUS-12)46079,652777777846079,652777777846079,6854166667</t>
  </si>
  <si>
    <t xml:space="preserve">ARAGUATINS 1.1Inverter(MBUS-13)46079,652777777846079,652777777846079,6854166667</t>
  </si>
  <si>
    <t xml:space="preserve">ARAGUATINS 1.1Inverter(MBUS-14)46079,652777777846079,652777777846079,6854166667</t>
  </si>
  <si>
    <t xml:space="preserve">ARAGUATINS 1.1Inverter(MBUS-15)46079,652777777846079,652777777846079,6854166667</t>
  </si>
  <si>
    <t xml:space="preserve">ARAGUATINS 1.2Inverter(MBUS-12)46079,652777777846079,652777777846079,6854166667</t>
  </si>
  <si>
    <t xml:space="preserve">ARAGUATINS 1.2Inverter(MBUS-13)46079,652777777846079,652777777846079,6854166667</t>
  </si>
  <si>
    <t xml:space="preserve">ARAGUATINS 1.2Inverter(MBUS-14)46079,652777777846079,652777777846079,6854166667</t>
  </si>
  <si>
    <t xml:space="preserve">ARAGUATINS 1.2Inverter(MBUS-15)46079,652777777846079,652777777846079,6854166667</t>
  </si>
  <si>
    <t xml:space="preserve">ARAGUATINS 1.3Inverter(MBUS-20)46079,652777777846079,652777777846079,6854166667</t>
  </si>
  <si>
    <t xml:space="preserve">ARAGUATINS 1.3Inverter(MBUS-1)46079,652777777846079,652777777846079,6854166667</t>
  </si>
  <si>
    <t xml:space="preserve">Realizar a inspenção mensal no transformador e cabine de média tensão (MPCA).</t>
  </si>
  <si>
    <t xml:space="preserve">Foi realizada a inspenção no transformador e cabine de média tensão</t>
  </si>
  <si>
    <t xml:space="preserve">BC Caiaponia1SG60KTL(COM1-001)_001_00746079,666666666746079,666666666746079,7430555556</t>
  </si>
  <si>
    <t xml:space="preserve">BC Caiaponia1SG60KTL(COM1-002)_001_01046079,666666666746079,666666666746079,7430555556</t>
  </si>
  <si>
    <t xml:space="preserve">BC Caiaponia1SG60KTL(COM1-003)_001_01146079,666666666746079,666666666746079,7430555556</t>
  </si>
  <si>
    <t xml:space="preserve">BC Caiaponia1SG60KTL(COM1-004)_001_01446079,666666666746079,666666666746079,7430555556</t>
  </si>
  <si>
    <t xml:space="preserve">BC Caiaponia1SG60KTL(COM1-005)_001_01746079,666666666746079,666666666746079,7430555556</t>
  </si>
  <si>
    <t xml:space="preserve">BC Caiaponia1SG60KTL(COM1-006)_001_01646079,666666666746079,666666666746079,7430555556</t>
  </si>
  <si>
    <t xml:space="preserve">BC Caiaponia1SG60KTL(COM1-007)_001_01346079,666666666746079,666666666746079,7430555556</t>
  </si>
  <si>
    <t xml:space="preserve">BC Caiaponia1SG60KTL(COM1-008)_001_00146079,666666666746079,666666666746079,7430555556</t>
  </si>
  <si>
    <t xml:space="preserve">BC Caiaponia1SG60KTL(COM1-009)46079,666666666746079,666666666746079,7430555556</t>
  </si>
  <si>
    <t xml:space="preserve">BC Caiaponia1SG60KTL(COM1-010)46079,666666666746079,666666666746079,7430555556</t>
  </si>
  <si>
    <t xml:space="preserve">BC Caiaponia1SG60KTL(COM1-011)46079,666666666746079,666666666746079,7430555556</t>
  </si>
  <si>
    <t xml:space="preserve">BC Caiaponia1SG60KTL(COM1-012)46079,666666666746079,666666666746079,7430555556</t>
  </si>
  <si>
    <t xml:space="preserve">BC Caiaponia1SG60KTL(COM1-013)46079,666666666746079,666666666746079,7430555556</t>
  </si>
  <si>
    <t xml:space="preserve">BC Caiaponia1SG60KTL(COM1-014)46079,666666666746079,666666666746079,7430555556</t>
  </si>
  <si>
    <t xml:space="preserve">BC Caiaponia1SG60KTL(COM1-015)46079,666666666746079,666666666746079,7430555556</t>
  </si>
  <si>
    <t xml:space="preserve">BC Caiaponia1SG60KTL(COM3-016)_001_00946079,666666666746079,666666666746079,7430555556</t>
  </si>
  <si>
    <t xml:space="preserve">BC Caiaponia1SG60KTL(COM3-017)_001_01246079,666666666746079,666666666746079,7430555556</t>
  </si>
  <si>
    <t xml:space="preserve">BC Caiaponia1SG60KTL(COM3-018)_001_00846079,666666666746079,666666666746079,7430555556</t>
  </si>
  <si>
    <t xml:space="preserve">BC Caiaponia1SG60KTL(COM3-019)_001_01946079,666666666746079,666666666746079,7430555556</t>
  </si>
  <si>
    <t xml:space="preserve">BC Caiaponia1SG60KTL(COM3-020)_001_02046079,666666666746079,666666666746079,7430555556</t>
  </si>
  <si>
    <t xml:space="preserve">BC Caiaponia1SG60KTL(COM2-026)46079,666666666746079,666666666746079,7430555556</t>
  </si>
  <si>
    <t xml:space="preserve">BC Caiaponia1SG60KTL(COM2-027)46079,666666666746079,666666666746079,7430555556</t>
  </si>
  <si>
    <t xml:space="preserve">BC Caiaponia1SG60KTL(COM2-028)46079,666666666746079,666666666746079,7430555556</t>
  </si>
  <si>
    <t xml:space="preserve">BC Caiaponia1SG60KTL(COM2-029)46079,666666666746079,666666666746079,7430555556</t>
  </si>
  <si>
    <t xml:space="preserve">BC Caiaponia1SG50CX(COM1-021)46079,666666666746079,666666666746079,7430555556</t>
  </si>
  <si>
    <t xml:space="preserve">BC Caiaponia1SG50CX(COM1-022)46079,666666666746079,666666666746079,7430555556</t>
  </si>
  <si>
    <t xml:space="preserve">BC Caiaponia1SG50CX(COM1-023)46079,666666666746079,666666666746079,7430555556</t>
  </si>
  <si>
    <t xml:space="preserve">BC Caiaponia1SG50CX(COM1-024)46079,666666666746079,666666666746079,7430555556</t>
  </si>
  <si>
    <t xml:space="preserve">BC Caiaponia1SG50CX(COM1-025)46079,666666666746079,666666666746079,7430555556</t>
  </si>
  <si>
    <t xml:space="preserve">BC Caiaponia2.1215KTL-H3(MBUS-12)46079,666666666746079,666666666746079,7430555556</t>
  </si>
  <si>
    <t xml:space="preserve">BC Caiaponia2.1215KTL-H3(MBUS-13)46079,666666666746079,666666666746079,7430555556</t>
  </si>
  <si>
    <t xml:space="preserve">BC Caiaponia2.1215KTL-H3(MBUS-14)46079,666666666746079,666666666746079,7430555556</t>
  </si>
  <si>
    <t xml:space="preserve">BC Caiaponia2.1215KTL-H3(MBUS-15)46079,666666666746079,666666666746079,7430555556</t>
  </si>
  <si>
    <t xml:space="preserve">BC Caiaponia2.1215KTL-H3(MBUS-16)46079,666666666746079,666666666746079,7430555556</t>
  </si>
  <si>
    <t xml:space="preserve">BC Caiaponia2.2215KTL-H3(MBUS-12)46079,666666666746079,666666666746079,7430555556</t>
  </si>
  <si>
    <t xml:space="preserve">BC Caiaponia2.2215KTL-H3(MBUS-13)46079,666666666746079,666666666746079,7430555556</t>
  </si>
  <si>
    <t xml:space="preserve">BC Caiaponia2.2215KTL-H3(MBUS-14)46079,666666666746079,666666666746079,7430555556</t>
  </si>
  <si>
    <t xml:space="preserve">BC Caiaponia2.2215KTL-H3(MBUS-15)46079,666666666746079,666666666746079,7430555556</t>
  </si>
  <si>
    <t xml:space="preserve">BC Caiaponia2.2215KTL-H3(MBUS-16)46079,666666666746079,666666666746079,7430555556</t>
  </si>
  <si>
    <t xml:space="preserve">BC Caiaponia2.3215KTL-H3(MBUS-12)46079,666666666746079,666666666746079,7430555556</t>
  </si>
  <si>
    <t xml:space="preserve">BC Caiaponia2.3215KTL-H3(MBUS-13)46079,666666666746079,666666666746079,7430555556</t>
  </si>
  <si>
    <t xml:space="preserve">BC Caiaponia2.3215KTL-H3(MBUS-14)46079,666666666746079,666666666746079,7430555556</t>
  </si>
  <si>
    <t xml:space="preserve">BC Caiaponia2.3215KTL-H3(MBUS-15)46079,666666666746079,666666666746079,7430555556</t>
  </si>
  <si>
    <t xml:space="preserve">BC Caiaponia2.3215KTL-H3(MBUS-16)46079,666666666746079,666666666746079,7430555556</t>
  </si>
  <si>
    <t xml:space="preserve">Desenergização geral da subestação /Usina, para manutenção preventiva/inspenção.</t>
  </si>
  <si>
    <t xml:space="preserve">Foi feita uma inspeção nos tranformadores da usina, nenhuma anomalia foi identificada</t>
  </si>
  <si>
    <t xml:space="preserve">BC Aracu5.1Inverter(MBUS-1)46079,7187546079,7187546079,7451388889</t>
  </si>
  <si>
    <t xml:space="preserve">BC Aracu5.3Inverter(MBUS-1)46079,7187546079,7187546079,7451388889</t>
  </si>
  <si>
    <t xml:space="preserve">BC Aracu5.4Inverter(MBUS-1)46079,7187546079,7187546079,7451388889</t>
  </si>
  <si>
    <t xml:space="preserve">BC Aracu5.5Inverter(MBUS-1)46079,7187546079,7187546079,7451388889</t>
  </si>
  <si>
    <t xml:space="preserve">Queda de rede no cliente 1 da UFV Camarão .</t>
  </si>
  <si>
    <t xml:space="preserve">Foi realizada inspeção na usina, constatando-se que nenhum relé de proteção havia atuado. Após o fechamento do disjuntor, a operação foi restabelecida e o sistema retornou à normalidade.</t>
  </si>
  <si>
    <t xml:space="preserve">BC Camarao1.1Inverter(MBUS-1)46079,899305555646079,899305555646079,9666666667</t>
  </si>
  <si>
    <t xml:space="preserve">BC Camarao1.1215KTL-H3(MBUS-12)46079,899305555646079,899305555646079,9666666667</t>
  </si>
  <si>
    <t xml:space="preserve">BC Camarao1.1215KTL-H3(MBUS-13)46079,899305555646079,899305555646079,9666666667</t>
  </si>
  <si>
    <t xml:space="preserve">BC Camarao1.1215KTL-H3(MBUS-16)46079,899305555646079,899305555646079,9666666667</t>
  </si>
  <si>
    <t xml:space="preserve">BC Camarao1.1215KTL-H3(MBUS-15)46079,899305555646079,899305555646079,9666666667</t>
  </si>
  <si>
    <t xml:space="preserve">Queda de rede no cliente 2 da UFV Camarão .</t>
  </si>
  <si>
    <t xml:space="preserve">BC Camarao1.2Inverter(MBUS-1)46079,899305555646079,899305555646079,9666666667</t>
  </si>
  <si>
    <t xml:space="preserve">BC Camarao1.2Inv. 346079,899305555646079,899305555646079,9666666667</t>
  </si>
  <si>
    <t xml:space="preserve">BC Camarao1.2Inv. 446079,899305555646079,899305555646079,9666666667</t>
  </si>
  <si>
    <t xml:space="preserve">BC Camarao1.2Inverter(MBUS-16)46079,899305555646079,899305555646079,9666666667</t>
  </si>
  <si>
    <t xml:space="preserve">BC Camarao1.2Inverter(MBUS-12)46079,899305555646079,899305555646079,9666666667</t>
  </si>
  <si>
    <t xml:space="preserve">Queda de rede no cliente 3 da UFV Camarão .</t>
  </si>
  <si>
    <t xml:space="preserve">BC Camarao1.3215KTL-H3(MBUS-16)46079,899305555646079,899305555646079,9666666667</t>
  </si>
  <si>
    <t xml:space="preserve">BC Camarao1.3215KTL-H3(MBUS-14)46079,899305555646079,899305555646079,9666666667</t>
  </si>
  <si>
    <t xml:space="preserve">BC Camarao1.3215KTL-H3(MBUS-15)46079,899305555646079,899305555646079,9666666667</t>
  </si>
  <si>
    <t xml:space="preserve">BC Camarao1.3215KTL-H3(MBUS-12)46079,899305555646079,899305555646079,9666666667</t>
  </si>
  <si>
    <t xml:space="preserve">BC Camarao1.3215KTL-H3(MBUS-13)46079,899305555646079,899305555646079,9666666667</t>
  </si>
  <si>
    <t xml:space="preserve">Queda de rede no cliente 4 da UFV Camarão .</t>
  </si>
  <si>
    <t xml:space="preserve">BC Camarao1.4INV-6T22A904138146079,899305555646079,899305555646079,9666666667</t>
  </si>
  <si>
    <t xml:space="preserve">BC Camarao1.4215KTL-H3(MBUS-14)46079,899305555646079,899305555646079,9666666667</t>
  </si>
  <si>
    <t xml:space="preserve">BC Camarao1.4215KTL-H3(MBUS-13)46079,899305555646079,899305555646079,9666666667</t>
  </si>
  <si>
    <t xml:space="preserve">BC Camarao1.4215KTL-H3(MBUS-16)46079,899305555646079,899305555646079,9666666667</t>
  </si>
  <si>
    <t xml:space="preserve">BC Camarao1.4215KTL-H3(MBUS-15)46079,899305555646079,899305555646079,9666666667</t>
  </si>
  <si>
    <t xml:space="preserve">Queda de rede no cliente 5 da UFV Camarão .</t>
  </si>
  <si>
    <t xml:space="preserve">BC Camarao1.5215KTL-H3(MBUS-15)46079,899305555646079,899305555646079,9666666667</t>
  </si>
  <si>
    <t xml:space="preserve">BC Camarao1.5215KTL-H3(MBUS-13)46079,899305555646079,899305555646079,9666666667</t>
  </si>
  <si>
    <t xml:space="preserve">BC Camarao1.5215KTL-H3(MBUS-12)46079,899305555646079,899305555646079,9666666667</t>
  </si>
  <si>
    <t xml:space="preserve">BC Camarao1.5215KTL-H3(MBUS-1)46079,899305555646079,899305555646079,9666666667</t>
  </si>
  <si>
    <t xml:space="preserve">BC Camarao1.5215KTL-H3(MBUS-14)46079,899305555646079,899305555646079,9666666667</t>
  </si>
  <si>
    <t xml:space="preserve">Foi identificado no supervisório que todos os inversores estão off-line e o monitoramento CFTV está sem acesso.</t>
  </si>
  <si>
    <t xml:space="preserve">O sistema de CFTV e os inversores da UFV 1.1 restabeleceu a comunicação de forma automática, sem a necessidade de intervenção técnica.</t>
  </si>
  <si>
    <t xml:space="preserve">BC Panama1.1ITAPOAN 001 (COM1-001)_001_00146079,989583333346079,989583333346080,3194444444</t>
  </si>
  <si>
    <t xml:space="preserve">BC Panama1.1CEREAL_00246079,989583333346079,989583333346080,3194444444</t>
  </si>
  <si>
    <t xml:space="preserve">BC Panama1.1ITAPOAN_00346079,989583333346079,989583333346080,3194444444</t>
  </si>
  <si>
    <t xml:space="preserve">Falha no nobreak  impossibilitando o relé de atuar</t>
  </si>
  <si>
    <t xml:space="preserve">Identif. O&amp;M</t>
  </si>
  <si>
    <t xml:space="preserve">Foi religado o nobreak  e rearmado a usina </t>
  </si>
  <si>
    <t xml:space="preserve">BC Formoso2.3Inverter(MBUS-13)46080,3437546080,3437546080,375</t>
  </si>
  <si>
    <t xml:space="preserve">BC Formoso2.3Inverter(MBUS-12)46080,3437546080,3437546080,375</t>
  </si>
  <si>
    <t xml:space="preserve">Falta de energia na concessionária </t>
  </si>
  <si>
    <t xml:space="preserve">Foram realizadas inspeções relacionadas à geração da usina, sendo constatada interrupção no fornecimento de energia por parte da concessionária. Após o restabelecimento da energia, foram efetuados o reset dos relés de proteção e o rearme dos disjuntores, resultando no retorno da usina à operação normal.</t>
  </si>
  <si>
    <t xml:space="preserve">BC Camarao1.1Inverter(MBUS-1)46080,388888888946080,388888888946080,5145833333</t>
  </si>
  <si>
    <t xml:space="preserve">BC Camarao1.1215KTL-H3(MBUS-12)46080,388888888946080,388888888946080,5145833333</t>
  </si>
  <si>
    <t xml:space="preserve">BC Camarao1.1215KTL-H3(MBUS-13)46080,388888888946080,388888888946080,5145833333</t>
  </si>
  <si>
    <t xml:space="preserve">BC Camarao1.1215KTL-H3(MBUS-16)46080,388888888946080,388888888946080,5145833333</t>
  </si>
  <si>
    <t xml:space="preserve">BC Camarao1.1215KTL-H3(MBUS-15)46080,388888888946080,388888888946080,5145833333</t>
  </si>
  <si>
    <t xml:space="preserve">BC Camarao1.2Inverter(MBUS-1)46080,388888888946080,388888888946080,5145833333</t>
  </si>
  <si>
    <t xml:space="preserve">BC Camarao1.2Inv. 346080,388888888946080,388888888946080,5145833333</t>
  </si>
  <si>
    <t xml:space="preserve">BC Camarao1.2Inv. 446080,388888888946080,388888888946080,5145833333</t>
  </si>
  <si>
    <t xml:space="preserve">BC Camarao1.2Inverter(MBUS-16)46080,388888888946080,388888888946080,5145833333</t>
  </si>
  <si>
    <t xml:space="preserve">BC Camarao1.2Inverter(MBUS-12)46080,388888888946080,388888888946080,5145833333</t>
  </si>
  <si>
    <t xml:space="preserve">BC Camarao1.3215KTL-H3(MBUS-16)46080,388888888946080,388888888946080,5145833333</t>
  </si>
  <si>
    <t xml:space="preserve">BC Camarao1.3215KTL-H3(MBUS-14)46080,388888888946080,388888888946080,5145833333</t>
  </si>
  <si>
    <t xml:space="preserve">BC Camarao1.3215KTL-H3(MBUS-15)46080,388888888946080,388888888946080,5145833333</t>
  </si>
  <si>
    <t xml:space="preserve">BC Camarao1.3215KTL-H3(MBUS-12)46080,388888888946080,388888888946080,5145833333</t>
  </si>
  <si>
    <t xml:space="preserve">BC Camarao1.3215KTL-H3(MBUS-13)46080,388888888946080,388888888946080,5145833333</t>
  </si>
  <si>
    <t xml:space="preserve">BC Camarao1.4INV-6T22A904138146080,388888888946080,388888888946080,5145833333</t>
  </si>
  <si>
    <t xml:space="preserve">BC Camarao1.4215KTL-H3(MBUS-14)46080,388888888946080,388888888946080,5145833333</t>
  </si>
  <si>
    <t xml:space="preserve">BC Camarao1.4215KTL-H3(MBUS-13)46080,388888888946080,388888888946080,5145833333</t>
  </si>
  <si>
    <t xml:space="preserve">BC Camarao1.4215KTL-H3(MBUS-16)46080,388888888946080,388888888946080,5145833333</t>
  </si>
  <si>
    <t xml:space="preserve">BC Camarao1.4215KTL-H3(MBUS-15)46080,388888888946080,388888888946080,5145833333</t>
  </si>
  <si>
    <t xml:space="preserve">BC Camarao1.5215KTL-H3(MBUS-15)46080,388888888946080,388888888946080,5145833333</t>
  </si>
  <si>
    <t xml:space="preserve">BC Camarao1.5215KTL-H3(MBUS-13)46080,388888888946080,388888888946080,5145833333</t>
  </si>
  <si>
    <t xml:space="preserve">BC Camarao1.5215KTL-H3(MBUS-12)46080,388888888946080,388888888946080,5145833333</t>
  </si>
  <si>
    <t xml:space="preserve">BC Camarao1.5215KTL-H3(MBUS-1)46080,388888888946080,388888888946080,5145833333</t>
  </si>
  <si>
    <t xml:space="preserve">BC Camarao1.5215KTL-H3(MBUS-14)46080,388888888946080,388888888946080,5145833333</t>
  </si>
  <si>
    <t xml:space="preserve">Relé atuando nas funções 81 e 86</t>
  </si>
  <si>
    <t xml:space="preserve">Foi realizada a inspeção completa no complexo não sendo identificado nenhuma anomalia em seguida foi efetuado o reset no relé de proteção e o rearme do disjuntor geral UFV normalizada com sucesso </t>
  </si>
  <si>
    <t xml:space="preserve">BC Aracu5.1Inverter(MBUS-1)46080,465277777846080,465277777846080,5243055556</t>
  </si>
  <si>
    <t xml:space="preserve">BC Aracu5.3Inverter(MBUS-1)46080,465277777846080,465277777846080,5243055556</t>
  </si>
  <si>
    <t xml:space="preserve">BC Aracu5.4Inverter(MBUS-1)46080,465277777846080,465277777846080,5243055556</t>
  </si>
  <si>
    <t xml:space="preserve">BC Aracu5.5Inverter(MBUS-1)46080,465277777846080,465277777846080,5243055556</t>
  </si>
  <si>
    <t xml:space="preserve">BC Formoso2.3Inverter(MBUS-13)46080,4687546080,4687546080,5131944444</t>
  </si>
  <si>
    <t xml:space="preserve">BC Formoso2.3Inverter(MBUS-12)46080,4687546080,4687546080,5131944444</t>
  </si>
  <si>
    <t xml:space="preserve">Provedor de internet não entregando o serviço (Usina em funcionamento, mas sem comunicação externa).</t>
  </si>
  <si>
    <t xml:space="preserve">A comunicação voltou de forma autônoma.</t>
  </si>
  <si>
    <t xml:space="preserve">BC Ibiuna 1.1Inverter(MBUS-12)46080,880555555646080,880555555646080,9166666667</t>
  </si>
  <si>
    <t xml:space="preserve">BC Ibiuna 1.1Inverter(MBUS-13)46080,880555555646080,880555555646080,9166666667</t>
  </si>
  <si>
    <t xml:space="preserve">BC Ibiuna 1.1Inverter(MBUS-14)46080,880555555646080,880555555646080,9166666667</t>
  </si>
  <si>
    <t xml:space="preserve">BC Ibiuna 1.1Inverter(MBUS-15)46080,880555555646080,880555555646080,9166666667</t>
  </si>
  <si>
    <t xml:space="preserve">BC Ibiuna 1.2Inverter(MBUS-12)46080,880555555646080,880555555646080,9166666667</t>
  </si>
  <si>
    <t xml:space="preserve">BC Ibiuna 1.2Inverter(MBUS-13)46080,880555555646080,880555555646080,9166666667</t>
  </si>
  <si>
    <t xml:space="preserve">BC Ibiuna 1.2Inverter(MBUS-14)46080,880555555646080,880555555646080,9166666667</t>
  </si>
  <si>
    <t xml:space="preserve">BC Ibiuna 1.2Inverter(MBUS-15)46080,880555555646080,880555555646080,9166666667</t>
  </si>
  <si>
    <t xml:space="preserve">Relé atuando nas função 47</t>
  </si>
  <si>
    <t xml:space="preserve">Foram realizadas inspeções nos componentes relacionados à geração, sendo verificada a atuação do relé de proteção com o código 47. Após o reset do relé e o rearme dos disjuntores, a usina retornou à operação normal de geração</t>
  </si>
  <si>
    <t xml:space="preserve">BC Camarao1.1Inverter(MBUS-1)46081,510416666746081,510416666746081,5902777778</t>
  </si>
  <si>
    <t xml:space="preserve">BC Camarao1.1215KTL-H3(MBUS-12)46081,510416666746081,510416666746081,5902777778</t>
  </si>
  <si>
    <t xml:space="preserve">BC Camarao1.1215KTL-H3(MBUS-13)46081,510416666746081,510416666746081,5902777778</t>
  </si>
  <si>
    <t xml:space="preserve">BC Camarao1.1215KTL-H3(MBUS-16)46081,510416666746081,510416666746081,5902777778</t>
  </si>
  <si>
    <t xml:space="preserve">BC Camarao1.1215KTL-H3(MBUS-15)46081,510416666746081,510416666746081,5902777778</t>
  </si>
  <si>
    <t xml:space="preserve">BC Camarao1.3215KTL-H3(MBUS-16)46081,510416666746081,510416666746081,5902777778</t>
  </si>
  <si>
    <t xml:space="preserve">BC Camarao1.3215KTL-H3(MBUS-14)46081,510416666746081,510416666746081,5902777778</t>
  </si>
  <si>
    <t xml:space="preserve">BC Camarao1.3215KTL-H3(MBUS-15)46081,510416666746081,510416666746081,5902777778</t>
  </si>
  <si>
    <t xml:space="preserve">BC Camarao1.3215KTL-H3(MBUS-12)46081,510416666746081,510416666746081,5902777778</t>
  </si>
  <si>
    <t xml:space="preserve">BC Camarao1.3215KTL-H3(MBUS-13)46081,510416666746081,510416666746081,5902777778</t>
  </si>
  <si>
    <t xml:space="preserve">Foi realizada inspeção na UFV, sendo constatado que o cabo de internet do provedor encontra-se rompido.</t>
  </si>
  <si>
    <t xml:space="preserve">Cabo de internet rompido no poste. Manutenção agendada para 02/03.</t>
  </si>
  <si>
    <t xml:space="preserve">BC Aracu5.1Inverter(MBUS-1)46081,607638888946081,607638888946081,9999884259</t>
  </si>
  <si>
    <t xml:space="preserve">BC Aracu5.3Inverter(MBUS-1)46081,607638888946081,607638888946081,9999884259</t>
  </si>
  <si>
    <t xml:space="preserve">BC Aracu5.4Inverter(MBUS-1)46081,607638888946081,607638888946081,9999884259</t>
  </si>
  <si>
    <t xml:space="preserve">BC Aracu5.5Inverter(MBUS-1)46081,607638888946081,607638888946081,9999884259</t>
  </si>
  <si>
    <t xml:space="preserve">Equipamento anormal - 2064. Inversor com alarme oscilando geração e não atinge potência nominal. Em tratativa com fabricante.</t>
  </si>
  <si>
    <t xml:space="preserve">O inversor Inverter(MBUS-6) de Vazante2.2, possui chamado em aberto com o fabricante. No dia 10/02 foi realizado um reset eletrônico do inversor com orientação do suporte técnico e, no dia 11/02, os alarmes cessaram. Porém, os alarmes voltaram a ocorrer posteriormente, e por isso foi solicitada a reabertura do chamado.</t>
  </si>
  <si>
    <t xml:space="preserve">Equipamento anormal - 2024. Inversor com alarme oscilando geração e não atinge potência nominal. Em tratativa sob o chamado 15218400</t>
  </si>
  <si>
    <t xml:space="preserve">BC Varjao1.3215KTL-H0(MBUS-14)46081,741377314846081,741377314846081,7654861111</t>
  </si>
  <si>
    <t xml:space="preserve">Equipamento anormal - 2024. Inversor com alarme oscilando geração e não atinge potência nominal. Em tratativa sob o chamado 15218401</t>
  </si>
  <si>
    <t xml:space="preserve">BC Varjao1.3215KTL-H0(MBUS-14)46081,718113425946081,718113425946081,7186574074</t>
  </si>
  <si>
    <t xml:space="preserve">Equipamento anormal - 2024. Inversor com alarme oscilando geração e não atinge potência nominal. Em tratativa sob o chamado 15218402</t>
  </si>
  <si>
    <t xml:space="preserve">BC Varjao1.3215KTL-H0(MBUS-14)46081,686203703746081,686203703746081,6914814815</t>
  </si>
  <si>
    <t xml:space="preserve">Equipamento anormal - 2024. Inversor com alarme oscilando geração e não atinge potência nominal. Em tratativa sob o chamado 15218403</t>
  </si>
  <si>
    <t xml:space="preserve">BC Varjao1.3215KTL-H0(MBUS-14)46081,683171296346081,683171296346081,6838888889</t>
  </si>
  <si>
    <t xml:space="preserve">Equipamento anormal - 2024. Inversor com alarme oscilando geração e não atinge potência nominal. Em tratativa sob o chamado 15218404</t>
  </si>
  <si>
    <t xml:space="preserve">BC Varjao1.3215KTL-H0(MBUS-14)46081,676666666746081,676666666746081,6779513889</t>
  </si>
  <si>
    <t xml:space="preserve">Equipamento anormal - 2024. Inversor com alarme oscilando geração e não atinge potência nominal. Em tratativa sob o chamado 15218405</t>
  </si>
  <si>
    <t xml:space="preserve">BC Varjao1.3215KTL-H0(MBUS-14)46081,675034722246081,675034722246081,6756134259</t>
  </si>
  <si>
    <t xml:space="preserve">Equipamento anormal - 2024. Inversor com alarme oscilando geração e não atinge potência nominal. Em tratativa sob o chamado 15218406</t>
  </si>
  <si>
    <t xml:space="preserve">BC Varjao1.3215KTL-H0(MBUS-14)46081,667951388946081,667951388946081,6707060185</t>
  </si>
  <si>
    <t xml:space="preserve">Equipamento anormal - 2024. Inversor com alarme oscilando geração e não atinge potência nominal. Em tratativa sob o chamado 15218407</t>
  </si>
  <si>
    <t xml:space="preserve">BC Varjao1.3215KTL-H0(MBUS-14)46081,666319444446081,666319444446081,6673611111</t>
  </si>
  <si>
    <t xml:space="preserve">Equipamento anormal - 2024. Inversor com alarme oscilando geração e não atinge potência nominal. Em tratativa sob o chamado 15218408</t>
  </si>
  <si>
    <t xml:space="preserve">BC Varjao1.3215KTL-H0(MBUS-14)46081,657546081,657546081,6584953704</t>
  </si>
  <si>
    <t xml:space="preserve">Equipamento anormal - 2024. Inversor com alarme oscilando geração e não atinge potência nominal. Em tratativa sob o chamado 15218409</t>
  </si>
  <si>
    <t xml:space="preserve">BC Varjao1.3215KTL-H0(MBUS-14)46081,635428240746081,635428240746081,6372916667</t>
  </si>
  <si>
    <t xml:space="preserve">Equipamento anormal - 2024. Inversor com alarme oscilando geração e não atinge potência nominal. Em tratativa sob o chamado 15218410</t>
  </si>
  <si>
    <t xml:space="preserve">BC Varjao1.3215KTL-H0(MBUS-14)46081,632627314846081,632627314846081,6337615741</t>
  </si>
  <si>
    <t xml:space="preserve">Equipamento anormal - 2024. Inversor com alarme oscilando geração e não atinge potência nominal. Em tratativa sob o chamado 15218411</t>
  </si>
  <si>
    <t xml:space="preserve">BC Varjao1.3215KTL-H0(MBUS-14)46081,625937546081,625937546081,6277314815</t>
  </si>
  <si>
    <t xml:space="preserve">Equipamento anormal - 2024. Inversor com alarme oscilando geração e não atinge potência nominal. Em tratativa sob o chamado 15218412</t>
  </si>
  <si>
    <t xml:space="preserve">BC Varjao1.3215KTL-H0(MBUS-14)46081,623541666746081,623541666746081,6256944444</t>
  </si>
  <si>
    <t xml:space="preserve">Equipamento anormal - 2024. Inversor com alarme oscilando geração e não atinge potência nominal. Em tratativa sob o chamado 15218413</t>
  </si>
  <si>
    <t xml:space="preserve">BC Varjao1.3215KTL-H0(MBUS-14)46081,621770833346081,621770833346081,6223148148</t>
  </si>
  <si>
    <t xml:space="preserve">Equipamento anormal - 2024. Inversor com alarme oscilando geração e não atinge potência nominal. Em tratativa sob o chamado 15218414</t>
  </si>
  <si>
    <t xml:space="preserve">BC Varjao1.3215KTL-H0(MBUS-14)46081,608923611146081,608923611146081,6110416667</t>
  </si>
  <si>
    <t xml:space="preserve">Equipamento anormal - 2024. Inversor com alarme oscilando geração e não atinge potência nominal. Em tratativa sob o chamado 15218415</t>
  </si>
  <si>
    <t xml:space="preserve">BC Varjao1.3215KTL-H0(MBUS-14)46081,599560185246081,599560185246081,6001388889</t>
  </si>
  <si>
    <t xml:space="preserve">Equipamento anormal - 2024. Inversor com alarme oscilando geração e não atinge potência nominal. Em tratativa sob o chamado 15218416</t>
  </si>
  <si>
    <t xml:space="preserve">BC Varjao1.3215KTL-H0(MBUS-14)46081,572916666746081,572916666746081,5774305556</t>
  </si>
  <si>
    <t xml:space="preserve">Equipamento anormal - 2024. Inversor com alarme oscilando geração e não atinge potência nominal. Em tratativa sob o chamado 15218417</t>
  </si>
  <si>
    <t xml:space="preserve">BC Varjao1.3215KTL-H0(MBUS-14)46081,568703703746081,568703703746081,5697222222</t>
  </si>
  <si>
    <t xml:space="preserve">Equipamento anormal - 2024. Inversor com alarme oscilando geração e não atinge potência nominal. Em tratativa sob o chamado 15218418</t>
  </si>
  <si>
    <t xml:space="preserve">BC Varjao1.3215KTL-H0(MBUS-14)46081,567986111146081,567986111146081,5685185185</t>
  </si>
  <si>
    <t xml:space="preserve">Equipamento anormal - 2024. Inversor com alarme oscilando geração e não atinge potência nominal. Em tratativa sob o chamado 15218419</t>
  </si>
  <si>
    <t xml:space="preserve">BC Varjao1.3215KTL-H0(MBUS-14)46081,551273148246081,551273148246081,5518055556</t>
  </si>
  <si>
    <t xml:space="preserve">Equipamento anormal - 2024. Inversor com alarme oscilando geração e não atinge potência nominal. Em tratativa sob o chamado 15218420</t>
  </si>
  <si>
    <t xml:space="preserve">BC Varjao1.3215KTL-H0(MBUS-14)46081,508564814846081,508564814846081,5091087963</t>
  </si>
  <si>
    <t xml:space="preserve">Equipamento anormal - 2024. Inversor com alarme oscilando geração e não atinge potência nominal. Em tratativa sob o chamado 15218421</t>
  </si>
  <si>
    <t xml:space="preserve">BC Varjao1.3215KTL-H0(MBUS-14)46081,495428240746081,495428240746081,4959722222</t>
  </si>
  <si>
    <t xml:space="preserve">Equipamento anormal - 2024. Inversor com alarme oscilando geração e não atinge potência nominal. Em tratativa sob o chamado 15218422</t>
  </si>
  <si>
    <t xml:space="preserve">BC Varjao1.3215KTL-H0(MBUS-14)46081,484143518546081,484143518546081,4846759259</t>
  </si>
  <si>
    <t xml:space="preserve">Equipamento anormal - 2024. Inversor com alarme oscilando geração e não atinge potência nominal. Em tratativa sob o chamado 15218423</t>
  </si>
  <si>
    <t xml:space="preserve">BC Varjao1.3215KTL-H0(MBUS-14)46081,468194444446081,468194444446081,4687384259</t>
  </si>
  <si>
    <t xml:space="preserve">Equipamento anormal - 2024. Inversor com alarme oscilando geração e não atinge potência nominal. Em tratativa sob o chamado 15218424</t>
  </si>
  <si>
    <t xml:space="preserve">BC Varjao1.3215KTL-H0(MBUS-14)46081,448518518546081,448518518546081,4490277778</t>
  </si>
  <si>
    <t xml:space="preserve">Equipamento anormal - 2024. Inversor com alarme oscilando geração e não atinge potência nominal. Em tratativa sob o chamado 15218425</t>
  </si>
  <si>
    <t xml:space="preserve">BC Varjao1.3215KTL-H0(MBUS-14)46081,439282407446081,439282407446081,4398032407</t>
  </si>
  <si>
    <t xml:space="preserve">Equipamento anormal - 2024. Inversor com alarme oscilando geração e não atinge potência nominal. Em tratativa sob o chamado 15218426</t>
  </si>
  <si>
    <t xml:space="preserve">BC Varjao1.3215KTL-H0(MBUS-14)46081,429976851946081,429976851946081,4305092593</t>
  </si>
  <si>
    <t xml:space="preserve">Equipamento anormal - 2024. Inversor com alarme oscilando geração e não atinge potência nominal. Em tratativa sob o chamado 15218427</t>
  </si>
  <si>
    <t xml:space="preserve">BC Varjao1.3215KTL-H0(MBUS-14)46081,411018518546081,411018518546081,4115740741</t>
  </si>
  <si>
    <t xml:space="preserve">Equipamento anormal - 2024. Inversor com alarme oscilando geração e não atinge potência nominal. Em tratativa sob o chamado 15218428</t>
  </si>
  <si>
    <t xml:space="preserve">BC Varjao1.3215KTL-H0(MBUS-14)46081,383321759346081,383321759346081,3838541667</t>
  </si>
  <si>
    <t xml:space="preserve">Equipamento anormal - 2024. Inversor com alarme oscilando geração e não atinge potência nominal. Em tratativa sob o chamado 15218429</t>
  </si>
  <si>
    <t xml:space="preserve">BC Varjao1.3215KTL-H0(MBUS-14)46081,365312546081,365312546081,3658333333</t>
  </si>
  <si>
    <t xml:space="preserve">Equipamento anormal - 2024. Inversor com alarme oscilando geração e não atinge potência nominal. Em tratativa sob o chamado 15218430</t>
  </si>
  <si>
    <t xml:space="preserve">BC Varjao1.3215KTL-H0(MBUS-14)46081,357777777846081,357777777846081,3583333333</t>
  </si>
  <si>
    <t xml:space="preserve">Equipamento anormal - 2024. Inversor com alarme oscilando geração e não atinge potência nominal. Em tratativa sob o chamado 15218431</t>
  </si>
  <si>
    <t xml:space="preserve">BC Varjao1.3215KTL-H0(MBUS-14)46081,348402777846081,348402777846081,3489236111</t>
  </si>
  <si>
    <t xml:space="preserve">Equipamento anormal - 2024. Inversor com alarme oscilando geração e não atinge potência nominal. Em tratativa sob o chamado 15218432</t>
  </si>
  <si>
    <t xml:space="preserve">BC Varjao1.3215KTL-H0(MBUS-14)46081,337407407446081,337407407446081,3379282407</t>
  </si>
  <si>
    <t xml:space="preserve">Equipamento anormal - 2024. Inversor com alarme oscilando geração e não atinge potência nominal. Em tratativa sob o chamado 15218433</t>
  </si>
  <si>
    <t xml:space="preserve">BC Varjao1.3215KTL-H0(MBUS-14)46081,27671296346081,27671296346081,2776273148</t>
  </si>
  <si>
    <t xml:space="preserve">Equipamento anormal - 2024. Inversor com alarme oscilando geração e não atinge potência nominal. Em tratativa sob o chamado 15218434</t>
  </si>
  <si>
    <t xml:space="preserve">BC Varjao1.3215KTL-H0(MBUS-14)46081,249282407446081,249282407446081,2765393518</t>
  </si>
  <si>
    <t xml:space="preserve">Equipamento anormal - 2024. Inversor com alarme oscilando geração e não atinge potência nominal. Em tratativa sob o chamado 15218435</t>
  </si>
  <si>
    <t xml:space="preserve">BC Varjao1.3215KTL-H0(MBUS-14)46081,248888888946081,248888888946081,2765393518</t>
  </si>
  <si>
    <t xml:space="preserve">Equipamento anormal - 2024. Inversor com alarme oscilando geração e não atinge potência nominal. Em tratativa sob o chamado 15218436</t>
  </si>
  <si>
    <t xml:space="preserve">BC Varjao1.3215KTL-H0(MBUS-14)46080,77483796346080,77483796346080,7775810185</t>
  </si>
  <si>
    <t xml:space="preserve">Equipamento anormal - 2024. Inversor com alarme oscilando geração e não atinge potência nominal. Em tratativa sob o chamado 15218437</t>
  </si>
  <si>
    <t xml:space="preserve">BC Varjao1.3215KTL-H0(MBUS-14)46080,742175925946080,742175925946080,7775810185</t>
  </si>
  <si>
    <t xml:space="preserve">Equipamento anormal - 2024. Inversor com alarme oscilando geração e não atinge potência nominal. Em tratativa sob o chamado 15218438</t>
  </si>
  <si>
    <t xml:space="preserve">BC Varjao1.3215KTL-H0(MBUS-14)46080,741319444446080,741319444446080,7420023148</t>
  </si>
  <si>
    <t xml:space="preserve">Equipamento anormal - 2024. Inversor com alarme oscilando geração e não atinge potência nominal. Em tratativa sob o chamado 15218439</t>
  </si>
  <si>
    <t xml:space="preserve">BC Varjao1.3215KTL-H0(MBUS-14)46080,740451388946080,740451388946080,7411342593</t>
  </si>
  <si>
    <t xml:space="preserve">Equipamento anormal - 2024. Inversor com alarme oscilando geração e não atinge potência nominal. Em tratativa sob o chamado 15218440</t>
  </si>
  <si>
    <t xml:space="preserve">BC Varjao1.3215KTL-H0(MBUS-14)46080,739618055646080,739618055646080,7402777778</t>
  </si>
  <si>
    <t xml:space="preserve">Equipamento anormal - 2024. Inversor com alarme oscilando geração e não atinge potência nominal. Em tratativa sob o chamado 15218441</t>
  </si>
  <si>
    <t xml:space="preserve">BC Varjao1.3215KTL-H0(MBUS-14)46080,738773148246080,738773148246080,7394444444</t>
  </si>
  <si>
    <t xml:space="preserve">Equipamento anormal - 2024. Inversor com alarme oscilando geração e não atinge potência nominal. Em tratativa sob o chamado 15218442</t>
  </si>
  <si>
    <t xml:space="preserve">BC Varjao1.3215KTL-H0(MBUS-14)46080,737951388946080,737951388946080,738587963</t>
  </si>
  <si>
    <t xml:space="preserve">Equipamento anormal - 2024. Inversor com alarme oscilando geração e não atinge potência nominal. Em tratativa sob o chamado 15218443</t>
  </si>
  <si>
    <t xml:space="preserve">BC Varjao1.3215KTL-H0(MBUS-14)46080,737118055646080,737118055646080,7377777778</t>
  </si>
  <si>
    <t xml:space="preserve">Equipamento anormal - 2024. Inversor com alarme oscilando geração e não atinge potência nominal. Em tratativa sob o chamado 15218444</t>
  </si>
  <si>
    <t xml:space="preserve">BC Varjao1.3215KTL-H0(MBUS-14)46080,736238425946080,736238425946080,7369212963</t>
  </si>
  <si>
    <t xml:space="preserve">Equipamento anormal - 2024. Inversor com alarme oscilando geração e não atinge potência nominal. Em tratativa sob o chamado 15218445</t>
  </si>
  <si>
    <t xml:space="preserve">BC Varjao1.3215KTL-H0(MBUS-14)46080,734502314846080,734502314846080,7351967593</t>
  </si>
  <si>
    <t xml:space="preserve">Equipamento anormal - 2024. Inversor com alarme oscilando geração e não atinge potência nominal. Em tratativa sob o chamado 15218446</t>
  </si>
  <si>
    <t xml:space="preserve">BC Varjao1.3215KTL-H0(MBUS-14)46080,733472222246080,733472222246080,7341550926</t>
  </si>
  <si>
    <t xml:space="preserve">Equipamento anormal - 2024. Inversor com alarme oscilando geração e não atinge potência nominal. Em tratativa sob o chamado 15218447</t>
  </si>
  <si>
    <t xml:space="preserve">BC Varjao1.3215KTL-H0(MBUS-14)46080,730532407446080,730532407446080,7312152778</t>
  </si>
  <si>
    <t xml:space="preserve">Equipamento anormal - 2024. Inversor com alarme oscilando geração e não atinge potência nominal. Em tratativa sob o chamado 15218448</t>
  </si>
  <si>
    <t xml:space="preserve">BC Varjao1.3215KTL-H0(MBUS-14)46080,727071759346080,727071759346080,7277546296</t>
  </si>
  <si>
    <t xml:space="preserve">Equipamento anormal - 2024. Inversor com alarme oscilando geração e não atinge potência nominal. Em tratativa sob o chamado 15218449</t>
  </si>
  <si>
    <t xml:space="preserve">BC Varjao1.3215KTL-H0(MBUS-14)46080,72516203746080,72516203746080,7258449074</t>
  </si>
  <si>
    <t xml:space="preserve">Equipamento anormal - 2024. Inversor com alarme oscilando geração e não atinge potência nominal. Em tratativa sob o chamado 15218450</t>
  </si>
  <si>
    <t xml:space="preserve">BC Varjao1.3215KTL-H0(MBUS-14)46080,686354166746080,686354166746080,6909722222</t>
  </si>
  <si>
    <t xml:space="preserve">Equipamento anormal - 2024. Inversor com alarme oscilando geração e não atinge potência nominal. Em tratativa sob o chamado 15218451</t>
  </si>
  <si>
    <t xml:space="preserve">BC Varjao1.3215KTL-H0(MBUS-14)46080,676134259346080,676134259346080,6807407407</t>
  </si>
  <si>
    <t xml:space="preserve">Equipamento anormal - 2024. Inversor com alarme oscilando geração e não atinge potência nominal. Em tratativa sob o chamado 15218452</t>
  </si>
  <si>
    <t xml:space="preserve">BC Varjao1.3215KTL-H0(MBUS-14)46080,669930555646080,669930555646080,674537037</t>
  </si>
  <si>
    <t xml:space="preserve">Equipamento anormal - 2024. Inversor com alarme oscilando geração e não atinge potência nominal. Em tratativa sob o chamado 15218453</t>
  </si>
  <si>
    <t xml:space="preserve">BC Varjao1.3215KTL-H0(MBUS-14)46080,660879629646080,660879629646080,6655671296</t>
  </si>
  <si>
    <t xml:space="preserve">Equipamento anormal - 2024. Inversor com alarme oscilando geração e não atinge potência nominal. Em tratativa sob o chamado 15218454</t>
  </si>
  <si>
    <t xml:space="preserve">BC Varjao1.3215KTL-H0(MBUS-14)46080,622858796346080,622858796346080,6605208333</t>
  </si>
  <si>
    <t xml:space="preserve">Equipamento anormal - 2024. Inversor com alarme oscilando geração e não atinge potência nominal. Em tratativa sob o chamado 15218455</t>
  </si>
  <si>
    <t xml:space="preserve">BC Varjao1.3215KTL-H0(MBUS-14)46080,60452546346080,60452546346080,6050925926</t>
  </si>
  <si>
    <t xml:space="preserve">Equipamento anormal - 2024. Inversor com alarme oscilando geração e não atinge potência nominal. Em tratativa sob o chamado 15218456</t>
  </si>
  <si>
    <t xml:space="preserve">BC Varjao1.3215KTL-H0(MBUS-14)46080,579942129646080,579942129646080,5804861111</t>
  </si>
  <si>
    <t xml:space="preserve">Equipamento anormal - 2024. Inversor com alarme oscilando geração e não atinge potência nominal. Em tratativa sob o chamado 15218457</t>
  </si>
  <si>
    <t xml:space="preserve">BC Varjao1.3215KTL-H0(MBUS-14)46080,571180555646080,571180555646080,571724537</t>
  </si>
  <si>
    <t xml:space="preserve">Equipamento anormal - 2024. Inversor com alarme oscilando geração e não atinge potência nominal. Em tratativa sob o chamado 15218458</t>
  </si>
  <si>
    <t xml:space="preserve">BC Varjao1.3215KTL-H0(MBUS-14)46080,555543981546080,555543981546080,5580787037</t>
  </si>
  <si>
    <t xml:space="preserve">Equipamento anormal - 2024. Inversor com alarme oscilando geração e não atinge potência nominal. Em tratativa sob o chamado 15218459</t>
  </si>
  <si>
    <t xml:space="preserve">BC Varjao1.3215KTL-H0(MBUS-14)46080,545196759346080,545196759346080,5457523148</t>
  </si>
  <si>
    <t xml:space="preserve">Equipamento anormal - 2024. Inversor com alarme oscilando geração e não atinge potência nominal. Em tratativa sob o chamado 15218460</t>
  </si>
  <si>
    <t xml:space="preserve">BC Varjao1.3215KTL-H0(MBUS-14)46080,5437546080,5437546080,5443055556</t>
  </si>
  <si>
    <t xml:space="preserve">Equipamento anormal - 2024. Inversor com alarme oscilando geração e não atinge potência nominal. Em tratativa sob o chamado 15218461</t>
  </si>
  <si>
    <t xml:space="preserve">BC Varjao1.3215KTL-H0(MBUS-14)46080,533541666746080,533541666746080,5340856481</t>
  </si>
  <si>
    <t xml:space="preserve">Equipamento anormal - 2024. Inversor com alarme oscilando geração e não atinge potência nominal. Em tratativa sob o chamado 15218462</t>
  </si>
  <si>
    <t xml:space="preserve">BC Varjao1.3215KTL-H0(MBUS-14)46080,519490740746080,519490740746080,5200231482</t>
  </si>
  <si>
    <t xml:space="preserve">Equipamento anormal - 2024. Inversor com alarme oscilando geração e não atinge potência nominal. Em tratativa sob o chamado 15218463</t>
  </si>
  <si>
    <t xml:space="preserve">BC Varjao1.3215KTL-H0(MBUS-14)46080,500567129646080,500567129646080,501099537</t>
  </si>
  <si>
    <t xml:space="preserve">Equipamento anormal - 2024. Inversor com alarme oscilando geração e não atinge potência nominal. Em tratativa sob o chamado 15218464</t>
  </si>
  <si>
    <t xml:space="preserve">BC Varjao1.3215KTL-H0(MBUS-14)46080,48359953746080,48359953746080,4841435185</t>
  </si>
  <si>
    <t xml:space="preserve">Equipamento anormal - 2024. Inversor com alarme oscilando geração e não atinge potência nominal. Em tratativa sob o chamado 15218465</t>
  </si>
  <si>
    <t xml:space="preserve">BC Varjao1.3215KTL-H0(MBUS-14)46080,47562546080,47562546080,4761458333</t>
  </si>
  <si>
    <t xml:space="preserve">Equipamento anormal - 2024. Inversor com alarme oscilando geração e não atinge potência nominal. Em tratativa sob o chamado 15218466</t>
  </si>
  <si>
    <t xml:space="preserve">BC Varjao1.3215KTL-H0(MBUS-14)46080,441192129646080,441192129646080,4417361111</t>
  </si>
  <si>
    <t xml:space="preserve">Equipamento anormal - 2024. Inversor com alarme oscilando geração e não atinge potência nominal. Em tratativa sob o chamado 15218467</t>
  </si>
  <si>
    <t xml:space="preserve">BC Varjao1.3215KTL-H0(MBUS-14)46080,428657407446080,428657407446080,4292013889</t>
  </si>
  <si>
    <t xml:space="preserve">Equipamento anormal - 2024. Inversor com alarme oscilando geração e não atinge potência nominal. Em tratativa sob o chamado 15218468</t>
  </si>
  <si>
    <t xml:space="preserve">BC Varjao1.3215KTL-H0(MBUS-14)46080,408738425946080,408738425946080,4093055556</t>
  </si>
  <si>
    <t xml:space="preserve">Equipamento anormal - 2024. Inversor com alarme oscilando geração e não atinge potência nominal. Em tratativa sob o chamado 15218469</t>
  </si>
  <si>
    <t xml:space="preserve">BC Varjao1.3215KTL-H0(MBUS-14)46080,408032407446080,408032407446080,4085648148</t>
  </si>
  <si>
    <t xml:space="preserve">Equipamento anormal - 2024. Inversor com alarme oscilando geração e não atinge potência nominal. Em tratativa sob o chamado 15218470</t>
  </si>
  <si>
    <t xml:space="preserve">BC Varjao1.3215KTL-H0(MBUS-14)46080,39937546080,39937546080,3999189815</t>
  </si>
  <si>
    <t xml:space="preserve">Equipamento anormal - 2024. Inversor com alarme oscilando geração e não atinge potência nominal. Em tratativa sob o chamado 15218471</t>
  </si>
  <si>
    <t xml:space="preserve">BC Varjao1.3215KTL-H0(MBUS-14)46080,387928240746080,387928240746080,3884722222</t>
  </si>
  <si>
    <t xml:space="preserve">Equipamento anormal - 2024. Inversor com alarme oscilando geração e não atinge potência nominal. Em tratativa sob o chamado 15218472</t>
  </si>
  <si>
    <t xml:space="preserve">BC Varjao1.3215KTL-H0(MBUS-14)46080,36015046346080,36015046346080,3606712963</t>
  </si>
  <si>
    <t xml:space="preserve">Equipamento anormal - 2024. Inversor com alarme oscilando geração e não atinge potência nominal. Em tratativa sob o chamado 15218473</t>
  </si>
  <si>
    <t xml:space="preserve">BC Varjao1.3215KTL-H0(MBUS-14)46080,319745370446080,319745370446080,3202893519</t>
  </si>
  <si>
    <t xml:space="preserve">Equipamento anormal - 2024. Inversor com alarme oscilando geração e não atinge potência nominal. Em tratativa sob o chamado 15218474</t>
  </si>
  <si>
    <t xml:space="preserve">BC Varjao1.3215KTL-H0(MBUS-14)46080,288240740746080,288240740746080,2928009259</t>
  </si>
  <si>
    <t xml:space="preserve">Equipamento anormal - 2024. Inversor com alarme oscilando geração e não atinge potência nominal. Em tratativa sob o chamado 15218475</t>
  </si>
  <si>
    <t xml:space="preserve">BC Varjao1.3215KTL-H0(MBUS-14)46080,287361111146080,287361111146080,2878472222</t>
  </si>
  <si>
    <t xml:space="preserve">Equipamento anormal - 2024. Inversor com alarme oscilando geração e não atinge potência nominal. Em tratativa sob o chamado 15218476</t>
  </si>
  <si>
    <t xml:space="preserve">BC Varjao1.3215KTL-H0(MBUS-14)46080,281377314846080,281377314846080,2860532407</t>
  </si>
  <si>
    <t xml:space="preserve">Equipamento anormal - 2024. Inversor com alarme oscilando geração e não atinge potência nominal. Em tratativa sob o chamado 15218477</t>
  </si>
  <si>
    <t xml:space="preserve">BC Varjao1.3215KTL-H0(MBUS-14)46080,276585648146080,276585648146080,277650463</t>
  </si>
  <si>
    <t xml:space="preserve">Equipamento anormal - 2024. Inversor com alarme oscilando geração e não atinge potência nominal. Em tratativa sob o chamado 15218478</t>
  </si>
  <si>
    <t xml:space="preserve">BC Varjao1.3215KTL-H0(MBUS-14)46080,250659722246080,250659722246080,276412037</t>
  </si>
  <si>
    <t xml:space="preserve">Equipamento anormal - 2024. Inversor com alarme oscilando geração e não atinge potência nominal. Em tratativa sob o chamado 15218479</t>
  </si>
  <si>
    <t xml:space="preserve">BC Varjao1.3215KTL-H0(MBUS-14)46080,250532407446080,250532407446080,276412037</t>
  </si>
  <si>
    <t xml:space="preserve">Equipamento anormal - 2024. Inversor com alarme oscilando geração e não atinge potência nominal. Em tratativa sob o chamado 15218480</t>
  </si>
  <si>
    <t xml:space="preserve">BC Varjao1.3215KTL-H0(MBUS-14)46079,75327546346079,75327546346079,7803009259</t>
  </si>
  <si>
    <t xml:space="preserve">Equipamento anormal - 2024. Inversor com alarme oscilando geração e não atinge potência nominal. Em tratativa sob o chamado 15218481</t>
  </si>
  <si>
    <t xml:space="preserve">BC Varjao1.3215KTL-H0(MBUS-14)46079,752581018546079,752581018546079,7531018518</t>
  </si>
  <si>
    <t xml:space="preserve">Equipamento anormal - 2024. Inversor com alarme oscilando geração e não atinge potência nominal. Em tratativa sob o chamado 15218482</t>
  </si>
  <si>
    <t xml:space="preserve">BC Varjao1.3215KTL-H0(MBUS-14)46079,751886574146079,751886574146079,7523958333</t>
  </si>
  <si>
    <t xml:space="preserve">Equipamento anormal - 2024. Inversor com alarme oscilando geração e não atinge potência nominal. Em tratativa sob o chamado 15218483</t>
  </si>
  <si>
    <t xml:space="preserve">BC Varjao1.3215KTL-H0(MBUS-14)46079,751180555646079,751180555646079,7517013889</t>
  </si>
  <si>
    <t xml:space="preserve">Equipamento anormal - 2024. Inversor com alarme oscilando geração e não atinge potência nominal. Em tratativa sob o chamado 15218484</t>
  </si>
  <si>
    <t xml:space="preserve">BC Varjao1.3215KTL-H0(MBUS-14)46079,750416666746079,750416666746079,7509375</t>
  </si>
  <si>
    <t xml:space="preserve">Equipamento anormal - 2024. Inversor com alarme oscilando geração e não atinge potência nominal. Em tratativa sob o chamado 15218485</t>
  </si>
  <si>
    <t xml:space="preserve">BC Varjao1.3215KTL-H0(MBUS-14)46079,749282407446079,749282407446079,7497916667</t>
  </si>
  <si>
    <t xml:space="preserve">Equipamento anormal - 2024. Inversor com alarme oscilando geração e não atinge potência nominal. Em tratativa sob o chamado 15218486</t>
  </si>
  <si>
    <t xml:space="preserve">BC Varjao1.3215KTL-H0(MBUS-14)46079,748148148146079,748148148146079,7486689815</t>
  </si>
  <si>
    <t xml:space="preserve">Equipamento anormal - 2024. Inversor com alarme oscilando geração e não atinge potência nominal. Em tratativa sob o chamado 15218487</t>
  </si>
  <si>
    <t xml:space="preserve">BC Varjao1.3215KTL-H0(MBUS-14)46079,590856481546079,590856481546079,5913888889</t>
  </si>
  <si>
    <t xml:space="preserve">Equipamento anormal - 2024. Inversor com alarme oscilando geração e não atinge potência nominal. Em tratativa sob o chamado 15218488</t>
  </si>
  <si>
    <t xml:space="preserve">BC Varjao1.3215KTL-H0(MBUS-14)46079,574629629646079,574629629646079,575162037</t>
  </si>
  <si>
    <t xml:space="preserve">Equipamento anormal - 2024. Inversor com alarme oscilando geração e não atinge potência nominal. Em tratativa sob o chamado 15218489</t>
  </si>
  <si>
    <t xml:space="preserve">BC Varjao1.3215KTL-H0(MBUS-14)46079,566111111146079,566111111146079,5666203704</t>
  </si>
  <si>
    <t xml:space="preserve">Equipamento anormal - 2024. Inversor com alarme oscilando geração e não atinge potência nominal. Em tratativa sob o chamado 15218490</t>
  </si>
  <si>
    <t xml:space="preserve">BC Varjao1.3215KTL-H0(MBUS-14)46079,557291666746079,557291666746079,5578472222</t>
  </si>
  <si>
    <t xml:space="preserve">Equipamento anormal - 2024. Inversor com alarme oscilando geração e não atinge potência nominal. Em tratativa sob o chamado 15218491</t>
  </si>
  <si>
    <t xml:space="preserve">BC Varjao1.3215KTL-H0(MBUS-14)46079,551956018546079,551956018546079,5525231482</t>
  </si>
  <si>
    <t xml:space="preserve">Equipamento anormal - 2024. Inversor com alarme oscilando geração e não atinge potência nominal. Em tratativa sob o chamado 15218492</t>
  </si>
  <si>
    <t xml:space="preserve">BC Varjao1.3215KTL-H0(MBUS-14)46079,542777777846079,542777777846079,543287037</t>
  </si>
  <si>
    <t xml:space="preserve">Equipamento anormal - 2024. Inversor com alarme oscilando geração e não atinge potência nominal. Em tratativa sob o chamado 15218493</t>
  </si>
  <si>
    <t xml:space="preserve">BC Varjao1.3215KTL-H0(MBUS-14)46079,533344907446079,533344907446079,5338425926</t>
  </si>
  <si>
    <t xml:space="preserve">Equipamento anormal - 2024. Inversor com alarme oscilando geração e não atinge potência nominal. Em tratativa sob o chamado 15218494</t>
  </si>
  <si>
    <t xml:space="preserve">BC Varjao1.3215KTL-H0(MBUS-14)46079,525833333346079,525833333346079,5263541667</t>
  </si>
  <si>
    <t xml:space="preserve">Equipamento anormal - 2024. Inversor com alarme oscilando geração e não atinge potência nominal. Em tratativa sob o chamado 15218495</t>
  </si>
  <si>
    <t xml:space="preserve">BC Varjao1.3215KTL-H0(MBUS-14)46079,517557870446079,517557870446079,5181134259</t>
  </si>
  <si>
    <t xml:space="preserve">Equipamento anormal - 2024. Inversor com alarme oscilando geração e não atinge potência nominal. Em tratativa sob o chamado 15218496</t>
  </si>
  <si>
    <t xml:space="preserve">BC Varjao1.3215KTL-H0(MBUS-14)46079,505694444446079,505694444446079,50625</t>
  </si>
  <si>
    <t xml:space="preserve">Equipamento anormal - 2024. Inversor com alarme oscilando geração e não atinge potência nominal. Em tratativa sob o chamado 15218497</t>
  </si>
  <si>
    <t xml:space="preserve">BC Varjao1.3215KTL-H0(MBUS-14)46079,500266203746079,500266203746079,5009027778</t>
  </si>
  <si>
    <t xml:space="preserve">Equipamento anormal - 2024. Inversor com alarme oscilando geração e não atinge potência nominal. Em tratativa sob o chamado 15218498</t>
  </si>
  <si>
    <t xml:space="preserve">BC Varjao1.3215KTL-H0(MBUS-14)46079,48077546346079,48077546346079,4812847222</t>
  </si>
  <si>
    <t xml:space="preserve">Equipamento anormal - 2024. Inversor com alarme oscilando geração e não atinge potência nominal. Em tratativa sob o chamado 15218499</t>
  </si>
  <si>
    <t xml:space="preserve">BC Varjao1.3215KTL-H0(MBUS-14)46079,469942129646079,469942129646079,470462963</t>
  </si>
  <si>
    <t xml:space="preserve">Equipamento anormal - 2024. Inversor com alarme oscilando geração e não atinge potência nominal. Em tratativa sob o chamado 15218500</t>
  </si>
  <si>
    <t xml:space="preserve">BC Varjao1.3215KTL-H0(MBUS-14)46079,448645833346079,448645833346079,4491898148</t>
  </si>
  <si>
    <t xml:space="preserve">Equipamento anormal - 2024. Inversor com alarme oscilando geração e não atinge potência nominal. Em tratativa sob o chamado 15218501</t>
  </si>
  <si>
    <t xml:space="preserve">BC Varjao1.3215KTL-H0(MBUS-14)46079,434074074146079,434074074146079,4346643519</t>
  </si>
  <si>
    <t xml:space="preserve">Equipamento anormal - 2024. Inversor com alarme oscilando geração e não atinge potência nominal. Em tratativa sob o chamado 15218502</t>
  </si>
  <si>
    <t xml:space="preserve">BC Varjao1.3215KTL-H0(MBUS-14)46079,420509259346079,420509259346079,4211921296</t>
  </si>
  <si>
    <t xml:space="preserve">Equipamento anormal - 2024. Inversor com alarme oscilando geração e não atinge potência nominal. Em tratativa sob o chamado 15218503</t>
  </si>
  <si>
    <t xml:space="preserve">BC Varjao1.3215KTL-H0(MBUS-14)46079,396388888946079,396388888946079,3969212963</t>
  </si>
  <si>
    <t xml:space="preserve">Equipamento anormal - 2024. Inversor com alarme oscilando geração e não atinge potência nominal. Em tratativa sob o chamado 15218504</t>
  </si>
  <si>
    <t xml:space="preserve">BC Varjao1.3215KTL-H0(MBUS-14)46079,293148148246079,293148148246079,2978935185</t>
  </si>
  <si>
    <t xml:space="preserve">Equipamento anormal - 2024. Inversor com alarme oscilando geração e não atinge potência nominal. Em tratativa sob o chamado 15218505</t>
  </si>
  <si>
    <t xml:space="preserve">BC Varjao1.3215KTL-H0(MBUS-14)46079,286215277846079,286215277846079,2872222222</t>
  </si>
  <si>
    <t xml:space="preserve">Equipamento anormal - 2024. Inversor com alarme oscilando geração e não atinge potência nominal. Em tratativa sob o chamado 15218506</t>
  </si>
  <si>
    <t xml:space="preserve">BC Varjao1.3215KTL-H0(MBUS-14)46079,253310185246079,253310185246079,2860416667</t>
  </si>
  <si>
    <t xml:space="preserve">Equipamento anormal - 2024. Inversor com alarme oscilando geração e não atinge potência nominal. Em tratativa sob o chamado 15218507</t>
  </si>
  <si>
    <t xml:space="preserve">BC Varjao1.3215KTL-H0(MBUS-14)46079,253182870446079,253182870446079,2860416667</t>
  </si>
  <si>
    <t xml:space="preserve">Equipamento anormal - 2024. Inversor com alarme oscilando geração e não atinge potência nominal. Em tratativa sob o chamado 15218508</t>
  </si>
  <si>
    <t xml:space="preserve">BC Varjao1.3215KTL-H0(MBUS-14)46078,752789351846078,752789351846079,2474537037</t>
  </si>
  <si>
    <t xml:space="preserve">Equipamento anormal - 2024. Inversor com alarme oscilando geração e não atinge potência nominal. Em tratativa sob o chamado 15218509</t>
  </si>
  <si>
    <t xml:space="preserve">BC Varjao1.3215KTL-H0(MBUS-14)46078,715590277846078,715590277846078,716099537</t>
  </si>
  <si>
    <t xml:space="preserve">Equipamento anormal - 2024. Inversor com alarme oscilando geração e não atinge potência nominal. Em tratativa sob o chamado 15218510</t>
  </si>
  <si>
    <t xml:space="preserve">BC Varjao1.3215KTL-H0(MBUS-14)46078,648969907446078,648969907446078,6494907407</t>
  </si>
  <si>
    <t xml:space="preserve">Equipamento anormal - 2024. Inversor com alarme oscilando geração e não atinge potência nominal. Em tratativa sob o chamado 15218511</t>
  </si>
  <si>
    <t xml:space="preserve">BC Varjao1.3215KTL-H0(MBUS-14)46078,624456018546078,624456018546078,6251041667</t>
  </si>
  <si>
    <t xml:space="preserve">Equipamento anormal - 2024. Inversor com alarme oscilando geração e não atinge potência nominal. Em tratativa sob o chamado 15218512</t>
  </si>
  <si>
    <t xml:space="preserve">BC Varjao1.3215KTL-H0(MBUS-14)46078,601863425946078,601863425946078,6023726852</t>
  </si>
  <si>
    <t xml:space="preserve">Equipamento anormal - 2024. Inversor com alarme oscilando geração e não atinge potência nominal. Em tratativa sob o chamado 15218513</t>
  </si>
  <si>
    <t xml:space="preserve">BC Varjao1.3215KTL-H0(MBUS-14)46078,589791666746078,589791666746078,5903009259</t>
  </si>
  <si>
    <t xml:space="preserve">Equipamento anormal - 2024. Inversor com alarme oscilando geração e não atinge potência nominal. Em tratativa sob o chamado 15218514</t>
  </si>
  <si>
    <t xml:space="preserve">BC Varjao1.3215KTL-H0(MBUS-14)46078,582002314846078,582002314846078,5825115741</t>
  </si>
  <si>
    <t xml:space="preserve">Equipamento anormal - 2024. Inversor com alarme oscilando geração e não atinge potência nominal. Em tratativa sob o chamado 15218515</t>
  </si>
  <si>
    <t xml:space="preserve">BC Varjao1.3215KTL-H0(MBUS-14)46078,57640046346078,57640046346078,5769444444</t>
  </si>
  <si>
    <t xml:space="preserve">Equipamento anormal - 2024. Inversor com alarme oscilando geração e não atinge potência nominal. Em tratativa sob o chamado 15218516</t>
  </si>
  <si>
    <t xml:space="preserve">BC Varjao1.3215KTL-H0(MBUS-14)46078,537997685246078,537997685246078,5385185185</t>
  </si>
  <si>
    <t xml:space="preserve">Equipamento anormal - 2024. Inversor com alarme oscilando geração e não atinge potência nominal. Em tratativa sob o chamado 15218517</t>
  </si>
  <si>
    <t xml:space="preserve">BC Varjao1.3215KTL-H0(MBUS-14)46078,518784722246078,518784722246078,5192939815</t>
  </si>
  <si>
    <t xml:space="preserve">Equipamento anormal - 2024. Inversor com alarme oscilando geração e não atinge potência nominal. Em tratativa sob o chamado 15218518</t>
  </si>
  <si>
    <t xml:space="preserve">BC Varjao1.3215KTL-H0(MBUS-14)46078,509421296346078,509421296346078,5099305556</t>
  </si>
  <si>
    <t xml:space="preserve">Equipamento anormal - 2024. Inversor com alarme oscilando geração e não atinge potência nominal. Em tratativa sob o chamado 15218519</t>
  </si>
  <si>
    <t xml:space="preserve">BC Varjao1.3215KTL-H0(MBUS-14)46078,503009259346078,503009259346078,5035185185</t>
  </si>
  <si>
    <t xml:space="preserve">Equipamento anormal - 2024. Inversor com alarme oscilando geração e não atinge potência nominal. Em tratativa sob o chamado 15218520</t>
  </si>
  <si>
    <t xml:space="preserve">BC Varjao1.3215KTL-H0(MBUS-14)46078,494131944446078,494131944446078,4946412037</t>
  </si>
  <si>
    <t xml:space="preserve">Equipamento anormal - 2024. Inversor com alarme oscilando geração e não atinge potência nominal. Em tratativa sob o chamado 15218521</t>
  </si>
  <si>
    <t xml:space="preserve">BC Varjao1.3215KTL-H0(MBUS-14)46078,486006944446078,486006944446078,4865046296</t>
  </si>
  <si>
    <t xml:space="preserve">Equipamento anormal - 2024. Inversor com alarme oscilando geração e não atinge potência nominal. Em tratativa sob o chamado 15218522</t>
  </si>
  <si>
    <t xml:space="preserve">BC Varjao1.3215KTL-H0(MBUS-14)46078,475104166746078,475104166746078,4756134259</t>
  </si>
  <si>
    <t xml:space="preserve">Equipamento anormal - 2024. Inversor com alarme oscilando geração e não atinge potência nominal. Em tratativa sob o chamado 15218523</t>
  </si>
  <si>
    <t xml:space="preserve">BC Varjao1.3215KTL-H0(MBUS-14)46078,468796296346078,468796296346078,4693171296</t>
  </si>
  <si>
    <t xml:space="preserve">Equipamento anormal - 2024. Inversor com alarme oscilando geração e não atinge potência nominal. Em tratativa sob o chamado 15218524</t>
  </si>
  <si>
    <t xml:space="preserve">BC Varjao1.3215KTL-H0(MBUS-14)46078,450636574146078,450636574146078,4513194444</t>
  </si>
  <si>
    <t xml:space="preserve">Equipamento anormal - 2024. Inversor com alarme oscilando geração e não atinge potência nominal. Em tratativa sob o chamado 15218525</t>
  </si>
  <si>
    <t xml:space="preserve">BC Varjao1.3215KTL-H0(MBUS-14)46078,443171296346078,443171296346078,4436921296</t>
  </si>
  <si>
    <t xml:space="preserve">Equipamento anormal - 2024. Inversor com alarme oscilando geração e não atinge potência nominal. Em tratativa sob o chamado 15218526</t>
  </si>
  <si>
    <t xml:space="preserve">BC Varjao1.3215KTL-H0(MBUS-14)46078,43202546346078,43202546346078,4325347222</t>
  </si>
  <si>
    <t xml:space="preserve">Equipamento anormal - 2024. Inversor com alarme oscilando geração e não atinge potência nominal. Em tratativa sob o chamado 15218527</t>
  </si>
  <si>
    <t xml:space="preserve">BC Varjao1.3215KTL-H0(MBUS-14)46078,416273148146078,416273148146078,4167708333</t>
  </si>
  <si>
    <t xml:space="preserve">Equipamento anormal - 2024. Inversor com alarme oscilando geração e não atinge potência nominal. Em tratativa sob o chamado 15218528</t>
  </si>
  <si>
    <t xml:space="preserve">BC Varjao1.3215KTL-H0(MBUS-14)46078,40703703746078,40703703746078,4075347222</t>
  </si>
  <si>
    <t xml:space="preserve">Equipamento anormal - 2024. Inversor com alarme oscilando geração e não atinge potência nominal. Em tratativa sob o chamado 15218529</t>
  </si>
  <si>
    <t xml:space="preserve">BC Varjao1.3215KTL-H0(MBUS-14)46078,395046296346078,395046296346078,3955555556</t>
  </si>
  <si>
    <t xml:space="preserve">Equipamento anormal - 2024. Inversor com alarme oscilando geração e não atinge potência nominal. Em tratativa sob o chamado 15218530</t>
  </si>
  <si>
    <t xml:space="preserve">BC Varjao1.3215KTL-H0(MBUS-14)46078,365405092646078,365405092646078,3659375</t>
  </si>
  <si>
    <t xml:space="preserve">Equipamento anormal - 2024. Inversor com alarme oscilando geração e não atinge potência nominal. Em tratativa sob o chamado 15218531</t>
  </si>
  <si>
    <t xml:space="preserve">BC Varjao1.3215KTL-H0(MBUS-14)46078,311226851946078,311226851946078,3118865741</t>
  </si>
  <si>
    <t xml:space="preserve">Equipamento anormal - 2024. Inversor com alarme oscilando geração e não atinge potência nominal. Em tratativa sob o chamado 15218532</t>
  </si>
  <si>
    <t xml:space="preserve">BC Varjao1.3215KTL-H0(MBUS-14)46078,306793981546078,306793981546078,3074537037</t>
  </si>
  <si>
    <t xml:space="preserve">Equipamento anormal - 2024. Inversor com alarme oscilando geração e não atinge potência nominal. Em tratativa sob o chamado 15218533</t>
  </si>
  <si>
    <t xml:space="preserve">BC Varjao1.3215KTL-H0(MBUS-14)46078,295543981546078,295543981546078,2961689815</t>
  </si>
  <si>
    <t xml:space="preserve">Equipamento anormal - 2024. Inversor com alarme oscilando geração e não atinge potência nominal. Em tratativa sob o chamado 15218534</t>
  </si>
  <si>
    <t xml:space="preserve">BC Varjao1.3215KTL-H0(MBUS-14)46078,294050925946078,294050925946078,2948842593</t>
  </si>
  <si>
    <t xml:space="preserve">Equipamento anormal - 2024. Inversor com alarme oscilando geração e não atinge potência nominal. Em tratativa sob o chamado 15218535</t>
  </si>
  <si>
    <t xml:space="preserve">BC Varjao1.3215KTL-H0(MBUS-14)46078,293206018546078,293206018546078,2938888889</t>
  </si>
  <si>
    <t xml:space="preserve">Equipamento anormal - 2024. Inversor com alarme oscilando geração e não atinge potência nominal. Em tratativa sob o chamado 15218536</t>
  </si>
  <si>
    <t xml:space="preserve">BC Varjao1.3215KTL-H0(MBUS-14)46078,248946759346078,248946759346078,2931597222</t>
  </si>
  <si>
    <t xml:space="preserve">Equipamento anormal - 2024. Inversor com alarme oscilando geração e não atinge potência nominal. Em tratativa sob o chamado 15218537</t>
  </si>
  <si>
    <t xml:space="preserve">BC Varjao1.3215KTL-H0(MBUS-14)46077,756516203746077,756516203746077,7810069444</t>
  </si>
  <si>
    <t xml:space="preserve">Equipamento anormal - 2024. Inversor com alarme oscilando geração e não atinge potência nominal. Em tratativa sob o chamado 15218538</t>
  </si>
  <si>
    <t xml:space="preserve">BC Varjao1.3215KTL-H0(MBUS-14)46077,755833333346077,755833333346077,7563310185</t>
  </si>
  <si>
    <t xml:space="preserve">Equipamento anormal - 2024. Inversor com alarme oscilando geração e não atinge potência nominal. Em tratativa sob o chamado 15218539</t>
  </si>
  <si>
    <t xml:space="preserve">BC Varjao1.3215KTL-H0(MBUS-14)46077,755127314846077,755127314846077,7556597222</t>
  </si>
  <si>
    <t xml:space="preserve">Equipamento anormal - 2024. Inversor com alarme oscilando geração e não atinge potência nominal. Em tratativa sob o chamado 15218540</t>
  </si>
  <si>
    <t xml:space="preserve">BC Varjao1.3215KTL-H0(MBUS-14)46077,754432870446077,754432870446077,7549421296</t>
  </si>
  <si>
    <t xml:space="preserve">Equipamento anormal - 2024. Inversor com alarme oscilando geração e não atinge potência nominal. Em tratativa sob o chamado 15218541</t>
  </si>
  <si>
    <t xml:space="preserve">BC Varjao1.3215KTL-H0(MBUS-14)46077,753680555646077,753680555646077,7542013889</t>
  </si>
  <si>
    <t xml:space="preserve">Equipamento anormal - 2024. Inversor com alarme oscilando geração e não atinge potência nominal. Em tratativa sob o chamado 15218542</t>
  </si>
  <si>
    <t xml:space="preserve">BC Varjao1.3215KTL-H0(MBUS-14)46077,751562546077,751562546077,7520833333</t>
  </si>
  <si>
    <t xml:space="preserve">Equipamento anormal - 2024. Inversor com alarme oscilando geração e não atinge potência nominal. Em tratativa sob o chamado 15218543</t>
  </si>
  <si>
    <t xml:space="preserve">BC Varjao1.3215KTL-H0(MBUS-14)46077,73140046346077,73140046346077,7319328704</t>
  </si>
  <si>
    <t xml:space="preserve">Equipamento anormal - 2024. Inversor com alarme oscilando geração e não atinge potência nominal. Em tratativa sob o chamado 15218544</t>
  </si>
  <si>
    <t xml:space="preserve">BC Varjao1.3215KTL-H0(MBUS-14)46077,713541666746077,713541666746077,7140509259</t>
  </si>
  <si>
    <t xml:space="preserve">Equipamento anormal - 2024. Inversor com alarme oscilando geração e não atinge potência nominal. Em tratativa sob o chamado 15218545</t>
  </si>
  <si>
    <t xml:space="preserve">BC Varjao1.3215KTL-H0(MBUS-14)46077,706319444446077,706319444446077,7071990741</t>
  </si>
  <si>
    <t xml:space="preserve">Equipamento anormal - 2024. Inversor com alarme oscilando geração e não atinge potência nominal. Em tratativa sob o chamado 15218546</t>
  </si>
  <si>
    <t xml:space="preserve">BC Varjao1.3215KTL-H0(MBUS-14)46077,702384259346077,702384259346077,7029166667</t>
  </si>
  <si>
    <t xml:space="preserve">Equipamento anormal - 2024. Inversor com alarme oscilando geração e não atinge potência nominal. Em tratativa sob o chamado 15218547</t>
  </si>
  <si>
    <t xml:space="preserve">BC Varjao1.3215KTL-H0(MBUS-14)46077,673923611146077,673923611146077,6744444444</t>
  </si>
  <si>
    <t xml:space="preserve">Equipamento anormal - 2024. Inversor com alarme oscilando geração e não atinge potência nominal. Em tratativa sob o chamado 15218548</t>
  </si>
  <si>
    <t xml:space="preserve">BC Varjao1.3215KTL-H0(MBUS-14)46077,622824074146077,622824074146077,6233564815</t>
  </si>
  <si>
    <t xml:space="preserve">Equipamento anormal - 2024. Inversor com alarme oscilando geração e não atinge potência nominal. Em tratativa sob o chamado 15218549</t>
  </si>
  <si>
    <t xml:space="preserve">BC Varjao1.3215KTL-H0(MBUS-14)46077,603877314846077,603877314846077,6043865741</t>
  </si>
  <si>
    <t xml:space="preserve">Equipamento anormal - 2024. Inversor com alarme oscilando geração e não atinge potência nominal. Em tratativa sob o chamado 15218550</t>
  </si>
  <si>
    <t xml:space="preserve">BC Varjao1.3215KTL-H0(MBUS-14)46077,532002314846077,532002314846077,5325231481</t>
  </si>
  <si>
    <t xml:space="preserve">Equipamento anormal - 2024. Inversor com alarme oscilando geração e não atinge potência nominal. Em tratativa sob o chamado 15218551</t>
  </si>
  <si>
    <t xml:space="preserve">BC Varjao1.3215KTL-H0(MBUS-14)46077,522118055646077,522118055646077,5226388889</t>
  </si>
  <si>
    <t xml:space="preserve">Equipamento anormal - 2024. Inversor com alarme oscilando geração e não atinge potência nominal. Em tratativa sob o chamado 15218552</t>
  </si>
  <si>
    <t xml:space="preserve">BC Varjao1.3215KTL-H0(MBUS-14)46077,510127314846077,510127314846077,5106481481</t>
  </si>
  <si>
    <t xml:space="preserve">Equipamento anormal - 2024. Inversor com alarme oscilando geração e não atinge potência nominal. Em tratativa sob o chamado 15218553</t>
  </si>
  <si>
    <t xml:space="preserve">BC Varjao1.3215KTL-H0(MBUS-14)46077,502523148146077,502523148146077,5030555556</t>
  </si>
  <si>
    <t xml:space="preserve">Equipamento anormal - 2024. Inversor com alarme oscilando geração e não atinge potência nominal. Em tratativa sob o chamado 15218554</t>
  </si>
  <si>
    <t xml:space="preserve">BC Varjao1.3215KTL-H0(MBUS-14)46077,490011574146077,490011574146077,4905324074</t>
  </si>
  <si>
    <t xml:space="preserve">Equipamento anormal - 2024. Inversor com alarme oscilando geração e não atinge potência nominal. Em tratativa sob o chamado 15218555</t>
  </si>
  <si>
    <t xml:space="preserve">BC Varjao1.3215KTL-H0(MBUS-14)46077,476932870446077,476932870446077,4774537037</t>
  </si>
  <si>
    <t xml:space="preserve">Equipamento anormal - 2024. Inversor com alarme oscilando geração e não atinge potência nominal. Em tratativa sob o chamado 15218556</t>
  </si>
  <si>
    <t xml:space="preserve">BC Varjao1.3215KTL-H0(MBUS-14)46077,46391203746077,46391203746077,4644212963</t>
  </si>
  <si>
    <t xml:space="preserve">Equipamento anormal - 2024. Inversor com alarme oscilando geração e não atinge potência nominal. Em tratativa sob o chamado 15218557</t>
  </si>
  <si>
    <t xml:space="preserve">BC Varjao1.3215KTL-H0(MBUS-14)46077,454548611146077,454548611146077,4550810185</t>
  </si>
  <si>
    <t xml:space="preserve">Equipamento anormal - 2024. Inversor com alarme oscilando geração e não atinge potência nominal. Em tratativa sob o chamado 15218558</t>
  </si>
  <si>
    <t xml:space="preserve">BC Varjao1.3215KTL-H0(MBUS-14)46077,434895833346077,434895833346077,4354050926</t>
  </si>
  <si>
    <t xml:space="preserve">Equipamento anormal - 2024. Inversor com alarme oscilando geração e não atinge potência nominal. Em tratativa sob o chamado 15218559</t>
  </si>
  <si>
    <t xml:space="preserve">BC Varjao1.3215KTL-H0(MBUS-14)46077,429629629646077,429629629646077,4301851852</t>
  </si>
  <si>
    <t xml:space="preserve">Equipamento anormal - 2024. Inversor com alarme oscilando geração e não atinge potência nominal. Em tratativa sob o chamado 15218560</t>
  </si>
  <si>
    <t xml:space="preserve">BC Varjao1.3215KTL-H0(MBUS-14)46077,381805555646077,381805555646077,382337963</t>
  </si>
  <si>
    <t xml:space="preserve">Equipamento anormal - 2024. Inversor com alarme oscilando geração e não atinge potência nominal. Em tratativa sob o chamado 15218561</t>
  </si>
  <si>
    <t xml:space="preserve">BC Varjao1.3215KTL-H0(MBUS-14)46077,357430555646077,357430555646077,357974537</t>
  </si>
  <si>
    <t xml:space="preserve">Equipamento anormal - 2024. Inversor com alarme oscilando geração e não atinge potência nominal. Em tratativa sob o chamado 15218562</t>
  </si>
  <si>
    <t xml:space="preserve">BC Varjao1.3215KTL-H0(MBUS-14)46077,296493055646077,296493055646077,2980324074</t>
  </si>
  <si>
    <t xml:space="preserve">Equipamento anormal - 2024. Inversor com alarme oscilando geração e não atinge potência nominal. Em tratativa sob o chamado 15218563</t>
  </si>
  <si>
    <t xml:space="preserve">BC Varjao1.3215KTL-H0(MBUS-14)46077,293553240746077,293553240746077,2941782407</t>
  </si>
  <si>
    <t xml:space="preserve">Equipamento anormal - 2024. Inversor com alarme oscilando geração e não atinge potência nominal. Em tratativa sob o chamado 15218564</t>
  </si>
  <si>
    <t xml:space="preserve">BC Varjao1.3215KTL-H0(MBUS-14)46077,292743055646077,292743055646077,2933680556</t>
  </si>
  <si>
    <t xml:space="preserve">Equipamento anormal - 2024. Inversor com alarme oscilando geração e não atinge potência nominal. Em tratativa sob o chamado 15218565</t>
  </si>
  <si>
    <t xml:space="preserve">BC Varjao1.3215KTL-H0(MBUS-14)46077,291886574146077,291886574146077,2925578704</t>
  </si>
  <si>
    <t xml:space="preserve">Equipamento anormal - 2024. Inversor com alarme oscilando geração e não atinge potência nominal. Em tratativa sob o chamado 15218566</t>
  </si>
  <si>
    <t xml:space="preserve">BC Varjao1.3215KTL-H0(MBUS-14)46077,291053240746077,291053240746077,2916782407</t>
  </si>
  <si>
    <t xml:space="preserve">Equipamento anormal - 2024. Inversor com alarme oscilando geração e não atinge potência nominal. Em tratativa sob o chamado 15218567</t>
  </si>
  <si>
    <t xml:space="preserve">BC Varjao1.3215KTL-H0(MBUS-14)46077,290231481546077,290231481546077,2908680556</t>
  </si>
  <si>
    <t xml:space="preserve">Equipamento anormal - 2024. Inversor com alarme oscilando geração e não atinge potência nominal. Em tratativa sob o chamado 15218568</t>
  </si>
  <si>
    <t xml:space="preserve">BC Varjao1.3215KTL-H0(MBUS-14)46077,28672453746077,28672453746077,2873842593</t>
  </si>
  <si>
    <t xml:space="preserve">Equipamento anormal - 2024. Inversor com alarme oscilando geração e não atinge potência nominal. Em tratativa sob o chamado 15218569</t>
  </si>
  <si>
    <t xml:space="preserve">BC Varjao1.3215KTL-H0(MBUS-14)46077,285115740746077,285115740746077,285775463</t>
  </si>
  <si>
    <t xml:space="preserve">Equipamento anormal - 2024. Inversor com alarme oscilando geração e não atinge potência nominal. Em tratativa sob o chamado 15218570</t>
  </si>
  <si>
    <t xml:space="preserve">BC Varjao1.3215KTL-H0(MBUS-14)46077,284282407446077,284282407446077,2848842593</t>
  </si>
  <si>
    <t xml:space="preserve">Equipamento anormal - 2024. Inversor com alarme oscilando geração e não atinge potência nominal. Em tratativa sob o chamado 15218571</t>
  </si>
  <si>
    <t xml:space="preserve">BC Varjao1.3215KTL-H0(MBUS-14)46077,283506944446077,283506944446077,2841087963</t>
  </si>
  <si>
    <t xml:space="preserve">Equipamento anormal - 2024. Inversor com alarme oscilando geração e não atinge potência nominal. Em tratativa sob o chamado 15218572</t>
  </si>
  <si>
    <t xml:space="preserve">BC Varjao1.3215KTL-H0(MBUS-14)46077,282685185246077,282685185246077,2833101852</t>
  </si>
  <si>
    <t xml:space="preserve">Equipamento anormal - 2024. Inversor com alarme oscilando geração e não atinge potência nominal. Em tratativa sob o chamado 15218573</t>
  </si>
  <si>
    <t xml:space="preserve">BC Varjao1.3215KTL-H0(MBUS-14)46077,281886574146077,281886574146077,2825</t>
  </si>
  <si>
    <t xml:space="preserve">Equipamento anormal - 2024. Inversor com alarme oscilando geração e não atinge potência nominal. Em tratativa sob o chamado 15218574</t>
  </si>
  <si>
    <t xml:space="preserve">BC Varjao1.3215KTL-H0(MBUS-14)46077,280127314846077,280127314846077,2809143519</t>
  </si>
  <si>
    <t xml:space="preserve">Equipamento anormal - 2024. Inversor com alarme oscilando geração e não atinge potência nominal. Em tratativa sob o chamado 15218575</t>
  </si>
  <si>
    <t xml:space="preserve">BC Varjao1.3215KTL-H0(MBUS-14)46077,250601851946077,250601851946077,2799652778</t>
  </si>
  <si>
    <t xml:space="preserve">Equipamento anormal - 2024. Inversor com alarme oscilando geração e não atinge potência nominal. Em tratativa sob o chamado 15218576</t>
  </si>
  <si>
    <t xml:space="preserve">BC Varjao1.3215KTL-H0(MBUS-14)46076,756481481546076,756481481546076,7824189815</t>
  </si>
  <si>
    <t xml:space="preserve">Equipamento anormal - 2024. Inversor com alarme oscilando geração e não atinge potência nominal. Em tratativa sob o chamado 15218577</t>
  </si>
  <si>
    <t xml:space="preserve">BC Varjao1.3215KTL-H0(MBUS-14)46076,683946759346076,683946759346076,6844675926</t>
  </si>
  <si>
    <t xml:space="preserve">Equipamento anormal - 2024. Inversor com alarme oscilando geração e não atinge potência nominal. Em tratativa sob o chamado 15218578</t>
  </si>
  <si>
    <t xml:space="preserve">BC Varjao1.3215KTL-H0(MBUS-14)46076,641388888946076,641388888946076,6418981481</t>
  </si>
  <si>
    <t xml:space="preserve">Equipamento anormal - 2024. Inversor com alarme oscilando geração e não atinge potência nominal. Em tratativa sob o chamado 15218579</t>
  </si>
  <si>
    <t xml:space="preserve">BC Varjao1.3215KTL-H0(MBUS-14)46076,623877314846076,623877314846076,624375</t>
  </si>
  <si>
    <t xml:space="preserve">Equipamento anormal - 2024. Inversor com alarme oscilando geração e não atinge potência nominal. Em tratativa sob o chamado 15218580</t>
  </si>
  <si>
    <t xml:space="preserve">BC Varjao1.3215KTL-H0(MBUS-14)46076,615057870446076,615057870446076,6155787037</t>
  </si>
  <si>
    <t xml:space="preserve">Equipamento anormal - 2024. Inversor com alarme oscilando geração e não atinge potência nominal. Em tratativa sob o chamado 15218581</t>
  </si>
  <si>
    <t xml:space="preserve">BC Varjao1.3215KTL-H0(MBUS-14)46076,596076388946076,596076388946076,5965856481</t>
  </si>
  <si>
    <t xml:space="preserve">Equipamento anormal - 2024. Inversor com alarme oscilando geração e não atinge potência nominal. Em tratativa sob o chamado 15218582</t>
  </si>
  <si>
    <t xml:space="preserve">BC Varjao1.3215KTL-H0(MBUS-14)46076,582453703746076,582453703746076,582974537</t>
  </si>
  <si>
    <t xml:space="preserve">Equipamento anormal - 2024. Inversor com alarme oscilando geração e não atinge potência nominal. Em tratativa sob o chamado 15218583</t>
  </si>
  <si>
    <t xml:space="preserve">BC Varjao1.3215KTL-H0(MBUS-14)46076,569108796346076,569108796346076,5696180556</t>
  </si>
  <si>
    <t xml:space="preserve">Equipamento anormal - 2024. Inversor com alarme oscilando geração e não atinge potência nominal. Em tratativa sob o chamado 15218584</t>
  </si>
  <si>
    <t xml:space="preserve">BC Varjao1.3215KTL-H0(MBUS-14)46076,555844907446076,555844907446076,5563541667</t>
  </si>
  <si>
    <t xml:space="preserve">Equipamento anormal - 2024. Inversor com alarme oscilando geração e não atinge potência nominal. Em tratativa sob o chamado 15218585</t>
  </si>
  <si>
    <t xml:space="preserve">BC Varjao1.3215KTL-H0(MBUS-14)46076,538576388946076,538576388946076,5390856481</t>
  </si>
  <si>
    <t xml:space="preserve">Equipamento anormal - 2024. Inversor com alarme oscilando geração e não atinge potência nominal. Em tratativa sob o chamado 15218586</t>
  </si>
  <si>
    <t xml:space="preserve">BC Varjao1.3215KTL-H0(MBUS-14)46076,528252314846076,528252314846076,5287731482</t>
  </si>
  <si>
    <t xml:space="preserve">Equipamento anormal - 2024. Inversor com alarme oscilando geração e não atinge potência nominal. Em tratativa sob o chamado 15218587</t>
  </si>
  <si>
    <t xml:space="preserve">BC Varjao1.3215KTL-H0(MBUS-14)46076,520891203746076,520891203746076,521400463</t>
  </si>
  <si>
    <t xml:space="preserve">Equipamento anormal - 2024. Inversor com alarme oscilando geração e não atinge potência nominal. Em tratativa sob o chamado 15218588</t>
  </si>
  <si>
    <t xml:space="preserve">BC Varjao1.3215KTL-H0(MBUS-14)46076,502546076,502546076,5030324074</t>
  </si>
  <si>
    <t xml:space="preserve">Equipamento anormal - 2024. Inversor com alarme oscilando geração e não atinge potência nominal. Em tratativa sob o chamado 15218589</t>
  </si>
  <si>
    <t xml:space="preserve">BC Varjao1.3215KTL-H0(MBUS-14)46076,488958333346076,488958333346076,4894791667</t>
  </si>
  <si>
    <t xml:space="preserve">Equipamento anormal - 2024. Inversor com alarme oscilando geração e não atinge potência nominal. Em tratativa sob o chamado 15218590</t>
  </si>
  <si>
    <t xml:space="preserve">BC Varjao1.3215KTL-H0(MBUS-14)46076,487789351846076,487789351846076,9453703704</t>
  </si>
  <si>
    <t xml:space="preserve">Equipamento anormal - 2024. Inversor com alarme oscilando geração e não atinge potência nominal. Em tratativa sob o chamado 15218591</t>
  </si>
  <si>
    <t xml:space="preserve">BC Varjao1.3215KTL-H0(MBUS-14)46076,469675925946076,469675925946076,4701851852</t>
  </si>
  <si>
    <t xml:space="preserve">Equipamento anormal - 2024. Inversor com alarme oscilando geração e não atinge potência nominal. Em tratativa sob o chamado 15218592</t>
  </si>
  <si>
    <t xml:space="preserve">BC Varjao1.3215KTL-H0(MBUS-14)46076,464039351846076,464039351846076,4689236111</t>
  </si>
  <si>
    <t xml:space="preserve">Equipamento anormal - 2024. Inversor com alarme oscilando geração e não atinge potência nominal. Em tratativa sob o chamado 15218593</t>
  </si>
  <si>
    <t xml:space="preserve">BC Varjao1.3215KTL-H0(MBUS-14)46076,458032407446076,458032407446076,4621643519</t>
  </si>
  <si>
    <t xml:space="preserve">Equipamento anormal - 2024. Inversor com alarme oscilando geração e não atinge potência nominal. Em tratativa sob o chamado 15218594</t>
  </si>
  <si>
    <t xml:space="preserve">BC Varjao1.3215KTL-H0(MBUS-14)46076,456562546076,456562546076,4578472222</t>
  </si>
  <si>
    <t xml:space="preserve">Equipamento anormal - 2024. Inversor com alarme oscilando geração e não atinge potência nominal. Em tratativa sob o chamado 15218595</t>
  </si>
  <si>
    <t xml:space="preserve">BC Varjao1.3215KTL-H0(MBUS-14)46076,449594907446076,449594907446076,455462963</t>
  </si>
  <si>
    <t xml:space="preserve">Equipamento anormal - 2024. Inversor com alarme oscilando geração e não atinge potência nominal. Em tratativa sob o chamado 15218596</t>
  </si>
  <si>
    <t xml:space="preserve">BC Varjao1.3215KTL-H0(MBUS-14)46076,447013888946076,447013888946076,4501736111</t>
  </si>
  <si>
    <t xml:space="preserve">Equipamento anormal - 2024. Inversor com alarme oscilando geração e não atinge potência nominal. Em tratativa sob o chamado 15218597</t>
  </si>
  <si>
    <t xml:space="preserve">BC Varjao1.3215KTL-H0(MBUS-14)46076,445844907446076,445844907446076,4470138889</t>
  </si>
  <si>
    <t xml:space="preserve">Equipamento anormal - 2024. Inversor com alarme oscilando geração e não atinge potência nominal. Em tratativa sob o chamado 15218598</t>
  </si>
  <si>
    <t xml:space="preserve">BC Varjao1.3215KTL-H0(MBUS-14)46076,442372685246076,442372685246076,9003009259</t>
  </si>
  <si>
    <t xml:space="preserve">Equipamento anormal - 2024. Inversor com alarme oscilando geração e não atinge potência nominal. Em tratativa sob o chamado 15218599</t>
  </si>
  <si>
    <t xml:space="preserve">BC Varjao1.3215KTL-H0(MBUS-14)46076,434386574146076,434386574146076,4349074074</t>
  </si>
  <si>
    <t xml:space="preserve">Equipamento anormal - 2024. Inversor com alarme oscilando geração e não atinge potência nominal. Em tratativa sob o chamado 15218600</t>
  </si>
  <si>
    <t xml:space="preserve">BC Varjao1.3215KTL-H0(MBUS-14)46076,418113425946076,418113425946076,4186342593</t>
  </si>
  <si>
    <t xml:space="preserve">Equipamento anormal - 2024. Inversor com alarme oscilando geração e não atinge potência nominal. Em tratativa sob o chamado 15218601</t>
  </si>
  <si>
    <t xml:space="preserve">BC Varjao1.3215KTL-H0(MBUS-14)46076,410648148246076,410648148246076,4111574074</t>
  </si>
  <si>
    <t xml:space="preserve">Equipamento anormal - 2024. Inversor com alarme oscilando geração e não atinge potência nominal. Em tratativa sob o chamado 15218602</t>
  </si>
  <si>
    <t xml:space="preserve">BC Varjao1.3215KTL-H0(MBUS-14)46076,40452546346076,40452546346076,4050694444</t>
  </si>
  <si>
    <t xml:space="preserve">Equipamento anormal - 2024. Inversor com alarme oscilando geração e não atinge potência nominal. Em tratativa sob o chamado 15218603</t>
  </si>
  <si>
    <t xml:space="preserve">BC Varjao1.3215KTL-H0(MBUS-14)46076,372013888946076,372013888946076,3725462963</t>
  </si>
  <si>
    <t xml:space="preserve">Equipamento anormal - 2024. Inversor com alarme oscilando geração e não atinge potência nominal. Em tratativa sob o chamado 15218604</t>
  </si>
  <si>
    <t xml:space="preserve">BC Varjao1.3215KTL-H0(MBUS-14)46076,365115740746076,365115740746076,3657175926</t>
  </si>
  <si>
    <t xml:space="preserve">Equipamento anormal - 2024. Inversor com alarme oscilando geração e não atinge potência nominal. Em tratativa sob o chamado 15218605</t>
  </si>
  <si>
    <t xml:space="preserve">BC Varjao1.3215KTL-H0(MBUS-14)46076,284201388946076,284201388946076,285150463</t>
  </si>
  <si>
    <t xml:space="preserve">Equipamento anormal - 2024. Inversor com alarme oscilando geração e não atinge potência nominal. Em tratativa sob o chamado 15218606</t>
  </si>
  <si>
    <t xml:space="preserve">BC Varjao1.3215KTL-H0(MBUS-14)46076,252361111146076,252361111146076,2840393518</t>
  </si>
  <si>
    <t xml:space="preserve">Equipamento anormal - 2024. Inversor com alarme oscilando geração e não atinge potência nominal. Em tratativa sob o chamado 15218607</t>
  </si>
  <si>
    <t xml:space="preserve">BC Varjao1.3215KTL-H0(MBUS-14)46076,251944444446076,251944444446076,2840393518</t>
  </si>
  <si>
    <t xml:space="preserve">Equipamento anormal - 2024. Inversor com alarme oscilando geração e não atinge potência nominal. Em tratativa sob o chamado 15218608</t>
  </si>
  <si>
    <t xml:space="preserve">BC Varjao1.3215KTL-H0(MBUS-14)46075,779027777846075,779027777846075,7813425926</t>
  </si>
  <si>
    <t xml:space="preserve">Equipamento anormal - 2024. Inversor com alarme oscilando geração e não atinge potência nominal. Em tratativa sob o chamado 15218609</t>
  </si>
  <si>
    <t xml:space="preserve">BC Varjao1.3215KTL-H0(MBUS-14)46075,75187546075,75187546075,7813425926</t>
  </si>
  <si>
    <t xml:space="preserve">Equipamento anormal - 2024. Inversor com alarme oscilando geração e não atinge potência nominal. Em tratativa sob o chamado 15218610</t>
  </si>
  <si>
    <t xml:space="preserve">BC Varjao1.3215KTL-H0(MBUS-14)46075,75187546075,75187546075,7748148148</t>
  </si>
  <si>
    <t xml:space="preserve">Equipamento anormal - 2024. Inversor com alarme oscilando geração e não atinge potência nominal. Em tratativa sob o chamado 15218611</t>
  </si>
  <si>
    <t xml:space="preserve">BC Varjao1.3215KTL-H0(MBUS-14)46075,751215277846075,751215277846075,7517013889</t>
  </si>
  <si>
    <t xml:space="preserve">Equipamento anormal - 2024. Inversor com alarme oscilando geração e não atinge potência nominal. Em tratativa sob o chamado 15218612</t>
  </si>
  <si>
    <t xml:space="preserve">BC Varjao1.3215KTL-H0(MBUS-14)46075,746435185246075,746435185246075,7510300926</t>
  </si>
  <si>
    <t xml:space="preserve">Equipamento anormal - 2024. Inversor com alarme oscilando geração e não atinge potência nominal. Em tratativa sob o chamado 15218613</t>
  </si>
  <si>
    <t xml:space="preserve">BC Varjao1.3215KTL-H0(MBUS-14)46075,741608796346075,741608796346075,74625</t>
  </si>
  <si>
    <t xml:space="preserve">Equipamento anormal - 2024. Inversor com alarme oscilando geração e não atinge potência nominal. Em tratativa sob o chamado 15218614</t>
  </si>
  <si>
    <t xml:space="preserve">BC Varjao1.3215KTL-H0(MBUS-14)46075,736736111146075,736736111146075,7413773148</t>
  </si>
  <si>
    <t xml:space="preserve">Equipamento anormal - 2024. Inversor com alarme oscilando geração e não atinge potência nominal. Em tratativa sob o chamado 15218615</t>
  </si>
  <si>
    <t xml:space="preserve">BC Varjao1.3215KTL-H0(MBUS-14)46075,735115740746075,735115740746075,735625</t>
  </si>
  <si>
    <t xml:space="preserve">Equipamento anormal - 2024. Inversor com alarme oscilando geração e não atinge potência nominal. Em tratativa sob o chamado 15218616</t>
  </si>
  <si>
    <t xml:space="preserve">BC Varjao1.3215KTL-H0(MBUS-14)46075,730717592646075,730717592646075,7312384259</t>
  </si>
  <si>
    <t xml:space="preserve">Equipamento anormal - 2024. Inversor com alarme oscilando geração e não atinge potência nominal. Em tratativa sob o chamado 15218617</t>
  </si>
  <si>
    <t xml:space="preserve">BC Varjao1.3215KTL-H0(MBUS-14)46075,729629629646075,729629629646075,730150463</t>
  </si>
  <si>
    <t xml:space="preserve">Equipamento anormal - 2024. Inversor com alarme oscilando geração e não atinge potência nominal. Em tratativa sob o chamado 15218618</t>
  </si>
  <si>
    <t xml:space="preserve">BC Varjao1.3215KTL-H0(MBUS-14)46075,728032407446075,728032407446075,7285416667</t>
  </si>
  <si>
    <t xml:space="preserve">Equipamento anormal - 2024. Inversor com alarme oscilando geração e não atinge potência nominal. Em tratativa sob o chamado 15218619</t>
  </si>
  <si>
    <t xml:space="preserve">BC Varjao1.3215KTL-H0(MBUS-14)46075,725416666746075,725416666746075,7259490741</t>
  </si>
  <si>
    <t xml:space="preserve">Equipamento anormal - 2024. Inversor com alarme oscilando geração e não atinge potência nominal. Em tratativa sob o chamado 15218620</t>
  </si>
  <si>
    <t xml:space="preserve">BC Varjao1.3215KTL-H0(MBUS-14)46075,723333333346075,723333333346075,7238541667</t>
  </si>
  <si>
    <t xml:space="preserve">Equipamento anormal - 2024. Inversor com alarme oscilando geração e não atinge potência nominal. Em tratativa sob o chamado 15218621</t>
  </si>
  <si>
    <t xml:space="preserve">BC Varjao1.3215KTL-H0(MBUS-14)46075,649305555646075,649305555646075,6781712963</t>
  </si>
  <si>
    <t xml:space="preserve">Equipamento anormal - 2024. Inversor com alarme oscilando geração e não atinge potência nominal. Em tratativa sob o chamado 15218622</t>
  </si>
  <si>
    <t xml:space="preserve">BC Varjao1.3215KTL-H0(MBUS-14)46075,648657407446075,648657407446075,6491319444</t>
  </si>
  <si>
    <t xml:space="preserve">Equipamento anormal - 2024. Inversor com alarme oscilando geração e não atinge potência nominal. Em tratativa sob o chamado 15218623</t>
  </si>
  <si>
    <t xml:space="preserve">BC Varjao1.3215KTL-H0(MBUS-14)46075,647986111146075,647986111146075,6484722222</t>
  </si>
  <si>
    <t xml:space="preserve">Equipamento anormal - 2024. Inversor com alarme oscilando geração e não atinge potência nominal. Em tratativa sob o chamado 15218624</t>
  </si>
  <si>
    <t xml:space="preserve">BC Varjao1.3215KTL-H0(MBUS-14)46075,647314814846075,647314814846075,6478125</t>
  </si>
  <si>
    <t xml:space="preserve">Equipamento anormal - 2024. Inversor com alarme oscilando geração e não atinge potência nominal. Em tratativa sob o chamado 15218625</t>
  </si>
  <si>
    <t xml:space="preserve">BC Varjao1.3215KTL-H0(MBUS-14)46075,646643518546075,646643518546075,6471412037</t>
  </si>
  <si>
    <t xml:space="preserve">Equipamento anormal - 2024. Inversor com alarme oscilando geração e não atinge potência nominal. Em tratativa sob o chamado 15218626</t>
  </si>
  <si>
    <t xml:space="preserve">BC Varjao1.3215KTL-H0(MBUS-14)46075,641840277846075,641840277846075,6464583333</t>
  </si>
  <si>
    <t xml:space="preserve">Equipamento anormal - 2024. Inversor com alarme oscilando geração e não atinge potência nominal. Em tratativa sob o chamado 15218627</t>
  </si>
  <si>
    <t xml:space="preserve">BC Varjao1.3215KTL-H0(MBUS-14)46075,63687546075,63687546075,6415046296</t>
  </si>
  <si>
    <t xml:space="preserve">Equipamento anormal - 2024. Inversor com alarme oscilando geração e não atinge potência nominal. Em tratativa sob o chamado 15218628</t>
  </si>
  <si>
    <t xml:space="preserve">BC Varjao1.3215KTL-H0(MBUS-14)46075,539201388946075,539201388946075,5465509259</t>
  </si>
  <si>
    <t xml:space="preserve">Equipamento anormal - 2024. Inversor com alarme oscilando geração e não atinge potência nominal. Em tratativa sob o chamado 15218629</t>
  </si>
  <si>
    <t xml:space="preserve">BC Varjao1.3215KTL-H0(MBUS-14)46075,534872685246075,534872685246075,536099537</t>
  </si>
  <si>
    <t xml:space="preserve">Equipamento anormal - 2024. Inversor com alarme oscilando geração e não atinge potência nominal. Em tratativa sob o chamado 15218630</t>
  </si>
  <si>
    <t xml:space="preserve">BC Varjao1.3215KTL-H0(MBUS-14)46075,519340277846075,519340277846075,5198958333</t>
  </si>
  <si>
    <t xml:space="preserve">Equipamento anormal - 2024. Inversor com alarme oscilando geração e não atinge potência nominal. Em tratativa sob o chamado 15218631</t>
  </si>
  <si>
    <t xml:space="preserve">BC Varjao1.3215KTL-H0(MBUS-14)46075,494745370446075,494745370446075,4952893518</t>
  </si>
  <si>
    <t xml:space="preserve">Equipamento anormal - 2024. Inversor com alarme oscilando geração e não atinge potência nominal. Em tratativa sob o chamado 15218632</t>
  </si>
  <si>
    <t xml:space="preserve">BC Varjao1.3215KTL-H0(MBUS-14)46075,482002314846075,482002314846075,4831365741</t>
  </si>
  <si>
    <t xml:space="preserve">Equipamento anormal - 2024. Inversor com alarme oscilando geração e não atinge potência nominal. Em tratativa sob o chamado 15218633</t>
  </si>
  <si>
    <t xml:space="preserve">BC Varjao1.3215KTL-H0(MBUS-14)46075,451365740746075,451365740746075,4519097222</t>
  </si>
  <si>
    <t xml:space="preserve">Equipamento anormal - 2024. Inversor com alarme oscilando geração e não atinge potência nominal. Em tratativa sob o chamado 15218634</t>
  </si>
  <si>
    <t xml:space="preserve">BC Varjao1.3215KTL-H0(MBUS-14)46075,424120370446075,424120370446075,4246296296</t>
  </si>
  <si>
    <t xml:space="preserve">Equipamento anormal - 2024. Inversor com alarme oscilando geração e não atinge potência nominal. Em tratativa sob o chamado 15218635</t>
  </si>
  <si>
    <t xml:space="preserve">BC Varjao1.3215KTL-H0(MBUS-14)46075,396481481546075,396481481546075,3969907407</t>
  </si>
  <si>
    <t xml:space="preserve">Equipamento anormal - 2024. Inversor com alarme oscilando geração e não atinge potência nominal. Em tratativa sob o chamado 15218636</t>
  </si>
  <si>
    <t xml:space="preserve">BC Varjao1.3215KTL-H0(MBUS-14)46075,277685185246075,277685185246075,2822453704</t>
  </si>
  <si>
    <t xml:space="preserve">Equipamento anormal - 2024. Inversor com alarme oscilando geração e não atinge potência nominal. Em tratativa sob o chamado 15218637</t>
  </si>
  <si>
    <t xml:space="preserve">BC Varjao1.3215KTL-H0(MBUS-14)46075,274131944446075,274131944446075,2752199074</t>
  </si>
  <si>
    <t xml:space="preserve">Equipamento anormal - 2024. Inversor com alarme oscilando geração e não atinge potência nominal. Em tratativa sob o chamado 15218638</t>
  </si>
  <si>
    <t xml:space="preserve">BC Varjao1.3215KTL-H0(MBUS-14)46075,245972222246075,245972222246075,2739583333</t>
  </si>
  <si>
    <t xml:space="preserve">Equipamento anormal - 2024. Inversor com alarme oscilando geração e não atinge potência nominal. Em tratativa sob o chamado 15218639</t>
  </si>
  <si>
    <t xml:space="preserve">BC Varjao1.3215KTL-H0(MBUS-14)46075,245567129646075,245567129646075,2739583333</t>
  </si>
  <si>
    <t xml:space="preserve">Equipamento anormal - 2024. Inversor com alarme oscilando geração e não atinge potência nominal. Em tratativa sob o chamado 15218640</t>
  </si>
  <si>
    <t xml:space="preserve">BC Varjao1.3215KTL-H0(MBUS-14)46074,782083333346074,782083333346074,7839351852</t>
  </si>
  <si>
    <t xml:space="preserve">Equipamento anormal - 2024. Inversor com alarme oscilando geração e não atinge potência nominal. Em tratativa sob o chamado 15218641</t>
  </si>
  <si>
    <t xml:space="preserve">BC Varjao1.3215KTL-H0(MBUS-14)46074,758182870446074,758182870446074,7839351852</t>
  </si>
  <si>
    <t xml:space="preserve">Equipamento anormal - 2024. Inversor com alarme oscilando geração e não atinge potência nominal. Em tratativa sob o chamado 15218642</t>
  </si>
  <si>
    <t xml:space="preserve">BC Varjao1.3215KTL-H0(MBUS-14)46074,757187546074,757187546074,7577083333</t>
  </si>
  <si>
    <t xml:space="preserve">Equipamento anormal - 2024. Inversor com alarme oscilando geração e não atinge potência nominal. Em tratativa sob o chamado 15218643</t>
  </si>
  <si>
    <t xml:space="preserve">BC Varjao1.3215KTL-H0(MBUS-14)46074,703495370446074,703495370446074,7040393519</t>
  </si>
  <si>
    <t xml:space="preserve">Equipamento anormal - 2024. Inversor com alarme oscilando geração e não atinge potência nominal. Em tratativa sob o chamado 15218644</t>
  </si>
  <si>
    <t xml:space="preserve">BC Varjao1.3215KTL-H0(MBUS-14)46074,669791666746074,669791666746074,6703472222</t>
  </si>
  <si>
    <t xml:space="preserve">Equipamento anormal - 2024. Inversor com alarme oscilando geração e não atinge potência nominal. Em tratativa sob o chamado 15218645</t>
  </si>
  <si>
    <t xml:space="preserve">BC Varjao1.3215KTL-H0(MBUS-14)46074,645208333346074,645208333346074,6457523148</t>
  </si>
  <si>
    <t xml:space="preserve">Equipamento anormal - 2024. Inversor com alarme oscilando geração e não atinge potência nominal. Em tratativa sob o chamado 15218646</t>
  </si>
  <si>
    <t xml:space="preserve">BC Varjao1.3215KTL-H0(MBUS-14)46074,635833333346074,635833333346074,6363541667</t>
  </si>
  <si>
    <t xml:space="preserve">Equipamento anormal - 2024. Inversor com alarme oscilando geração e não atinge potência nominal. Em tratativa sob o chamado 15218647</t>
  </si>
  <si>
    <t xml:space="preserve">BC Varjao1.3215KTL-H0(MBUS-14)46074,629444444446074,629444444446074,6299537037</t>
  </si>
  <si>
    <t xml:space="preserve">Equipamento anormal - 2024. Inversor com alarme oscilando geração e não atinge potência nominal. Em tratativa sob o chamado 15218648</t>
  </si>
  <si>
    <t xml:space="preserve">BC Varjao1.3215KTL-H0(MBUS-14)46074,620231481546074,620231481546074,6207523148</t>
  </si>
  <si>
    <t xml:space="preserve">Equipamento anormal - 2024. Inversor com alarme oscilando geração e não atinge potência nominal. Em tratativa sob o chamado 15218649</t>
  </si>
  <si>
    <t xml:space="preserve">BC Varjao1.3215KTL-H0(MBUS-14)46074,612824074146074,612824074146074,6133680556</t>
  </si>
  <si>
    <t xml:space="preserve">Equipamento anormal - 2024. Inversor com alarme oscilando geração e não atinge potência nominal. Em tratativa sob o chamado 15218650</t>
  </si>
  <si>
    <t xml:space="preserve">BC Varjao1.3215KTL-H0(MBUS-14)46074,607048611146074,607048611146074,6075578704</t>
  </si>
  <si>
    <t xml:space="preserve">Equipamento anormal - 2024. Inversor com alarme oscilando geração e não atinge potência nominal. Em tratativa sob o chamado 15218651</t>
  </si>
  <si>
    <t xml:space="preserve">BC Varjao1.3215KTL-H0(MBUS-14)46074,599930555646074,599930555646074,6004513889</t>
  </si>
  <si>
    <t xml:space="preserve">Equipamento anormal - 2024. Inversor com alarme oscilando geração e não atinge potência nominal. Em tratativa sob o chamado 15218652</t>
  </si>
  <si>
    <t xml:space="preserve">BC Varjao1.3215KTL-H0(MBUS-14)46074,524409722246074,524409722246074,5249305556</t>
  </si>
  <si>
    <t xml:space="preserve">Equipamento anormal - 2024. Inversor com alarme oscilando geração e não atinge potência nominal. Em tratativa sob o chamado 15218653</t>
  </si>
  <si>
    <t xml:space="preserve">BC Varjao1.3215KTL-H0(MBUS-14)46074,510844907446074,510844907446074,5113657407</t>
  </si>
  <si>
    <t xml:space="preserve">Equipamento anormal - 2024. Inversor com alarme oscilando geração e não atinge potência nominal. Em tratativa sob o chamado 15218654</t>
  </si>
  <si>
    <t xml:space="preserve">BC Varjao1.3215KTL-H0(MBUS-14)46074,501215277846074,501215277846074,5017361111</t>
  </si>
  <si>
    <t xml:space="preserve">Equipamento anormal - 2024. Inversor com alarme oscilando geração e não atinge potência nominal. Em tratativa sob o chamado 15218655</t>
  </si>
  <si>
    <t xml:space="preserve">BC Varjao1.3215KTL-H0(MBUS-14)46074,484895833346074,484895833346074,4854398148</t>
  </si>
  <si>
    <t xml:space="preserve">Equipamento anormal - 2024. Inversor com alarme oscilando geração e não atinge potência nominal. Em tratativa sob o chamado 15218656</t>
  </si>
  <si>
    <t xml:space="preserve">BC Varjao1.3215KTL-H0(MBUS-14)46074,467129629646074,467129629646074,4676736111</t>
  </si>
  <si>
    <t xml:space="preserve">Equipamento anormal - 2024. Inversor com alarme oscilando geração e não atinge potência nominal. Em tratativa sob o chamado 15218657</t>
  </si>
  <si>
    <t xml:space="preserve">BC Varjao1.3215KTL-H0(MBUS-14)46074,444768518546074,444768518546074,4452777778</t>
  </si>
  <si>
    <t xml:space="preserve">Equipamento anormal - 2024. Inversor com alarme oscilando geração e não atinge potência nominal. Em tratativa sob o chamado 15218658</t>
  </si>
  <si>
    <t xml:space="preserve">BC Varjao1.3215KTL-H0(MBUS-14)46074,414236111146074,414236111146074,4147685185</t>
  </si>
  <si>
    <t xml:space="preserve">Equipamento anormal - 2024. Inversor com alarme oscilando geração e não atinge potência nominal. Em tratativa sob o chamado 15218659</t>
  </si>
  <si>
    <t xml:space="preserve">BC Varjao1.3215KTL-H0(MBUS-14)46074,388703703746074,388703703746074,389212963</t>
  </si>
  <si>
    <t xml:space="preserve">Equipamento anormal - 2024. Inversor com alarme oscilando geração e não atinge potência nominal. Em tratativa sob o chamado 15218660</t>
  </si>
  <si>
    <t xml:space="preserve">BC Varjao1.3215KTL-H0(MBUS-14)46074,381828703746074,381828703746074,382337963</t>
  </si>
  <si>
    <t xml:space="preserve">Equipamento anormal - 2024. Inversor com alarme oscilando geração e não atinge potência nominal. Em tratativa sob o chamado 15218661</t>
  </si>
  <si>
    <t xml:space="preserve">BC Varjao1.3215KTL-H0(MBUS-14)46074,363460648246074,363460648246074,3639699074</t>
  </si>
  <si>
    <t xml:space="preserve">Equipamento anormal - 2024. Inversor com alarme oscilando geração e não atinge potência nominal. Em tratativa sob o chamado 15218662</t>
  </si>
  <si>
    <t xml:space="preserve">BC Varjao1.3215KTL-H0(MBUS-14)46074,354629629646074,354629629646074,3551388889</t>
  </si>
  <si>
    <t xml:space="preserve">Equipamento anormal - 2024. Inversor com alarme oscilando geração e não atinge potência nominal. Em tratativa sob o chamado 15218663</t>
  </si>
  <si>
    <t xml:space="preserve">BC Varjao1.3215KTL-H0(MBUS-14)46074,281898148146074,281898148146074,2824074074</t>
  </si>
  <si>
    <t xml:space="preserve">Equipamento anormal - 2024. Inversor com alarme oscilando geração e não atinge potência nominal. Em tratativa sob o chamado 15218664</t>
  </si>
  <si>
    <t xml:space="preserve">BC Varjao1.3215KTL-H0(MBUS-14)46074,280300925946074,280300925946074,2811342593</t>
  </si>
  <si>
    <t xml:space="preserve">Equipamento anormal - 2024. Inversor com alarme oscilando geração e não atinge potência nominal. Em tratativa sob o chamado 15218665</t>
  </si>
  <si>
    <t xml:space="preserve">BC Varjao1.3215KTL-H0(MBUS-14)46074,241319444446074,241319444446074,2801273148</t>
  </si>
  <si>
    <t xml:space="preserve">Equipamento anormal - 2024. Inversor com alarme oscilando geração e não atinge potência nominal. Em tratativa sob o chamado 15218666</t>
  </si>
  <si>
    <t xml:space="preserve">BC Varjao1.3215KTL-H0(MBUS-14)46073,760543981546073,760543981546073,7849652778</t>
  </si>
  <si>
    <t xml:space="preserve">Equipamento anormal - 2024. Inversor com alarme oscilando geração e não atinge potência nominal. Em tratativa sob o chamado 15218667</t>
  </si>
  <si>
    <t xml:space="preserve">BC Varjao1.3215KTL-H0(MBUS-14)46073,759861111146073,759861111146073,7603703704</t>
  </si>
  <si>
    <t xml:space="preserve">Equipamento anormal - 2024. Inversor com alarme oscilando geração e não atinge potência nominal. Em tratativa sob o chamado 15218668</t>
  </si>
  <si>
    <t xml:space="preserve">BC Varjao1.3215KTL-H0(MBUS-14)46073,759178240746073,759178240746073,7596875</t>
  </si>
  <si>
    <t xml:space="preserve">Equipamento anormal - 2024. Inversor com alarme oscilando geração e não atinge potência nominal. Em tratativa sob o chamado 15218669</t>
  </si>
  <si>
    <t xml:space="preserve">BC Varjao1.3215KTL-H0(MBUS-14)46073,758483796346073,758483796346073,7590046296</t>
  </si>
  <si>
    <t xml:space="preserve">Equipamento anormal - 2024. Inversor com alarme oscilando geração e não atinge potência nominal. Em tratativa sob o chamado 15218670</t>
  </si>
  <si>
    <t xml:space="preserve">BC Varjao1.3215KTL-H0(MBUS-14)46073,757800925946073,757800925946073,7583217593</t>
  </si>
  <si>
    <t xml:space="preserve">Equipamento anormal - 2024. Inversor com alarme oscilando geração e não atinge potência nominal. Em tratativa sob o chamado 15218671</t>
  </si>
  <si>
    <t xml:space="preserve">BC Varjao1.3215KTL-H0(MBUS-14)46073,754803240746073,754803240746073,7570833333</t>
  </si>
  <si>
    <t xml:space="preserve">Equipamento anormal - 2024. Inversor com alarme oscilando geração e não atinge potência nominal. Em tratativa sob o chamado 15218672</t>
  </si>
  <si>
    <t xml:space="preserve">BC Varjao1.3215KTL-H0(MBUS-14)46073,749826388946073,749826388946073,751875</t>
  </si>
  <si>
    <t xml:space="preserve">Equipamento anormal - 2024. Inversor com alarme oscilando geração e não atinge potência nominal. Em tratativa sob o chamado 15218673</t>
  </si>
  <si>
    <t xml:space="preserve">BC Varjao1.3215KTL-H0(MBUS-14)46073,73858796346073,73858796346073,7391435185</t>
  </si>
  <si>
    <t xml:space="preserve">Equipamento anormal - 2024. Inversor com alarme oscilando geração e não atinge potência nominal. Em tratativa sob o chamado 15218674</t>
  </si>
  <si>
    <t xml:space="preserve">BC Varjao1.3215KTL-H0(MBUS-14)46073,604513888946073,604513888946073,6056365741</t>
  </si>
  <si>
    <t xml:space="preserve">Equipamento anormal - 2024. Inversor com alarme oscilando geração e não atinge potência nominal. Em tratativa sob o chamado 15218675</t>
  </si>
  <si>
    <t xml:space="preserve">BC Varjao1.3215KTL-H0(MBUS-14)46073,585717592646073,585717592646073,5886805556</t>
  </si>
  <si>
    <t xml:space="preserve">Equipamento anormal - 2024. Inversor com alarme oscilando geração e não atinge potência nominal. Em tratativa sob o chamado 15218676</t>
  </si>
  <si>
    <t xml:space="preserve">BC Varjao1.3215KTL-H0(MBUS-14)46073,575185185246073,575185185246073,5757175926</t>
  </si>
  <si>
    <t xml:space="preserve">Equipamento anormal - 2024. Inversor com alarme oscilando geração e não atinge potência nominal. Em tratativa sob o chamado 15218677</t>
  </si>
  <si>
    <t xml:space="preserve">BC Varjao1.3215KTL-H0(MBUS-14)46073,560196759346073,560196759346073,5631828704</t>
  </si>
  <si>
    <t xml:space="preserve">Equipamento anormal - 2024. Inversor com alarme oscilando geração e não atinge potência nominal. Em tratativa sob o chamado 15218678</t>
  </si>
  <si>
    <t xml:space="preserve">BC Varjao1.3215KTL-H0(MBUS-14)46073,554351851946073,554351851946073,5548958333</t>
  </si>
  <si>
    <t xml:space="preserve">Equipamento anormal - 2024. Inversor com alarme oscilando geração e não atinge potência nominal. Em tratativa sob o chamado 15218679</t>
  </si>
  <si>
    <t xml:space="preserve">BC Varjao1.3215KTL-H0(MBUS-14)46073,542800925946073,542800925946073,5433449074</t>
  </si>
  <si>
    <t xml:space="preserve">Equipamento anormal - 2024. Inversor com alarme oscilando geração e não atinge potência nominal. Em tratativa sob o chamado 15218680</t>
  </si>
  <si>
    <t xml:space="preserve">BC Varjao1.3215KTL-H0(MBUS-14)46073,532939814846073,532939814846073,5334837963</t>
  </si>
  <si>
    <t xml:space="preserve">Equipamento anormal - 2024. Inversor com alarme oscilando geração e não atinge potência nominal. Em tratativa sob o chamado 15218681</t>
  </si>
  <si>
    <t xml:space="preserve">BC Varjao1.3215KTL-H0(MBUS-14)46073,508854166746073,508854166746073,5093981481</t>
  </si>
  <si>
    <t xml:space="preserve">Equipamento anormal - 2024. Inversor com alarme oscilando geração e não atinge potência nominal. Em tratativa sob o chamado 15218682</t>
  </si>
  <si>
    <t xml:space="preserve">BC Varjao1.3215KTL-H0(MBUS-14)46073,494560185246073,494560185246073,4950694444</t>
  </si>
  <si>
    <t xml:space="preserve">Equipamento anormal - 2024. Inversor com alarme oscilando geração e não atinge potência nominal. Em tratativa sob o chamado 15218683</t>
  </si>
  <si>
    <t xml:space="preserve">BC Varjao1.3215KTL-H0(MBUS-14)46073,476539351946073,476539351946073,4770486111</t>
  </si>
  <si>
    <t xml:space="preserve">Equipamento anormal - 2024. Inversor com alarme oscilando geração e não atinge potência nominal. Em tratativa sob o chamado 15218684</t>
  </si>
  <si>
    <t xml:space="preserve">BC Varjao1.3215KTL-H0(MBUS-14)46073,466446759346073,466446759346073,4669675926</t>
  </si>
  <si>
    <t xml:space="preserve">Equipamento anormal - 2024. Inversor com alarme oscilando geração e não atinge potência nominal. Em tratativa sob o chamado 15218685</t>
  </si>
  <si>
    <t xml:space="preserve">BC Varjao1.3215KTL-H0(MBUS-14)46073,457951388946073,457951388946073,4584722222</t>
  </si>
  <si>
    <t xml:space="preserve">Equipamento anormal - 2024. Inversor com alarme oscilando geração e não atinge potência nominal. Em tratativa sob o chamado 15218686</t>
  </si>
  <si>
    <t xml:space="preserve">BC Varjao1.3215KTL-H0(MBUS-14)46073,44766203746073,44766203746073,4481712963</t>
  </si>
  <si>
    <t xml:space="preserve">Equipamento anormal - 2024. Inversor com alarme oscilando geração e não atinge potência nominal. Em tratativa sob o chamado 15218687</t>
  </si>
  <si>
    <t xml:space="preserve">BC Varjao1.3215KTL-H0(MBUS-14)46073,439884259346073,439884259346073,4404050926</t>
  </si>
  <si>
    <t xml:space="preserve">Equipamento anormal - 2024. Inversor com alarme oscilando geração e não atinge potência nominal. Em tratativa sob o chamado 15218688</t>
  </si>
  <si>
    <t xml:space="preserve">BC Varjao1.3215KTL-H0(MBUS-14)46073,428483796346073,428483796346073,4290046296</t>
  </si>
  <si>
    <t xml:space="preserve">Equipamento anormal - 2024. Inversor com alarme oscilando geração e não atinge potência nominal. Em tratativa sob o chamado 15218689</t>
  </si>
  <si>
    <t xml:space="preserve">BC Varjao1.3215KTL-H0(MBUS-14)46073,421863425946073,421863425946073,4223611111</t>
  </si>
  <si>
    <t xml:space="preserve">Equipamento anormal - 2024. Inversor com alarme oscilando geração e não atinge potência nominal. Em tratativa sob o chamado 15218690</t>
  </si>
  <si>
    <t xml:space="preserve">BC Varjao1.3215KTL-H0(MBUS-14)46073,411620370446073,411620370446073,4121180556</t>
  </si>
  <si>
    <t xml:space="preserve">Equipamento anormal - 2024. Inversor com alarme oscilando geração e não atinge potência nominal. Em tratativa sob o chamado 15218691</t>
  </si>
  <si>
    <t xml:space="preserve">BC Varjao1.3215KTL-H0(MBUS-14)46073,397233796346073,397233796346073,3977546296</t>
  </si>
  <si>
    <t xml:space="preserve">Equipamento anormal - 2024. Inversor com alarme oscilando geração e não atinge potência nominal. Em tratativa sob o chamado 15218692</t>
  </si>
  <si>
    <t xml:space="preserve">BC Varjao1.3215KTL-H0(MBUS-14)46073,385891203746073,385891203746073,386400463</t>
  </si>
  <si>
    <t xml:space="preserve">Equipamento anormal - 2024. Inversor com alarme oscilando geração e não atinge potência nominal. Em tratativa sob o chamado 15218693</t>
  </si>
  <si>
    <t xml:space="preserve">BC Varjao1.3215KTL-H0(MBUS-14)46073,297800925946073,297800925946073,2983217593</t>
  </si>
  <si>
    <t xml:space="preserve">Equipamento anormal - 2024. Inversor com alarme oscilando geração e não atinge potência nominal. Em tratativa sob o chamado 15218694</t>
  </si>
  <si>
    <t xml:space="preserve">BC Varjao1.3215KTL-H0(MBUS-14)46073,295949074146073,295949074146073,2964699074</t>
  </si>
  <si>
    <t xml:space="preserve">Equipamento anormal - 2024. Inversor com alarme oscilando geração e não atinge potência nominal. Em tratativa sob o chamado 15218695</t>
  </si>
  <si>
    <t xml:space="preserve">BC Varjao1.3215KTL-H0(MBUS-14)46073,287905092646073,287905092646073,2883796296</t>
  </si>
  <si>
    <t xml:space="preserve">Equipamento anormal - 2024. Inversor com alarme oscilando geração e não atinge potência nominal. Em tratativa sob o chamado 15218696</t>
  </si>
  <si>
    <t xml:space="preserve">BC Varjao1.3215KTL-H0(MBUS-14)46073,282418981546073,282418981546073,2869560185</t>
  </si>
  <si>
    <t xml:space="preserve">Equipamento anormal - 2024. Inversor com alarme oscilando geração e não atinge potência nominal. Em tratativa sob o chamado 15218697</t>
  </si>
  <si>
    <t xml:space="preserve">BC Varjao1.3215KTL-H0(MBUS-14)46073,280127314846073,280127314846073,2811342593</t>
  </si>
  <si>
    <t xml:space="preserve">Equipamento anormal - 2024. Inversor com alarme oscilando geração e não atinge potência nominal. Em tratativa sob o chamado 15218698</t>
  </si>
  <si>
    <t xml:space="preserve">BC Varjao1.3215KTL-H0(MBUS-14)46073,249178240746073,249178240746073,2799652778</t>
  </si>
  <si>
    <t xml:space="preserve">Equipamento anormal - 2024. Inversor com alarme oscilando geração e não atinge potência nominal. Em tratativa sob o chamado 15218699</t>
  </si>
  <si>
    <t xml:space="preserve">BC Varjao1.3215KTL-H0(MBUS-14)46073,2487546073,2487546073,2799652778</t>
  </si>
  <si>
    <t xml:space="preserve">Equipamento anormal - 2024. Inversor com alarme oscilando geração e não atinge potência nominal. Em tratativa sob o chamado 15218700</t>
  </si>
  <si>
    <t xml:space="preserve">BC Varjao1.3215KTL-H0(MBUS-14)46072,774340277846072,774340277846072,7744097222</t>
  </si>
  <si>
    <t xml:space="preserve">Equipamento anormal - 2024. Inversor com alarme oscilando geração e não atinge potência nominal. Em tratativa sob o chamado 15218701</t>
  </si>
  <si>
    <t xml:space="preserve">BC Varjao1.3215KTL-H0(MBUS-14)46072,753530092646072,753530092646072,7772569444</t>
  </si>
  <si>
    <t xml:space="preserve">Equipamento anormal - 2024. Inversor com alarme oscilando geração e não atinge potência nominal. Em tratativa sob o chamado 15218702</t>
  </si>
  <si>
    <t xml:space="preserve">BC Varjao1.3215KTL-H0(MBUS-14)46072,752824074146072,752824074146072,7533680556</t>
  </si>
  <si>
    <t xml:space="preserve">Equipamento anormal - 2024. Inversor com alarme oscilando geração e não atinge potência nominal. Em tratativa sob o chamado 15218703</t>
  </si>
  <si>
    <t xml:space="preserve">BC Varjao1.3215KTL-H0(MBUS-14)46072,752106481546072,752106481546072,752650463</t>
  </si>
  <si>
    <t xml:space="preserve">Equipamento anormal - 2024. Inversor com alarme oscilando geração e não atinge potência nominal. Em tratativa sob o chamado 15218704</t>
  </si>
  <si>
    <t xml:space="preserve">BC Varjao1.3215KTL-H0(MBUS-14)46072,751388888946072,751388888946072,7519212963</t>
  </si>
  <si>
    <t xml:space="preserve">Equipamento anormal - 2024. Inversor com alarme oscilando geração e não atinge potência nominal. Em tratativa sob o chamado 15218705</t>
  </si>
  <si>
    <t xml:space="preserve">BC Varjao1.3215KTL-H0(MBUS-14)46072,750659722246072,750659722246072,7512152778</t>
  </si>
  <si>
    <t xml:space="preserve">Equipamento anormal - 2024. Inversor com alarme oscilando geração e não atinge potência nominal. Em tratativa sob o chamado 15218706</t>
  </si>
  <si>
    <t xml:space="preserve">BC Varjao1.3215KTL-H0(MBUS-14)46072,749907407446072,749907407446072,750462963</t>
  </si>
  <si>
    <t xml:space="preserve">Equipamento anormal - 2024. Inversor com alarme oscilando geração e não atinge potência nominal. Em tratativa sob o chamado 15218707</t>
  </si>
  <si>
    <t xml:space="preserve">BC Varjao1.3215KTL-H0(MBUS-14)46072,665057870446072,665057870446072,6655787037</t>
  </si>
  <si>
    <t xml:space="preserve">Equipamento anormal - 2024. Inversor com alarme oscilando geração e não atinge potência nominal. Em tratativa sob o chamado 15218708</t>
  </si>
  <si>
    <t xml:space="preserve">BC Varjao1.3215KTL-H0(MBUS-14)46072,640543981546072,640543981546072,6410532407</t>
  </si>
  <si>
    <t xml:space="preserve">Equipamento anormal - 2024. Inversor com alarme oscilando geração e não atinge potência nominal. Em tratativa sob o chamado 15218709</t>
  </si>
  <si>
    <t xml:space="preserve">BC Varjao1.3215KTL-H0(MBUS-14)46072,617638888946072,617638888946072,6181597222</t>
  </si>
  <si>
    <t xml:space="preserve">Equipamento anormal - 2024. Inversor com alarme oscilando geração e não atinge potência nominal. Em tratativa sob o chamado 15218710</t>
  </si>
  <si>
    <t xml:space="preserve">BC Varjao1.3215KTL-H0(MBUS-14)46072,594409722246072,594409722246072,600162037</t>
  </si>
  <si>
    <t xml:space="preserve">Equipamento anormal - 2024. Inversor com alarme oscilando geração e não atinge potência nominal. Em tratativa sob o chamado 15218711</t>
  </si>
  <si>
    <t xml:space="preserve">BC Varjao1.3215KTL-H0(MBUS-14)46072,592685185246072,592685185246072,5932291667</t>
  </si>
  <si>
    <t xml:space="preserve">Equipamento anormal - 2024. Inversor com alarme oscilando geração e não atinge potência nominal. Em tratativa sob o chamado 15218712</t>
  </si>
  <si>
    <t xml:space="preserve">BC Varjao1.3215KTL-H0(MBUS-14)46072,580995370446072,580995370446072,5815277778</t>
  </si>
  <si>
    <t xml:space="preserve">Equipamento anormal - 2024. Inversor com alarme oscilando geração e não atinge potência nominal. Em tratativa sob o chamado 15218713</t>
  </si>
  <si>
    <t xml:space="preserve">BC Varjao1.3215KTL-H0(MBUS-14)46072,577152777846072,577152777846072,5781597222</t>
  </si>
  <si>
    <t xml:space="preserve">Equipamento anormal - 2024. Inversor com alarme oscilando geração e não atinge potência nominal. Em tratativa sob o chamado 15218714</t>
  </si>
  <si>
    <t xml:space="preserve">BC Varjao1.3215KTL-H0(MBUS-14)46072,573668981546072,573668981546072,5748726852</t>
  </si>
  <si>
    <t xml:space="preserve">Equipamento anormal - 2024. Inversor com alarme oscilando geração e não atinge potência nominal. Em tratativa sob o chamado 15218715</t>
  </si>
  <si>
    <t xml:space="preserve">BC Varjao1.3215KTL-H0(MBUS-14)46072,561898148146072,561898148146072,5630902778</t>
  </si>
  <si>
    <t xml:space="preserve">Equipamento anormal - 2024. Inversor com alarme oscilando geração e não atinge potência nominal. Em tratativa sob o chamado 15218716</t>
  </si>
  <si>
    <t xml:space="preserve">BC Varjao1.3215KTL-H0(MBUS-14)46072,556782407446072,556782407446072,5573263889</t>
  </si>
  <si>
    <t xml:space="preserve">Equipamento anormal - 2024. Inversor com alarme oscilando geração e não atinge potência nominal. Em tratativa sob o chamado 15218717</t>
  </si>
  <si>
    <t xml:space="preserve">BC Varjao1.3215KTL-H0(MBUS-14)46072,541620370446072,541620370446072,5423842593</t>
  </si>
  <si>
    <t xml:space="preserve">Equipamento anormal - 2024. Inversor com alarme oscilando geração e não atinge potência nominal. Em tratativa sob o chamado 15218718</t>
  </si>
  <si>
    <t xml:space="preserve">BC Varjao1.3215KTL-H0(MBUS-14)46072,521030092646072,521030092646072,5231018519</t>
  </si>
  <si>
    <t xml:space="preserve">Equipamento anormal - 2024. Inversor com alarme oscilando geração e não atinge potência nominal. Em tratativa sob o chamado 15218719</t>
  </si>
  <si>
    <t xml:space="preserve">BC Varjao1.3215KTL-H0(MBUS-14)46072,514444444446072,514444444446072,5149421296</t>
  </si>
  <si>
    <t xml:space="preserve">Equipamento anormal - 2024. Inversor com alarme oscilando geração e não atinge potência nominal. Em tratativa sob o chamado 15218720</t>
  </si>
  <si>
    <t xml:space="preserve">BC Varjao1.3215KTL-H0(MBUS-14)46072,504189814846072,504189814846072,5047337963</t>
  </si>
  <si>
    <t xml:space="preserve">Equipamento anormal - 2024. Inversor com alarme oscilando geração e não atinge potência nominal. Em tratativa sob o chamado 15218721</t>
  </si>
  <si>
    <t xml:space="preserve">BC Varjao1.3215KTL-H0(MBUS-14)46072,492569444446072,492569444446072,4931134259</t>
  </si>
  <si>
    <t xml:space="preserve">Equipamento anormal - 2024. Inversor com alarme oscilando geração e não atinge potência nominal. Em tratativa sob o chamado 15218722</t>
  </si>
  <si>
    <t xml:space="preserve">BC Varjao1.3215KTL-H0(MBUS-14)46072,482245370446072,482245370446072,4827662037</t>
  </si>
  <si>
    <t xml:space="preserve">Equipamento anormal - 2024. Inversor com alarme oscilando geração e não atinge potência nominal. Em tratativa sob o chamado 15218723</t>
  </si>
  <si>
    <t xml:space="preserve">BC Varjao1.3215KTL-H0(MBUS-14)46072,470810185246072,470810185246072,4713425926</t>
  </si>
  <si>
    <t xml:space="preserve">Equipamento anormal - 2024. Inversor com alarme oscilando geração e não atinge potência nominal. Em tratativa sob o chamado 15218724</t>
  </si>
  <si>
    <t xml:space="preserve">BC Varjao1.3215KTL-H0(MBUS-14)46072,437870370446072,437870370446072,4384143519</t>
  </si>
  <si>
    <t xml:space="preserve">Equipamento anormal - 2024. Inversor com alarme oscilando geração e não atinge potência nominal. Em tratativa sob o chamado 15218725</t>
  </si>
  <si>
    <t xml:space="preserve">BC Varjao1.3215KTL-H0(MBUS-14)46072,428923611146072,428923611146072,4294444444</t>
  </si>
  <si>
    <t xml:space="preserve">Equipamento anormal - 2024. Inversor com alarme oscilando geração e não atinge potência nominal. Em tratativa sob o chamado 15218726</t>
  </si>
  <si>
    <t xml:space="preserve">BC Varjao1.3215KTL-H0(MBUS-14)46072,406365740746072,406365740746072,4069097222</t>
  </si>
  <si>
    <t xml:space="preserve">Equipamento anormal - 2024. Inversor com alarme oscilando geração e não atinge potência nominal. Em tratativa sob o chamado 15218727</t>
  </si>
  <si>
    <t xml:space="preserve">BC Varjao1.3215KTL-H0(MBUS-14)46072,390381944446072,390381944446072,3909375</t>
  </si>
  <si>
    <t xml:space="preserve">Equipamento anormal - 2024. Inversor com alarme oscilando geração e não atinge potência nominal. Em tratativa sob o chamado 15218728</t>
  </si>
  <si>
    <t xml:space="preserve">BC Varjao1.3215KTL-H0(MBUS-14)46072,379317129646072,379317129646072,3798263889</t>
  </si>
  <si>
    <t xml:space="preserve">Equipamento anormal - 2024. Inversor com alarme oscilando geração e não atinge potência nominal. Em tratativa sob o chamado 15218729</t>
  </si>
  <si>
    <t xml:space="preserve">BC Varjao1.3215KTL-H0(MBUS-14)46072,372627314846072,372627314846072,3731828704</t>
  </si>
  <si>
    <t xml:space="preserve">Equipamento anormal - 2024. Inversor com alarme oscilando geração e não atinge potência nominal. Em tratativa sob o chamado 15218730</t>
  </si>
  <si>
    <t xml:space="preserve">BC Varjao1.3215KTL-H0(MBUS-14)46072,364131944446072,364131944446072,3646527778</t>
  </si>
  <si>
    <t xml:space="preserve">Equipamento anormal - 2024. Inversor com alarme oscilando geração e não atinge potência nominal. Em tratativa sob o chamado 15218731</t>
  </si>
  <si>
    <t xml:space="preserve">BC Varjao1.3215KTL-H0(MBUS-14)46072,241770833346072,241770833346072,2727893519</t>
  </si>
  <si>
    <t xml:space="preserve">Equipamento anormal - 2024. Inversor com alarme oscilando geração e não atinge potência nominal. Em tratativa sob o chamado 15218732</t>
  </si>
  <si>
    <t xml:space="preserve">BC Varjao1.3215KTL-H0(MBUS-14)46072,241377314846072,241377314846072,2727893519</t>
  </si>
  <si>
    <t xml:space="preserve">Equipamento anormal - 2024. Inversor com alarme oscilando geração e não atinge potência nominal. Em tratativa sob o chamado 15218733</t>
  </si>
  <si>
    <t xml:space="preserve">BC Varjao1.3215KTL-H0(MBUS-14)46071,764479166746071,764479166746071,7859953704</t>
  </si>
  <si>
    <t xml:space="preserve">Equipamento anormal - 2024. Inversor com alarme oscilando geração e não atinge potência nominal. Em tratativa sob o chamado 15218734</t>
  </si>
  <si>
    <t xml:space="preserve">BC Varjao1.3215KTL-H0(MBUS-14)46071,762511574146071,762511574146071,7630208333</t>
  </si>
  <si>
    <t xml:space="preserve">Equipamento anormal - 2024. Inversor com alarme oscilando geração e não atinge potência nominal. Em tratativa sob o chamado 15218735</t>
  </si>
  <si>
    <t xml:space="preserve">BC Varjao1.3215KTL-H0(MBUS-14)46071,736018518546071,736018518546071,7365162037</t>
  </si>
  <si>
    <t xml:space="preserve">Equipamento anormal - 2024. Inversor com alarme oscilando geração e não atinge potência nominal. Em tratativa sob o chamado 15218736</t>
  </si>
  <si>
    <t xml:space="preserve">BC Varjao1.3215KTL-H0(MBUS-14)46071,734780092646071,734780092646071,7352893519</t>
  </si>
  <si>
    <t xml:space="preserve">Equipamento anormal - 2024. Inversor com alarme oscilando geração e não atinge potência nominal. Em tratativa sob o chamado 15218737</t>
  </si>
  <si>
    <t xml:space="preserve">BC Varjao1.3215KTL-H0(MBUS-14)46071,725509259346071,725509259346071,7260416667</t>
  </si>
  <si>
    <t xml:space="preserve">Equipamento anormal - 2024. Inversor com alarme oscilando geração e não atinge potência nominal. Em tratativa sob o chamado 15218738</t>
  </si>
  <si>
    <t xml:space="preserve">BC Varjao1.3215KTL-H0(MBUS-14)46071,682881944446071,682881944446071,6834259259</t>
  </si>
  <si>
    <t xml:space="preserve">Equipamento anormal - 2024. Inversor com alarme oscilando geração e não atinge potência nominal. Em tratativa sob o chamado 15218739</t>
  </si>
  <si>
    <t xml:space="preserve">BC Varjao1.3215KTL-H0(MBUS-14)46071,658472222246071,658472222246071,6636458333</t>
  </si>
  <si>
    <t xml:space="preserve">Equipamento anormal - 2024. Inversor com alarme oscilando geração e não atinge potência nominal. Em tratativa sob o chamado 15218740</t>
  </si>
  <si>
    <t xml:space="preserve">BC Varjao1.3215KTL-H0(MBUS-14)46071,657685185246071,657685185246071,6582291667</t>
  </si>
  <si>
    <t xml:space="preserve">Equipamento anormal - 2024. Inversor com alarme oscilando geração e não atinge potência nominal. Em tratativa sob o chamado 15218741</t>
  </si>
  <si>
    <t xml:space="preserve">BC Varjao1.3215KTL-H0(MBUS-14)46071,656516203746071,656516203746071,6570717593</t>
  </si>
  <si>
    <t xml:space="preserve">Equipamento anormal - 2024. Inversor com alarme oscilando geração e não atinge potência nominal. Em tratativa sob o chamado 15218742</t>
  </si>
  <si>
    <t xml:space="preserve">BC Varjao1.3215KTL-H0(MBUS-14)46071,628171296346071,628171296346071,62875</t>
  </si>
  <si>
    <t xml:space="preserve">Equipamento anormal - 2024. Inversor com alarme oscilando geração e não atinge potência nominal. Em tratativa sob o chamado 15218743</t>
  </si>
  <si>
    <t xml:space="preserve">BC Varjao1.3215KTL-H0(MBUS-14)46071,619120370446071,619120370446071,6196527778</t>
  </si>
  <si>
    <t xml:space="preserve">Equipamento anormal - 2024. Inversor com alarme oscilando geração e não atinge potência nominal. Em tratativa sob o chamado 15218744</t>
  </si>
  <si>
    <t xml:space="preserve">BC Varjao1.3215KTL-H0(MBUS-14)46071,614317129646071,614317129646071,614849537</t>
  </si>
  <si>
    <t xml:space="preserve">Equipamento anormal - 2024. Inversor com alarme oscilando geração e não atinge potência nominal. Em tratativa sob o chamado 15218745</t>
  </si>
  <si>
    <t xml:space="preserve">BC Varjao1.3215KTL-H0(MBUS-14)46071,52203703746071,52203703746071,5225694444</t>
  </si>
  <si>
    <t xml:space="preserve">Equipamento anormal - 2024. Inversor com alarme oscilando geração e não atinge potência nominal. Em tratativa sob o chamado 15218746</t>
  </si>
  <si>
    <t xml:space="preserve">BC Varjao1.3215KTL-H0(MBUS-14)46071,511608796346071,511608796346071,5121180556</t>
  </si>
  <si>
    <t xml:space="preserve">Equipamento anormal - 2024. Inversor com alarme oscilando geração e não atinge potência nominal. Em tratativa sob o chamado 15218747</t>
  </si>
  <si>
    <t xml:space="preserve">BC Varjao1.3215KTL-H0(MBUS-14)46071,484571759346071,484571759346071,4851273148</t>
  </si>
  <si>
    <t xml:space="preserve">Equipamento anormal - 2024. Inversor com alarme oscilando geração e não atinge potência nominal. Em tratativa sob o chamado 15218748</t>
  </si>
  <si>
    <t xml:space="preserve">BC Varjao1.3215KTL-H0(MBUS-14)46071,477905092646071,477905092646071,4784375</t>
  </si>
  <si>
    <t xml:space="preserve">Equipamento anormal - 2024. Inversor com alarme oscilando geração e não atinge potência nominal. Em tratativa sob o chamado 15218749</t>
  </si>
  <si>
    <t xml:space="preserve">BC Varjao1.3215KTL-H0(MBUS-14)46071,468472222246071,468472222246071,4689930556</t>
  </si>
  <si>
    <t xml:space="preserve">Equipamento anormal - 2024. Inversor com alarme oscilando geração e não atinge potência nominal. Em tratativa sob o chamado 15218750</t>
  </si>
  <si>
    <t xml:space="preserve">BC Varjao1.3215KTL-H0(MBUS-14)46071,442442129646071,442442129646071,4429861111</t>
  </si>
  <si>
    <t xml:space="preserve">Equipamento anormal - 2024. Inversor com alarme oscilando geração e não atinge potência nominal. Em tratativa sob o chamado 15218751</t>
  </si>
  <si>
    <t xml:space="preserve">BC Varjao1.3215KTL-H0(MBUS-14)46071,407592592646071,407592592646071,4081018519</t>
  </si>
  <si>
    <t xml:space="preserve">Equipamento anormal - 2024. Inversor com alarme oscilando geração e não atinge potência nominal. Em tratativa sob o chamado 15218752</t>
  </si>
  <si>
    <t xml:space="preserve">BC Varjao1.3215KTL-H0(MBUS-14)46071,388194444446071,388194444446071,389212963</t>
  </si>
  <si>
    <t xml:space="preserve">Equipamento anormal - 2024. Inversor com alarme oscilando geração e não atinge potência nominal. Em tratativa sob o chamado 15218753</t>
  </si>
  <si>
    <t xml:space="preserve">BC Varjao1.3215KTL-H0(MBUS-14)46071,378703703746071,378703703746071,3792476852</t>
  </si>
  <si>
    <t xml:space="preserve">Equipamento anormal - 2024. Inversor com alarme oscilando geração e não atinge potência nominal. Em tratativa sob o chamado 15218754</t>
  </si>
  <si>
    <t xml:space="preserve">BC Varjao1.3215KTL-H0(MBUS-14)46071,362546071,362546071,3630439815</t>
  </si>
  <si>
    <t xml:space="preserve">Equipamento anormal - 2024. Inversor com alarme oscilando geração e não atinge potência nominal. Em tratativa sob o chamado 15218755</t>
  </si>
  <si>
    <t xml:space="preserve">BC Varjao1.3215KTL-H0(MBUS-14)46071,352986111146071,352986111146071,3535416667</t>
  </si>
  <si>
    <t xml:space="preserve">Equipamento anormal - 2024. Inversor com alarme oscilando geração e não atinge potência nominal. Em tratativa sob o chamado 15218756</t>
  </si>
  <si>
    <t xml:space="preserve">BC Varjao1.3215KTL-H0(MBUS-14)46071,338402777846071,338402777846071,338912037</t>
  </si>
  <si>
    <t xml:space="preserve">Equipamento anormal - 2024. Inversor com alarme oscilando geração e não atinge potência nominal. Em tratativa sob o chamado 15218757</t>
  </si>
  <si>
    <t xml:space="preserve">BC Varjao1.3215KTL-H0(MBUS-14)46071,321527777846071,321527777846071,322037037</t>
  </si>
  <si>
    <t xml:space="preserve">Equipamento anormal - 2024. Inversor com alarme oscilando geração e não atinge potência nominal. Em tratativa sob o chamado 15218758</t>
  </si>
  <si>
    <t xml:space="preserve">BC Varjao1.3215KTL-H0(MBUS-14)46071,309432870446071,309432870446071,3099421296</t>
  </si>
  <si>
    <t xml:space="preserve">Equipamento anormal - 2024. Inversor com alarme oscilando geração e não atinge potência nominal. Em tratativa sob o chamado 15218759</t>
  </si>
  <si>
    <t xml:space="preserve">BC Varjao1.3215KTL-H0(MBUS-14)46071,283946759346071,283946759346071,2845601852</t>
  </si>
  <si>
    <t xml:space="preserve">Equipamento anormal - 2024. Inversor com alarme oscilando geração e não atinge potência nominal. Em tratativa sob o chamado 15218760</t>
  </si>
  <si>
    <t xml:space="preserve">BC Varjao1.3215KTL-H0(MBUS-14)46071,270046296346071,270046296346071,2706712963</t>
  </si>
  <si>
    <t xml:space="preserve">Equipamento anormal - 2024. Inversor com alarme oscilando geração e não atinge potência nominal. Em tratativa sob o chamado 15218761</t>
  </si>
  <si>
    <t xml:space="preserve">BC Varjao1.3215KTL-H0(MBUS-14)46071,259490740746071,259490740746071,2600694444</t>
  </si>
  <si>
    <t xml:space="preserve">Equipamento anormal - 2024. Inversor com alarme oscilando geração e não atinge potência nominal. Em tratativa sob o chamado 15218762</t>
  </si>
  <si>
    <t xml:space="preserve">BC Varjao1.3215KTL-H0(MBUS-14)46071,239872685246071,239872685246071,259212963</t>
  </si>
  <si>
    <t xml:space="preserve">Equipamento anormal - 2024. Inversor com alarme oscilando geração e não atinge potência nominal. Em tratativa sob o chamado 15218763</t>
  </si>
  <si>
    <t xml:space="preserve">BC Varjao1.3215KTL-H0(MBUS-14)46071,239490740746071,239490740746071,259212963</t>
  </si>
  <si>
    <t xml:space="preserve">Equipamento anormal - 2024. Inversor com alarme oscilando geração e não atinge potência nominal. Em tratativa sob o chamado 15218764</t>
  </si>
  <si>
    <t xml:space="preserve">BC Varjao1.3215KTL-H0(MBUS-14)46070,734884259346070,734884259346070,7869560185</t>
  </si>
  <si>
    <t xml:space="preserve">Equipamento anormal - 2024. Inversor com alarme oscilando geração e não atinge potência nominal. Em tratativa sob o chamado 15218765</t>
  </si>
  <si>
    <t xml:space="preserve">BC Varjao1.3215KTL-H0(MBUS-14)46070,727569444446070,727569444446070,7281134259</t>
  </si>
  <si>
    <t xml:space="preserve">Equipamento anormal - 2024. Inversor com alarme oscilando geração e não atinge potência nominal. Em tratativa sob o chamado 15218766</t>
  </si>
  <si>
    <t xml:space="preserve">BC Varjao1.3215KTL-H0(MBUS-14)46070,708113425946070,708113425946070,7152199074</t>
  </si>
  <si>
    <t xml:space="preserve">Equipamento anormal - 2024. Inversor com alarme oscilando geração e não atinge potência nominal. Em tratativa sob o chamado 15218767</t>
  </si>
  <si>
    <t xml:space="preserve">BC Varjao1.3215KTL-H0(MBUS-14)46070,702951388946070,702951388946070,7035069444</t>
  </si>
  <si>
    <t xml:space="preserve">Equipamento anormal - 2024. Inversor com alarme oscilando geração e não atinge potência nominal. Em tratativa sob o chamado 15218768</t>
  </si>
  <si>
    <t xml:space="preserve">BC Varjao1.3215KTL-H0(MBUS-14)46070,680381944446070,680381944446070,6814930556</t>
  </si>
  <si>
    <t xml:space="preserve">Equipamento anormal - 2024. Inversor com alarme oscilando geração e não atinge potência nominal. Em tratativa sob o chamado 15218769</t>
  </si>
  <si>
    <t xml:space="preserve">BC Varjao1.3215KTL-H0(MBUS-14)46070,641782407446070,641782407446070,6468865741</t>
  </si>
  <si>
    <t xml:space="preserve">Equipamento anormal - 2024. Inversor com alarme oscilando geração e não atinge potência nominal. Em tratativa sob o chamado 15218770</t>
  </si>
  <si>
    <t xml:space="preserve">BC Varjao1.3215KTL-H0(MBUS-14)46070,637719907446070,637719907446070,6387384259</t>
  </si>
  <si>
    <t xml:space="preserve">Equipamento anormal - 2024. Inversor com alarme oscilando geração e não atinge potência nominal. Em tratativa sob o chamado 15218771</t>
  </si>
  <si>
    <t xml:space="preserve">BC Varjao1.3215KTL-H0(MBUS-14)46070,600844907446070,600844907446070,6019791667</t>
  </si>
  <si>
    <t xml:space="preserve">Equipamento anormal - 2024. Inversor com alarme oscilando geração e não atinge potência nominal. Em tratativa sob o chamado 15218772</t>
  </si>
  <si>
    <t xml:space="preserve">BC Varjao1.3215KTL-H0(MBUS-14)46070,583206018546070,583206018546070,5889930556</t>
  </si>
  <si>
    <t xml:space="preserve">Equipamento anormal - 2024. Inversor com alarme oscilando geração e não atinge potência nominal. Em tratativa sob o chamado 15218773</t>
  </si>
  <si>
    <t xml:space="preserve">BC Varjao1.3215KTL-H0(MBUS-14)46070,58141203746070,58141203746070,582662037</t>
  </si>
  <si>
    <t xml:space="preserve">Equipamento anormal - 2024. Inversor com alarme oscilando geração e não atinge potência nominal. Em tratativa sob o chamado 15218774</t>
  </si>
  <si>
    <t xml:space="preserve">BC Varjao1.3215KTL-H0(MBUS-14)46070,564594907446070,564594907446070,565162037</t>
  </si>
  <si>
    <t xml:space="preserve">Equipamento anormal - 2024. Inversor com alarme oscilando geração e não atinge potência nominal. Em tratativa sob o chamado 15218775</t>
  </si>
  <si>
    <t xml:space="preserve">BC Varjao1.3215KTL-H0(MBUS-14)46070,553784722246070,553784722246070,5554282407</t>
  </si>
  <si>
    <t xml:space="preserve">Equipamento anormal - 2024. Inversor com alarme oscilando geração e não atinge potência nominal. Em tratativa sob o chamado 15218776</t>
  </si>
  <si>
    <t xml:space="preserve">BC Varjao1.3215KTL-H0(MBUS-14)46070,548993055646070,548993055646070,5495486111</t>
  </si>
  <si>
    <t xml:space="preserve">Equipamento anormal - 2024. Inversor com alarme oscilando geração e não atinge potência nominal. Em tratativa sob o chamado 15218777</t>
  </si>
  <si>
    <t xml:space="preserve">BC Varjao1.3215KTL-H0(MBUS-14)46070,527094907446070,527094907446070,5353356482</t>
  </si>
  <si>
    <t xml:space="preserve">Equipamento anormal - 2024. Inversor com alarme oscilando geração e não atinge potência nominal. Em tratativa sob o chamado 15218778</t>
  </si>
  <si>
    <t xml:space="preserve">BC Varjao1.3215KTL-H0(MBUS-14)46070,51141203746070,51141203746070,5127199074</t>
  </si>
  <si>
    <t xml:space="preserve">Equipamento anormal - 2024. Inversor com alarme oscilando geração e não atinge potência nominal. Em tratativa sob o chamado 15218779</t>
  </si>
  <si>
    <t xml:space="preserve">BC Varjao1.3215KTL-H0(MBUS-14)46070,485173611146070,485173611146070,4866898148</t>
  </si>
  <si>
    <t xml:space="preserve">Equipamento anormal - 2024. Inversor com alarme oscilando geração e não atinge potência nominal. Em tratativa sob o chamado 15218780</t>
  </si>
  <si>
    <t xml:space="preserve">BC Varjao1.3215KTL-H0(MBUS-14)46070,483067129646070,483067129646070,4847222222</t>
  </si>
  <si>
    <t xml:space="preserve">Equipamento anormal - 2024. Inversor com alarme oscilando geração e não atinge potência nominal. Em tratativa sob o chamado 15218781</t>
  </si>
  <si>
    <t xml:space="preserve">BC Varjao1.3215KTL-H0(MBUS-14)46070,481388888946070,481388888946070,4825578704</t>
  </si>
  <si>
    <t xml:space="preserve">Equipamento anormal - 2024. Inversor com alarme oscilando geração e não atinge potência nominal. Em tratativa sob o chamado 15218782</t>
  </si>
  <si>
    <t xml:space="preserve">BC Varjao1.3215KTL-H0(MBUS-14)46070,468819444446070,468819444446070,4711805556</t>
  </si>
  <si>
    <t xml:space="preserve">Equipamento anormal - 2024. Inversor com alarme oscilando geração e não atinge potência nominal. Em tratativa sob o chamado 15218783</t>
  </si>
  <si>
    <t xml:space="preserve">BC Varjao1.3215KTL-H0(MBUS-14)46070,465983796346070,465983796346070,4682986111</t>
  </si>
  <si>
    <t xml:space="preserve">Equipamento anormal - 2024. Inversor com alarme oscilando geração e não atinge potência nominal. Em tratativa sob o chamado 15218784</t>
  </si>
  <si>
    <t xml:space="preserve">BC Varjao1.3215KTL-H0(MBUS-14)46070,457777777846070,457777777846070,4591898148</t>
  </si>
  <si>
    <t xml:space="preserve">Equipamento anormal - 2024. Inversor com alarme oscilando geração e não atinge potência nominal. Em tratativa sob o chamado 15218785</t>
  </si>
  <si>
    <t xml:space="preserve">BC Varjao1.3215KTL-H0(MBUS-14)46070,449606481546070,449606481546070,4514930556</t>
  </si>
  <si>
    <t xml:space="preserve">Equipamento anormal - 2024. Inversor com alarme oscilando geração e não atinge potência nominal. Em tratativa sob o chamado 15218786</t>
  </si>
  <si>
    <t xml:space="preserve">BC Varjao1.3215KTL-H0(MBUS-14)46070,447245370446070,447245370446070,4494328704</t>
  </si>
  <si>
    <t xml:space="preserve">Equipamento anormal - 2024. Inversor com alarme oscilando geração e não atinge potência nominal. Em tratativa sob o chamado 15218787</t>
  </si>
  <si>
    <t xml:space="preserve">BC Varjao1.3215KTL-H0(MBUS-14)46070,436273148146070,436273148146070,4368287037</t>
  </si>
  <si>
    <t xml:space="preserve">Equipamento anormal - 2024. Inversor com alarme oscilando geração e não atinge potência nominal. Em tratativa sob o chamado 15218788</t>
  </si>
  <si>
    <t xml:space="preserve">BC Varjao1.3215KTL-H0(MBUS-14)46070,407013888946070,407013888946070,4075578704</t>
  </si>
  <si>
    <t xml:space="preserve">Equipamento anormal - 2024. Inversor com alarme oscilando geração e não atinge potência nominal. Em tratativa sob o chamado 15218789</t>
  </si>
  <si>
    <t xml:space="preserve">BC Varjao1.3215KTL-H0(MBUS-14)46070,387638888946070,387638888946070,3881944444</t>
  </si>
  <si>
    <t xml:space="preserve">Equipamento anormal - 2024. Inversor com alarme oscilando geração e não atinge potência nominal. Em tratativa sob o chamado 15218790</t>
  </si>
  <si>
    <t xml:space="preserve">BC Varjao1.3215KTL-H0(MBUS-14)46070,377986111146070,377986111146070,3785300926</t>
  </si>
  <si>
    <t xml:space="preserve">Equipamento anormal - 2024. Inversor com alarme oscilando geração e não atinge potência nominal. Em tratativa sob o chamado 15218791</t>
  </si>
  <si>
    <t xml:space="preserve">BC Varjao1.3215KTL-H0(MBUS-14)46070,36796296346070,36796296346070,3684953704</t>
  </si>
  <si>
    <t xml:space="preserve">Equipamento anormal - 2024. Inversor com alarme oscilando geração e não atinge potência nominal. Em tratativa sob o chamado 15218792</t>
  </si>
  <si>
    <t xml:space="preserve">BC Varjao1.3215KTL-H0(MBUS-14)46070,354594907446070,354594907446070,3551388889</t>
  </si>
  <si>
    <t xml:space="preserve">Equipamento anormal - 2024. Inversor com alarme oscilando geração e não atinge potência nominal. Em tratativa sob o chamado 15218793</t>
  </si>
  <si>
    <t xml:space="preserve">BC Varjao1.3215KTL-H0(MBUS-14)46070,337164351946070,337164351946070,3377083333</t>
  </si>
  <si>
    <t xml:space="preserve">Equipamento anormal - 2024. Inversor com alarme oscilando geração e não atinge potência nominal. Em tratativa sob o chamado 15218794</t>
  </si>
  <si>
    <t xml:space="preserve">BC Varjao1.3215KTL-H0(MBUS-14)46070,321770833346070,321770833346070,3223148148</t>
  </si>
  <si>
    <t xml:space="preserve">Equipamento anormal - 2024. Inversor com alarme oscilando geração e não atinge potência nominal. Em tratativa sob o chamado 15218795</t>
  </si>
  <si>
    <t xml:space="preserve">BC Varjao1.3215KTL-H0(MBUS-14)46070,315555555646070,315555555646070,3160532407</t>
  </si>
  <si>
    <t xml:space="preserve">Equipamento anormal - 2024. Inversor com alarme oscilando geração e não atinge potência nominal. Em tratativa sob o chamado 15218796</t>
  </si>
  <si>
    <t xml:space="preserve">BC Varjao1.3215KTL-H0(MBUS-14)46070,305208333346070,305208333346070,3057291667</t>
  </si>
  <si>
    <t xml:space="preserve">Equipamento anormal - 2024. Inversor com alarme oscilando geração e não atinge potência nominal. Em tratativa sob o chamado 15218797</t>
  </si>
  <si>
    <t xml:space="preserve">BC Varjao1.3215KTL-H0(MBUS-14)46070,296932870446070,296932870446070,2974421296</t>
  </si>
  <si>
    <t xml:space="preserve">Equipamento anormal - 2024. Inversor com alarme oscilando geração e não atinge potência nominal. Em tratativa sob o chamado 15218798</t>
  </si>
  <si>
    <t xml:space="preserve">BC Varjao1.3215KTL-H0(MBUS-14)46070,290196759346070,290196759346070,290787037</t>
  </si>
  <si>
    <t xml:space="preserve">Equipamento anormal - 2024. Inversor com alarme oscilando geração e não atinge potência nominal. Em tratativa sob o chamado 15218799</t>
  </si>
  <si>
    <t xml:space="preserve">BC Varjao1.3215KTL-H0(MBUS-14)46070,283148148146070,283148148146070,2837731481</t>
  </si>
  <si>
    <t xml:space="preserve">Equipamento anormal - 2024. Inversor com alarme oscilando geração e não atinge potência nominal. Em tratativa sob o chamado 15218800</t>
  </si>
  <si>
    <t xml:space="preserve">BC Varjao1.3215KTL-H0(MBUS-14)46070,277719907446070,277719907446070,2782638889</t>
  </si>
  <si>
    <t xml:space="preserve">Equipamento anormal - 2024. Inversor com alarme oscilando geração e não atinge potência nominal. Em tratativa sob o chamado 15218801</t>
  </si>
  <si>
    <t xml:space="preserve">BC Varjao1.3215KTL-H0(MBUS-14)46070,27187546070,27187546070,2723958333</t>
  </si>
  <si>
    <t xml:space="preserve">Equipamento anormal - 2024. Inversor com alarme oscilando geração e não atinge potência nominal. Em tratativa sob o chamado 15218802</t>
  </si>
  <si>
    <t xml:space="preserve">BC Varjao1.3215KTL-H0(MBUS-14)46070,267835648146070,267835648146070,2683564815</t>
  </si>
  <si>
    <t xml:space="preserve">Equipamento anormal - 2024. Inversor com alarme oscilando geração e não atinge potência nominal. Em tratativa sob o chamado 15218803</t>
  </si>
  <si>
    <t xml:space="preserve">BC Varjao1.3215KTL-H0(MBUS-14)46070,257291666746070,257291666746070,2578009259</t>
  </si>
  <si>
    <t xml:space="preserve">Equipamento anormal - 2024. Inversor com alarme oscilando geração e não atinge potência nominal. Em tratativa sob o chamado 15218804</t>
  </si>
  <si>
    <t xml:space="preserve">BC Varjao1.3215KTL-H0(MBUS-14)46070,256631944446070,256631944446070,2571064815</t>
  </si>
  <si>
    <t xml:space="preserve">Equipamento anormal - 2024. Inversor com alarme oscilando geração e não atinge potência nominal. Em tratativa sob o chamado 15218805</t>
  </si>
  <si>
    <t xml:space="preserve">BC Varjao1.3215KTL-H0(MBUS-14)46070,237106481546070,237106481546070,2564583333</t>
  </si>
  <si>
    <t xml:space="preserve">Equipamento anormal - 2024. Inversor com alarme oscilando geração e não atinge potência nominal. Em tratativa sob o chamado 15218806</t>
  </si>
  <si>
    <t xml:space="preserve">BC Varjao1.3215KTL-H0(MBUS-14)46070,236689814846070,236689814846070,2564583333</t>
  </si>
  <si>
    <t xml:space="preserve">Equipamento anormal - 2024. Inversor com alarme oscilando geração e não atinge potência nominal. Em tratativa sob o chamado 15218807</t>
  </si>
  <si>
    <t xml:space="preserve">BC Varjao1.3215KTL-H0(MBUS-14)46069,763240740746069,763240740746069,7881365741</t>
  </si>
  <si>
    <t xml:space="preserve">Equipamento anormal - 2024. Inversor com alarme oscilando geração e não atinge potência nominal. Em tratativa sob o chamado 15218808</t>
  </si>
  <si>
    <t xml:space="preserve">BC Varjao1.3215KTL-H0(MBUS-14)46069,762546296346069,762546296346069,7630671296</t>
  </si>
  <si>
    <t xml:space="preserve">Equipamento anormal - 2024. Inversor com alarme oscilando geração e não atinge potência nominal. Em tratativa sob o chamado 15218809</t>
  </si>
  <si>
    <t xml:space="preserve">BC Varjao1.3215KTL-H0(MBUS-14)46069,761840277846069,761840277846069,7623726852</t>
  </si>
  <si>
    <t xml:space="preserve">Equipamento anormal - 2024. Inversor com alarme oscilando geração e não atinge potência nominal. Em tratativa sob o chamado 15218810</t>
  </si>
  <si>
    <t xml:space="preserve">BC Varjao1.3215KTL-H0(MBUS-14)46069,761157407446069,761157407446069,7616666667</t>
  </si>
  <si>
    <t xml:space="preserve">Equipamento anormal - 2024. Inversor com alarme oscilando geração e não atinge potência nominal. Em tratativa sob o chamado 15218811</t>
  </si>
  <si>
    <t xml:space="preserve">BC Varjao1.3215KTL-H0(MBUS-14)46069,760439814846069,760439814846069,7609606481</t>
  </si>
  <si>
    <t xml:space="preserve">Equipamento anormal - 2024. Inversor com alarme oscilando geração e não atinge potência nominal. Em tratativa sob o chamado 15218812</t>
  </si>
  <si>
    <t xml:space="preserve">BC Varjao1.3215KTL-H0(MBUS-14)46069,710358796346069,710358796346069,7109027778</t>
  </si>
  <si>
    <t xml:space="preserve">Equipamento anormal - 2024. Inversor com alarme oscilando geração e não atinge potência nominal. Em tratativa sob o chamado 15218813</t>
  </si>
  <si>
    <t xml:space="preserve">BC Varjao1.3215KTL-H0(MBUS-14)46069,69672453746069,69672453746069,6972569444</t>
  </si>
  <si>
    <t xml:space="preserve">Equipamento anormal - 2024. Inversor com alarme oscilando geração e não atinge potência nominal. Em tratativa sob o chamado 15218814</t>
  </si>
  <si>
    <t xml:space="preserve">BC Varjao1.3215KTL-H0(MBUS-14)46069,681782407446069,681782407446069,6823263889</t>
  </si>
  <si>
    <t xml:space="preserve">Equipamento anormal - 2024. Inversor com alarme oscilando geração e não atinge potência nominal. Em tratativa sob o chamado 15218815</t>
  </si>
  <si>
    <t xml:space="preserve">BC Varjao1.3215KTL-H0(MBUS-14)46069,667210648146069,667210648146069,669525463</t>
  </si>
  <si>
    <t xml:space="preserve">Equipamento anormal - 2024. Inversor com alarme oscilando geração e não atinge potência nominal. Em tratativa sob o chamado 15218816</t>
  </si>
  <si>
    <t xml:space="preserve">BC Varjao1.3215KTL-H0(MBUS-14)46069,654421296346069,654421296346069,6549652778</t>
  </si>
  <si>
    <t xml:space="preserve">Equipamento anormal - 2024. Inversor com alarme oscilando geração e não atinge potência nominal. Em tratativa sob o chamado 15218817</t>
  </si>
  <si>
    <t xml:space="preserve">BC Varjao1.3215KTL-H0(MBUS-14)46069,642986111146069,642986111146069,6437731481</t>
  </si>
  <si>
    <t xml:space="preserve">Equipamento anormal - 2024. Inversor com alarme oscilando geração e não atinge potência nominal. Em tratativa sob o chamado 15218818</t>
  </si>
  <si>
    <t xml:space="preserve">BC Varjao1.3215KTL-H0(MBUS-14)46069,642245370446069,642245370446069,6428009259</t>
  </si>
  <si>
    <t xml:space="preserve">Equipamento anormal - 2024. Inversor com alarme oscilando geração e não atinge potência nominal. Em tratativa sob o chamado 15218819</t>
  </si>
  <si>
    <t xml:space="preserve">BC Varjao1.3215KTL-H0(MBUS-14)46069,613067129646069,613067129646069,6156597222</t>
  </si>
  <si>
    <t xml:space="preserve">Equipamento anormal - 2024. Inversor com alarme oscilando geração e não atinge potência nominal. Em tratativa sob o chamado 15218820</t>
  </si>
  <si>
    <t xml:space="preserve">BC Varjao1.3215KTL-H0(MBUS-14)46069,611342592646069,611342592646069,6125347222</t>
  </si>
  <si>
    <t xml:space="preserve">Equipamento anormal - 2024. Inversor com alarme oscilando geração e não atinge potência nominal. Em tratativa sob o chamado 15218821</t>
  </si>
  <si>
    <t xml:space="preserve">BC Varjao1.3215KTL-H0(MBUS-14)46069,598784722246069,598784722246069,5998611111</t>
  </si>
  <si>
    <t xml:space="preserve">Equipamento anormal - 2024. Inversor com alarme oscilando geração e não atinge potência nominal. Em tratativa sob o chamado 15218822</t>
  </si>
  <si>
    <t xml:space="preserve">BC Varjao1.3215KTL-H0(MBUS-14)46069,594722222246069,594722222246069,5963657407</t>
  </si>
  <si>
    <t xml:space="preserve">Equipamento anormal - 2024. Inversor com alarme oscilando geração e não atinge potência nominal. Em tratativa sob o chamado 15218823</t>
  </si>
  <si>
    <t xml:space="preserve">BC Varjao1.3215KTL-H0(MBUS-14)46069,587303240746069,587303240746069,5880671296</t>
  </si>
  <si>
    <t xml:space="preserve">Equipamento anormal - 2024. Inversor com alarme oscilando geração e não atinge potência nominal. Em tratativa sob o chamado 15218824</t>
  </si>
  <si>
    <t xml:space="preserve">BC Varjao1.3215KTL-H0(MBUS-14)46069,582638888946069,582638888946069,5831828704</t>
  </si>
  <si>
    <t xml:space="preserve">Equipamento anormal - 2024. Inversor com alarme oscilando geração e não atinge potência nominal. Em tratativa sob o chamado 15218825</t>
  </si>
  <si>
    <t xml:space="preserve">BC Varjao1.3215KTL-H0(MBUS-14)46069,576319444446069,576319444446069,5770138889</t>
  </si>
  <si>
    <t xml:space="preserve">Equipamento anormal - 2024. Inversor com alarme oscilando geração e não atinge potência nominal. Em tratativa sob o chamado 15218826</t>
  </si>
  <si>
    <t xml:space="preserve">BC Varjao1.3215KTL-H0(MBUS-14)46069,572916666746069,572916666746069,5755208333</t>
  </si>
  <si>
    <t xml:space="preserve">Equipamento anormal - 2024. Inversor com alarme oscilando geração e não atinge potência nominal. Em tratativa sob o chamado 15218827</t>
  </si>
  <si>
    <t xml:space="preserve">BC Varjao1.3215KTL-H0(MBUS-14)46069,56608796346069,56608796346069,5675115741</t>
  </si>
  <si>
    <t xml:space="preserve">Equipamento anormal - 2024. Inversor com alarme oscilando geração e não atinge potência nominal. Em tratativa sob o chamado 15218828</t>
  </si>
  <si>
    <t xml:space="preserve">BC Varjao1.3215KTL-H0(MBUS-14)46069,552222222246069,552222222246069,5532175926</t>
  </si>
  <si>
    <t xml:space="preserve">Equipamento anormal - 2024. Inversor com alarme oscilando geração e não atinge potência nominal. Em tratativa sob o chamado 15218829</t>
  </si>
  <si>
    <t xml:space="preserve">BC Varjao1.3215KTL-H0(MBUS-14)46069,550358796346069,550358796346069,5509027778</t>
  </si>
  <si>
    <t xml:space="preserve">Equipamento anormal - 2024. Inversor com alarme oscilando geração e não atinge potência nominal. Em tratativa sob o chamado 15218830</t>
  </si>
  <si>
    <t xml:space="preserve">BC Varjao1.3215KTL-H0(MBUS-14)46069,540925925946069,540925925946069,5417013889</t>
  </si>
  <si>
    <t xml:space="preserve">Equipamento anormal - 2024. Inversor com alarme oscilando geração e não atinge potência nominal. Em tratativa sob o chamado 15218831</t>
  </si>
  <si>
    <t xml:space="preserve">BC Varjao1.3215KTL-H0(MBUS-14)46069,533553240746069,533553240746069,5342361111</t>
  </si>
  <si>
    <t xml:space="preserve">Equipamento anormal - 2024. Inversor com alarme oscilando geração e não atinge potência nominal. Em tratativa sob o chamado 15218832</t>
  </si>
  <si>
    <t xml:space="preserve">BC Varjao1.3215KTL-H0(MBUS-14)46069,524039351946069,524039351946069,5259375</t>
  </si>
  <si>
    <t xml:space="preserve">Equipamento anormal - 2024. Inversor com alarme oscilando geração e não atinge potência nominal. Em tratativa sob o chamado 15218833</t>
  </si>
  <si>
    <t xml:space="preserve">BC Varjao1.3215KTL-H0(MBUS-14)46069,502268518546069,502268518546069,5029282407</t>
  </si>
  <si>
    <t xml:space="preserve">Equipamento anormal - 2024. Inversor com alarme oscilando geração e não atinge potência nominal. Em tratativa sob o chamado 15218834</t>
  </si>
  <si>
    <t xml:space="preserve">BC Varjao1.3215KTL-H0(MBUS-14)46069,488958333346069,488958333346069,4895486111</t>
  </si>
  <si>
    <t xml:space="preserve">Equipamento anormal - 2024. Inversor com alarme oscilando geração e não atinge potência nominal. Em tratativa sob o chamado 15218835</t>
  </si>
  <si>
    <t xml:space="preserve">BC Varjao1.3215KTL-H0(MBUS-14)46069,476666666746069,476666666746069,4780902778</t>
  </si>
  <si>
    <t xml:space="preserve">Equipamento anormal - 2024. Inversor com alarme oscilando geração e não atinge potência nominal. Em tratativa sob o chamado 15218836</t>
  </si>
  <si>
    <t xml:space="preserve">BC Varjao1.3215KTL-H0(MBUS-14)46069,47516203746069,47516203746069,4763078704</t>
  </si>
  <si>
    <t xml:space="preserve">Equipamento anormal - 2024. Inversor com alarme oscilando geração e não atinge potência nominal. Em tratativa sob o chamado 15218837</t>
  </si>
  <si>
    <t xml:space="preserve">BC Varjao1.3215KTL-H0(MBUS-14)46069,470636574146069,470636574146069,4711805556</t>
  </si>
  <si>
    <t xml:space="preserve">Equipamento anormal - 2024. Inversor com alarme oscilando geração e não atinge potência nominal. Em tratativa sob o chamado 15218838</t>
  </si>
  <si>
    <t xml:space="preserve">BC Varjao1.3215KTL-H0(MBUS-14)46069,469594907446069,469594907446069,4705902778</t>
  </si>
  <si>
    <t xml:space="preserve">Equipamento anormal - 2024. Inversor com alarme oscilando geração e não atinge potência nominal. Em tratativa sob o chamado 15218839</t>
  </si>
  <si>
    <t xml:space="preserve">BC Varjao1.3215KTL-H0(MBUS-14)46069,465057870446069,465057870446069,465625</t>
  </si>
  <si>
    <t xml:space="preserve">Equipamento anormal - 2024. Inversor com alarme oscilando geração e não atinge potência nominal. Em tratativa sob o chamado 15218840</t>
  </si>
  <si>
    <t xml:space="preserve">BC Varjao1.3215KTL-H0(MBUS-14)46069,453391203746069,453391203746069,4539351852</t>
  </si>
  <si>
    <t xml:space="preserve">Equipamento anormal - 2024. Inversor com alarme oscilando geração e não atinge potência nominal. Em tratativa sob o chamado 15218841</t>
  </si>
  <si>
    <t xml:space="preserve">BC Varjao1.3215KTL-H0(MBUS-14)46069,444062546069,444062546069,4457060185</t>
  </si>
  <si>
    <t xml:space="preserve">Equipamento anormal - 2024. Inversor com alarme oscilando geração e não atinge potência nominal. Em tratativa sob o chamado 15218842</t>
  </si>
  <si>
    <t xml:space="preserve">BC Varjao1.3215KTL-H0(MBUS-14)46069,439953703746069,439953703746069,4404976852</t>
  </si>
  <si>
    <t xml:space="preserve">Equipamento anormal - 2024. Inversor com alarme oscilando geração e não atinge potência nominal. Em tratativa sob o chamado 15218843</t>
  </si>
  <si>
    <t xml:space="preserve">BC Varjao1.3215KTL-H0(MBUS-14)46069,40516203746069,40516203746069,4057060185</t>
  </si>
  <si>
    <t xml:space="preserve">Equipamento anormal - 2024. Inversor com alarme oscilando geração e não atinge potência nominal. Em tratativa sob o chamado 15218844</t>
  </si>
  <si>
    <t xml:space="preserve">BC Varjao1.3215KTL-H0(MBUS-14)46069,383252314846069,383252314846069,3837962963</t>
  </si>
  <si>
    <t xml:space="preserve">Equipamento anormal - 2024. Inversor com alarme oscilando geração e não atinge potência nominal. Em tratativa sob o chamado 15218845</t>
  </si>
  <si>
    <t xml:space="preserve">BC Varjao1.3215KTL-H0(MBUS-14)46069,360856481546069,360856481546069,3613773148</t>
  </si>
  <si>
    <t xml:space="preserve">Equipamento anormal - 2024. Inversor com alarme oscilando geração e não atinge potência nominal. Em tratativa sob o chamado 15218846</t>
  </si>
  <si>
    <t xml:space="preserve">BC Varjao1.3215KTL-H0(MBUS-14)46069,350289351946069,350289351946069,3508101852</t>
  </si>
  <si>
    <t xml:space="preserve">Equipamento anormal - 2024. Inversor com alarme oscilando geração e não atinge potência nominal. Em tratativa sob o chamado 15218847</t>
  </si>
  <si>
    <t xml:space="preserve">BC Varjao1.3215KTL-H0(MBUS-14)46069,32172453746069,32172453746069,3222337963</t>
  </si>
  <si>
    <t xml:space="preserve">Equipamento anormal - 2024. Inversor com alarme oscilando geração e não atinge potência nominal. Em tratativa sob o chamado 15218848</t>
  </si>
  <si>
    <t xml:space="preserve">BC Varjao1.3215KTL-H0(MBUS-14)46069,314004629646069,314004629646069,314525463</t>
  </si>
  <si>
    <t xml:space="preserve">Equipamento anormal - 2024. Inversor com alarme oscilando geração e não atinge potência nominal. Em tratativa sob o chamado 15218849</t>
  </si>
  <si>
    <t xml:space="preserve">BC Varjao1.3215KTL-H0(MBUS-14)46069,308252314846069,308252314846069,3087731482</t>
  </si>
  <si>
    <t xml:space="preserve">Equipamento anormal - 2024. Inversor com alarme oscilando geração e não atinge potência nominal. Em tratativa sob o chamado 15218850</t>
  </si>
  <si>
    <t xml:space="preserve">BC Varjao1.3215KTL-H0(MBUS-14)46069,302199074146069,302199074146069,3026967593</t>
  </si>
  <si>
    <t xml:space="preserve">Equipamento anormal - 2024. Inversor com alarme oscilando geração e não atinge potência nominal. Em tratativa sob o chamado 15218851</t>
  </si>
  <si>
    <t xml:space="preserve">BC Varjao1.3215KTL-H0(MBUS-14)46069,295891203746069,295891203746069,296412037</t>
  </si>
  <si>
    <t xml:space="preserve">Equipamento anormal - 2024. Inversor com alarme oscilando geração e não atinge potência nominal. Em tratativa sob o chamado 15218852</t>
  </si>
  <si>
    <t xml:space="preserve">BC Varjao1.3215KTL-H0(MBUS-14)46069,28766203746069,28766203746069,2881828704</t>
  </si>
  <si>
    <t xml:space="preserve">Equipamento anormal - 2024. Inversor com alarme oscilando geração e não atinge potência nominal. Em tratativa sob o chamado 15218853</t>
  </si>
  <si>
    <t xml:space="preserve">BC Varjao1.3215KTL-H0(MBUS-14)46069,273321759346069,273321759346069,2738773148</t>
  </si>
  <si>
    <t xml:space="preserve">Equipamento anormal - 2024. Inversor com alarme oscilando geração e não atinge potência nominal. Em tratativa sob o chamado 15218854</t>
  </si>
  <si>
    <t xml:space="preserve">BC Varjao1.3215KTL-H0(MBUS-14)46069,257881944446069,257881944446069,2584027778</t>
  </si>
  <si>
    <t xml:space="preserve">Equipamento anormal - 2024. Inversor com alarme oscilando geração e não atinge potência nominal. Em tratativa sob o chamado 15218855</t>
  </si>
  <si>
    <t xml:space="preserve">BC Varjao1.3215KTL-H0(MBUS-14)46069,256793981546069,256793981546069,2573032407</t>
  </si>
  <si>
    <t xml:space="preserve">Equipamento anormal - 2024. Inversor com alarme oscilando geração e não atinge potência nominal. Em tratativa sob o chamado 15218856</t>
  </si>
  <si>
    <t xml:space="preserve">BC Varjao1.3215KTL-H0(MBUS-14)46069,236666666746069,236666666746069,2565625</t>
  </si>
  <si>
    <t xml:space="preserve">Equipamento anormal - 2024. Inversor com alarme oscilando geração e não atinge potência nominal. Em tratativa sob o chamado 15218857</t>
  </si>
  <si>
    <t xml:space="preserve">BC Varjao1.3215KTL-H0(MBUS-14)46069,2362546069,2362546069,2565625</t>
  </si>
  <si>
    <t xml:space="preserve">Equipamento anormal - 2024. Inversor com alarme oscilando geração e não atinge potência nominal. Em tratativa sob o chamado 15218858</t>
  </si>
  <si>
    <t xml:space="preserve">BC Varjao1.3215KTL-H0(MBUS-14)46068,76390046346068,76390046346068,7900347222</t>
  </si>
  <si>
    <t xml:space="preserve">Equipamento anormal - 2024. Inversor com alarme oscilando geração e não atinge potência nominal. Em tratativa sob o chamado 15218859</t>
  </si>
  <si>
    <t xml:space="preserve">BC Varjao1.3215KTL-H0(MBUS-14)46068,763206018546068,763206018546068,7637152778</t>
  </si>
  <si>
    <t xml:space="preserve">Equipamento anormal - 2024. Inversor com alarme oscilando geração e não atinge potência nominal. Em tratativa sob o chamado 15218860</t>
  </si>
  <si>
    <t xml:space="preserve">BC Varjao1.3215KTL-H0(MBUS-14)46068,762511574146068,762511574146068,7630324074</t>
  </si>
  <si>
    <t xml:space="preserve">Equipamento anormal - 2024. Inversor com alarme oscilando geração e não atinge potência nominal. Em tratativa sob o chamado 15218861</t>
  </si>
  <si>
    <t xml:space="preserve">BC Varjao1.3215KTL-H0(MBUS-14)46068,761817129646068,761817129646068,762337963</t>
  </si>
  <si>
    <t xml:space="preserve">Equipamento anormal - 2024. Inversor com alarme oscilando geração e não atinge potência nominal. Em tratativa sob o chamado 15218862</t>
  </si>
  <si>
    <t xml:space="preserve">BC Varjao1.3215KTL-H0(MBUS-14)46068,761111111146068,761111111146068,7616435185</t>
  </si>
  <si>
    <t xml:space="preserve">Equipamento anormal - 2024. Inversor com alarme oscilando geração e não atinge potência nominal. Em tratativa sob o chamado 15218863</t>
  </si>
  <si>
    <t xml:space="preserve">BC Varjao1.3215KTL-H0(MBUS-14)46068,760428240746068,760428240746068,7609490741</t>
  </si>
  <si>
    <t xml:space="preserve">Equipamento anormal - 2024. Inversor com alarme oscilando geração e não atinge potência nominal. Em tratativa sob o chamado 15218864</t>
  </si>
  <si>
    <t xml:space="preserve">BC Varjao1.3215KTL-H0(MBUS-14)46068,720185185246068,720185185246068,7207291667</t>
  </si>
  <si>
    <t xml:space="preserve">Equipamento anormal - 2024. Inversor com alarme oscilando geração e não atinge potência nominal. Em tratativa sob o chamado 15218865</t>
  </si>
  <si>
    <t xml:space="preserve">BC Varjao1.3215KTL-H0(MBUS-14)46068,704201388946068,704201388946068,7053240741</t>
  </si>
  <si>
    <t xml:space="preserve">Equipamento anormal - 2024. Inversor com alarme oscilando geração e não atinge potência nominal. Em tratativa sob o chamado 15218866</t>
  </si>
  <si>
    <t xml:space="preserve">BC Varjao1.3215KTL-H0(MBUS-14)46068,662268518546068,662268518546068,6655324074</t>
  </si>
  <si>
    <t xml:space="preserve">Equipamento anormal - 2024. Inversor com alarme oscilando geração e não atinge potência nominal. Em tratativa sob o chamado 15218867</t>
  </si>
  <si>
    <t xml:space="preserve">BC Varjao1.3215KTL-H0(MBUS-14)46068,64640046346068,64640046346068,6469444444</t>
  </si>
  <si>
    <t xml:space="preserve">Equipamento anormal - 2024. Inversor com alarme oscilando geração e não atinge potência nominal. Em tratativa sob o chamado 15218868</t>
  </si>
  <si>
    <t xml:space="preserve">BC Varjao1.3215KTL-H0(MBUS-14)46068,63516203746068,63516203746068,6358680556</t>
  </si>
  <si>
    <t xml:space="preserve">Equipamento anormal - 2024. Inversor com alarme oscilando geração e não atinge potência nominal. Em tratativa sob o chamado 15218869</t>
  </si>
  <si>
    <t xml:space="preserve">BC Varjao1.3215KTL-H0(MBUS-14)46068,618194444446068,618194444446068,6187268519</t>
  </si>
  <si>
    <t xml:space="preserve">Equipamento anormal - 2024. Inversor com alarme oscilando geração e não atinge potência nominal. Em tratativa sob o chamado 15218870</t>
  </si>
  <si>
    <t xml:space="preserve">BC Varjao1.3215KTL-H0(MBUS-14)46068,596203703746068,596203703746068,5967592593</t>
  </si>
  <si>
    <t xml:space="preserve">Equipamento anormal - 2024. Inversor com alarme oscilando geração e não atinge potência nominal. Em tratativa sob o chamado 15218871</t>
  </si>
  <si>
    <t xml:space="preserve">BC Varjao1.3215KTL-H0(MBUS-14)46068,587777777846068,587777777846068,5900810185</t>
  </si>
  <si>
    <t xml:space="preserve">Equipamento anormal - 2024. Inversor com alarme oscilando geração e não atinge potência nominal. Em tratativa sob o chamado 15218872</t>
  </si>
  <si>
    <t xml:space="preserve">BC Varjao1.3215KTL-H0(MBUS-14)46068,581759259346068,581759259346068,5822916667</t>
  </si>
  <si>
    <t xml:space="preserve">Equipamento anormal - 2024. Inversor com alarme oscilando geração e não atinge potência nominal. Em tratativa sob o chamado 15218873</t>
  </si>
  <si>
    <t xml:space="preserve">BC Varjao1.3215KTL-H0(MBUS-14)46068,567152777846068,567152777846068,5677083333</t>
  </si>
  <si>
    <t xml:space="preserve">Equipamento anormal - 2024. Inversor com alarme oscilando geração e não atinge potência nominal. Em tratativa sob o chamado 15218874</t>
  </si>
  <si>
    <t xml:space="preserve">BC Varjao1.3215KTL-H0(MBUS-14)46068,549490740746068,549490740746068,5500347222</t>
  </si>
  <si>
    <t xml:space="preserve">Equipamento anormal - 2024. Inversor com alarme oscilando geração e não atinge potência nominal. Em tratativa sob o chamado 15218875</t>
  </si>
  <si>
    <t xml:space="preserve">BC Varjao1.3215KTL-H0(MBUS-14)46068,540543981546068,540543981546068,541087963</t>
  </si>
  <si>
    <t xml:space="preserve">Equipamento anormal - 2024. Inversor com alarme oscilando geração e não atinge potência nominal. Em tratativa sob o chamado 15218876</t>
  </si>
  <si>
    <t xml:space="preserve">BC Varjao1.3215KTL-H0(MBUS-14)46068,521423611146068,521423611146068,5226388889</t>
  </si>
  <si>
    <t xml:space="preserve">Equipamento anormal - 2024. Inversor com alarme oscilando geração e não atinge potência nominal. Em tratativa sob o chamado 15218877</t>
  </si>
  <si>
    <t xml:space="preserve">BC Varjao1.3215KTL-H0(MBUS-14)46068,51546296346068,51546296346068,5160416667</t>
  </si>
  <si>
    <t xml:space="preserve">Equipamento anormal - 2024. Inversor com alarme oscilando geração e não atinge potência nominal. Em tratativa sob o chamado 15218878</t>
  </si>
  <si>
    <t xml:space="preserve">BC Varjao1.3215KTL-H0(MBUS-14)46068,488356481546068,488356481546068,4891666667</t>
  </si>
  <si>
    <t xml:space="preserve">Equipamento anormal - 2024. Inversor com alarme oscilando geração e não atinge potência nominal. Em tratativa sob o chamado 15218879</t>
  </si>
  <si>
    <t xml:space="preserve">BC Varjao1.3215KTL-H0(MBUS-14)46068,468043981546068,468043981546068,4686342593</t>
  </si>
  <si>
    <t xml:space="preserve">Equipamento anormal - 2024. Inversor com alarme oscilando geração e não atinge potência nominal. Em tratativa sob o chamado 15218880</t>
  </si>
  <si>
    <t xml:space="preserve">BC Varjao1.3215KTL-H0(MBUS-14)46068,450532407446068,450532407446068,4510763889</t>
  </si>
  <si>
    <t xml:space="preserve">Equipamento anormal - 2024. Inversor com alarme oscilando geração e não atinge potência nominal. Em tratativa sob o chamado 15218881</t>
  </si>
  <si>
    <t xml:space="preserve">BC Varjao1.3215KTL-H0(MBUS-14)46068,421446759346068,421446759346068,4219791667</t>
  </si>
  <si>
    <t xml:space="preserve">Equipamento anormal - 2024. Inversor com alarme oscilando geração e não atinge potência nominal. Em tratativa sob o chamado 15218882</t>
  </si>
  <si>
    <t xml:space="preserve">BC Varjao1.3215KTL-H0(MBUS-14)46068,368368055646068,368368055646068,368912037</t>
  </si>
  <si>
    <t xml:space="preserve">Equipamento anormal - 2024. Inversor com alarme oscilando geração e não atinge potência nominal. Em tratativa sob o chamado 15218883</t>
  </si>
  <si>
    <t xml:space="preserve">BC Varjao1.3215KTL-H0(MBUS-14)46068,31922453746068,31922453746068,3197337963</t>
  </si>
  <si>
    <t xml:space="preserve">Equipamento anormal - 2024. Inversor com alarme oscilando geração e não atinge potência nominal. Em tratativa sob o chamado 15218884</t>
  </si>
  <si>
    <t xml:space="preserve">BC Varjao1.3215KTL-H0(MBUS-14)46068,311226851946068,311226851946068,311724537</t>
  </si>
  <si>
    <t xml:space="preserve">Equipamento anormal - 2024. Inversor com alarme oscilando geração e não atinge potência nominal. Em tratativa sob o chamado 15218885</t>
  </si>
  <si>
    <t xml:space="preserve">BC Varjao1.3215KTL-H0(MBUS-14)46068,300428240746068,300428240746068,3009490741</t>
  </si>
  <si>
    <t xml:space="preserve">Equipamento anormal - 2024. Inversor com alarme oscilando geração e não atinge potência nominal. Em tratativa sob o chamado 15218886</t>
  </si>
  <si>
    <t xml:space="preserve">BC Varjao1.3215KTL-H0(MBUS-14)46068,291805555646068,291805555646068,2923148148</t>
  </si>
  <si>
    <t xml:space="preserve">Equipamento anormal - 2024. Inversor com alarme oscilando geração e não atinge potência nominal. Em tratativa sob o chamado 15218887</t>
  </si>
  <si>
    <t xml:space="preserve">BC Varjao1.3215KTL-H0(MBUS-14)46068,284652777846068,284652777846068,2852083333</t>
  </si>
  <si>
    <t xml:space="preserve">Equipamento anormal - 2024. Inversor com alarme oscilando geração e não atinge potência nominal. Em tratativa sob o chamado 15218888</t>
  </si>
  <si>
    <t xml:space="preserve">BC Varjao1.3215KTL-H0(MBUS-14)46068,27922453746068,27922453746068,2798263889</t>
  </si>
  <si>
    <t xml:space="preserve">Equipamento anormal - 2024. Inversor com alarme oscilando geração e não atinge potência nominal. Em tratativa sob o chamado 15218889</t>
  </si>
  <si>
    <t xml:space="preserve">BC Varjao1.3215KTL-H0(MBUS-14)46068,267939814846068,267939814846068,2684837963</t>
  </si>
  <si>
    <t xml:space="preserve">Equipamento anormal - 2024. Inversor com alarme oscilando geração e não atinge potência nominal. Em tratativa sob o chamado 15218890</t>
  </si>
  <si>
    <t xml:space="preserve">BC Varjao1.3215KTL-H0(MBUS-14)46068,257280092646068,257280092646068,2578009259</t>
  </si>
  <si>
    <t xml:space="preserve">Equipamento anormal - 2024. Inversor com alarme oscilando geração e não atinge potência nominal. Em tratativa sob o chamado 15218891</t>
  </si>
  <si>
    <t xml:space="preserve">BC Varjao1.3215KTL-H0(MBUS-14)46068,256608796346068,256608796346068,2571064815</t>
  </si>
  <si>
    <t xml:space="preserve">Equipamento anormal - 2024. Inversor com alarme oscilando geração e não atinge potência nominal. Em tratativa sob o chamado 15218892</t>
  </si>
  <si>
    <t xml:space="preserve">BC Varjao1.3215KTL-H0(MBUS-14)46068,236018518546068,236018518546068,2564236111</t>
  </si>
  <si>
    <t xml:space="preserve">Equipamento anormal - 2024. Inversor com alarme oscilando geração e não atinge potência nominal. Em tratativa sob o chamado 15218893</t>
  </si>
  <si>
    <t xml:space="preserve">BC Varjao1.3215KTL-H0(MBUS-14)46068,23562546068,23562546068,2564236111</t>
  </si>
  <si>
    <t xml:space="preserve">Equipamento anormal - 2024. Inversor com alarme oscilando geração e não atinge potência nominal. Em tratativa sob o chamado 15218894</t>
  </si>
  <si>
    <t xml:space="preserve">BC Varjao1.3215KTL-H0(MBUS-14)46067,764027777846067,764027777846067,7893171296</t>
  </si>
  <si>
    <t xml:space="preserve">Equipamento anormal - 2024. Inversor com alarme oscilando geração e não atinge potência nominal. Em tratativa sob o chamado 15218895</t>
  </si>
  <si>
    <t xml:space="preserve">BC Varjao1.3215KTL-H0(MBUS-14)46067,763333333346067,763333333346067,7638425926</t>
  </si>
  <si>
    <t xml:space="preserve">Equipamento anormal - 2024. Inversor com alarme oscilando geração e não atinge potência nominal. Em tratativa sob o chamado 15218896</t>
  </si>
  <si>
    <t xml:space="preserve">BC Varjao1.3215KTL-H0(MBUS-14)46067,762638888946067,762638888946067,7631481482</t>
  </si>
  <si>
    <t xml:space="preserve">Equipamento anormal - 2024. Inversor com alarme oscilando geração e não atinge potência nominal. Em tratativa sob o chamado 15218897</t>
  </si>
  <si>
    <t xml:space="preserve">BC Varjao1.3215KTL-H0(MBUS-14)46067,761932870446067,761932870446067,7624537037</t>
  </si>
  <si>
    <t xml:space="preserve">Equipamento anormal - 2024. Inversor com alarme oscilando geração e não atinge potência nominal. Em tratativa sob o chamado 15218898</t>
  </si>
  <si>
    <t xml:space="preserve">BC Varjao1.3215KTL-H0(MBUS-14)46067,761238425946067,761238425946067,7617592593</t>
  </si>
  <si>
    <t xml:space="preserve">Equipamento anormal - 2024. Inversor com alarme oscilando geração e não atinge potência nominal. Em tratativa sob o chamado 15218899</t>
  </si>
  <si>
    <t xml:space="preserve">BC Varjao1.3215KTL-H0(MBUS-14)46067,683611111146067,683611111146067,6841087963</t>
  </si>
  <si>
    <t xml:space="preserve">Equipamento anormal - 2024. Inversor com alarme oscilando geração e não atinge potência nominal. Em tratativa sob o chamado 15218900</t>
  </si>
  <si>
    <t xml:space="preserve">BC Varjao1.3215KTL-H0(MBUS-14)46067,683564814846067,683564814846067,6836226852</t>
  </si>
  <si>
    <t xml:space="preserve">Equipamento anormal - 2024. Inversor com alarme oscilando geração e não atinge potência nominal. Em tratativa sob o chamado 15218901</t>
  </si>
  <si>
    <t xml:space="preserve">BC Varjao1.3215KTL-H0(MBUS-14)46067,675011574146067,675011574146067,6773263889</t>
  </si>
  <si>
    <t xml:space="preserve">Equipamento anormal - 2024. Inversor com alarme oscilando geração e não atinge potência nominal. Em tratativa sob o chamado 15218902</t>
  </si>
  <si>
    <t xml:space="preserve">BC Varjao1.3215KTL-H0(MBUS-14)46067,658773148146067,658773148146067,6593171296</t>
  </si>
  <si>
    <t xml:space="preserve">Equipamento anormal - 2024. Inversor com alarme oscilando geração e não atinge potência nominal. Em tratativa sob o chamado 15218903</t>
  </si>
  <si>
    <t xml:space="preserve">BC Varjao1.3215KTL-H0(MBUS-14)46067,634039351946067,634039351946067,6345717593</t>
  </si>
  <si>
    <t xml:space="preserve">Equipamento anormal - 2024. Inversor com alarme oscilando geração e não atinge potência nominal. Em tratativa sob o chamado 15218904</t>
  </si>
  <si>
    <t xml:space="preserve">BC Varjao1.3215KTL-H0(MBUS-14)46067,600092592646067,600092592646067,6006365741</t>
  </si>
  <si>
    <t xml:space="preserve">Equipamento anormal - 2024. Inversor com alarme oscilando geração e não atinge potência nominal. Em tratativa sob o chamado 15218905</t>
  </si>
  <si>
    <t xml:space="preserve">BC Varjao1.3215KTL-H0(MBUS-14)46067,58266203746067,58266203746067,5832060185</t>
  </si>
  <si>
    <t xml:space="preserve">Equipamento anormal - 2024. Inversor com alarme oscilando geração e não atinge potência nominal. Em tratativa sob o chamado 15218906</t>
  </si>
  <si>
    <t xml:space="preserve">BC Varjao1.3215KTL-H0(MBUS-14)46067,57109953746067,57109953746067,5734027778</t>
  </si>
  <si>
    <t xml:space="preserve">Equipamento anormal - 2024. Inversor com alarme oscilando geração e não atinge potência nominal. Em tratativa sob o chamado 15218907</t>
  </si>
  <si>
    <t xml:space="preserve">BC Varjao1.3215KTL-H0(MBUS-14)46067,557106481546067,557106481546067,557650463</t>
  </si>
  <si>
    <t xml:space="preserve">Equipamento anormal - 2024. Inversor com alarme oscilando geração e não atinge potência nominal. Em tratativa sob o chamado 15218908</t>
  </si>
  <si>
    <t xml:space="preserve">BC Varjao1.3215KTL-H0(MBUS-14)46067,549016203746067,549016203746067,5495601852</t>
  </si>
  <si>
    <t xml:space="preserve">Equipamento anormal - 2024. Inversor com alarme oscilando geração e não atinge potência nominal. Em tratativa sob o chamado 15218909</t>
  </si>
  <si>
    <t xml:space="preserve">BC Varjao1.3215KTL-H0(MBUS-14)46067,537569444446067,537569444446067,5381481481</t>
  </si>
  <si>
    <t xml:space="preserve">Equipamento anormal - 2024. Inversor com alarme oscilando geração e não atinge potência nominal. Em tratativa sob o chamado 15218910</t>
  </si>
  <si>
    <t xml:space="preserve">BC Varjao1.3215KTL-H0(MBUS-14)46067,527372685246067,527372685246067,5303125</t>
  </si>
  <si>
    <t xml:space="preserve">Equipamento anormal - 2024. Inversor com alarme oscilando geração e não atinge potência nominal. Em tratativa sob o chamado 15218911</t>
  </si>
  <si>
    <t xml:space="preserve">BC Varjao1.3215KTL-H0(MBUS-14)46067,526643518546067,526643518546067,5271875</t>
  </si>
  <si>
    <t xml:space="preserve">Equipamento anormal - 2024. Inversor com alarme oscilando geração e não atinge potência nominal. Em tratativa sob o chamado 15218912</t>
  </si>
  <si>
    <t xml:space="preserve">BC Varjao1.3215KTL-H0(MBUS-14)46067,515833333346067,515833333346067,5163657407</t>
  </si>
  <si>
    <t xml:space="preserve">Equipamento anormal - 2024. Inversor com alarme oscilando geração e não atinge potência nominal. Em tratativa sob o chamado 15218913</t>
  </si>
  <si>
    <t xml:space="preserve">BC Varjao1.3215KTL-H0(MBUS-14)46067,502523148146067,502523148146067,5030555556</t>
  </si>
  <si>
    <t xml:space="preserve">Equipamento anormal - 2024. Inversor com alarme oscilando geração e não atinge potência nominal. Em tratativa sob o chamado 15218914</t>
  </si>
  <si>
    <t xml:space="preserve">BC Varjao1.3215KTL-H0(MBUS-14)46067,48921296346067,48921296346067,4900115741</t>
  </si>
  <si>
    <t xml:space="preserve">Equipamento anormal - 2024. Inversor com alarme oscilando geração e não atinge potência nominal. Em tratativa sob o chamado 15218915</t>
  </si>
  <si>
    <t xml:space="preserve">BC Varjao1.3215KTL-H0(MBUS-14)46067,488055555646067,488055555646067,488912037</t>
  </si>
  <si>
    <t xml:space="preserve">Equipamento anormal - 2024. Inversor com alarme oscilando geração e não atinge potência nominal. Em tratativa sob o chamado 15218916</t>
  </si>
  <si>
    <t xml:space="preserve">BC Varjao1.3215KTL-H0(MBUS-14)46067,468460648146067,468460648146067,4690046296</t>
  </si>
  <si>
    <t xml:space="preserve">Equipamento anormal - 2024. Inversor com alarme oscilando geração e não atinge potência nominal. Em tratativa sob o chamado 15218917</t>
  </si>
  <si>
    <t xml:space="preserve">BC Varjao1.3215KTL-H0(MBUS-14)46067,458888888946067,458888888946067,459525463</t>
  </si>
  <si>
    <t xml:space="preserve">Equipamento anormal - 2024. Inversor com alarme oscilando geração e não atinge potência nominal. Em tratativa sob o chamado 15218918</t>
  </si>
  <si>
    <t xml:space="preserve">BC Varjao1.3215KTL-H0(MBUS-14)46067,456562546067,456562546067,4587152778</t>
  </si>
  <si>
    <t xml:space="preserve">Equipamento anormal - 2024. Inversor com alarme oscilando geração e não atinge potência nominal. Em tratativa sob o chamado 15218919</t>
  </si>
  <si>
    <t xml:space="preserve">BC Varjao1.3215KTL-H0(MBUS-14)46067,451354166746067,451354166746067,4523611111</t>
  </si>
  <si>
    <t xml:space="preserve">Equipamento anormal - 2024. Inversor com alarme oscilando geração e não atinge potência nominal. Em tratativa sob o chamado 15218920</t>
  </si>
  <si>
    <t xml:space="preserve">BC Varjao1.3215KTL-H0(MBUS-14)46067,448726851846067,448726851846067,4496064815</t>
  </si>
  <si>
    <t xml:space="preserve">Equipamento anormal - 2024. Inversor com alarme oscilando geração e não atinge potência nominal. Em tratativa sob o chamado 15218921</t>
  </si>
  <si>
    <t xml:space="preserve">BC Varjao1.3215KTL-H0(MBUS-14)46067,447557870446067,447557870446067,4481018518</t>
  </si>
  <si>
    <t xml:space="preserve">Equipamento anormal - 2024. Inversor com alarme oscilando geração e não atinge potência nominal. Em tratativa sob o chamado 15218922</t>
  </si>
  <si>
    <t xml:space="preserve">BC Varjao1.3215KTL-H0(MBUS-14)46067,434745370446067,434745370446067,4359027778</t>
  </si>
  <si>
    <t xml:space="preserve">Equipamento anormal - 2024. Inversor com alarme oscilando geração e não atinge potência nominal. Em tratativa sob o chamado 15218923</t>
  </si>
  <si>
    <t xml:space="preserve">BC Varjao1.3215KTL-H0(MBUS-14)46067,432557870446067,432557870446067,4332175926</t>
  </si>
  <si>
    <t xml:space="preserve">Equipamento anormal - 2024. Inversor com alarme oscilando geração e não atinge potência nominal. Em tratativa sob o chamado 15218924</t>
  </si>
  <si>
    <t xml:space="preserve">BC Varjao1.3215KTL-H0(MBUS-14)46067,419826388946067,419826388946067,4203703704</t>
  </si>
  <si>
    <t xml:space="preserve">Equipamento anormal - 2024. Inversor com alarme oscilando geração e não atinge potência nominal. Em tratativa sob o chamado 15218925</t>
  </si>
  <si>
    <t xml:space="preserve">BC Varjao1.3215KTL-H0(MBUS-14)46067,410011574146067,410011574146067,4105671296</t>
  </si>
  <si>
    <t xml:space="preserve">Equipamento anormal - 2024. Inversor com alarme oscilando geração e não atinge potência nominal. Em tratativa sob o chamado 15218926</t>
  </si>
  <si>
    <t xml:space="preserve">BC Varjao1.3215KTL-H0(MBUS-14)46067,402777777846067,402777777846067,4033217593</t>
  </si>
  <si>
    <t xml:space="preserve">Equipamento anormal - 2024. Inversor com alarme oscilando geração e não atinge potência nominal. Em tratativa sob o chamado 15218927</t>
  </si>
  <si>
    <t xml:space="preserve">BC Varjao1.3215KTL-H0(MBUS-14)46067,3946067,3946067,3905555556</t>
  </si>
  <si>
    <t xml:space="preserve">Equipamento anormal - 2024. Inversor com alarme oscilando geração e não atinge potência nominal. Em tratativa sob o chamado 15218928</t>
  </si>
  <si>
    <t xml:space="preserve">BC Varjao1.3215KTL-H0(MBUS-14)46067,378148148146067,378148148146067,3786805556</t>
  </si>
  <si>
    <t xml:space="preserve">Equipamento anormal - 2024. Inversor com alarme oscilando geração e não atinge potência nominal. Em tratativa sob o chamado 15218929</t>
  </si>
  <si>
    <t xml:space="preserve">BC Varjao1.3215KTL-H0(MBUS-14)46067,346840277846067,346840277846067,3473958333</t>
  </si>
  <si>
    <t xml:space="preserve">Equipamento anormal - 2024. Inversor com alarme oscilando geração e não atinge potência nominal. Em tratativa sob o chamado 15218930</t>
  </si>
  <si>
    <t xml:space="preserve">BC Varjao1.3215KTL-H0(MBUS-14)46067,33515046346067,33515046346067,3356597222</t>
  </si>
  <si>
    <t xml:space="preserve">Equipamento anormal - 2024. Inversor com alarme oscilando geração e não atinge potência nominal. Em tratativa sob o chamado 15218931</t>
  </si>
  <si>
    <t xml:space="preserve">BC Varjao1.3215KTL-H0(MBUS-14)46067,321527777846067,321527777846067,322037037</t>
  </si>
  <si>
    <t xml:space="preserve">Equipamento anormal - 2024. Inversor com alarme oscilando geração e não atinge potência nominal. Em tratativa sob o chamado 15218932</t>
  </si>
  <si>
    <t xml:space="preserve">BC Varjao1.3215KTL-H0(MBUS-14)46067,312939814846067,312939814846067,3134490741</t>
  </si>
  <si>
    <t xml:space="preserve">Equipamento anormal - 2024. Inversor com alarme oscilando geração e não atinge potência nominal. Em tratativa sob o chamado 15218933</t>
  </si>
  <si>
    <t xml:space="preserve">BC Varjao1.3215KTL-H0(MBUS-14)46067,296458333346067,296458333346067,2969791667</t>
  </si>
  <si>
    <t xml:space="preserve">Equipamento anormal - 2024. Inversor com alarme oscilando geração e não atinge potência nominal. Em tratativa sob o chamado 15218934</t>
  </si>
  <si>
    <t xml:space="preserve">BC Varjao1.3215KTL-H0(MBUS-14)46067,287453703746067,287453703746067,287974537</t>
  </si>
  <si>
    <t xml:space="preserve">Equipamento anormal - 2024. Inversor com alarme oscilando geração e não atinge potência nominal. Em tratativa sob o chamado 15218935</t>
  </si>
  <si>
    <t xml:space="preserve">BC Varjao1.3215KTL-H0(MBUS-14)46067,278807870446067,278807870446067,2793402778</t>
  </si>
  <si>
    <t xml:space="preserve">Equipamento anormal - 2024. Inversor com alarme oscilando geração e não atinge potência nominal. Em tratativa sob o chamado 15218936</t>
  </si>
  <si>
    <t xml:space="preserve">BC Varjao1.3215KTL-H0(MBUS-14)46067,270949074146067,270949074146067,2715162037</t>
  </si>
  <si>
    <t xml:space="preserve">Equipamento anormal - 2024. Inversor com alarme oscilando geração e não atinge potência nominal. Em tratativa sob o chamado 15218937</t>
  </si>
  <si>
    <t xml:space="preserve">BC Varjao1.3215KTL-H0(MBUS-14)46067,255937546067,255937546067,2564583333</t>
  </si>
  <si>
    <t xml:space="preserve">Equipamento anormal - 2024. Inversor com alarme oscilando geração e não atinge potência nominal. Em tratativa sob o chamado 15218938</t>
  </si>
  <si>
    <t xml:space="preserve">BC Varjao1.3215KTL-H0(MBUS-14)46067,236041666746067,236041666746067,2557638889</t>
  </si>
  <si>
    <t xml:space="preserve">Equipamento anormal - 2024. Inversor com alarme oscilando geração e não atinge potência nominal. Em tratativa sob o chamado 15218939</t>
  </si>
  <si>
    <t xml:space="preserve">BC Varjao1.3215KTL-H0(MBUS-14)46067,23562546067,23562546067,2557638889</t>
  </si>
  <si>
    <t xml:space="preserve">Equipamento anormal - 2024. Inversor com alarme oscilando geração e não atinge potência nominal. Em tratativa sob o chamado 15218940</t>
  </si>
  <si>
    <t xml:space="preserve">BC Varjao1.3215KTL-H0(MBUS-14)46066,764421296346066,764421296346066,7897453704</t>
  </si>
  <si>
    <t xml:space="preserve">Equipamento anormal - 2024. Inversor com alarme oscilando geração e não atinge potência nominal. Em tratativa sob o chamado 15218941</t>
  </si>
  <si>
    <t xml:space="preserve">BC Varjao1.3215KTL-H0(MBUS-14)46066,763738425946066,763738425946066,7642361111</t>
  </si>
  <si>
    <t xml:space="preserve">Equipamento anormal - 2024. Inversor com alarme oscilando geração e não atinge potência nominal. Em tratativa sob o chamado 15218942</t>
  </si>
  <si>
    <t xml:space="preserve">BC Varjao1.3215KTL-H0(MBUS-14)46066,763043981546066,763043981546066,7635763889</t>
  </si>
  <si>
    <t xml:space="preserve">Equipamento anormal - 2024. Inversor com alarme oscilando geração e não atinge potência nominal. Em tratativa sob o chamado 15218943</t>
  </si>
  <si>
    <t xml:space="preserve">BC Varjao1.3215KTL-H0(MBUS-14)46066,762372685246066,762372685246066,7628703704</t>
  </si>
  <si>
    <t xml:space="preserve">Equipamento anormal - 2024. Inversor com alarme oscilando geração e não atinge potência nominal. Em tratativa sob o chamado 15218944</t>
  </si>
  <si>
    <t xml:space="preserve">BC Varjao1.3215KTL-H0(MBUS-14)46066,761666666746066,761666666746066,7621875</t>
  </si>
  <si>
    <t xml:space="preserve">Equipamento anormal - 2024. Inversor com alarme oscilando geração e não atinge potência nominal. Em tratativa sob o chamado 15218945</t>
  </si>
  <si>
    <t xml:space="preserve">BC Varjao1.3215KTL-H0(MBUS-14)46066,760972222246066,760972222246066,7615046296</t>
  </si>
  <si>
    <t xml:space="preserve">Equipamento anormal - 2024. Inversor com alarme oscilando geração e não atinge potência nominal. Em tratativa sob o chamado 15218946</t>
  </si>
  <si>
    <t xml:space="preserve">BC Varjao1.3215KTL-H0(MBUS-14)46066,710972222246066,710972222246066,7115046296</t>
  </si>
  <si>
    <t xml:space="preserve">Equipamento anormal - 2024. Inversor com alarme oscilando geração e não atinge potência nominal. Em tratativa sob o chamado 15218947</t>
  </si>
  <si>
    <t xml:space="preserve">BC Varjao1.3215KTL-H0(MBUS-14)46066,670694444446066,670694444446066,6741666667</t>
  </si>
  <si>
    <t xml:space="preserve">Equipamento anormal - 2024. Inversor com alarme oscilando geração e não atinge potência nominal. Em tratativa sob o chamado 15218948</t>
  </si>
  <si>
    <t xml:space="preserve">BC Varjao1.3215KTL-H0(MBUS-14)46066,636631944446066,636631944446066,6371643519</t>
  </si>
  <si>
    <t xml:space="preserve">Equipamento anormal - 2024. Inversor com alarme oscilando geração e não atinge potência nominal. Em tratativa sob o chamado 15218949</t>
  </si>
  <si>
    <t xml:space="preserve">BC Varjao1.3215KTL-H0(MBUS-14)46066,624074074146066,624074074146066,6283796296</t>
  </si>
  <si>
    <t xml:space="preserve">Equipamento anormal - 2024. Inversor com alarme oscilando geração e não atinge potência nominal. Em tratativa sob o chamado 15218950</t>
  </si>
  <si>
    <t xml:space="preserve">BC Varjao1.3215KTL-H0(MBUS-14)46066,620891203746066,620891203746066,6222685185</t>
  </si>
  <si>
    <t xml:space="preserve">Equipamento anormal - 2024. Inversor com alarme oscilando geração e não atinge potência nominal. Em tratativa sob o chamado 15218951</t>
  </si>
  <si>
    <t xml:space="preserve">BC Varjao1.3215KTL-H0(MBUS-14)46066,618206018546066,618206018546066,6200231481</t>
  </si>
  <si>
    <t xml:space="preserve">Equipamento anormal - 2024. Inversor com alarme oscilando geração e não atinge potência nominal. Em tratativa sob o chamado 15218952</t>
  </si>
  <si>
    <t xml:space="preserve">BC Varjao1.3215KTL-H0(MBUS-14)46066,599733796346066,599733796346066,6018865741</t>
  </si>
  <si>
    <t xml:space="preserve">Equipamento anormal - 2024. Inversor com alarme oscilando geração e não atinge potência nominal. Em tratativa sob o chamado 15218953</t>
  </si>
  <si>
    <t xml:space="preserve">BC Varjao1.3215KTL-H0(MBUS-14)46066,59483796346066,59483796346066,5953703704</t>
  </si>
  <si>
    <t xml:space="preserve">Equipamento anormal - 2024. Inversor com alarme oscilando geração e não atinge potência nominal. Em tratativa sob o chamado 15218954</t>
  </si>
  <si>
    <t xml:space="preserve">BC Varjao1.3215KTL-H0(MBUS-14)46066,567407407446066,567407407446066,5679513889</t>
  </si>
  <si>
    <t xml:space="preserve">Equipamento anormal - 2024. Inversor com alarme oscilando geração e não atinge potência nominal. Em tratativa sob o chamado 15218955</t>
  </si>
  <si>
    <t xml:space="preserve">BC Varjao1.3215KTL-H0(MBUS-14)46066,552326388946066,552326388946066,5555787037</t>
  </si>
  <si>
    <t xml:space="preserve">Equipamento anormal - 2024. Inversor com alarme oscilando geração e não atinge potência nominal. Em tratativa sob o chamado 15218956</t>
  </si>
  <si>
    <t xml:space="preserve">BC Varjao1.3215KTL-H0(MBUS-14)46066,549618055646066,549618055646066,550150463</t>
  </si>
  <si>
    <t xml:space="preserve">Equipamento anormal - 2024. Inversor com alarme oscilando geração e não atinge potência nominal. Em tratativa sob o chamado 15218957</t>
  </si>
  <si>
    <t xml:space="preserve">BC Varjao1.3215KTL-H0(MBUS-14)46066,53827546346066,53827546346066,5395138889</t>
  </si>
  <si>
    <t xml:space="preserve">Equipamento anormal - 2024. Inversor com alarme oscilando geração e não atinge potência nominal. Em tratativa sob o chamado 15218958</t>
  </si>
  <si>
    <t xml:space="preserve">BC Varjao1.3215KTL-H0(MBUS-14)46066,537106481546066,537106481546066,5376736111</t>
  </si>
  <si>
    <t xml:space="preserve">Equipamento anormal - 2024. Inversor com alarme oscilando geração e não atinge potência nominal. Em tratativa sob o chamado 15218959</t>
  </si>
  <si>
    <t xml:space="preserve">BC Varjao1.3215KTL-H0(MBUS-14)46066,529502314846066,529502314846066,5300578704</t>
  </si>
  <si>
    <t xml:space="preserve">Equipamento anormal - 2024. Inversor com alarme oscilando geração e não atinge potência nominal. Em tratativa sob o chamado 15218960</t>
  </si>
  <si>
    <t xml:space="preserve">BC Varjao1.3215KTL-H0(MBUS-14)46066,493923611146066,493923611146066,4968634259</t>
  </si>
  <si>
    <t xml:space="preserve">Equipamento anormal - 2024. Inversor com alarme oscilando geração e não atinge potência nominal. Em tratativa sob o chamado 15218961</t>
  </si>
  <si>
    <t xml:space="preserve">BC Varjao1.3215KTL-H0(MBUS-14)46066,489826388946066,489826388946066,4903703704</t>
  </si>
  <si>
    <t xml:space="preserve">Equipamento anormal - 2024. Inversor com alarme oscilando geração e não atinge potência nominal. Em tratativa sob o chamado 15218962</t>
  </si>
  <si>
    <t xml:space="preserve">BC Varjao1.3215KTL-H0(MBUS-14)46066,480127314846066,480127314846066,4836458333</t>
  </si>
  <si>
    <t xml:space="preserve">Equipamento anormal - 2024. Inversor com alarme oscilando geração e não atinge potência nominal. Em tratativa sob o chamado 15218963</t>
  </si>
  <si>
    <t xml:space="preserve">BC Varjao1.3215KTL-H0(MBUS-14)46066,44515046346066,44515046346066,4479050926</t>
  </si>
  <si>
    <t xml:space="preserve">Equipamento anormal - 2024. Inversor com alarme oscilando geração e não atinge potência nominal. Em tratativa sob o chamado 15218964</t>
  </si>
  <si>
    <t xml:space="preserve">BC Varjao1.3215KTL-H0(MBUS-14)46066,414143518546066,414143518546066,4433564815</t>
  </si>
  <si>
    <t xml:space="preserve">Equipamento anormal - 2024. Inversor com alarme oscilando geração e não atinge potência nominal. Em tratativa sob o chamado 15218965</t>
  </si>
  <si>
    <t xml:space="preserve">BC Varjao1.3215KTL-H0(MBUS-14)46066,407395833346066,407395833346066,4079398148</t>
  </si>
  <si>
    <t xml:space="preserve">Equipamento anormal - 2024. Inversor com alarme oscilando geração e não atinge potência nominal. Em tratativa sob o chamado 15218966</t>
  </si>
  <si>
    <t xml:space="preserve">BC Varjao1.3215KTL-H0(MBUS-14)46066,396504629646066,396504629646066,3970601852</t>
  </si>
  <si>
    <t xml:space="preserve">Equipamento anormal - 2024. Inversor com alarme oscilando geração e não atinge potência nominal. Em tratativa sob o chamado 15218967</t>
  </si>
  <si>
    <t xml:space="preserve">BC Varjao1.3215KTL-H0(MBUS-14)46066,383981481546066,383981481546066,384525463</t>
  </si>
  <si>
    <t xml:space="preserve">Equipamento anormal - 2024. Inversor com alarme oscilando geração e não atinge potência nominal. Em tratativa sob o chamado 15218968</t>
  </si>
  <si>
    <t xml:space="preserve">BC Varjao1.3215KTL-H0(MBUS-14)46066,374953703746066,374953703746066,375462963</t>
  </si>
  <si>
    <t xml:space="preserve">Equipamento anormal - 2024. Inversor com alarme oscilando geração e não atinge potência nominal. Em tratativa sob o chamado 15218969</t>
  </si>
  <si>
    <t xml:space="preserve">BC Varjao1.3215KTL-H0(MBUS-14)46066,36640046346066,36640046346066,3669097222</t>
  </si>
  <si>
    <t xml:space="preserve">Equipamento anormal - 2024. Inversor com alarme oscilando geração e não atinge potência nominal. Em tratativa sob o chamado 15218970</t>
  </si>
  <si>
    <t xml:space="preserve">BC Varjao1.3215KTL-H0(MBUS-14)46066,357060185246066,357060185246066,3575694444</t>
  </si>
  <si>
    <t xml:space="preserve">Equipamento anormal - 2024. Inversor com alarme oscilando geração e não atinge potência nominal. Em tratativa sob o chamado 15218971</t>
  </si>
  <si>
    <t xml:space="preserve">BC Varjao1.3215KTL-H0(MBUS-14)46066,348217592646066,348217592646066,3487152778</t>
  </si>
  <si>
    <t xml:space="preserve">Equipamento anormal - 2024. Inversor com alarme oscilando geração e não atinge potência nominal. Em tratativa sob o chamado 15218972</t>
  </si>
  <si>
    <t xml:space="preserve">BC Varjao1.3215KTL-H0(MBUS-14)46066,337615740746066,337615740746066,3381365741</t>
  </si>
  <si>
    <t xml:space="preserve">Equipamento anormal - 2024. Inversor com alarme oscilando geração e não atinge potência nominal. Em tratativa sob o chamado 15218973</t>
  </si>
  <si>
    <t xml:space="preserve">BC Varjao1.3215KTL-H0(MBUS-14)46066,327719907446066,327719907446066,3282407407</t>
  </si>
  <si>
    <t xml:space="preserve">Equipamento anormal - 2024. Inversor com alarme oscilando geração e não atinge potência nominal. Em tratativa sob o chamado 15218974</t>
  </si>
  <si>
    <t xml:space="preserve">BC Varjao1.3215KTL-H0(MBUS-14)46066,319143518546066,319143518546066,3196527778</t>
  </si>
  <si>
    <t xml:space="preserve">Equipamento anormal - 2024. Inversor com alarme oscilando geração e não atinge potência nominal. Em tratativa sob o chamado 15218975</t>
  </si>
  <si>
    <t xml:space="preserve">BC Varjao1.3215KTL-H0(MBUS-14)46066,308483796346066,308483796346066,3090046296</t>
  </si>
  <si>
    <t xml:space="preserve">Equipamento anormal - 2024. Inversor com alarme oscilando geração e não atinge potência nominal. Em tratativa sob o chamado 15218976</t>
  </si>
  <si>
    <t xml:space="preserve">BC Varjao1.3215KTL-H0(MBUS-14)46066,301388888946066,301388888946066,3018981482</t>
  </si>
  <si>
    <t xml:space="preserve">Equipamento anormal - 2024. Inversor com alarme oscilando geração e não atinge potência nominal. Em tratativa sob o chamado 15218977</t>
  </si>
  <si>
    <t xml:space="preserve">BC Varjao1.3215KTL-H0(MBUS-14)46066,294803240746066,294803240746066,295474537</t>
  </si>
  <si>
    <t xml:space="preserve">Equipamento anormal - 2024. Inversor com alarme oscilando geração e não atinge potência nominal. Em tratativa sob o chamado 15218978</t>
  </si>
  <si>
    <t xml:space="preserve">BC Varjao1.3215KTL-H0(MBUS-14)46066,288888888946066,288888888946066,2895601852</t>
  </si>
  <si>
    <t xml:space="preserve">Equipamento anormal - 2024. Inversor com alarme oscilando geração e não atinge potência nominal. Em tratativa sob o chamado 15218979</t>
  </si>
  <si>
    <t xml:space="preserve">BC Varjao1.3215KTL-H0(MBUS-14)46066,283182870446066,283182870446066,28375</t>
  </si>
  <si>
    <t xml:space="preserve">Equipamento anormal - 2024. Inversor com alarme oscilando geração e não atinge potência nominal. Em tratativa sob o chamado 15218980</t>
  </si>
  <si>
    <t xml:space="preserve">BC Varjao1.3215KTL-H0(MBUS-14)46066,276944444446066,276944444446066,2774189815</t>
  </si>
  <si>
    <t xml:space="preserve">Equipamento anormal - 2024. Inversor com alarme oscilando geração e não atinge potência nominal. Em tratativa sob o chamado 15218981</t>
  </si>
  <si>
    <t xml:space="preserve">BC Varjao1.3215KTL-H0(MBUS-14)46066,235891203746066,235891203746066,2593981481</t>
  </si>
  <si>
    <t xml:space="preserve">Equipamento anormal - 2024. Inversor com alarme oscilando geração e não atinge potência nominal. Em tratativa sob o chamado 15218982</t>
  </si>
  <si>
    <t xml:space="preserve">BC Varjao1.3215KTL-H0(MBUS-14)46066,235486111146066,235486111146066,2593981481</t>
  </si>
  <si>
    <t xml:space="preserve">Equipamento anormal - 2024. Inversor com alarme oscilando geração e não atinge potência nominal. Em tratativa sob o chamado 15218983</t>
  </si>
  <si>
    <t xml:space="preserve">BC Varjao1.3215KTL-H0(MBUS-14)46065,786886574146065,786886574146065,788587963</t>
  </si>
  <si>
    <t xml:space="preserve">Equipamento anormal - 2024. Inversor com alarme oscilando geração e não atinge potência nominal. Em tratativa sob o chamado 15218984</t>
  </si>
  <si>
    <t xml:space="preserve">BC Varjao1.3215KTL-H0(MBUS-14)46065,751030092646065,751030092646065,788587963</t>
  </si>
  <si>
    <t xml:space="preserve">Equipamento anormal - 2024. Inversor com alarme oscilando geração e não atinge potência nominal. Em tratativa sob o chamado 15218985</t>
  </si>
  <si>
    <t xml:space="preserve">BC Varjao1.3215KTL-H0(MBUS-14)46065,751030092646065,751030092646065,7784259259</t>
  </si>
  <si>
    <t xml:space="preserve">Equipamento anormal - 2024. Inversor com alarme oscilando geração e não atinge potência nominal. Em tratativa sob o chamado 15218986</t>
  </si>
  <si>
    <t xml:space="preserve">BC Varjao1.3215KTL-H0(MBUS-14)46065,726608796346065,726608796346065,7271296296</t>
  </si>
  <si>
    <t xml:space="preserve">Equipamento anormal - 2024. Inversor com alarme oscilando geração e não atinge potência nominal. Em tratativa sob o chamado 15218987</t>
  </si>
  <si>
    <t xml:space="preserve">BC Varjao1.3215KTL-H0(MBUS-14)46065,720196759346065,720196759346065,7207060185</t>
  </si>
  <si>
    <t xml:space="preserve">Equipamento anormal - 2024. Inversor com alarme oscilando geração e não atinge potência nominal. Em tratativa sob o chamado 15218988</t>
  </si>
  <si>
    <t xml:space="preserve">BC Varjao1.3215KTL-H0(MBUS-14)46065,711516203746065,711516203746065,712037037</t>
  </si>
  <si>
    <t xml:space="preserve">Equipamento anormal - 2024. Inversor com alarme oscilando geração e não atinge potência nominal. Em tratativa sob o chamado 15218989</t>
  </si>
  <si>
    <t xml:space="preserve">BC Varjao1.3215KTL-H0(MBUS-14)46065,703553240746065,703553240746065,7040972222</t>
  </si>
  <si>
    <t xml:space="preserve">Equipamento anormal - 2024. Inversor com alarme oscilando geração e não atinge potência nominal. Em tratativa sob o chamado 15218990</t>
  </si>
  <si>
    <t xml:space="preserve">BC Varjao1.3215KTL-H0(MBUS-14)46065,694143518546065,694143518546065,6946990741</t>
  </si>
  <si>
    <t xml:space="preserve">Equipamento anormal - 2024. Inversor com alarme oscilando geração e não atinge potência nominal. Em tratativa sob o chamado 15218991</t>
  </si>
  <si>
    <t xml:space="preserve">BC Varjao1.3215KTL-H0(MBUS-14)46065,685104166746065,685104166746065,6856365741</t>
  </si>
  <si>
    <t xml:space="preserve">Equipamento anormal - 2024. Inversor com alarme oscilando geração e não atinge potência nominal. Em tratativa sob o chamado 15218992</t>
  </si>
  <si>
    <t xml:space="preserve">BC Varjao1.3215KTL-H0(MBUS-14)46065,671863425946065,671863425946065,6724074074</t>
  </si>
  <si>
    <t xml:space="preserve">Equipamento anormal - 2024. Inversor com alarme oscilando geração e não atinge potência nominal. Em tratativa sob o chamado 15218993</t>
  </si>
  <si>
    <t xml:space="preserve">BC Varjao1.3215KTL-H0(MBUS-14)46065,664062546065,664062546065,6645717593</t>
  </si>
  <si>
    <t xml:space="preserve">Equipamento anormal - 2024. Inversor com alarme oscilando geração e não atinge potência nominal. Em tratativa sob o chamado 15218994</t>
  </si>
  <si>
    <t xml:space="preserve">BC Varjao1.3215KTL-H0(MBUS-14)46065,656481481546065,656481481546065,6570023148</t>
  </si>
  <si>
    <t xml:space="preserve">Equipamento anormal - 2024. Inversor com alarme oscilando geração e não atinge potência nominal. Em tratativa sob o chamado 15218995</t>
  </si>
  <si>
    <t xml:space="preserve">BC Varjao1.3215KTL-H0(MBUS-14)46065,647754629646065,647754629646065,648275463</t>
  </si>
  <si>
    <t xml:space="preserve">Equipamento anormal - 2024. Inversor com alarme oscilando geração e não atinge potência nominal. Em tratativa sob o chamado 15218996</t>
  </si>
  <si>
    <t xml:space="preserve">BC Varjao1.3215KTL-H0(MBUS-14)46065,634652777846065,634652777846065,635162037</t>
  </si>
  <si>
    <t xml:space="preserve">Equipamento anormal - 2024. Inversor com alarme oscilando geração e não atinge potência nominal. Em tratativa sob o chamado 15218997</t>
  </si>
  <si>
    <t xml:space="preserve">BC Varjao1.3215KTL-H0(MBUS-14)46065,624756944446065,624756944446065,6252777778</t>
  </si>
  <si>
    <t xml:space="preserve">Equipamento anormal - 2024. Inversor com alarme oscilando geração e não atinge potência nominal. Em tratativa sob o chamado 15218998</t>
  </si>
  <si>
    <t xml:space="preserve">BC Varjao1.3215KTL-H0(MBUS-14)46065,617719907446065,617719907446065,6182407407</t>
  </si>
  <si>
    <t xml:space="preserve">Equipamento anormal - 2024. Inversor com alarme oscilando geração e não atinge potência nominal. Em tratativa sob o chamado 15218999</t>
  </si>
  <si>
    <t xml:space="preserve">BC Varjao1.3215KTL-H0(MBUS-14)46065,60859953746065,60859953746065,6091203704</t>
  </si>
  <si>
    <t xml:space="preserve">Equipamento anormal - 2024. Inversor com alarme oscilando geração e não atinge potência nominal. Em tratativa sob o chamado 15219000</t>
  </si>
  <si>
    <t xml:space="preserve">BC Varjao1.3215KTL-H0(MBUS-14)46065,60140046346065,60140046346065,6019560185</t>
  </si>
  <si>
    <t xml:space="preserve">Equipamento anormal - 2024. Inversor com alarme oscilando geração e não atinge potência nominal. Em tratativa sob o chamado 15219001</t>
  </si>
  <si>
    <t xml:space="preserve">BC Varjao1.3215KTL-H0(MBUS-14)46065,59483796346065,59483796346065,5953703704</t>
  </si>
  <si>
    <t xml:space="preserve">Equipamento anormal - 2024. Inversor com alarme oscilando geração e não atinge potência nominal. Em tratativa sob o chamado 15219002</t>
  </si>
  <si>
    <t xml:space="preserve">BC Varjao1.3215KTL-H0(MBUS-14)46065,582615740746065,582615740746065,5831365741</t>
  </si>
  <si>
    <t xml:space="preserve">Equipamento anormal - 2024. Inversor com alarme oscilando geração e não atinge potência nominal. Em tratativa sob o chamado 15219003</t>
  </si>
  <si>
    <t xml:space="preserve">BC Varjao1.3215KTL-H0(MBUS-14)46065,574664351946065,574664351946065,5752083333</t>
  </si>
  <si>
    <t xml:space="preserve">Equipamento anormal - 2024. Inversor com alarme oscilando geração e não atinge potência nominal. Em tratativa sob o chamado 15219004</t>
  </si>
  <si>
    <t xml:space="preserve">BC Varjao1.3215KTL-H0(MBUS-14)46065,552800925946065,552800925946065,5546527778</t>
  </si>
  <si>
    <t xml:space="preserve">Equipamento anormal - 2024. Inversor com alarme oscilando geração e não atinge potência nominal. Em tratativa sob o chamado 15219005</t>
  </si>
  <si>
    <t xml:space="preserve">BC Varjao1.3215KTL-H0(MBUS-14)46065,55108796346065,55108796346065,5516319444</t>
  </si>
  <si>
    <t xml:space="preserve">Equipamento anormal - 2024. Inversor com alarme oscilando geração e não atinge potência nominal. Em tratativa sob o chamado 15219006</t>
  </si>
  <si>
    <t xml:space="preserve">BC Varjao1.3215KTL-H0(MBUS-14)46065,53734953746065,53734953746065,5378935185</t>
  </si>
  <si>
    <t xml:space="preserve">Equipamento anormal - 2024. Inversor com alarme oscilando geração e não atinge potência nominal. Em tratativa sob o chamado 15219007</t>
  </si>
  <si>
    <t xml:space="preserve">BC Varjao1.3215KTL-H0(MBUS-14)46065,526539351846065,526539351846065,5270833333</t>
  </si>
  <si>
    <t xml:space="preserve">Equipamento anormal - 2024. Inversor com alarme oscilando geração e não atinge potência nominal. Em tratativa sob o chamado 15219008</t>
  </si>
  <si>
    <t xml:space="preserve">BC Varjao1.3215KTL-H0(MBUS-14)46065,51703703746065,51703703746065,5194560185</t>
  </si>
  <si>
    <t xml:space="preserve">Equipamento anormal - 2024. Inversor com alarme oscilando geração e não atinge potência nominal. Em tratativa sob o chamado 15219009</t>
  </si>
  <si>
    <t xml:space="preserve">BC Varjao1.3215KTL-H0(MBUS-14)46065,51108796346065,51108796346065,5116435185</t>
  </si>
  <si>
    <t xml:space="preserve">Equipamento anormal - 2024. Inversor com alarme oscilando geração e não atinge potência nominal. Em tratativa sob o chamado 15219010</t>
  </si>
  <si>
    <t xml:space="preserve">BC Varjao1.3215KTL-H0(MBUS-14)46065,498680555646065,498680555646065,499224537</t>
  </si>
  <si>
    <t xml:space="preserve">Equipamento anormal - 2024. Inversor com alarme oscilando geração e não atinge potência nominal. Em tratativa sob o chamado 15219011</t>
  </si>
  <si>
    <t xml:space="preserve">BC Varjao1.3215KTL-H0(MBUS-14)46065,479814814846065,479814814846065,4803472222</t>
  </si>
  <si>
    <t xml:space="preserve">Equipamento anormal - 2024. Inversor com alarme oscilando geração e não atinge potência nominal. Em tratativa sob o chamado 15219012</t>
  </si>
  <si>
    <t xml:space="preserve">BC Varjao1.3215KTL-H0(MBUS-14)46065,466168981546065,466168981546065,466712963</t>
  </si>
  <si>
    <t xml:space="preserve">Equipamento anormal - 2024. Inversor com alarme oscilando geração e não atinge potência nominal. Em tratativa sob o chamado 15219013</t>
  </si>
  <si>
    <t xml:space="preserve">BC Varjao1.3215KTL-H0(MBUS-14)46065,457071759346065,457071759346065,4576157407</t>
  </si>
  <si>
    <t xml:space="preserve">Equipamento anormal - 2024. Inversor com alarme oscilando geração e não atinge potência nominal. Em tratativa sob o chamado 15219014</t>
  </si>
  <si>
    <t xml:space="preserve">BC Varjao1.3215KTL-H0(MBUS-14)46065,443078703746065,443078703746065,4436342593</t>
  </si>
  <si>
    <t xml:space="preserve">Equipamento anormal - 2024. Inversor com alarme oscilando geração e não atinge potência nominal. Em tratativa sob o chamado 15219015</t>
  </si>
  <si>
    <t xml:space="preserve">BC Varjao1.3215KTL-H0(MBUS-14)46065,441354166746065,441354166746065,4425925926</t>
  </si>
  <si>
    <t xml:space="preserve">Equipamento anormal - 2024. Inversor com alarme oscilando geração e não atinge potência nominal. Em tratativa sob o chamado 15219016</t>
  </si>
  <si>
    <t xml:space="preserve">BC Varjao1.3215KTL-H0(MBUS-14)46065,438680555646065,438680555646065,4395486111</t>
  </si>
  <si>
    <t xml:space="preserve">Equipamento anormal - 2024. Inversor com alarme oscilando geração e não atinge potência nominal. Em tratativa sob o chamado 15219017</t>
  </si>
  <si>
    <t xml:space="preserve">BC Varjao1.3215KTL-H0(MBUS-14)46065,435949074146065,435949074146065,4383333333</t>
  </si>
  <si>
    <t xml:space="preserve">Equipamento anormal - 2024. Inversor com alarme oscilando geração e não atinge potência nominal. Em tratativa sob o chamado 15219018</t>
  </si>
  <si>
    <t xml:space="preserve">BC Varjao1.3215KTL-H0(MBUS-14)46065,435937546065,435937546065,4383449074</t>
  </si>
  <si>
    <t xml:space="preserve">Equipamento anormal - 2024. Inversor com alarme oscilando geração e não atinge potência nominal. Em tratativa sob o chamado 15219019</t>
  </si>
  <si>
    <t xml:space="preserve">BC Varjao1.3215KTL-H0(MBUS-14)46065,435601851946065,435601851946065,4383449074</t>
  </si>
  <si>
    <t xml:space="preserve">Equipamento anormal - 2024. Inversor com alarme oscilando geração e não atinge potência nominal. Em tratativa sob o chamado 15219020</t>
  </si>
  <si>
    <t xml:space="preserve">BC Varjao1.3215KTL-H0(MBUS-14)46065,433506944446065,433506944446065,4340625</t>
  </si>
  <si>
    <t xml:space="preserve">Equipamento anormal - 2024. Inversor com alarme oscilando geração e não atinge potência nominal. Em tratativa sob o chamado 15219021</t>
  </si>
  <si>
    <t xml:space="preserve">BC Varjao1.3215KTL-H0(MBUS-14)46065,423101851946065,423101851946065,4236342593</t>
  </si>
  <si>
    <t xml:space="preserve">Equipamento anormal - 2024. Inversor com alarme oscilando geração e não atinge potência nominal. Em tratativa sob o chamado 15219022</t>
  </si>
  <si>
    <t xml:space="preserve">BC Varjao1.3215KTL-H0(MBUS-14)46065,407534722246065,407534722246065,4089583333</t>
  </si>
  <si>
    <t xml:space="preserve">Equipamento anormal - 2024. Inversor com alarme oscilando geração e não atinge potência nominal. Em tratativa sob o chamado 15219023</t>
  </si>
  <si>
    <t xml:space="preserve">BC Varjao1.3215KTL-H0(MBUS-14)46065,388344907446065,388344907446065,3894791667</t>
  </si>
  <si>
    <t xml:space="preserve">Equipamento anormal - 2024. Inversor com alarme oscilando geração e não atinge potência nominal. Em tratativa sob o chamado 15219024</t>
  </si>
  <si>
    <t xml:space="preserve">BC Varjao1.3215KTL-H0(MBUS-14)46065,369062546065,369062546065,3704282407</t>
  </si>
  <si>
    <t xml:space="preserve">Equipamento anormal - 2024. Inversor com alarme oscilando geração e não atinge potência nominal. Em tratativa sob o chamado 15219025</t>
  </si>
  <si>
    <t xml:space="preserve">BC Varjao1.3215KTL-H0(MBUS-14)46065,348240740746065,348240740746065,3487847222</t>
  </si>
  <si>
    <t xml:space="preserve">Equipamento anormal - 2024. Inversor com alarme oscilando geração e não atinge potência nominal. Em tratativa sob o chamado 15219026</t>
  </si>
  <si>
    <t xml:space="preserve">BC Varjao1.3215KTL-H0(MBUS-14)46065,334004629646065,334004629646065,3345138889</t>
  </si>
  <si>
    <t xml:space="preserve">Equipamento anormal - 2024. Inversor com alarme oscilando geração e não atinge potência nominal. Em tratativa sob o chamado 15219027</t>
  </si>
  <si>
    <t xml:space="preserve">BC Varjao1.3215KTL-H0(MBUS-14)46065,316145833346065,316145833346065,3166666667</t>
  </si>
  <si>
    <t xml:space="preserve">Equipamento anormal - 2024. Inversor com alarme oscilando geração e não atinge potência nominal. Em tratativa sob o chamado 15219028</t>
  </si>
  <si>
    <t xml:space="preserve">BC Varjao1.3215KTL-H0(MBUS-14)46065,308958333346065,308958333346065,309525463</t>
  </si>
  <si>
    <t xml:space="preserve">Equipamento anormal - 2024. Inversor com alarme oscilando geração e não atinge potência nominal. Em tratativa sob o chamado 15219029</t>
  </si>
  <si>
    <t xml:space="preserve">BC Varjao1.3215KTL-H0(MBUS-14)46065,301747685246065,301747685246065,3025</t>
  </si>
  <si>
    <t xml:space="preserve">Equipamento anormal - 2024. Inversor com alarme oscilando geração e não atinge potência nominal. Em tratativa sob o chamado 15219030</t>
  </si>
  <si>
    <t xml:space="preserve">BC Varjao1.3215KTL-H0(MBUS-14)46065,290254629646065,290254629646065,2908449074</t>
  </si>
  <si>
    <t xml:space="preserve">Equipamento anormal - 2024. Inversor com alarme oscilando geração e não atinge potência nominal. Em tratativa sob o chamado 15219031</t>
  </si>
  <si>
    <t xml:space="preserve">BC Varjao1.3215KTL-H0(MBUS-14)46065,273553240746065,273553240746065,2740277778</t>
  </si>
  <si>
    <t xml:space="preserve">Equipamento anormal - 2024. Inversor com alarme oscilando geração e não atinge potência nominal. Em tratativa sob o chamado 15219032</t>
  </si>
  <si>
    <t xml:space="preserve">BC Varjao1.3215KTL-H0(MBUS-14)46065,257824074146065,257824074146065,2583333333</t>
  </si>
  <si>
    <t xml:space="preserve">Equipamento anormal - 2024. Inversor com alarme oscilando geração e não atinge potência nominal. Em tratativa sob o chamado 15219033</t>
  </si>
  <si>
    <t xml:space="preserve">BC Varjao1.3215KTL-H0(MBUS-14)46065,239074074146065,239074074146065,2537037037</t>
  </si>
  <si>
    <t xml:space="preserve">Equipamento anormal - 2024. Inversor com alarme oscilando geração e não atinge potência nominal. Em tratativa sob o chamado 15219034</t>
  </si>
  <si>
    <t xml:space="preserve">BC Varjao1.3215KTL-H0(MBUS-14)46065,238668981546065,238668981546065,2537037037</t>
  </si>
  <si>
    <t xml:space="preserve">Equipamento anormal - 2024. Inversor com alarme oscilando geração e não atinge potência nominal. Em tratativa sob o chamado 15219035</t>
  </si>
  <si>
    <t xml:space="preserve">BC Varjao1.3215KTL-H0(MBUS-14)46064,783703703746064,783703703746064,7857060185</t>
  </si>
  <si>
    <t xml:space="preserve">Equipamento anormal - 2024. Inversor com alarme oscilando geração e não atinge potência nominal. Em tratativa sob o chamado 15219036</t>
  </si>
  <si>
    <t xml:space="preserve">BC Varjao1.3215KTL-H0(MBUS-14)46064,753020833346064,753020833346064,7857060185</t>
  </si>
  <si>
    <t xml:space="preserve">Equipamento anormal - 2024. Inversor com alarme oscilando geração e não atinge potência nominal. Em tratativa sob o chamado 15219037</t>
  </si>
  <si>
    <t xml:space="preserve">BC Varjao1.3215KTL-H0(MBUS-14)46064,719074074146064,719074074146064,7195833333</t>
  </si>
  <si>
    <t xml:space="preserve">Equipamento anormal - 2024. Inversor com alarme oscilando geração e não atinge potência nominal. Em tratativa sob o chamado 15219038</t>
  </si>
  <si>
    <t xml:space="preserve">BC Varjao1.3215KTL-H0(MBUS-14)46064,70608796346064,70608796346064,7065856481</t>
  </si>
  <si>
    <t xml:space="preserve">Equipamento anormal - 2024. Inversor com alarme oscilando geração e não atinge potência nominal. Em tratativa sob o chamado 15219039</t>
  </si>
  <si>
    <t xml:space="preserve">BC Varjao1.3215KTL-H0(MBUS-14)46064,688877314846064,688877314846064,6961226852</t>
  </si>
  <si>
    <t xml:space="preserve">Equipamento anormal - 2024. Inversor com alarme oscilando geração e não atinge potência nominal. Em tratativa sob o chamado 15219040</t>
  </si>
  <si>
    <t xml:space="preserve">BC Varjao1.3215KTL-H0(MBUS-14)46064,672534722246064,672534722246064,6796990741</t>
  </si>
  <si>
    <t xml:space="preserve">Equipamento anormal - 2024. Inversor com alarme oscilando geração e não atinge potência nominal. Em tratativa sob o chamado 15219041</t>
  </si>
  <si>
    <t xml:space="preserve">BC Varjao1.3215KTL-H0(MBUS-14)46064,660243055646064,660243055646064,660775463</t>
  </si>
  <si>
    <t xml:space="preserve">Equipamento anormal - 2024. Inversor com alarme oscilando geração e não atinge potência nominal. Em tratativa sob o chamado 15219042</t>
  </si>
  <si>
    <t xml:space="preserve">BC Varjao1.3215KTL-H0(MBUS-14)46064,651157407446064,651157407446064,6516782407</t>
  </si>
  <si>
    <t xml:space="preserve">Equipamento anormal - 2024. Inversor com alarme oscilando geração e não atinge potência nominal. Em tratativa sob o chamado 15219043</t>
  </si>
  <si>
    <t xml:space="preserve">BC Varjao1.3215KTL-H0(MBUS-14)46064,626886574146064,626886574146064,6273958333</t>
  </si>
  <si>
    <t xml:space="preserve">Equipamento anormal - 2024. Inversor com alarme oscilando geração e não atinge potência nominal. Em tratativa sob o chamado 15219044</t>
  </si>
  <si>
    <t xml:space="preserve">BC Varjao1.3215KTL-H0(MBUS-14)46064,605671296346064,605671296346064,6065162037</t>
  </si>
  <si>
    <t xml:space="preserve">Equipamento anormal - 2024. Inversor com alarme oscilando geração e não atinge potência nominal. Em tratativa sob o chamado 15219045</t>
  </si>
  <si>
    <t xml:space="preserve">BC Varjao1.3215KTL-H0(MBUS-14)46064,587557870446064,587557870446064,5881018518</t>
  </si>
  <si>
    <t xml:space="preserve">Equipamento anormal - 2024. Inversor com alarme oscilando geração e não atinge potência nominal. Em tratativa sob o chamado 15219046</t>
  </si>
  <si>
    <t xml:space="preserve">BC Varjao1.3215KTL-H0(MBUS-14)46064,576701388946064,576701388946064,5772685185</t>
  </si>
  <si>
    <t xml:space="preserve">Equipamento anormal - 2024. Inversor com alarme oscilando geração e não atinge potência nominal. Em tratativa sob o chamado 15219047</t>
  </si>
  <si>
    <t xml:space="preserve">BC Varjao1.3215KTL-H0(MBUS-14)46064,562511574146064,562511574146064,5630324074</t>
  </si>
  <si>
    <t xml:space="preserve">Equipamento anormal - 2024. Inversor com alarme oscilando geração e não atinge potência nominal. Em tratativa sob o chamado 15219048</t>
  </si>
  <si>
    <t xml:space="preserve">BC Varjao1.3215KTL-H0(MBUS-14)46064,553530092646064,553530092646064,5540393519</t>
  </si>
  <si>
    <t xml:space="preserve">Equipamento anormal - 2024. Inversor com alarme oscilando geração e não atinge potência nominal. Em tratativa sob o chamado 15219049</t>
  </si>
  <si>
    <t xml:space="preserve">BC Varjao1.3215KTL-H0(MBUS-14)46064,535405092646064,535405092646064,5359490741</t>
  </si>
  <si>
    <t xml:space="preserve">Equipamento anormal - 2024. Inversor com alarme oscilando geração e não atinge potência nominal. Em tratativa sob o chamado 15219050</t>
  </si>
  <si>
    <t xml:space="preserve">BC Varjao1.3215KTL-H0(MBUS-14)46064,525520833346064,525520833346064,5263078704</t>
  </si>
  <si>
    <t xml:space="preserve">Equipamento anormal - 2024. Inversor com alarme oscilando geração e não atinge potência nominal. Em tratativa sob o chamado 15219051</t>
  </si>
  <si>
    <t xml:space="preserve">BC Varjao1.3215KTL-H0(MBUS-14)46064,516446759346064,516446759346064,5174537037</t>
  </si>
  <si>
    <t xml:space="preserve">Equipamento anormal - 2024. Inversor com alarme oscilando geração e não atinge potência nominal. Em tratativa sob o chamado 15219052</t>
  </si>
  <si>
    <t xml:space="preserve">BC Varjao1.3215KTL-H0(MBUS-14)46064,509062546064,509062546064,5095717593</t>
  </si>
  <si>
    <t xml:space="preserve">Equipamento anormal - 2024. Inversor com alarme oscilando geração e não atinge potência nominal. Em tratativa sob o chamado 15219053</t>
  </si>
  <si>
    <t xml:space="preserve">BC Varjao1.3215KTL-H0(MBUS-14)46064,497824074146064,497824074146064,4983564815</t>
  </si>
  <si>
    <t xml:space="preserve">Equipamento anormal - 2024. Inversor com alarme oscilando geração e não atinge potência nominal. Em tratativa sob o chamado 15219054</t>
  </si>
  <si>
    <t xml:space="preserve">BC Varjao1.3215KTL-H0(MBUS-14)46064,489050925946064,489050925946064,4895717593</t>
  </si>
  <si>
    <t xml:space="preserve">Equipamento anormal - 2024. Inversor com alarme oscilando geração e não atinge potência nominal. Em tratativa sob o chamado 15219055</t>
  </si>
  <si>
    <t xml:space="preserve">BC Varjao1.3215KTL-H0(MBUS-14)46064,470347222246064,470347222246064,4708912037</t>
  </si>
  <si>
    <t xml:space="preserve">Equipamento anormal - 2024. Inversor com alarme oscilando geração e não atinge potência nominal. Em tratativa sob o chamado 15219056</t>
  </si>
  <si>
    <t xml:space="preserve">BC Varjao1.3215KTL-H0(MBUS-14)46064,460231481546064,460231481546064,460775463</t>
  </si>
  <si>
    <t xml:space="preserve">Equipamento anormal - 2024. Inversor com alarme oscilando geração e não atinge potência nominal. Em tratativa sob o chamado 15219057</t>
  </si>
  <si>
    <t xml:space="preserve">BC Varjao1.3215KTL-H0(MBUS-14)46064,450752314846064,450752314846064,4512731481</t>
  </si>
  <si>
    <t xml:space="preserve">Equipamento anormal - 2024. Inversor com alarme oscilando geração e não atinge potência nominal. Em tratativa sob o chamado 15219058</t>
  </si>
  <si>
    <t xml:space="preserve">BC Varjao1.3215KTL-H0(MBUS-14)46064,44233796346064,44233796346064,4428587963</t>
  </si>
  <si>
    <t xml:space="preserve">Equipamento anormal - 2024. Inversor com alarme oscilando geração e não atinge potência nominal. Em tratativa sob o chamado 15219059</t>
  </si>
  <si>
    <t xml:space="preserve">BC Varjao1.3215KTL-H0(MBUS-14)46064,426562546064,426562546064,4270717593</t>
  </si>
  <si>
    <t xml:space="preserve">Equipamento anormal - 2024. Inversor com alarme oscilando geração e não atinge potência nominal. Em tratativa sob o chamado 15219060</t>
  </si>
  <si>
    <t xml:space="preserve">BC Varjao1.3215KTL-H0(MBUS-14)46064,418553240746064,418553240746064,4190625</t>
  </si>
  <si>
    <t xml:space="preserve">Equipamento anormal - 2024. Inversor com alarme oscilando geração e não atinge potência nominal. Em tratativa sob o chamado 15219061</t>
  </si>
  <si>
    <t xml:space="preserve">BC Varjao1.3215KTL-H0(MBUS-14)46064,409571759346064,409571759346064,4101157407</t>
  </si>
  <si>
    <t xml:space="preserve">Equipamento anormal - 2024. Inversor com alarme oscilando geração e não atinge potência nominal. Em tratativa sob o chamado 15219062</t>
  </si>
  <si>
    <t xml:space="preserve">BC Varjao1.3215KTL-H0(MBUS-14)46064,396111111146064,396111111146064,3966319444</t>
  </si>
  <si>
    <t xml:space="preserve">Equipamento anormal - 2024. Inversor com alarme oscilando geração e não atinge potência nominal. Em tratativa sob o chamado 15219063</t>
  </si>
  <si>
    <t xml:space="preserve">BC Varjao1.3215KTL-H0(MBUS-14)46064,387847222246064,387847222246064,3883680556</t>
  </si>
  <si>
    <t xml:space="preserve">Equipamento anormal - 2024. Inversor com alarme oscilando geração e não atinge potência nominal. Em tratativa sob o chamado 15219064</t>
  </si>
  <si>
    <t xml:space="preserve">BC Varjao1.3215KTL-H0(MBUS-14)46064,378009259346064,378009259346064,3785185185</t>
  </si>
  <si>
    <t xml:space="preserve">Equipamento anormal - 2024. Inversor com alarme oscilando geração e não atinge potência nominal. Em tratativa sob o chamado 15219065</t>
  </si>
  <si>
    <t xml:space="preserve">BC Varjao1.3215KTL-H0(MBUS-14)46064,36828703746064,36828703746064,3688078704</t>
  </si>
  <si>
    <t xml:space="preserve">Equipamento anormal - 2024. Inversor com alarme oscilando geração e não atinge potência nominal. Em tratativa sob o chamado 15219066</t>
  </si>
  <si>
    <t xml:space="preserve">BC Varjao1.3215KTL-H0(MBUS-14)46064,358807870446064,358807870446064,3593402778</t>
  </si>
  <si>
    <t xml:space="preserve">Equipamento anormal - 2024. Inversor com alarme oscilando geração e não atinge potência nominal. Em tratativa sob o chamado 15219067</t>
  </si>
  <si>
    <t xml:space="preserve">BC Varjao1.3215KTL-H0(MBUS-14)46064,334340277846064,334340277846064,3348726852</t>
  </si>
  <si>
    <t xml:space="preserve">Equipamento anormal - 2024. Inversor com alarme oscilando geração e não atinge potência nominal. Em tratativa sob o chamado 15219068</t>
  </si>
  <si>
    <t xml:space="preserve">BC Varjao1.3215KTL-H0(MBUS-14)46064,282951388946064,282951388946064,2875115741</t>
  </si>
  <si>
    <t xml:space="preserve">Equipamento anormal - 2024. Inversor com alarme oscilando geração e não atinge potência nominal. Em tratativa sob o chamado 15219069</t>
  </si>
  <si>
    <t xml:space="preserve">BC Varjao1.3215KTL-H0(MBUS-14)46064,244583333346064,244583333346064,2798842593</t>
  </si>
  <si>
    <t xml:space="preserve">Equipamento anormal - 2024. Inversor com alarme oscilando geração e não atinge potência nominal. Em tratativa sob o chamado 15219070</t>
  </si>
  <si>
    <t xml:space="preserve">BC Varjao1.3215KTL-H0(MBUS-14)46064,244479166746064,244479166746064,2798842593</t>
  </si>
  <si>
    <t xml:space="preserve">Equipamento anormal - 2024. Inversor com alarme oscilando geração e não atinge potência nominal. Em tratativa sob o chamado 15219071</t>
  </si>
  <si>
    <t xml:space="preserve">BC Varjao1.3215KTL-H0(MBUS-14)46063,765127314846063,765127314846063,7697685185</t>
  </si>
  <si>
    <t xml:space="preserve">Equipamento anormal - 2024. Inversor com alarme oscilando geração e não atinge potência nominal. Em tratativa sob o chamado 15219072</t>
  </si>
  <si>
    <t xml:space="preserve">BC Varjao1.3215KTL-H0(MBUS-14)46063,764432870446063,764432870446063,7649421296</t>
  </si>
  <si>
    <t xml:space="preserve">Equipamento anormal - 2024. Inversor com alarme oscilando geração e não atinge potência nominal. Em tratativa sob o chamado 15219073</t>
  </si>
  <si>
    <t xml:space="preserve">BC Varjao1.3215KTL-H0(MBUS-14)46063,762511574146063,762511574146063,7630439815</t>
  </si>
  <si>
    <t xml:space="preserve">Equipamento anormal - 2024. Inversor com alarme oscilando geração e não atinge potência nominal. Em tratativa sob o chamado 15219074</t>
  </si>
  <si>
    <t xml:space="preserve">BC Varjao1.3215KTL-H0(MBUS-14)46063,74640046346063,74640046346063,7469212963</t>
  </si>
  <si>
    <t xml:space="preserve">Equipamento anormal - 2024. Inversor com alarme oscilando geração e não atinge potência nominal. Em tratativa sob o chamado 15219075</t>
  </si>
  <si>
    <t xml:space="preserve">BC Varjao1.3215KTL-H0(MBUS-14)46063,707719907446063,707719907446063,7082407407</t>
  </si>
  <si>
    <t xml:space="preserve">Equipamento anormal - 2024. Inversor com alarme oscilando geração e não atinge potência nominal. Em tratativa sob o chamado 15219076</t>
  </si>
  <si>
    <t xml:space="preserve">BC Varjao1.3215KTL-H0(MBUS-14)46063,69578703746063,69578703746063,6963078704</t>
  </si>
  <si>
    <t xml:space="preserve">Equipamento anormal - 2024. Inversor com alarme oscilando geração e não atinge potência nominal. Em tratativa sob o chamado 15219077</t>
  </si>
  <si>
    <t xml:space="preserve">BC Varjao1.3215KTL-H0(MBUS-14)46063,689074074146063,689074074146063,6895949074</t>
  </si>
  <si>
    <t xml:space="preserve">Equipamento anormal - 2024. Inversor com alarme oscilando geração e não atinge potência nominal. Em tratativa sob o chamado 15219078</t>
  </si>
  <si>
    <t xml:space="preserve">BC Varjao1.3215KTL-H0(MBUS-14)46063,612384259346063,612384259346063,6129050926</t>
  </si>
  <si>
    <t xml:space="preserve">Equipamento anormal - 2024. Inversor com alarme oscilando geração e não atinge potência nominal. Em tratativa sob o chamado 15219079</t>
  </si>
  <si>
    <t xml:space="preserve">BC Varjao1.3215KTL-H0(MBUS-14)46063,601377314846063,601377314846063,6018865741</t>
  </si>
  <si>
    <t xml:space="preserve">Equipamento anormal - 2024. Inversor com alarme oscilando geração e não atinge potência nominal. Em tratativa sob o chamado 15219080</t>
  </si>
  <si>
    <t xml:space="preserve">BC Varjao1.3215KTL-H0(MBUS-14)46063,585960648146063,585960648146063,5864814815</t>
  </si>
  <si>
    <t xml:space="preserve">Equipamento anormal - 2024. Inversor com alarme oscilando geração e não atinge potência nominal. Em tratativa sob o chamado 15219081</t>
  </si>
  <si>
    <t xml:space="preserve">BC Varjao1.3215KTL-H0(MBUS-14)46063,567222222246063,567222222246063,5677314815</t>
  </si>
  <si>
    <t xml:space="preserve">Equipamento anormal - 2024. Inversor com alarme oscilando geração e não atinge potência nominal. Em tratativa sob o chamado 15219082</t>
  </si>
  <si>
    <t xml:space="preserve">BC Varjao1.3215KTL-H0(MBUS-14)46063,551319444446063,551319444446063,5518287037</t>
  </si>
  <si>
    <t xml:space="preserve">Equipamento anormal - 2024. Inversor com alarme oscilando geração e não atinge potência nominal. Em tratativa sob o chamado 15219083</t>
  </si>
  <si>
    <t xml:space="preserve">BC Varjao1.3215KTL-H0(MBUS-14)46063,535833333346063,535833333346063,5363425926</t>
  </si>
  <si>
    <t xml:space="preserve">Equipamento anormal - 2024. Inversor com alarme oscilando geração e não atinge potência nominal. Em tratativa sob o chamado 15219084</t>
  </si>
  <si>
    <t xml:space="preserve">BC Varjao1.3215KTL-H0(MBUS-14)46063,527743055646063,527743055646063,5282523148</t>
  </si>
  <si>
    <t xml:space="preserve">Equipamento anormal - 2024. Inversor com alarme oscilando geração e não atinge potência nominal. Em tratativa sob o chamado 15219085</t>
  </si>
  <si>
    <t xml:space="preserve">BC Varjao1.3215KTL-H0(MBUS-14)46063,501886574146063,501886574146063,5024074074</t>
  </si>
  <si>
    <t xml:space="preserve">Equipamento anormal - 2024. Inversor com alarme oscilando geração e não atinge potência nominal. Em tratativa sob o chamado 15219086</t>
  </si>
  <si>
    <t xml:space="preserve">BC Varjao1.3215KTL-H0(MBUS-14)46063,490324074146063,490324074146063,4908333333</t>
  </si>
  <si>
    <t xml:space="preserve">Equipamento anormal - 2024. Inversor com alarme oscilando geração e não atinge potência nominal. Em tratativa sob o chamado 15219087</t>
  </si>
  <si>
    <t xml:space="preserve">BC Varjao1.3215KTL-H0(MBUS-14)46063,461504629646063,461504629646063,4620486111</t>
  </si>
  <si>
    <t xml:space="preserve">Equipamento anormal - 2024. Inversor com alarme oscilando geração e não atinge potência nominal. Em tratativa sob o chamado 15219088</t>
  </si>
  <si>
    <t xml:space="preserve">BC Varjao1.3215KTL-H0(MBUS-14)46063,453113425946063,453113425946063,4536458333</t>
  </si>
  <si>
    <t xml:space="preserve">Equipamento anormal - 2024. Inversor com alarme oscilando geração e não atinge potência nominal. Em tratativa sob o chamado 15219089</t>
  </si>
  <si>
    <t xml:space="preserve">BC Varjao1.3215KTL-H0(MBUS-14)46063,436608796346063,436608796346063,4371527778</t>
  </si>
  <si>
    <t xml:space="preserve">Equipamento anormal - 2024. Inversor com alarme oscilando geração e não atinge potência nominal. Em tratativa sob o chamado 15219090</t>
  </si>
  <si>
    <t xml:space="preserve">BC Varjao1.3215KTL-H0(MBUS-14)46063,327754629646063,327754629646063,3324189815</t>
  </si>
  <si>
    <t xml:space="preserve">Equipamento anormal - 2024. Inversor com alarme oscilando geração e não atinge potência nominal. Em tratativa sob o chamado 15219091</t>
  </si>
  <si>
    <t xml:space="preserve">BC Varjao1.3215KTL-H0(MBUS-14)46063,31703703746063,31703703746063,3216782407</t>
  </si>
  <si>
    <t xml:space="preserve">Equipamento anormal - 2024. Inversor com alarme oscilando geração e não atinge potência nominal. Em tratativa sob o chamado 15219092</t>
  </si>
  <si>
    <t xml:space="preserve">BC Varjao1.3215KTL-H0(MBUS-14)46063,312199074146063,312199074146063,3168402778</t>
  </si>
  <si>
    <t xml:space="preserve">Equipamento anormal - 2024. Inversor com alarme oscilando geração e não atinge potência nominal. Em tratativa sob o chamado 15219093</t>
  </si>
  <si>
    <t xml:space="preserve">BC Varjao1.3215KTL-H0(MBUS-14)46063,311516203746063,311516203746063,3120138889</t>
  </si>
  <si>
    <t xml:space="preserve">Equipamento anormal - 2024. Inversor com alarme oscilando geração e não atinge potência nominal. Em tratativa sob o chamado 15219094</t>
  </si>
  <si>
    <t xml:space="preserve">BC Varjao1.3215KTL-H0(MBUS-14)46063,310856481546063,310856481546063,3113541667</t>
  </si>
  <si>
    <t xml:space="preserve">Equipamento anormal - 2024. Inversor com alarme oscilando geração e não atinge potência nominal. Em tratativa sob o chamado 15219095</t>
  </si>
  <si>
    <t xml:space="preserve">BC Varjao1.3215KTL-H0(MBUS-14)46063,310196759346063,310196759346063,3106944444</t>
  </si>
  <si>
    <t xml:space="preserve">Equipamento anormal - 2024. Inversor com alarme oscilando geração e não atinge potência nominal. Em tratativa sob o chamado 15219096</t>
  </si>
  <si>
    <t xml:space="preserve">BC Varjao1.3215KTL-H0(MBUS-14)46063,30952546346063,30952546346063,3100231482</t>
  </si>
  <si>
    <t xml:space="preserve">Equipamento anormal - 2024. Inversor com alarme oscilando geração e não atinge potência nominal. Em tratativa sob o chamado 15219097</t>
  </si>
  <si>
    <t xml:space="preserve">BC Varjao1.3215KTL-H0(MBUS-14)46063,308854166746063,308854166746063,3093518519</t>
  </si>
  <si>
    <t xml:space="preserve">Equipamento anormal - 2024. Inversor com alarme oscilando geração e não atinge potência nominal. Em tratativa sob o chamado 15219098</t>
  </si>
  <si>
    <t xml:space="preserve">BC Varjao1.3215KTL-H0(MBUS-14)46063,308171296346063,308171296346063,3086921296</t>
  </si>
  <si>
    <t xml:space="preserve">Equipamento anormal - 2024. Inversor com alarme oscilando geração e não atinge potência nominal. Em tratativa sob o chamado 15219099</t>
  </si>
  <si>
    <t xml:space="preserve">BC Varjao1.3215KTL-H0(MBUS-14)46063,307511574146063,307511574146063,3079976852</t>
  </si>
  <si>
    <t xml:space="preserve">Equipamento anormal - 2024. Inversor com alarme oscilando geração e não atinge potência nominal. Em tratativa sob o chamado 15219100</t>
  </si>
  <si>
    <t xml:space="preserve">BC Varjao1.3215KTL-H0(MBUS-14)46063,306805555646063,306805555646063,3073263889</t>
  </si>
  <si>
    <t xml:space="preserve">Equipamento anormal - 2024. Inversor com alarme oscilando geração e não atinge potência nominal. Em tratativa sob o chamado 15219101</t>
  </si>
  <si>
    <t xml:space="preserve">BC Varjao1.3215KTL-H0(MBUS-14)46063,306157407446063,306157407446063,3066435185</t>
  </si>
  <si>
    <t xml:space="preserve">Equipamento anormal - 2024. Inversor com alarme oscilando geração e não atinge potência nominal. Em tratativa sob o chamado 15219102</t>
  </si>
  <si>
    <t xml:space="preserve">BC Varjao1.3215KTL-H0(MBUS-14)46063,30547453746063,30547453746063,3060532407</t>
  </si>
  <si>
    <t xml:space="preserve">Equipamento anormal - 2024. Inversor com alarme oscilando geração e não atinge potência nominal. Em tratativa sob o chamado 15219103</t>
  </si>
  <si>
    <t xml:space="preserve">BC Varjao1.3215KTL-H0(MBUS-14)46063,304826388946063,304826388946063,3053125</t>
  </si>
  <si>
    <t xml:space="preserve">Equipamento anormal - 2024. Inversor com alarme oscilando geração e não atinge potência nominal. Em tratativa sob o chamado 15219104</t>
  </si>
  <si>
    <t xml:space="preserve">BC Varjao1.3215KTL-H0(MBUS-14)46063,304166666746063,304166666746063,3046527778</t>
  </si>
  <si>
    <t xml:space="preserve">Equipamento anormal - 2024. Inversor com alarme oscilando geração e não atinge potência nominal. Em tratativa sob o chamado 15219105</t>
  </si>
  <si>
    <t xml:space="preserve">BC Varjao1.3215KTL-H0(MBUS-14)46063,303483796346063,303483796346063,3039814815</t>
  </si>
  <si>
    <t xml:space="preserve">Equipamento anormal - 2024. Inversor com alarme oscilando geração e não atinge potência nominal. Em tratativa sob o chamado 15219106</t>
  </si>
  <si>
    <t xml:space="preserve">BC Varjao1.3215KTL-H0(MBUS-14)46063,302800925946063,302800925946063,3033101852</t>
  </si>
  <si>
    <t xml:space="preserve">Equipamento anormal - 2024. Inversor com alarme oscilando geração e não atinge potência nominal. Em tratativa sob o chamado 15219107</t>
  </si>
  <si>
    <t xml:space="preserve">BC Varjao1.3215KTL-H0(MBUS-14)46063,302129629646063,302129629646063,3026157407</t>
  </si>
  <si>
    <t xml:space="preserve">Equipamento anormal - 2024. Inversor com alarme oscilando geração e não atinge potência nominal. Em tratativa sob o chamado 15219108</t>
  </si>
  <si>
    <t xml:space="preserve">BC Varjao1.3215KTL-H0(MBUS-14)46063,301481481546063,301481481546063,3019560185</t>
  </si>
  <si>
    <t xml:space="preserve">Equipamento anormal - 2024. Inversor com alarme oscilando geração e não atinge potência nominal. Em tratativa sob o chamado 15219109</t>
  </si>
  <si>
    <t xml:space="preserve">BC Varjao1.3215KTL-H0(MBUS-14)46063,300810185246063,300810185246063,3012962963</t>
  </si>
  <si>
    <t xml:space="preserve">Equipamento anormal - 2024. Inversor com alarme oscilando geração e não atinge potência nominal. Em tratativa sob o chamado 15219110</t>
  </si>
  <si>
    <t xml:space="preserve">BC Varjao1.3215KTL-H0(MBUS-14)46063,295949074146063,295949074146063,300625</t>
  </si>
  <si>
    <t xml:space="preserve">Equipamento anormal - 2024. Inversor com alarme oscilando geração e não atinge potência nominal. Em tratativa sob o chamado 15219111</t>
  </si>
  <si>
    <t xml:space="preserve">BC Varjao1.3215KTL-H0(MBUS-14)46063,243692129646063,243692129646063,2537384259</t>
  </si>
  <si>
    <t xml:space="preserve">Equipamento anormal - 2024. Inversor com alarme oscilando geração e não atinge potência nominal. Em tratativa sob o chamado 15219112</t>
  </si>
  <si>
    <t xml:space="preserve">BC Varjao1.3215KTL-H0(MBUS-14)46063,243310185246063,243310185246063,2537384259</t>
  </si>
  <si>
    <t xml:space="preserve">Equipamento anormal - 2024. Inversor com alarme oscilando geração e não atinge potência nominal. Em tratativa sob o chamado 15219113</t>
  </si>
  <si>
    <t xml:space="preserve">BC Varjao1.3215KTL-H0(MBUS-14)46062,785856481546062,785856481546062,787962963</t>
  </si>
  <si>
    <t xml:space="preserve">Equipamento anormal - 2024. Inversor com alarme oscilando geração e não atinge potência nominal. Em tratativa sob o chamado 15219114</t>
  </si>
  <si>
    <t xml:space="preserve">BC Varjao1.3215KTL-H0(MBUS-14)46062,767048611146062,767048611146062,7879513889</t>
  </si>
  <si>
    <t xml:space="preserve">Equipamento anormal - 2024. Inversor com alarme oscilando geração e não atinge potência nominal. Em tratativa sob o chamado 15219115</t>
  </si>
  <si>
    <t xml:space="preserve">BC Varjao1.3215KTL-H0(MBUS-14)46062,7662546062,7662546062,766875</t>
  </si>
  <si>
    <t xml:space="preserve">Equipamento anormal - 2024. Inversor com alarme oscilando geração e não atinge potência nominal. Em tratativa sob o chamado 15219116</t>
  </si>
  <si>
    <t xml:space="preserve">BC Varjao1.3215KTL-H0(MBUS-14)46062,765405092646062,765405092646062,7660532407</t>
  </si>
  <si>
    <t xml:space="preserve">Equipamento anormal - 2024. Inversor com alarme oscilando geração e não atinge potência nominal. Em tratativa sob o chamado 15219117</t>
  </si>
  <si>
    <t xml:space="preserve">BC Varjao1.3215KTL-H0(MBUS-14)46062,763923611146062,763923611146062,764525463</t>
  </si>
  <si>
    <t xml:space="preserve">Equipamento anormal - 2024. Inversor com alarme oscilando geração e não atinge potência nominal. Em tratativa sob o chamado 15219118</t>
  </si>
  <si>
    <t xml:space="preserve">BC Varjao1.3215KTL-H0(MBUS-14)46062,730509259346062,730509259346062,7350925926</t>
  </si>
  <si>
    <t xml:space="preserve">Equipamento anormal - 2024. Inversor com alarme oscilando geração e não atinge potência nominal. Em tratativa sob o chamado 15219119</t>
  </si>
  <si>
    <t xml:space="preserve">BC Varjao1.3215KTL-H0(MBUS-14)46062,714016203746062,714016203746062,729525463</t>
  </si>
  <si>
    <t xml:space="preserve">Equipamento anormal - 2024. Inversor com alarme oscilando geração e não atinge potência nominal. Em tratativa sob o chamado 15219120</t>
  </si>
  <si>
    <t xml:space="preserve">BC Varjao1.3215KTL-H0(MBUS-14)46062,708425925946062,708425925946062,7089467593</t>
  </si>
  <si>
    <t xml:space="preserve">Equipamento anormal - 2024. Inversor com alarme oscilando geração e não atinge potência nominal. Em tratativa sob o chamado 15219121</t>
  </si>
  <si>
    <t xml:space="preserve">BC Varjao1.3215KTL-H0(MBUS-14)46062,685821759346062,685821759346062,6863773148</t>
  </si>
  <si>
    <t xml:space="preserve">Equipamento anormal - 2024. Inversor com alarme oscilando geração e não atinge potência nominal. Em tratativa sob o chamado 15219122</t>
  </si>
  <si>
    <t xml:space="preserve">BC Varjao1.3215KTL-H0(MBUS-14)46062,67141203746062,67141203746062,6719560185</t>
  </si>
  <si>
    <t xml:space="preserve">Equipamento anormal - 2024. Inversor com alarme oscilando geração e não atinge potência nominal. Em tratativa sob o chamado 15219123</t>
  </si>
  <si>
    <t xml:space="preserve">BC Varjao1.3215KTL-H0(MBUS-14)46062,654479166746062,654479166746062,6550347222</t>
  </si>
  <si>
    <t xml:space="preserve">Equipamento anormal - 2024. Inversor com alarme oscilando geração e não atinge potência nominal. Em tratativa sob o chamado 15219124</t>
  </si>
  <si>
    <t xml:space="preserve">BC Varjao1.3215KTL-H0(MBUS-14)46062,644594907446062,644594907446062,6451157407</t>
  </si>
  <si>
    <t xml:space="preserve">Equipamento anormal - 2024. Inversor com alarme oscilando geração e não atinge potência nominal. Em tratativa sob o chamado 15219125</t>
  </si>
  <si>
    <t xml:space="preserve">BC Varjao1.3215KTL-H0(MBUS-14)46062,633078703746062,633078703746062,633599537</t>
  </si>
  <si>
    <t xml:space="preserve">Equipamento anormal - 2024. Inversor com alarme oscilando geração e não atinge potência nominal. Em tratativa sob o chamado 15219126</t>
  </si>
  <si>
    <t xml:space="preserve">BC Varjao1.3215KTL-H0(MBUS-14)46062,594085648146062,594085648146062,5946296296</t>
  </si>
  <si>
    <t xml:space="preserve">Equipamento anormal - 2024. Inversor com alarme oscilando geração e não atinge potência nominal. Em tratativa sob o chamado 15219127</t>
  </si>
  <si>
    <t xml:space="preserve">BC Varjao1.3215KTL-H0(MBUS-14)46062,580601851846062,580601851846062,5811111111</t>
  </si>
  <si>
    <t xml:space="preserve">Equipamento anormal - 2024. Inversor com alarme oscilando geração e não atinge potência nominal. Em tratativa sob o chamado 15219128</t>
  </si>
  <si>
    <t xml:space="preserve">BC Varjao1.3215KTL-H0(MBUS-14)46062,560081018546062,560081018546062,5611689815</t>
  </si>
  <si>
    <t xml:space="preserve">Equipamento anormal - 2024. Inversor com alarme oscilando geração e não atinge potência nominal. Em tratativa sob o chamado 15219129</t>
  </si>
  <si>
    <t xml:space="preserve">BC Varjao1.3215KTL-H0(MBUS-14)46062,550219907446062,550219907446062,5507638889</t>
  </si>
  <si>
    <t xml:space="preserve">Equipamento anormal - 2024. Inversor com alarme oscilando geração e não atinge potência nominal. Em tratativa sob o chamado 15219130</t>
  </si>
  <si>
    <t xml:space="preserve">BC Varjao1.3215KTL-H0(MBUS-14)46062,542430555646062,542430555646062,5430092593</t>
  </si>
  <si>
    <t xml:space="preserve">Equipamento anormal - 2024. Inversor com alarme oscilando geração e não atinge potência nominal. Em tratativa sob o chamado 15219131</t>
  </si>
  <si>
    <t xml:space="preserve">BC Varjao1.3215KTL-H0(MBUS-14)46062,535428240746062,535428240746062,5359259259</t>
  </si>
  <si>
    <t xml:space="preserve">Equipamento anormal - 2024. Inversor com alarme oscilando geração e não atinge potência nominal. Em tratativa sob o chamado 15219132</t>
  </si>
  <si>
    <t xml:space="preserve">BC Varjao1.3215KTL-H0(MBUS-14)46062,514861111146062,514861111146062,5153819444</t>
  </si>
  <si>
    <t xml:space="preserve">Equipamento anormal - 2024. Inversor com alarme oscilando geração e não atinge potência nominal. Em tratativa sob o chamado 15219133</t>
  </si>
  <si>
    <t xml:space="preserve">BC Varjao1.3215KTL-H0(MBUS-14)46062,497638888946062,497638888946062,4981828704</t>
  </si>
  <si>
    <t xml:space="preserve">Equipamento anormal - 2024. Inversor com alarme oscilando geração e não atinge potência nominal. Em tratativa sob o chamado 15219134</t>
  </si>
  <si>
    <t xml:space="preserve">BC Varjao1.3215KTL-H0(MBUS-14)46062,470243055646062,470243055646062,4713078704</t>
  </si>
  <si>
    <t xml:space="preserve">Equipamento anormal - 2024. Inversor com alarme oscilando geração e não atinge potência nominal. Em tratativa sob o chamado 15219135</t>
  </si>
  <si>
    <t xml:space="preserve">BC Varjao1.3215KTL-H0(MBUS-14)46062,462141203746062,462141203746062,4626851852</t>
  </si>
  <si>
    <t xml:space="preserve">Equipamento anormal - 2024. Inversor com alarme oscilando geração e não atinge potência nominal. Em tratativa sob o chamado 15219136</t>
  </si>
  <si>
    <t xml:space="preserve">BC Varjao1.3215KTL-H0(MBUS-14)46062,455428240746062,455428240746062,4559375</t>
  </si>
  <si>
    <t xml:space="preserve">Equipamento anormal - 2024. Inversor com alarme oscilando geração e não atinge potência nominal. Em tratativa sob o chamado 15219137</t>
  </si>
  <si>
    <t xml:space="preserve">BC Varjao1.3215KTL-H0(MBUS-14)46062,449768518546062,449768518546062,4503125</t>
  </si>
  <si>
    <t xml:space="preserve">Equipamento anormal - 2024. Inversor com alarme oscilando geração e não atinge potência nominal. Em tratativa sob o chamado 15219138</t>
  </si>
  <si>
    <t xml:space="preserve">BC Varjao1.3215KTL-H0(MBUS-14)46062,44422453746062,44422453746062,4447685185</t>
  </si>
  <si>
    <t xml:space="preserve">Equipamento anormal - 2024. Inversor com alarme oscilando geração e não atinge potência nominal. Em tratativa sob o chamado 15219139</t>
  </si>
  <si>
    <t xml:space="preserve">BC Varjao1.3215KTL-H0(MBUS-14)46062,409918981546062,409918981546062,414537037</t>
  </si>
  <si>
    <t xml:space="preserve">Equipamento anormal - 2024. Inversor com alarme oscilando geração e não atinge potência nominal. Em tratativa sob o chamado 15219140</t>
  </si>
  <si>
    <t xml:space="preserve">BC Varjao1.3215KTL-H0(MBUS-14)46062,400046296346062,400046296346062,4005671296</t>
  </si>
  <si>
    <t xml:space="preserve">Equipamento anormal - 2024. Inversor com alarme oscilando geração e não atinge potência nominal. Em tratativa sob o chamado 15219141</t>
  </si>
  <si>
    <t xml:space="preserve">BC Varjao1.3215KTL-H0(MBUS-14)46062,398553240746062,398553240746062,3991666667</t>
  </si>
  <si>
    <t xml:space="preserve">Equipamento anormal - 2024. Inversor com alarme oscilando geração e não atinge potência nominal. Em tratativa sob o chamado 15219142</t>
  </si>
  <si>
    <t xml:space="preserve">BC Varjao1.3215KTL-H0(MBUS-14)46062,397743055646062,397743055646062,3983680556</t>
  </si>
  <si>
    <t xml:space="preserve">Equipamento anormal - 2024. Inversor com alarme oscilando geração e não atinge potência nominal. Em tratativa sob o chamado 15219143</t>
  </si>
  <si>
    <t xml:space="preserve">BC Varjao1.3215KTL-H0(MBUS-14)46062,390312546062,390312546062,3908333333</t>
  </si>
  <si>
    <t xml:space="preserve">Equipamento anormal - 2024. Inversor com alarme oscilando geração e não atinge potência nominal. Em tratativa sob o chamado 15219144</t>
  </si>
  <si>
    <t xml:space="preserve">BC Varjao1.3215KTL-H0(MBUS-14)46062,386747685246062,386747685246062,3878356482</t>
  </si>
  <si>
    <t xml:space="preserve">Equipamento anormal - 2024. Inversor com alarme oscilando geração e não atinge potência nominal. Em tratativa sob o chamado 15219145</t>
  </si>
  <si>
    <t xml:space="preserve">BC Varjao1.3215KTL-H0(MBUS-14)46062,38266203746062,38266203746062,386712963</t>
  </si>
  <si>
    <t xml:space="preserve">Equipamento anormal - 2024. Inversor com alarme oscilando geração e não atinge potência nominal. Em tratativa sob o chamado 15219146</t>
  </si>
  <si>
    <t xml:space="preserve">BC Varjao1.3215KTL-H0(MBUS-14)46062,356863425946062,356863425946062,3574074074</t>
  </si>
  <si>
    <t xml:space="preserve">Equipamento anormal - 2024. Inversor com alarme oscilando geração e não atinge potência nominal. Em tratativa sob o chamado 15219147</t>
  </si>
  <si>
    <t xml:space="preserve">BC Varjao1.3215KTL-H0(MBUS-14)46062,243784722246062,243784722246062,2882291667</t>
  </si>
  <si>
    <t xml:space="preserve">Equipamento anormal - 2024. Inversor com alarme oscilando geração e não atinge potência nominal. Em tratativa sob o chamado 15219148</t>
  </si>
  <si>
    <t xml:space="preserve">BC Varjao1.3215KTL-H0(MBUS-14)46061,786747685246061,786747685246061,7888194444</t>
  </si>
  <si>
    <t xml:space="preserve">Equipamento anormal - 2024. Inversor com alarme oscilando geração e não atinge potência nominal. Em tratativa sob o chamado 15219149</t>
  </si>
  <si>
    <t xml:space="preserve">BC Varjao1.3215KTL-H0(MBUS-14)46061,759270833346061,759270833346061,7888194444</t>
  </si>
  <si>
    <t xml:space="preserve">Equipamento anormal - 2024. Inversor com alarme oscilando geração e não atinge potência nominal. Em tratativa sob o chamado 15219150</t>
  </si>
  <si>
    <t xml:space="preserve">BC Varjao1.3215KTL-H0(MBUS-14)46061,759270833346061,759270833346061,7766550926</t>
  </si>
  <si>
    <t xml:space="preserve">Equipamento anormal - 2024. Inversor com alarme oscilando geração e não atinge potência nominal. Em tratativa sob o chamado 15219151</t>
  </si>
  <si>
    <t xml:space="preserve">BC Varjao1.3215KTL-H0(MBUS-14)46061,758495370446061,758495370446061,7590972222</t>
  </si>
  <si>
    <t xml:space="preserve">Equipamento anormal - 2024. Inversor com alarme oscilando geração e não atinge potência nominal. Em tratativa sob o chamado 15219152</t>
  </si>
  <si>
    <t xml:space="preserve">BC Varjao1.3215KTL-H0(MBUS-14)46061,757719907446061,757719907446061,7583217593</t>
  </si>
  <si>
    <t xml:space="preserve">Equipamento anormal - 2024. Inversor com alarme oscilando geração e não atinge potência nominal. Em tratativa sob o chamado 15219153</t>
  </si>
  <si>
    <t xml:space="preserve">BC Varjao1.3215KTL-H0(MBUS-14)46061,756944444446061,756944444446061,7575462963</t>
  </si>
  <si>
    <t xml:space="preserve">Equipamento anormal - 2024. Inversor com alarme oscilando geração e não atinge potência nominal. Em tratativa sob o chamado 15219154</t>
  </si>
  <si>
    <t xml:space="preserve">BC Varjao1.3215KTL-H0(MBUS-14)46061,756168981546061,756168981546061,7567708333</t>
  </si>
  <si>
    <t xml:space="preserve">Equipamento anormal - 2024. Inversor com alarme oscilando geração e não atinge potência nominal. Em tratativa sob o chamado 15219155</t>
  </si>
  <si>
    <t xml:space="preserve">BC Varjao1.3215KTL-H0(MBUS-14)46061,755370370446061,755370370446061,7559837963</t>
  </si>
  <si>
    <t xml:space="preserve">Equipamento anormal - 2024. Inversor com alarme oscilando geração e não atinge potência nominal. Em tratativa sob o chamado 15219156</t>
  </si>
  <si>
    <t xml:space="preserve">BC Varjao1.3215KTL-H0(MBUS-14)46061,754398148246061,754398148246061,755</t>
  </si>
  <si>
    <t xml:space="preserve">Equipamento anormal - 2024. Inversor com alarme oscilando geração e não atinge potência nominal. Em tratativa sob o chamado 15219157</t>
  </si>
  <si>
    <t xml:space="preserve">BC Varjao1.3215KTL-H0(MBUS-14)46061,753194444446061,753194444446061,7537615741</t>
  </si>
  <si>
    <t xml:space="preserve">Equipamento anormal - 2024. Inversor com alarme oscilando geração e não atinge potência nominal. Em tratativa sob o chamado 15219158</t>
  </si>
  <si>
    <t xml:space="preserve">BC Varjao1.3215KTL-H0(MBUS-14)46061,70391203746061,70391203746061,7130671296</t>
  </si>
  <si>
    <t xml:space="preserve">Equipamento anormal - 2024. Inversor com alarme oscilando geração e não atinge potência nominal. Em tratativa sob o chamado 15219159</t>
  </si>
  <si>
    <t xml:space="preserve">BC Varjao1.3215KTL-H0(MBUS-14)46061,703206018546061,703206018546061,70375</t>
  </si>
  <si>
    <t xml:space="preserve">Equipamento anormal - 2024. Inversor com alarme oscilando geração e não atinge potência nominal. Em tratativa sob o chamado 15219160</t>
  </si>
  <si>
    <t xml:space="preserve">BC Varjao1.3215KTL-H0(MBUS-14)46061,702476851946061,702476851946061,7030208333</t>
  </si>
  <si>
    <t xml:space="preserve">Equipamento anormal - 2024. Inversor com alarme oscilando geração e não atinge potência nominal. Em tratativa sob o chamado 15219161</t>
  </si>
  <si>
    <t xml:space="preserve">BC Varjao1.3215KTL-H0(MBUS-14)46061,701747685246061,701747685246061,7023148148</t>
  </si>
  <si>
    <t xml:space="preserve">Equipamento anormal - 2024. Inversor com alarme oscilando geração e não atinge potência nominal. Em tratativa sob o chamado 15219162</t>
  </si>
  <si>
    <t xml:space="preserve">BC Varjao1.3215KTL-H0(MBUS-14)46061,701041666746061,701041666746061,7015856481</t>
  </si>
  <si>
    <t xml:space="preserve">Equipamento anormal - 2024. Inversor com alarme oscilando geração e não atinge potência nominal. Em tratativa sob o chamado 15219163</t>
  </si>
  <si>
    <t xml:space="preserve">BC Varjao1.3215KTL-H0(MBUS-14)46061,700312546061,700312546061,7008680556</t>
  </si>
  <si>
    <t xml:space="preserve">Equipamento anormal - 2024. Inversor com alarme oscilando geração e não atinge potência nominal. Em tratativa sob o chamado 15219164</t>
  </si>
  <si>
    <t xml:space="preserve">BC Varjao1.3215KTL-H0(MBUS-14)46061,699444444446061,699444444446061,7001851852</t>
  </si>
  <si>
    <t xml:space="preserve">Equipamento anormal - 2024. Inversor com alarme oscilando geração e não atinge potência nominal. Em tratativa sob o chamado 15219165</t>
  </si>
  <si>
    <t xml:space="preserve">BC Varjao1.3215KTL-H0(MBUS-14)46061,698703703746061,698703703746061,6992476852</t>
  </si>
  <si>
    <t xml:space="preserve">Equipamento anormal - 2024. Inversor com alarme oscilando geração e não atinge potência nominal. Em tratativa sob o chamado 15219166</t>
  </si>
  <si>
    <t xml:space="preserve">BC Varjao1.3215KTL-H0(MBUS-14)46061,615879629646061,615879629646061,6163773148</t>
  </si>
  <si>
    <t xml:space="preserve">Equipamento anormal - 2024. Inversor com alarme oscilando geração e não atinge potência nominal. Em tratativa sob o chamado 15219167</t>
  </si>
  <si>
    <t xml:space="preserve">BC Varjao1.3215KTL-H0(MBUS-14)46061,603541666746061,603541666746061,6040972222</t>
  </si>
  <si>
    <t xml:space="preserve">Equipamento anormal - 2024. Inversor com alarme oscilando geração e não atinge potência nominal. Em tratativa sob o chamado 15219168</t>
  </si>
  <si>
    <t xml:space="preserve">BC Varjao1.3215KTL-H0(MBUS-14)46061,584965277846061,584965277846061,5855208333</t>
  </si>
  <si>
    <t xml:space="preserve">Equipamento anormal - 2024. Inversor com alarme oscilando geração e não atinge potência nominal. Em tratativa sob o chamado 15219169</t>
  </si>
  <si>
    <t xml:space="preserve">BC Varjao1.3215KTL-H0(MBUS-14)46061,575949074146061,575949074146061,5764583333</t>
  </si>
  <si>
    <t xml:space="preserve">Equipamento anormal - 2024. Inversor com alarme oscilando geração e não atinge potência nominal. Em tratativa sob o chamado 15219170</t>
  </si>
  <si>
    <t xml:space="preserve">BC Varjao1.3215KTL-H0(MBUS-14)46061,546770833346061,546770833346061,5472916667</t>
  </si>
  <si>
    <t xml:space="preserve">Equipamento anormal - 2024. Inversor com alarme oscilando geração e não atinge potência nominal. Em tratativa sob o chamado 15219171</t>
  </si>
  <si>
    <t xml:space="preserve">BC Varjao1.3215KTL-H0(MBUS-14)46061,516574074146061,516574074146061,5177083333</t>
  </si>
  <si>
    <t xml:space="preserve">Equipamento anormal - 2024. Inversor com alarme oscilando geração e não atinge potência nominal. Em tratativa sob o chamado 15219172</t>
  </si>
  <si>
    <t xml:space="preserve">BC Varjao1.3215KTL-H0(MBUS-14)46061,495370370446061,495370370446061,4959143518</t>
  </si>
  <si>
    <t xml:space="preserve">Equipamento anormal - 2024. Inversor com alarme oscilando geração e não atinge potência nominal. Em tratativa sob o chamado 15219173</t>
  </si>
  <si>
    <t xml:space="preserve">BC Varjao1.3215KTL-H0(MBUS-14)46061,480995370446061,480995370446061,4822337963</t>
  </si>
  <si>
    <t xml:space="preserve">Equipamento anormal - 2024. Inversor com alarme oscilando geração e não atinge potência nominal. Em tratativa sob o chamado 15219174</t>
  </si>
  <si>
    <t xml:space="preserve">BC Varjao1.3215KTL-H0(MBUS-14)46061,477175925946061,477175925946061,4776967593</t>
  </si>
  <si>
    <t xml:space="preserve">Equipamento anormal - 2024. Inversor com alarme oscilando geração e não atinge potência nominal. Em tratativa sob o chamado 15219175</t>
  </si>
  <si>
    <t xml:space="preserve">BC Varjao1.3215KTL-H0(MBUS-14)46061,463437546061,463437546061,4639814815</t>
  </si>
  <si>
    <t xml:space="preserve">Equipamento anormal - 2024. Inversor com alarme oscilando geração e não atinge potência nominal. Em tratativa sob o chamado 15219176</t>
  </si>
  <si>
    <t xml:space="preserve">BC Varjao1.3215KTL-H0(MBUS-14)46061,44516203746061,44516203746061,4457060185</t>
  </si>
  <si>
    <t xml:space="preserve">Equipamento anormal - 2024. Inversor com alarme oscilando geração e não atinge potência nominal. Em tratativa sob o chamado 15219177</t>
  </si>
  <si>
    <t xml:space="preserve">BC Varjao1.3215KTL-H0(MBUS-14)46061,433622685246061,433622685246061,4341435185</t>
  </si>
  <si>
    <t xml:space="preserve">Equipamento anormal - 2024. Inversor com alarme oscilando geração e não atinge potência nominal. Em tratativa sob o chamado 15219178</t>
  </si>
  <si>
    <t xml:space="preserve">BC Varjao1.3215KTL-H0(MBUS-14)46061,417777777846061,417777777846061,418275463</t>
  </si>
  <si>
    <t xml:space="preserve">Equipamento anormal - 2024. Inversor com alarme oscilando geração e não atinge potência nominal. Em tratativa sob o chamado 15219179</t>
  </si>
  <si>
    <t xml:space="preserve">BC Varjao1.3215KTL-H0(MBUS-14)46061,410532407446061,410532407446061,4110416667</t>
  </si>
  <si>
    <t xml:space="preserve">Equipamento anormal - 2024. Inversor com alarme oscilando geração e não atinge potência nominal. Em tratativa sob o chamado 15219180</t>
  </si>
  <si>
    <t xml:space="preserve">BC Varjao1.3215KTL-H0(MBUS-14)46061,372754629646061,372754629646061,3732986111</t>
  </si>
  <si>
    <t xml:space="preserve">Equipamento anormal - 2024. Inversor com alarme oscilando geração e não atinge potência nominal. Em tratativa sob o chamado 15219181</t>
  </si>
  <si>
    <t xml:space="preserve">BC Varjao1.3215KTL-H0(MBUS-14)46061,361122685246061,361122685246061,3616435185</t>
  </si>
  <si>
    <t xml:space="preserve">Equipamento anormal - 2024. Inversor com alarme oscilando geração e não atinge potência nominal. Em tratativa sob o chamado 15219182</t>
  </si>
  <si>
    <t xml:space="preserve">BC Varjao1.3215KTL-H0(MBUS-14)46061,349293981546061,349293981546061,3498032407</t>
  </si>
  <si>
    <t xml:space="preserve">Equipamento anormal - 2024. Inversor com alarme oscilando geração e não atinge potência nominal. Em tratativa sob o chamado 15219183</t>
  </si>
  <si>
    <t xml:space="preserve">BC Varjao1.3215KTL-H0(MBUS-14)46061,338032407446061,338032407446061,3385532407</t>
  </si>
  <si>
    <t xml:space="preserve">Equipamento anormal - 2024. Inversor com alarme oscilando geração e não atinge potência nominal. Em tratativa sob o chamado 15219184</t>
  </si>
  <si>
    <t xml:space="preserve">BC Varjao1.3215KTL-H0(MBUS-14)46061,240682870446061,240682870446061,2709490741</t>
  </si>
  <si>
    <t xml:space="preserve">Equipamento anormal - 2024. Inversor com alarme oscilando geração e não atinge potência nominal. Em tratativa sob o chamado 15219185</t>
  </si>
  <si>
    <t xml:space="preserve">BC Varjao1.3215KTL-H0(MBUS-14)46061,240289351946061,240289351946061,2709490741</t>
  </si>
  <si>
    <t xml:space="preserve">Equipamento anormal - 2024. Inversor com alarme oscilando geração e não atinge potência nominal. Em tratativa sob o chamado 15219186</t>
  </si>
  <si>
    <t xml:space="preserve">BC Varjao1.3215KTL-H0(MBUS-14)46060,7487546060,7487546060,788287037</t>
  </si>
  <si>
    <t xml:space="preserve">Equipamento anormal - 2024. Inversor com alarme oscilando geração e não atinge potência nominal. Em tratativa sob o chamado 15219187</t>
  </si>
  <si>
    <t xml:space="preserve">BC Varjao1.3215KTL-H0(MBUS-14)46060,747442129646060,747442129646060,7479513889</t>
  </si>
  <si>
    <t xml:space="preserve">Equipamento anormal - 2024. Inversor com alarme oscilando geração e não atinge potência nominal. Em tratativa sob o chamado 15219188</t>
  </si>
  <si>
    <t xml:space="preserve">BC Varjao1.3215KTL-H0(MBUS-14)46060,626307870446060,626307870446060,6268055556</t>
  </si>
  <si>
    <t xml:space="preserve">Equipamento anormal - 2024. Inversor com alarme oscilando geração e não atinge potência nominal. Em tratativa sob o chamado 15219189</t>
  </si>
  <si>
    <t xml:space="preserve">BC Varjao1.3215KTL-H0(MBUS-14)46060,601747685246060,601747685246060,6022685185</t>
  </si>
  <si>
    <t xml:space="preserve">Equipamento anormal - 2024. Inversor com alarme oscilando geração e não atinge potência nominal. Em tratativa sob o chamado 15219190</t>
  </si>
  <si>
    <t xml:space="preserve">BC Varjao1.3215KTL-H0(MBUS-14)46060,576863425946060,576863425946060,5773842593</t>
  </si>
  <si>
    <t xml:space="preserve">Equipamento anormal - 2024. Inversor com alarme oscilando geração e não atinge potência nominal. Em tratativa sob o chamado 15219191</t>
  </si>
  <si>
    <t xml:space="preserve">BC Varjao1.3215KTL-H0(MBUS-14)46060,565983796346060,565983796346060,5665046296</t>
  </si>
  <si>
    <t xml:space="preserve">Equipamento anormal - 2024. Inversor com alarme oscilando geração e não atinge potência nominal. Em tratativa sob o chamado 15219192</t>
  </si>
  <si>
    <t xml:space="preserve">BC Varjao1.3215KTL-H0(MBUS-14)46060,549351851846060,549351851846060,5498958333</t>
  </si>
  <si>
    <t xml:space="preserve">Equipamento anormal - 2024. Inversor com alarme oscilando geração e não atinge potência nominal. Em tratativa sob o chamado 15219193</t>
  </si>
  <si>
    <t xml:space="preserve">BC Varjao1.3215KTL-H0(MBUS-14)46060,53609953746060,53609953746060,5387731481</t>
  </si>
  <si>
    <t xml:space="preserve">Equipamento anormal - 2024. Inversor com alarme oscilando geração e não atinge potência nominal. Em tratativa sob o chamado 15219194</t>
  </si>
  <si>
    <t xml:space="preserve">BC Varjao1.3215KTL-H0(MBUS-14)46060,521759259346060,521759259346060,5227314815</t>
  </si>
  <si>
    <t xml:space="preserve">Equipamento anormal - 2024. Inversor com alarme oscilando geração e não atinge potência nominal. Em tratativa sob o chamado 15219195</t>
  </si>
  <si>
    <t xml:space="preserve">BC Varjao1.3215KTL-H0(MBUS-14)46060,519884259346060,519884259346060,5204282407</t>
  </si>
  <si>
    <t xml:space="preserve">Equipamento anormal - 2024. Inversor com alarme oscilando geração e não atinge potência nominal. Em tratativa sob o chamado 15219196</t>
  </si>
  <si>
    <t xml:space="preserve">BC Varjao1.3215KTL-H0(MBUS-14)46060,501747685246060,501747685246060,5022916667</t>
  </si>
  <si>
    <t xml:space="preserve">Equipamento anormal - 2024. Inversor com alarme oscilando geração e não atinge potência nominal. Em tratativa sob o chamado 15219197</t>
  </si>
  <si>
    <t xml:space="preserve">BC Varjao1.3215KTL-H0(MBUS-14)46060,489340277846060,489340277846060,4898842593</t>
  </si>
  <si>
    <t xml:space="preserve">Equipamento anormal - 2024. Inversor com alarme oscilando geração e não atinge potência nominal. Em tratativa sob o chamado 15219198</t>
  </si>
  <si>
    <t xml:space="preserve">BC Varjao1.3215KTL-H0(MBUS-14)46060,476886574146060,476886574146060,4774305556</t>
  </si>
  <si>
    <t xml:space="preserve">Equipamento anormal - 2024. Inversor com alarme oscilando geração e não atinge potência nominal. Em tratativa sob o chamado 15219199</t>
  </si>
  <si>
    <t xml:space="preserve">BC Varjao1.3215KTL-H0(MBUS-14)46060,463414351846060,463414351846060,4639583333</t>
  </si>
  <si>
    <t xml:space="preserve">Equipamento anormal - 2024. Inversor com alarme oscilando geração e não atinge potência nominal. Em tratativa sob o chamado 15219200</t>
  </si>
  <si>
    <t xml:space="preserve">BC Varjao1.3215KTL-H0(MBUS-14)46060,450196759346060,450196759346060,4509606482</t>
  </si>
  <si>
    <t xml:space="preserve">Equipamento anormal - 2024. Inversor com alarme oscilando geração e não atinge potência nominal. Em tratativa sob o chamado 15219201</t>
  </si>
  <si>
    <t xml:space="preserve">BC Varjao1.3215KTL-H0(MBUS-14)46060,441365740746060,441365740746060,4419097222</t>
  </si>
  <si>
    <t xml:space="preserve">Equipamento anormal - 2024. Inversor com alarme oscilando geração e não atinge potência nominal. Em tratativa sob o chamado 15219202</t>
  </si>
  <si>
    <t xml:space="preserve">BC Varjao1.3215KTL-H0(MBUS-14)46060,426678240746060,426678240746060,4272106482</t>
  </si>
  <si>
    <t xml:space="preserve">Equipamento anormal - 2024. Inversor com alarme oscilando geração e não atinge potência nominal. Em tratativa sob o chamado 15219203</t>
  </si>
  <si>
    <t xml:space="preserve">BC Varjao1.3215KTL-H0(MBUS-14)46060,415335648146060,415335648146060,4164699074</t>
  </si>
  <si>
    <t xml:space="preserve">Equipamento anormal - 2024. Inversor com alarme oscilando geração e não atinge potência nominal. Em tratativa sob o chamado 15219204</t>
  </si>
  <si>
    <t xml:space="preserve">BC Varjao1.3215KTL-H0(MBUS-14)46060,399398148146060,399398148146060,4017013889</t>
  </si>
  <si>
    <t xml:space="preserve">Equipamento anormal - 2024. Inversor com alarme oscilando geração e não atinge potência nominal. Em tratativa sob o chamado 15219205</t>
  </si>
  <si>
    <t xml:space="preserve">BC Varjao1.3215KTL-H0(MBUS-14)46060,375324074146060,375324074146060,3762962963</t>
  </si>
  <si>
    <t xml:space="preserve">Equipamento anormal - 2024. Inversor com alarme oscilando geração e não atinge potência nominal. Em tratativa sob o chamado 15219206</t>
  </si>
  <si>
    <t xml:space="preserve">BC Varjao1.3215KTL-H0(MBUS-14)46060,373993055646060,373993055646060,374849537</t>
  </si>
  <si>
    <t xml:space="preserve">Equipamento anormal - 2024. Inversor com alarme oscilando geração e não atinge potência nominal. Em tratativa sob o chamado 15219207</t>
  </si>
  <si>
    <t xml:space="preserve">BC Varjao1.3215KTL-H0(MBUS-14)46060,364930555646060,364930555646060,3654861111</t>
  </si>
  <si>
    <t xml:space="preserve">Equipamento anormal - 2024. Inversor com alarme oscilando geração e não atinge potência nominal. Em tratativa sob o chamado 15219208</t>
  </si>
  <si>
    <t xml:space="preserve">BC Varjao1.3215KTL-H0(MBUS-14)46060,344444444446060,344444444446060,3449884259</t>
  </si>
  <si>
    <t xml:space="preserve">Equipamento anormal - 2024. Inversor com alarme oscilando geração e não atinge potência nominal. Em tratativa sob o chamado 15219209</t>
  </si>
  <si>
    <t xml:space="preserve">BC Varjao1.3215KTL-H0(MBUS-14)46060,329039351946060,329039351946060,3295833333</t>
  </si>
  <si>
    <t xml:space="preserve">Equipamento anormal - 2024. Inversor com alarme oscilando geração e não atinge potência nominal. Em tratativa sob o chamado 15219210</t>
  </si>
  <si>
    <t xml:space="preserve">BC Varjao1.3215KTL-H0(MBUS-14)46060,314340277846060,314340277846060,3148611111</t>
  </si>
  <si>
    <t xml:space="preserve">Equipamento anormal - 2024. Inversor com alarme oscilando geração e não atinge potência nominal. Em tratativa sob o chamado 15219211</t>
  </si>
  <si>
    <t xml:space="preserve">BC Varjao1.3215KTL-H0(MBUS-14)46060,307569444446060,307569444446060,3081481481</t>
  </si>
  <si>
    <t xml:space="preserve">Equipamento anormal - 2024. Inversor com alarme oscilando geração e não atinge potência nominal. Em tratativa sob o chamado 15219212</t>
  </si>
  <si>
    <t xml:space="preserve">BC Varjao1.3215KTL-H0(MBUS-14)46060,302407407446060,302407407446060,3031712963</t>
  </si>
  <si>
    <t xml:space="preserve">Equipamento anormal - 2024. Inversor com alarme oscilando geração e não atinge potência nominal. Em tratativa sob o chamado 15219213</t>
  </si>
  <si>
    <t xml:space="preserve">BC Varjao1.3215KTL-H0(MBUS-14)46060,293159722246060,293159722246060,2938773148</t>
  </si>
  <si>
    <t xml:space="preserve">Equipamento anormal - 2024. Inversor com alarme oscilando geração e não atinge potência nominal. Em tratativa sob o chamado 15219214</t>
  </si>
  <si>
    <t xml:space="preserve">BC Varjao1.3215KTL-H0(MBUS-14)46060,285451388946060,285451388946060,2860185185</t>
  </si>
  <si>
    <t xml:space="preserve">Equipamento anormal - 2024. Inversor com alarme oscilando geração e não atinge potência nominal. Em tratativa sob o chamado 15219215</t>
  </si>
  <si>
    <t xml:space="preserve">BC Varjao1.3215KTL-H0(MBUS-14)46060,235509259346060,235509259346060,2628472222</t>
  </si>
  <si>
    <t xml:space="preserve">Equipamento anormal - 2024. Inversor com alarme oscilando geração e não atinge potência nominal. Em tratativa sob o chamado 15219216</t>
  </si>
  <si>
    <t xml:space="preserve">BC Varjao1.3215KTL-H0(MBUS-14)46060,235115740746060,235115740746060,2628472222</t>
  </si>
  <si>
    <t xml:space="preserve">Equipamento anormal - 2024. Inversor com alarme oscilando geração e não atinge potência nominal. Em tratativa sob o chamado 15219217</t>
  </si>
  <si>
    <t xml:space="preserve">BC Varjao1.3215KTL-H0(MBUS-14)46059,760497685246059,760497685246059,7620023148</t>
  </si>
  <si>
    <t xml:space="preserve">Equipamento anormal - 2024. Inversor com alarme oscilando geração e não atinge potência nominal. Em tratativa sob o chamado 15219218</t>
  </si>
  <si>
    <t xml:space="preserve">BC Varjao1.3215KTL-H0(MBUS-14)46059,702997685246059,702997685246059,7043981481</t>
  </si>
  <si>
    <t xml:space="preserve">Equipamento anormal - 2024. Inversor com alarme oscilando geração e não atinge potência nominal. Em tratativa sob o chamado 15219219</t>
  </si>
  <si>
    <t xml:space="preserve">BC Varjao1.3215KTL-H0(MBUS-14)46059,686342592646059,686342592646059,6868865741</t>
  </si>
  <si>
    <t xml:space="preserve">Equipamento anormal - 2024. Inversor com alarme oscilando geração e não atinge potência nominal. Em tratativa sob o chamado 15219220</t>
  </si>
  <si>
    <t xml:space="preserve">BC Varjao1.3215KTL-H0(MBUS-14)46059,674918981546059,674918981546059,6754513889</t>
  </si>
  <si>
    <t xml:space="preserve">Equipamento anormal - 2024. Inversor com alarme oscilando geração e não atinge potência nominal. Em tratativa sob o chamado 15219221</t>
  </si>
  <si>
    <t xml:space="preserve">BC Varjao1.3215KTL-H0(MBUS-14)46059,652453703746059,652453703746059,6529976852</t>
  </si>
  <si>
    <t xml:space="preserve">Equipamento anormal - 2024. Inversor com alarme oscilando geração e não atinge potência nominal. Em tratativa sob o chamado 15219222</t>
  </si>
  <si>
    <t xml:space="preserve">BC Varjao1.3215KTL-H0(MBUS-14)46059,63890046346059,63890046346059,6394444444</t>
  </si>
  <si>
    <t xml:space="preserve">Equipamento anormal - 2024. Inversor com alarme oscilando geração e não atinge potência nominal. Em tratativa sob o chamado 15219223</t>
  </si>
  <si>
    <t xml:space="preserve">BC Varjao1.3215KTL-H0(MBUS-14)46059,623657407446059,623657407446059,624212963</t>
  </si>
  <si>
    <t xml:space="preserve">Equipamento anormal - 2024. Inversor com alarme oscilando geração e não atinge potência nominal. Em tratativa sob o chamado 15219224</t>
  </si>
  <si>
    <t xml:space="preserve">BC Varjao1.3215KTL-H0(MBUS-14)46059,612488425946059,612488425946059,6130324074</t>
  </si>
  <si>
    <t xml:space="preserve">Equipamento anormal - 2024. Inversor com alarme oscilando geração e não atinge potência nominal. Em tratativa sob o chamado 15219225</t>
  </si>
  <si>
    <t xml:space="preserve">BC Varjao1.3215KTL-H0(MBUS-14)46059,595011574146059,595011574146059,5955439815</t>
  </si>
  <si>
    <t xml:space="preserve">Equipamento anormal - 2024. Inversor com alarme oscilando geração e não atinge potência nominal. Em tratativa sob o chamado 15219226</t>
  </si>
  <si>
    <t xml:space="preserve">BC Varjao1.3215KTL-H0(MBUS-14)46059,582534722246059,582534722246059,5830787037</t>
  </si>
  <si>
    <t xml:space="preserve">Equipamento anormal - 2024. Inversor com alarme oscilando geração e não atinge potência nominal. Em tratativa sob o chamado 15219227</t>
  </si>
  <si>
    <t xml:space="preserve">BC Varjao1.3215KTL-H0(MBUS-14)46059,573067129646059,573067129646059,5736111111</t>
  </si>
  <si>
    <t xml:space="preserve">Equipamento anormal - 2024. Inversor com alarme oscilando geração e não atinge potência nominal. Em tratativa sob o chamado 15219228</t>
  </si>
  <si>
    <t xml:space="preserve">BC Varjao1.3215KTL-H0(MBUS-14)46059,564351851946059,564351851946059,5648958333</t>
  </si>
  <si>
    <t xml:space="preserve">Equipamento anormal - 2024. Inversor com alarme oscilando geração e não atinge potência nominal. Em tratativa sob o chamado 15219229</t>
  </si>
  <si>
    <t xml:space="preserve">BC Varjao1.3215KTL-H0(MBUS-14)46059,538368055646059,538368055646059,5389699074</t>
  </si>
  <si>
    <t xml:space="preserve">Equipamento anormal - 2024. Inversor com alarme oscilando geração e não atinge potência nominal. Em tratativa sob o chamado 15219230</t>
  </si>
  <si>
    <t xml:space="preserve">BC Varjao1.3215KTL-H0(MBUS-14)46059,523645833346059,523645833346059,5242824074</t>
  </si>
  <si>
    <t xml:space="preserve">Equipamento anormal - 2024. Inversor com alarme oscilando geração e não atinge potência nominal. Em tratativa sob o chamado 15219231</t>
  </si>
  <si>
    <t xml:space="preserve">BC Varjao1.3215KTL-H0(MBUS-14)46059,514317129646059,514317129646059,5148726852</t>
  </si>
  <si>
    <t xml:space="preserve">Equipamento anormal - 2024. Inversor com alarme oscilando geração e não atinge potência nominal. Em tratativa sob o chamado 15219232</t>
  </si>
  <si>
    <t xml:space="preserve">BC Varjao1.3215KTL-H0(MBUS-14)46059,502847222246059,502847222246059,5033912037</t>
  </si>
  <si>
    <t xml:space="preserve">Equipamento anormal - 2024. Inversor com alarme oscilando geração e não atinge potência nominal. Em tratativa sob o chamado 15219233</t>
  </si>
  <si>
    <t xml:space="preserve">BC Varjao1.3215KTL-H0(MBUS-14)46059,492523148146059,492523148146059,4930671296</t>
  </si>
  <si>
    <t xml:space="preserve">Equipamento anormal - 2024. Inversor com alarme oscilando geração e não atinge potência nominal. Em tratativa sob o chamado 15219234</t>
  </si>
  <si>
    <t xml:space="preserve">BC Varjao1.3215KTL-H0(MBUS-14)46059,467384259346059,467384259346059,4679513889</t>
  </si>
  <si>
    <t xml:space="preserve">Equipamento anormal - 2024. Inversor com alarme oscilando geração e não atinge potência nominal. Em tratativa sob o chamado 15219235</t>
  </si>
  <si>
    <t xml:space="preserve">BC Varjao1.3215KTL-H0(MBUS-14)46059,444826388946059,444826388946059,4476388889</t>
  </si>
  <si>
    <t xml:space="preserve">Equipamento anormal - 2024. Inversor com alarme oscilando geração e não atinge potência nominal. Em tratativa sob o chamado 15219236</t>
  </si>
  <si>
    <t xml:space="preserve">BC Varjao1.3215KTL-H0(MBUS-14)46059,443518518546059,443518518546059,4443171296</t>
  </si>
  <si>
    <t xml:space="preserve">Equipamento anormal - 2024. Inversor com alarme oscilando geração e não atinge potência nominal. Em tratativa sob o chamado 15219237</t>
  </si>
  <si>
    <t xml:space="preserve">BC Varjao1.3215KTL-H0(MBUS-14)46059,434942129646059,434942129646059,4355555556</t>
  </si>
  <si>
    <t xml:space="preserve">Equipamento anormal - 2024. Inversor com alarme oscilando geração e não atinge potência nominal. Em tratativa sob o chamado 15219238</t>
  </si>
  <si>
    <t xml:space="preserve">BC Varjao1.3215KTL-H0(MBUS-14)46059,428958333346059,428958333346059,4302083333</t>
  </si>
  <si>
    <t xml:space="preserve">Equipamento anormal - 2024. Inversor com alarme oscilando geração e não atinge potência nominal. Em tratativa sob o chamado 15219239</t>
  </si>
  <si>
    <t xml:space="preserve">BC Varjao1.3215KTL-H0(MBUS-14)46059,425879629646059,425879629646059,4264467593</t>
  </si>
  <si>
    <t xml:space="preserve">Equipamento anormal - 2024. Inversor com alarme oscilando geração e não atinge potência nominal. Em tratativa sob o chamado 15219240</t>
  </si>
  <si>
    <t xml:space="preserve">BC Varjao1.3215KTL-H0(MBUS-14)46059,417835648146059,417835648146059,4183796296</t>
  </si>
  <si>
    <t xml:space="preserve">Equipamento anormal - 2024. Inversor com alarme oscilando geração e não atinge potência nominal. Em tratativa sob o chamado 15219241</t>
  </si>
  <si>
    <t xml:space="preserve">BC Varjao1.3215KTL-H0(MBUS-14)46059,408726851846059,408726851846059,4108449074</t>
  </si>
  <si>
    <t xml:space="preserve">Equipamento anormal - 2024. Inversor com alarme oscilando geração e não atinge potência nominal. Em tratativa sob o chamado 15219242</t>
  </si>
  <si>
    <t xml:space="preserve">BC Varjao1.3215KTL-H0(MBUS-14)46059,396319444446059,396319444446059,3970023148</t>
  </si>
  <si>
    <t xml:space="preserve">Equipamento anormal - 2024. Inversor com alarme oscilando geração e não atinge potência nominal. Em tratativa sob o chamado 15219243</t>
  </si>
  <si>
    <t xml:space="preserve">BC Varjao1.3215KTL-H0(MBUS-14)46059,382361111146059,382361111146059,3828819444</t>
  </si>
  <si>
    <t xml:space="preserve">Equipamento anormal - 2024. Inversor com alarme oscilando geração e não atinge potência nominal. Em tratativa sob o chamado 15219244</t>
  </si>
  <si>
    <t xml:space="preserve">BC Varjao1.3215KTL-H0(MBUS-14)46059,360347222246059,360347222246059,3619907407</t>
  </si>
  <si>
    <t xml:space="preserve">Equipamento anormal - 2024. Inversor com alarme oscilando geração e não atinge potência nominal. Em tratativa sob o chamado 15219245</t>
  </si>
  <si>
    <t xml:space="preserve">BC Varjao1.3215KTL-H0(MBUS-14)46059,356481481546059,356481481546059,3576273148</t>
  </si>
  <si>
    <t xml:space="preserve">Equipamento anormal - 2024. Inversor com alarme oscilando geração e não atinge potência nominal. Em tratativa sob o chamado 15219246</t>
  </si>
  <si>
    <t xml:space="preserve">BC Varjao1.3215KTL-H0(MBUS-14)46059,326423611146059,326423611146059,3269675926</t>
  </si>
  <si>
    <t xml:space="preserve">Equipamento anormal - 2024. Inversor com alarme oscilando geração e não atinge potência nominal. Em tratativa sob o chamado 15219247</t>
  </si>
  <si>
    <t xml:space="preserve">BC Varjao1.3215KTL-H0(MBUS-14)46059,31140046346059,31140046346059,3125</t>
  </si>
  <si>
    <t xml:space="preserve">Equipamento anormal - 2024. Inversor com alarme oscilando geração e não atinge potência nominal. Em tratativa sob o chamado 15219248</t>
  </si>
  <si>
    <t xml:space="preserve">BC Varjao1.3215KTL-H0(MBUS-14)46059,301701388946059,301701388946059,3022222222</t>
  </si>
  <si>
    <t xml:space="preserve">Equipamento anormal - 2024. Inversor com alarme oscilando geração e não atinge potência nominal. Em tratativa sob o chamado 15219249</t>
  </si>
  <si>
    <t xml:space="preserve">BC Varjao1.3215KTL-H0(MBUS-14)46059,294930555646059,294930555646059,295474537</t>
  </si>
  <si>
    <t xml:space="preserve">Equipamento anormal - 2024. Inversor com alarme oscilando geração e não atinge potência nominal. Em tratativa sob o chamado 15219250</t>
  </si>
  <si>
    <t xml:space="preserve">BC Varjao1.3215KTL-H0(MBUS-14)46059,28672453746059,28672453746059,2874421296</t>
  </si>
  <si>
    <t xml:space="preserve">Equipamento anormal - 2024. Inversor com alarme oscilando geração e não atinge potência nominal. Em tratativa sob o chamado 15219251</t>
  </si>
  <si>
    <t xml:space="preserve">BC Varjao1.3215KTL-H0(MBUS-14)46059,278993055646059,278993055646059,2794907407</t>
  </si>
  <si>
    <t xml:space="preserve">Equipamento anormal - 2024. Inversor com alarme oscilando geração e não atinge potência nominal. Em tratativa sob o chamado 15219252</t>
  </si>
  <si>
    <t xml:space="preserve">BC Varjao1.3215KTL-H0(MBUS-14)46059,236597222246059,236597222246059,2643287037</t>
  </si>
  <si>
    <t xml:space="preserve">Equipamento anormal - 2024. Inversor com alarme oscilando geração e não atinge potência nominal. Em tratativa sob o chamado 15219253</t>
  </si>
  <si>
    <t xml:space="preserve">BC Varjao1.3215KTL-H0(MBUS-14)46059,236215277846059,236215277846059,2643287037</t>
  </si>
  <si>
    <t xml:space="preserve">Equipamento anormal - 2024. Inversor com alarme oscilando geração e não atinge potência nominal. Em tratativa sob o chamado 15219254</t>
  </si>
  <si>
    <t xml:space="preserve">BC Varjao1.3215KTL-H0(MBUS-14)46058,771597222246058,771597222246058,7927546296</t>
  </si>
  <si>
    <t xml:space="preserve">Equipamento anormal - 2024. Inversor com alarme oscilando geração e não atinge potência nominal. Em tratativa sob o chamado 15219255</t>
  </si>
  <si>
    <t xml:space="preserve">BC Varjao1.3215KTL-H0(MBUS-14)46058,77047453746058,77047453746058,7710069444</t>
  </si>
  <si>
    <t xml:space="preserve">Equipamento anormal - 2024. Inversor com alarme oscilando geração e não atinge potência nominal. Em tratativa sob o chamado 15219256</t>
  </si>
  <si>
    <t xml:space="preserve">BC Varjao1.3215KTL-H0(MBUS-14)46058,739293981546058,739293981546058,7398263889</t>
  </si>
  <si>
    <t xml:space="preserve">Equipamento anormal - 2024. Inversor com alarme oscilando geração e não atinge potência nominal. Em tratativa sob o chamado 15219257</t>
  </si>
  <si>
    <t xml:space="preserve">BC Varjao1.3215KTL-H0(MBUS-14)46058,724872685246058,724872685246058,7254166667</t>
  </si>
  <si>
    <t xml:space="preserve">Equipamento anormal - 2024. Inversor com alarme oscilando geração e não atinge potência nominal. Em tratativa sob o chamado 15219258</t>
  </si>
  <si>
    <t xml:space="preserve">BC Varjao1.3215KTL-H0(MBUS-14)46058,715891203746058,715891203746058,716400463</t>
  </si>
  <si>
    <t xml:space="preserve">Equipamento anormal - 2024. Inversor com alarme oscilando geração e não atinge potência nominal. Em tratativa sob o chamado 15219259</t>
  </si>
  <si>
    <t xml:space="preserve">BC Varjao1.3215KTL-H0(MBUS-14)46058,70890046346058,70890046346058,7094444444</t>
  </si>
  <si>
    <t xml:space="preserve">Equipamento anormal - 2024. Inversor com alarme oscilando geração e não atinge potência nominal. Em tratativa sob o chamado 15219260</t>
  </si>
  <si>
    <t xml:space="preserve">BC Varjao1.3215KTL-H0(MBUS-14)46058,66640046346058,66640046346058,6668981481</t>
  </si>
  <si>
    <t xml:space="preserve">Equipamento anormal - 2024. Inversor com alarme oscilando geração e não atinge potência nominal. Em tratativa sob o chamado 15219261</t>
  </si>
  <si>
    <t xml:space="preserve">BC Varjao1.3215KTL-H0(MBUS-14)46058,593263888946058,593263888946058,5937847222</t>
  </si>
  <si>
    <t xml:space="preserve">Equipamento anormal - 2024. Inversor com alarme oscilando geração e não atinge potência nominal. Em tratativa sob o chamado 15219262</t>
  </si>
  <si>
    <t xml:space="preserve">BC Varjao1.3215KTL-H0(MBUS-14)46058,584166666746058,584166666746058,5846875</t>
  </si>
  <si>
    <t xml:space="preserve">Equipamento anormal - 2024. Inversor com alarme oscilando geração e não atinge potência nominal. Em tratativa sob o chamado 15219263</t>
  </si>
  <si>
    <t xml:space="preserve">BC Varjao1.3215KTL-H0(MBUS-14)46058,576238425946058,576238425946058,5767824074</t>
  </si>
  <si>
    <t xml:space="preserve">Equipamento anormal - 2024. Inversor com alarme oscilando geração e não atinge potência nominal. Em tratativa sob o chamado 15219264</t>
  </si>
  <si>
    <t xml:space="preserve">BC Varjao1.3215KTL-H0(MBUS-14)46058,545543981546058,545543981546058,546099537</t>
  </si>
  <si>
    <t xml:space="preserve">Equipamento anormal - 2024. Inversor com alarme oscilando geração e não atinge potência nominal. Em tratativa sob o chamado 15219265</t>
  </si>
  <si>
    <t xml:space="preserve">BC Varjao1.3215KTL-H0(MBUS-14)46058,530405092646058,530405092646058,5309490741</t>
  </si>
  <si>
    <t xml:space="preserve">Equipamento anormal - 2024. Inversor com alarme oscilando geração e não atinge potência nominal. Em tratativa sob o chamado 15219266</t>
  </si>
  <si>
    <t xml:space="preserve">BC Varjao1.3215KTL-H0(MBUS-14)46058,516064814846058,516064814846058,5166203704</t>
  </si>
  <si>
    <t xml:space="preserve">Equipamento anormal - 2024. Inversor com alarme oscilando geração e não atinge potência nominal. Em tratativa sob o chamado 15219267</t>
  </si>
  <si>
    <t xml:space="preserve">BC Varjao1.3215KTL-H0(MBUS-14)46058,502766203746058,502766203746058,503287037</t>
  </si>
  <si>
    <t xml:space="preserve">Equipamento anormal - 2024. Inversor com alarme oscilando geração e não atinge potência nominal. Em tratativa sob o chamado 15219268</t>
  </si>
  <si>
    <t xml:space="preserve">BC Varjao1.3215KTL-H0(MBUS-14)46058,492777777846058,492777777846058,4932986111</t>
  </si>
  <si>
    <t xml:space="preserve">Equipamento anormal - 2024. Inversor com alarme oscilando geração e não atinge potência nominal. Em tratativa sob o chamado 15219269</t>
  </si>
  <si>
    <t xml:space="preserve">BC Varjao1.3215KTL-H0(MBUS-14)46058,483506944446058,483506944446058,4840046296</t>
  </si>
  <si>
    <t xml:space="preserve">Equipamento anormal - 2024. Inversor com alarme oscilando geração e não atinge potência nominal. Em tratativa sob o chamado 15219270</t>
  </si>
  <si>
    <t xml:space="preserve">BC Varjao1.3215KTL-H0(MBUS-14)46058,470046296346058,470046296346058,4705671296</t>
  </si>
  <si>
    <t xml:space="preserve">Equipamento anormal - 2024. Inversor com alarme oscilando geração e não atinge potência nominal. Em tratativa sob o chamado 15219271</t>
  </si>
  <si>
    <t xml:space="preserve">BC Varjao1.3215KTL-H0(MBUS-14)46058,457858796346058,457858796346058,4583680556</t>
  </si>
  <si>
    <t xml:space="preserve">Equipamento anormal - 2024. Inversor com alarme oscilando geração e não atinge potência nominal. Em tratativa sob o chamado 15219272</t>
  </si>
  <si>
    <t xml:space="preserve">BC Varjao1.3215KTL-H0(MBUS-14)46058,446840277846058,446840277846058,4473611111</t>
  </si>
  <si>
    <t xml:space="preserve">Equipamento anormal - 2024. Inversor com alarme oscilando geração e não atinge potência nominal. Em tratativa sob o chamado 15219273</t>
  </si>
  <si>
    <t xml:space="preserve">BC Varjao1.3215KTL-H0(MBUS-14)46058,436354166746058,436354166746058,436875</t>
  </si>
  <si>
    <t xml:space="preserve">Equipamento anormal - 2024. Inversor com alarme oscilando geração e não atinge potência nominal. Em tratativa sob o chamado 15219274</t>
  </si>
  <si>
    <t xml:space="preserve">BC Varjao1.3215KTL-H0(MBUS-14)46058,42828703746058,42828703746058,4288078704</t>
  </si>
  <si>
    <t xml:space="preserve">Equipamento anormal - 2024. Inversor com alarme oscilando geração e não atinge potência nominal. Em tratativa sob o chamado 15219275</t>
  </si>
  <si>
    <t xml:space="preserve">BC Varjao1.3215KTL-H0(MBUS-14)46058,40891203746058,40891203746058,4094444444</t>
  </si>
  <si>
    <t xml:space="preserve">Equipamento anormal - 2024. Inversor com alarme oscilando geração e não atinge potência nominal. Em tratativa sob o chamado 15219276</t>
  </si>
  <si>
    <t xml:space="preserve">BC Varjao1.3215KTL-H0(MBUS-14)46058,394363425946058,394363425946058,3949074074</t>
  </si>
  <si>
    <t xml:space="preserve">Equipamento anormal - 2024. Inversor com alarme oscilando geração e não atinge potência nominal. Em tratativa sob o chamado 15219277</t>
  </si>
  <si>
    <t xml:space="preserve">BC Varjao1.3215KTL-H0(MBUS-14)46058,386203703746058,386203703746058,3867592593</t>
  </si>
  <si>
    <t xml:space="preserve">Equipamento anormal - 2024. Inversor com alarme oscilando geração e não atinge potência nominal. Em tratativa sob o chamado 15219278</t>
  </si>
  <si>
    <t xml:space="preserve">BC Varjao1.3215KTL-H0(MBUS-14)46058,374178240746058,374178240746058,3746875</t>
  </si>
  <si>
    <t xml:space="preserve">Equipamento anormal - 2024. Inversor com alarme oscilando geração e não atinge potência nominal. Em tratativa sob o chamado 15219279</t>
  </si>
  <si>
    <t xml:space="preserve">BC Varjao1.3215KTL-H0(MBUS-14)46058,362465277846058,362465277846058,3629861111</t>
  </si>
  <si>
    <t xml:space="preserve">Equipamento anormal - 2024. Inversor com alarme oscilando geração e não atinge potência nominal. Em tratativa sob o chamado 15219280</t>
  </si>
  <si>
    <t xml:space="preserve">BC Varjao1.3215KTL-H0(MBUS-14)46058,340428240746058,340428240746058,3409722222</t>
  </si>
  <si>
    <t xml:space="preserve">Equipamento anormal - 2024. Inversor com alarme oscilando geração e não atinge potência nominal. Em tratativa sob o chamado 15219281</t>
  </si>
  <si>
    <t xml:space="preserve">BC Varjao1.3215KTL-H0(MBUS-14)46058,298680555646058,298680555646058,2992708333</t>
  </si>
  <si>
    <t xml:space="preserve">Equipamento anormal - 2024. Inversor com alarme oscilando geração e não atinge potência nominal. Em tratativa sob o chamado 15219282</t>
  </si>
  <si>
    <t xml:space="preserve">BC Varjao1.3215KTL-H0(MBUS-14)46058,296145833346058,296145833346058,2967592593</t>
  </si>
  <si>
    <t xml:space="preserve">Equipamento anormal - 2024. Inversor com alarme oscilando geração e não atinge potência nominal. Em tratativa sob o chamado 15219283</t>
  </si>
  <si>
    <t xml:space="preserve">BC Varjao1.3215KTL-H0(MBUS-14)46058,287719907446058,287719907446058,2888657407</t>
  </si>
  <si>
    <t xml:space="preserve">Equipamento anormal - 2024. Inversor com alarme oscilando geração e não atinge potência nominal. Em tratativa sob o chamado 15219284</t>
  </si>
  <si>
    <t xml:space="preserve">BC Varjao1.3215KTL-H0(MBUS-14)46058,283773148146058,283773148146058,2843055556</t>
  </si>
  <si>
    <t xml:space="preserve">Equipamento anormal - 2024. Inversor com alarme oscilando geração e não atinge potência nominal. Em tratativa sob o chamado 15219285</t>
  </si>
  <si>
    <t xml:space="preserve">BC Varjao1.3215KTL-H0(MBUS-14)46058,242465277846058,242465277846058,2757523148</t>
  </si>
  <si>
    <t xml:space="preserve">Equipamento anormal - 2024. Inversor com alarme oscilando geração e não atinge potência nominal. Em tratativa sob o chamado 15219286</t>
  </si>
  <si>
    <t xml:space="preserve">BC Varjao1.3215KTL-H0(MBUS-14)46058,242083333346058,242083333346058,2757638889</t>
  </si>
  <si>
    <t xml:space="preserve">Equipamento anormal - 2024. Inversor com alarme oscilando geração e não atinge potência nominal. Em tratativa sob o chamado 15219287</t>
  </si>
  <si>
    <t xml:space="preserve">BC Varjao1.3215KTL-H0(MBUS-14)46057,768726851846057,768726851846057,7719444444</t>
  </si>
  <si>
    <t xml:space="preserve">Equipamento anormal - 2024. Inversor com alarme oscilando geração e não atinge potência nominal. Em tratativa sob o chamado 15219288</t>
  </si>
  <si>
    <t xml:space="preserve">BC Varjao1.3215KTL-H0(MBUS-14)46057,704131944446057,704131944446057,7046527778</t>
  </si>
  <si>
    <t xml:space="preserve">Equipamento anormal - 2024. Inversor com alarme oscilando geração e não atinge potência nominal. Em tratativa sob o chamado 15219289</t>
  </si>
  <si>
    <t xml:space="preserve">BC Varjao1.3215KTL-H0(MBUS-14)46057,659942129646057,659942129646057,6604513889</t>
  </si>
  <si>
    <t xml:space="preserve">Equipamento anormal - 2024. Inversor com alarme oscilando geração e não atinge potência nominal. Em tratativa sob o chamado 15219290</t>
  </si>
  <si>
    <t xml:space="preserve">BC Varjao1.3215KTL-H0(MBUS-14)46057,646840277846057,646840277846057,647662037</t>
  </si>
  <si>
    <t xml:space="preserve">Equipamento anormal - 2024. Inversor com alarme oscilando geração e não atinge potência nominal. Em tratativa sob o chamado 15219291</t>
  </si>
  <si>
    <t xml:space="preserve">BC Varjao1.3215KTL-H0(MBUS-14)46057,641041666746057,641041666746057,6415740741</t>
  </si>
  <si>
    <t xml:space="preserve">Equipamento anormal - 2024. Inversor com alarme oscilando geração e não atinge potência nominal. Em tratativa sob o chamado 15219292</t>
  </si>
  <si>
    <t xml:space="preserve">BC Varjao1.3215KTL-H0(MBUS-14)46057,622997685246057,622997685246057,6235069444</t>
  </si>
  <si>
    <t xml:space="preserve">Equipamento anormal - 2024. Inversor com alarme oscilando geração e não atinge potência nominal. Em tratativa sob o chamado 15219293</t>
  </si>
  <si>
    <t xml:space="preserve">BC Varjao1.3215KTL-H0(MBUS-14)46057,613298611146057,613298611146057,6138425926</t>
  </si>
  <si>
    <t xml:space="preserve">Equipamento anormal - 2024. Inversor com alarme oscilando geração e não atinge potência nominal. Em tratativa sob o chamado 15219294</t>
  </si>
  <si>
    <t xml:space="preserve">BC Varjao1.3215KTL-H0(MBUS-14)46057,600127314846057,600127314846057,6006712963</t>
  </si>
  <si>
    <t xml:space="preserve">Equipamento anormal - 2024. Inversor com alarme oscilando geração e não atinge potência nominal. Em tratativa sob o chamado 15219295</t>
  </si>
  <si>
    <t xml:space="preserve">BC Varjao1.3215KTL-H0(MBUS-14)46057,589594907446057,589594907446057,5901388889</t>
  </si>
  <si>
    <t xml:space="preserve">Equipamento anormal - 2024. Inversor com alarme oscilando geração e não atinge potência nominal. Em tratativa sob o chamado 15219296</t>
  </si>
  <si>
    <t xml:space="preserve">BC Varjao1.3215KTL-H0(MBUS-14)46057,581597222246057,581597222246057,5820949074</t>
  </si>
  <si>
    <t xml:space="preserve">Equipamento anormal - 2024. Inversor com alarme oscilando geração e não atinge potência nominal. Em tratativa sob o chamado 15219297</t>
  </si>
  <si>
    <t xml:space="preserve">BC Varjao1.3215KTL-H0(MBUS-14)46057,566273148146057,566273148146057,5674189815</t>
  </si>
  <si>
    <t xml:space="preserve">Equipamento anormal - 2024. Inversor com alarme oscilando geração e não atinge potência nominal. Em tratativa sob o chamado 15219298</t>
  </si>
  <si>
    <t xml:space="preserve">BC Varjao1.3215KTL-H0(MBUS-14)46057,557523148146057,557523148146057,5580671296</t>
  </si>
  <si>
    <t xml:space="preserve">Equipamento anormal - 2024. Inversor com alarme oscilando geração e não atinge potência nominal. Em tratativa sob o chamado 15219299</t>
  </si>
  <si>
    <t xml:space="preserve">BC Varjao1.3215KTL-H0(MBUS-14)46057,547048611146057,547048611146057,5476157407</t>
  </si>
  <si>
    <t xml:space="preserve">Equipamento anormal - 2024. Inversor com alarme oscilando geração e não atinge potência nominal. Em tratativa sob o chamado 15219300</t>
  </si>
  <si>
    <t xml:space="preserve">BC Varjao1.3215KTL-H0(MBUS-14)46057,53172453746057,53172453746057,5323032407</t>
  </si>
  <si>
    <t xml:space="preserve">Equipamento anormal - 2024. Inversor com alarme oscilando geração e não atinge potência nominal. Em tratativa sob o chamado 15219301</t>
  </si>
  <si>
    <t xml:space="preserve">BC Varjao1.3215KTL-H0(MBUS-14)46057,520486111146057,520486111146057,5210300926</t>
  </si>
  <si>
    <t xml:space="preserve">Equipamento anormal - 2024. Inversor com alarme oscilando geração e não atinge potência nominal. Em tratativa sob o chamado 15219302</t>
  </si>
  <si>
    <t xml:space="preserve">BC Varjao1.3215KTL-H0(MBUS-14)46057,509131944446057,509131944446057,5096412037</t>
  </si>
  <si>
    <t xml:space="preserve">Equipamento anormal - 2024. Inversor com alarme oscilando geração e não atinge potência nominal. Em tratativa sob o chamado 15219303</t>
  </si>
  <si>
    <t xml:space="preserve">BC Varjao1.3215KTL-H0(MBUS-14)46057,499421296346057,499421296346057,4999421296</t>
  </si>
  <si>
    <t xml:space="preserve">Equipamento anormal - 2024. Inversor com alarme oscilando geração e não atinge potência nominal. Em tratativa sob o chamado 15219304</t>
  </si>
  <si>
    <t xml:space="preserve">BC Varjao1.3215KTL-H0(MBUS-14)46057,486516203746057,486516203746057,487025463</t>
  </si>
  <si>
    <t xml:space="preserve">Equipamento anormal - 2024. Inversor com alarme oscilando geração e não atinge potência nominal. Em tratativa sob o chamado 15219305</t>
  </si>
  <si>
    <t xml:space="preserve">BC Varjao1.3215KTL-H0(MBUS-14)46057,478761574146057,478761574146057,4792708333</t>
  </si>
  <si>
    <t xml:space="preserve">Equipamento anormal - 2024. Inversor com alarme oscilando geração e não atinge potência nominal. Em tratativa sob o chamado 15219306</t>
  </si>
  <si>
    <t xml:space="preserve">BC Varjao1.3215KTL-H0(MBUS-14)46057,470127314846057,470127314846057,4706481481</t>
  </si>
  <si>
    <t xml:space="preserve">Equipamento anormal - 2024. Inversor com alarme oscilando geração e não atinge potência nominal. Em tratativa sob o chamado 15219307</t>
  </si>
  <si>
    <t xml:space="preserve">BC Varjao1.3215KTL-H0(MBUS-14)46057,454282407446057,454282407446057,4547916667</t>
  </si>
  <si>
    <t xml:space="preserve">Equipamento anormal - 2024. Inversor com alarme oscilando geração e não atinge potência nominal. Em tratativa sob o chamado 15219308</t>
  </si>
  <si>
    <t xml:space="preserve">BC Varjao1.3215KTL-H0(MBUS-14)46057,433680555646057,433680555646057,4341898148</t>
  </si>
  <si>
    <t xml:space="preserve">Equipamento anormal - 2024. Inversor com alarme oscilando geração e não atinge potência nominal. Em tratativa sob o chamado 15219309</t>
  </si>
  <si>
    <t xml:space="preserve">BC Varjao1.3215KTL-H0(MBUS-14)46057,426388888946057,426388888946057,4269097222</t>
  </si>
  <si>
    <t xml:space="preserve">Equipamento anormal - 2024. Inversor com alarme oscilando geração e não atinge potência nominal. Em tratativa sob o chamado 15219310</t>
  </si>
  <si>
    <t xml:space="preserve">BC Varjao1.3215KTL-H0(MBUS-14)46057,419247685246057,419247685246057,4197685185</t>
  </si>
  <si>
    <t xml:space="preserve">Equipamento anormal - 2024. Inversor com alarme oscilando geração e não atinge potência nominal. Em tratativa sob o chamado 15219311</t>
  </si>
  <si>
    <t xml:space="preserve">BC Varjao1.3215KTL-H0(MBUS-14)46057,410613425946057,410613425946057,4111226852</t>
  </si>
  <si>
    <t xml:space="preserve">Equipamento anormal - 2024. Inversor com alarme oscilando geração e não atinge potência nominal. Em tratativa sob o chamado 15219312</t>
  </si>
  <si>
    <t xml:space="preserve">BC Varjao1.3215KTL-H0(MBUS-14)46057,402233796346057,402233796346057,4027430556</t>
  </si>
  <si>
    <t xml:space="preserve">Equipamento anormal - 2024. Inversor com alarme oscilando geração e não atinge potência nominal. Em tratativa sob o chamado 15219313</t>
  </si>
  <si>
    <t xml:space="preserve">BC Varjao1.3215KTL-H0(MBUS-14)46057,38327546346057,38327546346057,3837962963</t>
  </si>
  <si>
    <t xml:space="preserve">Equipamento anormal - 2024. Inversor com alarme oscilando geração e não atinge potência nominal. Em tratativa sob o chamado 15219314</t>
  </si>
  <si>
    <t xml:space="preserve">BC Varjao1.3215KTL-H0(MBUS-14)46057,370891203746057,370891203746057,3714351852</t>
  </si>
  <si>
    <t xml:space="preserve">Equipamento anormal - 2024. Inversor com alarme oscilando geração e não atinge potência nominal. Em tratativa sob o chamado 15219315</t>
  </si>
  <si>
    <t xml:space="preserve">BC Varjao1.3215KTL-H0(MBUS-14)46057,314247685246057,314247685246057,3147916667</t>
  </si>
  <si>
    <t xml:space="preserve">Equipamento anormal - 2024. Inversor com alarme oscilando geração e não atinge potência nominal. Em tratativa sob o chamado 15219316</t>
  </si>
  <si>
    <t xml:space="preserve">BC Varjao1.3215KTL-H0(MBUS-14)46057,263634259346057,263634259346057,264212963</t>
  </si>
  <si>
    <t xml:space="preserve">Equipamento anormal - 2024. Inversor com alarme oscilando geração e não atinge potência nominal. Em tratativa sob o chamado 15219317</t>
  </si>
  <si>
    <t xml:space="preserve">BC Varjao1.3215KTL-H0(MBUS-14)46057,239884259346057,239884259346057,2633101852</t>
  </si>
  <si>
    <t xml:space="preserve">Equipamento anormal - 2024. Inversor com alarme oscilando geração e não atinge potência nominal. Em tratativa sob o chamado 15219318</t>
  </si>
  <si>
    <t xml:space="preserve">BC Varjao1.3215KTL-H0(MBUS-14)46057,239513888946057,239513888946057,2633101852</t>
  </si>
  <si>
    <t xml:space="preserve">Equipamento anormal - 2024. Inversor com alarme oscilando geração e não atinge potência nominal. Em tratativa sob o chamado 15219319</t>
  </si>
  <si>
    <t xml:space="preserve">BC Varjao1.3215KTL-H0(MBUS-14)46056,72672453746056,72672453746056,7875</t>
  </si>
  <si>
    <t xml:space="preserve">Equipamento anormal - 2024. Inversor com alarme oscilando geração e não atinge potência nominal. Em tratativa sob o chamado 15219320</t>
  </si>
  <si>
    <t xml:space="preserve">BC Varjao1.3215KTL-H0(MBUS-14)46056,726076388946056,726076388946056,7265625</t>
  </si>
  <si>
    <t xml:space="preserve">Equipamento anormal - 2024. Inversor com alarme oscilando geração e não atinge potência nominal. Em tratativa sob o chamado 15219321</t>
  </si>
  <si>
    <t xml:space="preserve">BC Varjao1.3215KTL-H0(MBUS-14)46056,721331018546056,721331018546056,7258912037</t>
  </si>
  <si>
    <t xml:space="preserve">Equipamento anormal - 2024. Inversor com alarme oscilando geração e não atinge potência nominal. Em tratativa sob o chamado 15219322</t>
  </si>
  <si>
    <t xml:space="preserve">BC Varjao1.3215KTL-H0(MBUS-14)46056,66983796346056,66983796346056,6778240741</t>
  </si>
  <si>
    <t xml:space="preserve">Equipamento anormal - 2024. Inversor com alarme oscilando geração e não atinge potência nominal. Em tratativa sob o chamado 15219323</t>
  </si>
  <si>
    <t xml:space="preserve">BC Varjao1.3215KTL-H0(MBUS-14)46056,650069444446056,650069444446056,6506134259</t>
  </si>
  <si>
    <t xml:space="preserve">Equipamento anormal - 2024. Inversor com alarme oscilando geração e não atinge potência nominal. Em tratativa sob o chamado 15219324</t>
  </si>
  <si>
    <t xml:space="preserve">BC Varjao1.3215KTL-H0(MBUS-14)46056,630266203746056,630266203746056,6308101852</t>
  </si>
  <si>
    <t xml:space="preserve">Equipamento anormal - 2024. Inversor com alarme oscilando geração e não atinge potência nominal. Em tratativa sob o chamado 15219325</t>
  </si>
  <si>
    <t xml:space="preserve">BC Varjao1.3215KTL-H0(MBUS-14)46056,622986111146056,622986111146056,6234953704</t>
  </si>
  <si>
    <t xml:space="preserve">Equipamento anormal - 2024. Inversor com alarme oscilando geração e não atinge potência nominal. Em tratativa sob o chamado 15219326</t>
  </si>
  <si>
    <t xml:space="preserve">BC Varjao1.3215KTL-H0(MBUS-14)46056,603298611146056,603298611146056,6038194444</t>
  </si>
  <si>
    <t xml:space="preserve">Equipamento anormal - 2024. Inversor com alarme oscilando geração e não atinge potência nominal. Em tratativa sob o chamado 15219327</t>
  </si>
  <si>
    <t xml:space="preserve">BC Varjao1.3215KTL-H0(MBUS-14)46056,57687546056,57687546056,577962963</t>
  </si>
  <si>
    <t xml:space="preserve">Equipamento anormal - 2024. Inversor com alarme oscilando geração e não atinge potência nominal. Em tratativa sob o chamado 15219328</t>
  </si>
  <si>
    <t xml:space="preserve">BC Varjao1.3215KTL-H0(MBUS-14)46056,571423611146056,571423611146056,5719560185</t>
  </si>
  <si>
    <t xml:space="preserve">Equipamento anormal - 2024. Inversor com alarme oscilando geração e não atinge potência nominal. Em tratativa sob o chamado 15219329</t>
  </si>
  <si>
    <t xml:space="preserve">BC Varjao1.3215KTL-H0(MBUS-14)46056,5537546056,5537546056,5562384259</t>
  </si>
  <si>
    <t xml:space="preserve">Equipamento anormal - 2024. Inversor com alarme oscilando geração e não atinge potência nominal. Em tratativa sob o chamado 15219330</t>
  </si>
  <si>
    <t xml:space="preserve">BC Varjao1.3215KTL-H0(MBUS-14)46056,537685185246056,537685185246056,5388657407</t>
  </si>
  <si>
    <t xml:space="preserve">Equipamento anormal - 2024. Inversor com alarme oscilando geração e não atinge potência nominal. Em tratativa sob o chamado 15219331</t>
  </si>
  <si>
    <t xml:space="preserve">BC Varjao1.3215KTL-H0(MBUS-14)46056,528425925946056,528425925946056,5289930556</t>
  </si>
  <si>
    <t xml:space="preserve">Equipamento anormal - 2024. Inversor com alarme oscilando geração e não atinge potência nominal. Em tratativa sob o chamado 15219332</t>
  </si>
  <si>
    <t xml:space="preserve">BC Varjao1.3215KTL-H0(MBUS-14)46056,522638888946056,522638888946056,5231597222</t>
  </si>
  <si>
    <t xml:space="preserve">Equipamento anormal - 2024. Inversor com alarme oscilando geração e não atinge potência nominal. Em tratativa sob o chamado 15219333</t>
  </si>
  <si>
    <t xml:space="preserve">BC Varjao1.3215KTL-H0(MBUS-14)46056,513495370446056,513495370446056,5140046296</t>
  </si>
  <si>
    <t xml:space="preserve">Equipamento anormal - 2024. Inversor com alarme oscilando geração e não atinge potência nominal. Em tratativa sob o chamado 15219334</t>
  </si>
  <si>
    <t xml:space="preserve">BC Varjao1.3215KTL-H0(MBUS-14)46056,502199074146056,502199074146056,5027199074</t>
  </si>
  <si>
    <t xml:space="preserve">Equipamento anormal - 2024. Inversor com alarme oscilando geração e não atinge potência nominal. Em tratativa sob o chamado 15219335</t>
  </si>
  <si>
    <t xml:space="preserve">BC Varjao1.3215KTL-H0(MBUS-14)46056,486273148146056,486273148146056,4867939815</t>
  </si>
  <si>
    <t xml:space="preserve">Equipamento anormal - 2024. Inversor com alarme oscilando geração e não atinge potência nominal. Em tratativa sob o chamado 15219336</t>
  </si>
  <si>
    <t xml:space="preserve">BC Varjao1.3215KTL-H0(MBUS-14)46056,475532407446056,475532407446056,4760532407</t>
  </si>
  <si>
    <t xml:space="preserve">Equipamento anormal - 2024. Inversor com alarme oscilando geração e não atinge potência nominal. Em tratativa sob o chamado 15219337</t>
  </si>
  <si>
    <t xml:space="preserve">BC Varjao1.3215KTL-H0(MBUS-14)46056,467048611146056,467048611146056,4675694444</t>
  </si>
  <si>
    <t xml:space="preserve">Equipamento anormal - 2024. Inversor com alarme oscilando geração e não atinge potência nominal. Em tratativa sob o chamado 15219338</t>
  </si>
  <si>
    <t xml:space="preserve">BC Varjao1.3215KTL-H0(MBUS-14)46056,458298611146056,458298611146056,4588078704</t>
  </si>
  <si>
    <t xml:space="preserve">Equipamento anormal - 2024. Inversor com alarme oscilando geração e não atinge potência nominal. Em tratativa sob o chamado 15219339</t>
  </si>
  <si>
    <t xml:space="preserve">BC Varjao1.3215KTL-H0(MBUS-14)46056,448356481546056,448356481546056,4488773148</t>
  </si>
  <si>
    <t xml:space="preserve">Equipamento anormal - 2024. Inversor com alarme oscilando geração e não atinge potência nominal. Em tratativa sob o chamado 15219340</t>
  </si>
  <si>
    <t xml:space="preserve">BC Varjao1.3215KTL-H0(MBUS-14)46056,432372685246056,432372685246056,4328819444</t>
  </si>
  <si>
    <t xml:space="preserve">Equipamento anormal - 2024. Inversor com alarme oscilando geração e não atinge potência nominal. Em tratativa sob o chamado 15219341</t>
  </si>
  <si>
    <t xml:space="preserve">BC Varjao1.3215KTL-H0(MBUS-14)46056,423344907446056,423344907446056,4238541667</t>
  </si>
  <si>
    <t xml:space="preserve">Equipamento anormal - 2024. Inversor com alarme oscilando geração e não atinge potência nominal. Em tratativa sob o chamado 15219342</t>
  </si>
  <si>
    <t xml:space="preserve">BC Varjao1.3215KTL-H0(MBUS-14)46056,413969907446056,413969907446056,4144907407</t>
  </si>
  <si>
    <t xml:space="preserve">Equipamento anormal - 2024. Inversor com alarme oscilando geração e não atinge potência nominal. Em tratativa sob o chamado 15219343</t>
  </si>
  <si>
    <t xml:space="preserve">BC Varjao1.3215KTL-H0(MBUS-14)46056,403391203746056,403391203746056,403900463</t>
  </si>
  <si>
    <t xml:space="preserve">Equipamento anormal - 2024. Inversor com alarme oscilando geração e não atinge potência nominal. Em tratativa sob o chamado 15219344</t>
  </si>
  <si>
    <t xml:space="preserve">BC Varjao1.3215KTL-H0(MBUS-14)46056,391527777846056,391527777846056,392025463</t>
  </si>
  <si>
    <t xml:space="preserve">Equipamento anormal - 2024. Inversor com alarme oscilando geração e não atinge potência nominal. Em tratativa sob o chamado 15219345</t>
  </si>
  <si>
    <t xml:space="preserve">BC Varjao1.3215KTL-H0(MBUS-14)46056,377303240746056,377303240746056,3778240741</t>
  </si>
  <si>
    <t xml:space="preserve">Equipamento anormal - 2024. Inversor com alarme oscilando geração e não atinge potência nominal. Em tratativa sob o chamado 15219346</t>
  </si>
  <si>
    <t xml:space="preserve">BC Varjao1.3215KTL-H0(MBUS-14)46056,369513888946056,369513888946056,3700231481</t>
  </si>
  <si>
    <t xml:space="preserve">Equipamento anormal - 2024. Inversor com alarme oscilando geração e não atinge potência nominal. Em tratativa sob o chamado 15219347</t>
  </si>
  <si>
    <t xml:space="preserve">BC Varjao1.3215KTL-H0(MBUS-14)46056,35890046346056,35890046346056,3593981481</t>
  </si>
  <si>
    <t xml:space="preserve">Equipamento anormal - 2024. Inversor com alarme oscilando geração e não atinge potência nominal. Em tratativa sob o chamado 15219348</t>
  </si>
  <si>
    <t xml:space="preserve">BC Varjao1.3215KTL-H0(MBUS-14)46056,347800925946056,347800925946056,3483449074</t>
  </si>
  <si>
    <t xml:space="preserve">Equipamento anormal - 2024. Inversor com alarme oscilando geração e não atinge potência nominal. Em tratativa sob o chamado 15219349</t>
  </si>
  <si>
    <t xml:space="preserve">BC Varjao1.3215KTL-H0(MBUS-14)46056,278761574146056,278761574146056,2792708333</t>
  </si>
  <si>
    <t xml:space="preserve">Equipamento anormal - 2024. Inversor com alarme oscilando geração e não atinge potência nominal. Em tratativa sob o chamado 15219350</t>
  </si>
  <si>
    <t xml:space="preserve">BC Varjao1.3215KTL-H0(MBUS-14)46056,275011574146056,275011574146056,2755439815</t>
  </si>
  <si>
    <t xml:space="preserve">Equipamento anormal - 2024. Inversor com alarme oscilando geração e não atinge potência nominal. Em tratativa sob o chamado 15219351</t>
  </si>
  <si>
    <t xml:space="preserve">BC Varjao1.3215KTL-H0(MBUS-14)46056,239976851946056,239976851946056,2744212963</t>
  </si>
  <si>
    <t xml:space="preserve">Equipamento anormal - 2024. Inversor com alarme oscilando geração e não atinge potência nominal. Em tratativa sob o chamado 15219352</t>
  </si>
  <si>
    <t xml:space="preserve">BC Varjao1.3215KTL-H0(MBUS-14)46056,239583333346056,239583333346056,2744212963</t>
  </si>
  <si>
    <t xml:space="preserve">Equipamento anormal - 2024. Inversor com alarme oscilando geração e não atinge potência nominal. Em tratativa sob o chamado 15219353</t>
  </si>
  <si>
    <t xml:space="preserve">BC Varjao1.3215KTL-H0(MBUS-14)46055,78859953746055,78859953746055,7903819444</t>
  </si>
  <si>
    <t xml:space="preserve">Equipamento anormal - 2024. Inversor com alarme oscilando geração e não atinge potência nominal. Em tratativa sob o chamado 15219354</t>
  </si>
  <si>
    <t xml:space="preserve">BC Varjao1.3215KTL-H0(MBUS-14)46055,768969907446055,768969907446055,7903819444</t>
  </si>
  <si>
    <t xml:space="preserve">Equipamento anormal - 2024. Inversor com alarme oscilando geração e não atinge potência nominal. Em tratativa sob o chamado 15219355</t>
  </si>
  <si>
    <t xml:space="preserve">BC Varjao1.3215KTL-H0(MBUS-14)46055,768252314846055,768252314846055,7688078704</t>
  </si>
  <si>
    <t xml:space="preserve">Equipamento anormal - 2024. Inversor com alarme oscilando geração e não atinge potência nominal. Em tratativa sob o chamado 15219356</t>
  </si>
  <si>
    <t xml:space="preserve">BC Varjao1.3215KTL-H0(MBUS-14)46055,767418981546055,767418981546055,7679398148</t>
  </si>
  <si>
    <t xml:space="preserve">Equipamento anormal - 2024. Inversor com alarme oscilando geração e não atinge potência nominal. Em tratativa sob o chamado 15219357</t>
  </si>
  <si>
    <t xml:space="preserve">BC Varjao1.3215KTL-H0(MBUS-14)46055,765960648146055,765960648146055,767037037</t>
  </si>
  <si>
    <t xml:space="preserve">Equipamento anormal - 2024. Inversor com alarme oscilando geração e não atinge potência nominal. Em tratativa sob o chamado 15219358</t>
  </si>
  <si>
    <t xml:space="preserve">BC Varjao1.3215KTL-H0(MBUS-14)46055,717210648146055,717210648146055,7177546296</t>
  </si>
  <si>
    <t xml:space="preserve">Equipamento anormal - 2024. Inversor com alarme oscilando geração e não atinge potência nominal. Em tratativa sob o chamado 15219359</t>
  </si>
  <si>
    <t xml:space="preserve">BC Varjao1.3215KTL-H0(MBUS-14)46055,710046296346055,710046296346055,7105439815</t>
  </si>
  <si>
    <t xml:space="preserve">Equipamento anormal - 2024. Inversor com alarme oscilando geração e não atinge potência nominal. Em tratativa sob o chamado 15219360</t>
  </si>
  <si>
    <t xml:space="preserve">BC Varjao1.3215KTL-H0(MBUS-14)46055,698159722246055,698159722246055,6987037037</t>
  </si>
  <si>
    <t xml:space="preserve">Equipamento anormal - 2024. Inversor com alarme oscilando geração e não atinge potência nominal. Em tratativa sob o chamado 15219361</t>
  </si>
  <si>
    <t xml:space="preserve">BC Varjao1.3215KTL-H0(MBUS-14)46055,680451388946055,680451388946055,6815625</t>
  </si>
  <si>
    <t xml:space="preserve">Equipamento anormal - 2024. Inversor com alarme oscilando geração e não atinge potência nominal. Em tratativa sob o chamado 15219362</t>
  </si>
  <si>
    <t xml:space="preserve">BC Varjao1.3215KTL-H0(MBUS-14)46055,664317129646055,664317129646055,664837963</t>
  </si>
  <si>
    <t xml:space="preserve">Equipamento anormal - 2024. Inversor com alarme oscilando geração e não atinge potência nominal. Em tratativa sob o chamado 15219363</t>
  </si>
  <si>
    <t xml:space="preserve">BC Varjao1.3215KTL-H0(MBUS-14)46055,656689814846055,656689814846055,6571990741</t>
  </si>
  <si>
    <t xml:space="preserve">Equipamento anormal - 2024. Inversor com alarme oscilando geração e não atinge potência nominal. Em tratativa sob o chamado 15219364</t>
  </si>
  <si>
    <t xml:space="preserve">BC Varjao1.3215KTL-H0(MBUS-14)46055,639641203746055,639641203746055,640162037</t>
  </si>
  <si>
    <t xml:space="preserve">Equipamento anormal - 2024. Inversor com alarme oscilando geração e não atinge potência nominal. Em tratativa sob o chamado 15219365</t>
  </si>
  <si>
    <t xml:space="preserve">BC Varjao1.3215KTL-H0(MBUS-14)46055,625902777846055,625902777846055,6264236111</t>
  </si>
  <si>
    <t xml:space="preserve">Equipamento anormal - 2024. Inversor com alarme oscilando geração e não atinge potência nominal. Em tratativa sob o chamado 15219366</t>
  </si>
  <si>
    <t xml:space="preserve">BC Varjao1.3215KTL-H0(MBUS-14)46055,596168981546055,596168981546055,596712963</t>
  </si>
  <si>
    <t xml:space="preserve">Equipamento anormal - 2024. Inversor com alarme oscilando geração e não atinge potência nominal. Em tratativa sob o chamado 15219367</t>
  </si>
  <si>
    <t xml:space="preserve">BC Varjao1.3215KTL-H0(MBUS-14)46055,576469907446055,576469907446055,5770138889</t>
  </si>
  <si>
    <t xml:space="preserve">Equipamento anormal - 2024. Inversor com alarme oscilando geração e não atinge potência nominal. Em tratativa sob o chamado 15219368</t>
  </si>
  <si>
    <t xml:space="preserve">BC Varjao1.3215KTL-H0(MBUS-14)46055,565833333346055,565833333346055,5663541667</t>
  </si>
  <si>
    <t xml:space="preserve">Equipamento anormal - 2024. Inversor com alarme oscilando geração e não atinge potência nominal. Em tratativa sob o chamado 15219369</t>
  </si>
  <si>
    <t xml:space="preserve">BC Varjao1.3215KTL-H0(MBUS-14)46055,558958333346055,558958333346055,5595717593</t>
  </si>
  <si>
    <t xml:space="preserve">Equipamento anormal - 2024. Inversor com alarme oscilando geração e não atinge potência nominal. Em tratativa sob o chamado 15219370</t>
  </si>
  <si>
    <t xml:space="preserve">BC Varjao1.3215KTL-H0(MBUS-14)46055,552395833346055,552395833346055,5529166667</t>
  </si>
  <si>
    <t xml:space="preserve">Equipamento anormal - 2024. Inversor com alarme oscilando geração e não atinge potência nominal. Em tratativa sob o chamado 15219371</t>
  </si>
  <si>
    <t xml:space="preserve">BC Varjao1.3215KTL-H0(MBUS-14)46055,536145833346055,536145833346055,5368055556</t>
  </si>
  <si>
    <t xml:space="preserve">Equipamento anormal - 2024. Inversor com alarme oscilando geração e não atinge potência nominal. Em tratativa sob o chamado 15219372</t>
  </si>
  <si>
    <t xml:space="preserve">BC Varjao1.3215KTL-H0(MBUS-14)46055,528692129646055,528692129646055,5293865741</t>
  </si>
  <si>
    <t xml:space="preserve">Equipamento anormal - 2024. Inversor com alarme oscilando geração e não atinge potência nominal. Em tratativa sob o chamado 15219373</t>
  </si>
  <si>
    <t xml:space="preserve">BC Varjao1.3215KTL-H0(MBUS-14)46055,51452546346055,51452546346055,5150694444</t>
  </si>
  <si>
    <t xml:space="preserve">Equipamento anormal - 2024. Inversor com alarme oscilando geração e não atinge potência nominal. Em tratativa sob o chamado 15219374</t>
  </si>
  <si>
    <t xml:space="preserve">BC Varjao1.3215KTL-H0(MBUS-14)46055,514467592646055,514467592646055,514525463</t>
  </si>
  <si>
    <t xml:space="preserve">Equipamento anormal - 2024. Inversor com alarme oscilando geração e não atinge potência nominal. Em tratativa sob o chamado 15219375</t>
  </si>
  <si>
    <t xml:space="preserve">BC Varjao1.3215KTL-H0(MBUS-14)46055,503530092646055,503530092646055,5040509259</t>
  </si>
  <si>
    <t xml:space="preserve">Equipamento anormal - 2024. Inversor com alarme oscilando geração e não atinge potência nominal. Em tratativa sob o chamado 15219376</t>
  </si>
  <si>
    <t xml:space="preserve">BC Varjao1.3215KTL-H0(MBUS-14)46055,489606481546055,489606481546055,490162037</t>
  </si>
  <si>
    <t xml:space="preserve">Equipamento anormal - 2024. Inversor com alarme oscilando geração e não atinge potência nominal. Em tratativa sob o chamado 15219377</t>
  </si>
  <si>
    <t xml:space="preserve">BC Varjao1.3215KTL-H0(MBUS-14)46055,473101851946055,473101851946055,4736226852</t>
  </si>
  <si>
    <t xml:space="preserve">Equipamento anormal - 2024. Inversor com alarme oscilando geração e não atinge potência nominal. Em tratativa sob o chamado 15219378</t>
  </si>
  <si>
    <t xml:space="preserve">BC Varjao1.3215KTL-H0(MBUS-14)46055,46672453746055,46672453746055,4672685185</t>
  </si>
  <si>
    <t xml:space="preserve">Equipamento anormal - 2024. Inversor com alarme oscilando geração e não atinge potência nominal. Em tratativa sob o chamado 15219379</t>
  </si>
  <si>
    <t xml:space="preserve">BC Varjao1.3215KTL-H0(MBUS-14)46055,442430555646055,442430555646055,4429861111</t>
  </si>
  <si>
    <t xml:space="preserve">Equipamento anormal - 2024. Inversor com alarme oscilando geração e não atinge potência nominal. Em tratativa sob o chamado 15219380</t>
  </si>
  <si>
    <t xml:space="preserve">BC Varjao1.3215KTL-H0(MBUS-14)46055,437476851946055,437476851946055,4380439815</t>
  </si>
  <si>
    <t xml:space="preserve">Equipamento anormal - 2024. Inversor com alarme oscilando geração e não atinge potência nominal. Em tratativa sob o chamado 15219381</t>
  </si>
  <si>
    <t xml:space="preserve">BC Varjao1.3215KTL-H0(MBUS-14)46055,401168981546055,401168981546055,401712963</t>
  </si>
  <si>
    <t xml:space="preserve">Equipamento anormal - 2024. Inversor com alarme oscilando geração e não atinge potência nominal. Em tratativa sob o chamado 15219382</t>
  </si>
  <si>
    <t xml:space="preserve">BC Varjao1.3215KTL-H0(MBUS-14)46055,394467592646055,394467592646055,3950810185</t>
  </si>
  <si>
    <t xml:space="preserve">Equipamento anormal - 2024. Inversor com alarme oscilando geração e não atinge potência nominal. Em tratativa sob o chamado 15219383</t>
  </si>
  <si>
    <t xml:space="preserve">BC Varjao1.3215KTL-H0(MBUS-14)46055,352048611146055,352048611146055,3525347222</t>
  </si>
  <si>
    <t xml:space="preserve">Equipamento anormal - 2024. Inversor com alarme oscilando geração e não atinge potência nominal. Em tratativa sob o chamado 15219384</t>
  </si>
  <si>
    <t xml:space="preserve">BC Varjao1.3215KTL-H0(MBUS-14)46055,351377314846055,351377314846055,3518634259</t>
  </si>
  <si>
    <t xml:space="preserve">Equipamento anormal - 2024. Inversor com alarme oscilando geração e não atinge potência nominal. Em tratativa sob o chamado 15219385</t>
  </si>
  <si>
    <t xml:space="preserve">BC Varjao1.3215KTL-H0(MBUS-14)46055,350671296346055,350671296346055,3511805556</t>
  </si>
  <si>
    <t xml:space="preserve">Equipamento anormal - 2024. Inversor com alarme oscilando geração e não atinge potência nominal. Em tratativa sob o chamado 15219386</t>
  </si>
  <si>
    <t xml:space="preserve">BC Varjao1.3215KTL-H0(MBUS-14)46055,345173611146055,345173611146055,3456944444</t>
  </si>
  <si>
    <t xml:space="preserve">Equipamento anormal - 2024. Inversor com alarme oscilando geração e não atinge potência nominal. Em tratativa sob o chamado 15219387</t>
  </si>
  <si>
    <t xml:space="preserve">BC Varjao1.3215KTL-H0(MBUS-14)46055,33515046346055,33515046346055,3398263889</t>
  </si>
  <si>
    <t xml:space="preserve">Equipamento anormal - 2024. Inversor com alarme oscilando geração e não atinge potência nominal. Em tratativa sob o chamado 15219388</t>
  </si>
  <si>
    <t xml:space="preserve">BC Varjao1.3215KTL-H0(MBUS-14)46055,326516203746055,326516203746055,3310763889</t>
  </si>
  <si>
    <t xml:space="preserve">Equipamento anormal - 2024. Inversor com alarme oscilando geração e não atinge potência nominal. Em tratativa sob o chamado 15219389</t>
  </si>
  <si>
    <t xml:space="preserve">BC Varjao1.3215KTL-H0(MBUS-14)46055,239768518546055,239768518546055,3161921296</t>
  </si>
  <si>
    <t xml:space="preserve">Equipamento anormal - 2024. Inversor com alarme oscilando geração e não atinge potência nominal. Em tratativa sob o chamado 15219390</t>
  </si>
  <si>
    <t xml:space="preserve">BC Varjao1.3215KTL-H0(MBUS-14)46055,23937546055,23937546055,3161921296</t>
  </si>
  <si>
    <t xml:space="preserve">Equipamento anormal - 2024. Inversor com alarme oscilando geração e não atinge potência nominal. Em tratativa sob o chamado 15219391</t>
  </si>
  <si>
    <t xml:space="preserve">BC Varjao1.3215KTL-H0(MBUS-14)46054,763495370446054,763495370446054,7901851852</t>
  </si>
  <si>
    <t xml:space="preserve">Equipamento anormal - 2024. Inversor com alarme oscilando geração e não atinge potência nominal. Em tratativa sob o chamado 15219392</t>
  </si>
  <si>
    <t xml:space="preserve">BC Varjao1.3215KTL-H0(MBUS-14)46054,761388888946054,761388888946054,7619097222</t>
  </si>
  <si>
    <t xml:space="preserve">Equipamento anormal - 2024. Inversor com alarme oscilando geração e não atinge potência nominal. Em tratativa sob o chamado 15219393</t>
  </si>
  <si>
    <t xml:space="preserve">BC Varjao1.3215KTL-H0(MBUS-14)46054,738020833346054,738020833346054,7385416667</t>
  </si>
  <si>
    <t xml:space="preserve">Equipamento anormal - 2024. Inversor com alarme oscilando geração e não atinge potência nominal. Em tratativa sob o chamado 15219394</t>
  </si>
  <si>
    <t xml:space="preserve">BC Varjao1.3215KTL-H0(MBUS-14)46054,729166666746054,729166666746054,7296875</t>
  </si>
  <si>
    <t xml:space="preserve">Equipamento anormal - 2024. Inversor com alarme oscilando geração e não atinge potência nominal. Em tratativa sob o chamado 15219395</t>
  </si>
  <si>
    <t xml:space="preserve">BC Varjao1.3215KTL-H0(MBUS-14)46054,690694444446054,690694444446054,6912962963</t>
  </si>
  <si>
    <t xml:space="preserve">Equipamento anormal - 2024. Inversor com alarme oscilando geração e não atinge potência nominal. Em tratativa sob o chamado 15219396</t>
  </si>
  <si>
    <t xml:space="preserve">BC Varjao1.3215KTL-H0(MBUS-14)46054,684907407446054,684907407446054,6854282407</t>
  </si>
  <si>
    <t xml:space="preserve">Equipamento anormal - 2024. Inversor com alarme oscilando geração e não atinge potência nominal. Em tratativa sob o chamado 15219397</t>
  </si>
  <si>
    <t xml:space="preserve">BC Varjao1.3215KTL-H0(MBUS-14)46054,674398148146054,674398148146054,6749189815</t>
  </si>
  <si>
    <t xml:space="preserve">Equipamento anormal - 2024. Inversor com alarme oscilando geração e não atinge potência nominal. Em tratativa sob o chamado 15219398</t>
  </si>
  <si>
    <t xml:space="preserve">BC Varjao1.3215KTL-H0(MBUS-14)46054,658171296346054,658171296346054,6586805556</t>
  </si>
  <si>
    <t xml:space="preserve">Equipamento anormal - 2024. Inversor com alarme oscilando geração e não atinge potência nominal. Em tratativa sob o chamado 15219399</t>
  </si>
  <si>
    <t xml:space="preserve">BC Varjao1.3215KTL-H0(MBUS-14)46054,63547453746054,63547453746054,6359837963</t>
  </si>
  <si>
    <t xml:space="preserve">Equipamento anormal - 2024. Inversor com alarme oscilando geração e não atinge potência nominal. Em tratativa sob o chamado 15219400</t>
  </si>
  <si>
    <t xml:space="preserve">BC Varjao1.3215KTL-H0(MBUS-14)46054,624594907446054,624594907446054,6250925926</t>
  </si>
  <si>
    <t xml:space="preserve">Equipamento anormal - 2024. Inversor com alarme oscilando geração e não atinge potência nominal. Em tratativa sob o chamado 15219401</t>
  </si>
  <si>
    <t xml:space="preserve">BC Varjao1.3215KTL-H0(MBUS-14)46054,60391203746054,60391203746054,6044444444</t>
  </si>
  <si>
    <t xml:space="preserve">Equipamento anormal - 2024. Inversor com alarme oscilando geração e não atinge potência nominal. Em tratativa sob o chamado 15219402</t>
  </si>
  <si>
    <t xml:space="preserve">BC Varjao1.3215KTL-H0(MBUS-14)46054,594143518546054,594143518546054,5946875</t>
  </si>
  <si>
    <t xml:space="preserve">Equipamento anormal - 2024. Inversor com alarme oscilando geração e não atinge potência nominal. Em tratativa sob o chamado 15219403</t>
  </si>
  <si>
    <t xml:space="preserve">BC Varjao1.3215KTL-H0(MBUS-14)46054,585694444446054,585694444446054,5861921296</t>
  </si>
  <si>
    <t xml:space="preserve">Equipamento anormal - 2024. Inversor com alarme oscilando geração e não atinge potência nominal. Em tratativa sob o chamado 15219404</t>
  </si>
  <si>
    <t xml:space="preserve">BC Varjao1.3215KTL-H0(MBUS-14)46054,53984953746054,53984953746054,5403587963</t>
  </si>
  <si>
    <t xml:space="preserve">Equipamento anormal - 2024. Inversor com alarme oscilando geração e não atinge potência nominal. Em tratativa sob o chamado 15219405</t>
  </si>
  <si>
    <t xml:space="preserve">BC Varjao1.3215KTL-H0(MBUS-14)46054,534548611146054,534548611146054,5350578704</t>
  </si>
  <si>
    <t xml:space="preserve">Equipamento anormal - 2024. Inversor com alarme oscilando geração e não atinge potência nominal. Em tratativa sob o chamado 15219406</t>
  </si>
  <si>
    <t xml:space="preserve">BC Varjao1.3215KTL-H0(MBUS-14)46054,519363425946054,519363425946054,5200115741</t>
  </si>
  <si>
    <t xml:space="preserve">Equipamento anormal - 2024. Inversor com alarme oscilando geração e não atinge potência nominal. Em tratativa sob o chamado 15219407</t>
  </si>
  <si>
    <t xml:space="preserve">BC Varjao1.3215KTL-H0(MBUS-14)46054,508854166746054,508854166746054,5093981481</t>
  </si>
  <si>
    <t xml:space="preserve">Equipamento anormal - 2024. Inversor com alarme oscilando geração e não atinge potência nominal. Em tratativa sob o chamado 15219408</t>
  </si>
  <si>
    <t xml:space="preserve">BC Varjao1.3215KTL-H0(MBUS-14)46054,499074074146054,499074074146054,4995949074</t>
  </si>
  <si>
    <t xml:space="preserve">Equipamento anormal - 2024. Inversor com alarme oscilando geração e não atinge potência nominal. Em tratativa sob o chamado 15219409</t>
  </si>
  <si>
    <t xml:space="preserve">BC Varjao1.3215KTL-H0(MBUS-14)46054,490416666746054,490416666746054,4909259259</t>
  </si>
  <si>
    <t xml:space="preserve">Equipamento anormal - 2024. Inversor com alarme oscilando geração e não atinge potência nominal. Em tratativa sob o chamado 15219410</t>
  </si>
  <si>
    <t xml:space="preserve">BC Varjao1.3215KTL-H0(MBUS-14)46054,484189814846054,484189814846054,4847337963</t>
  </si>
  <si>
    <t xml:space="preserve">Equipamento anormal - 2024. Inversor com alarme oscilando geração e não atinge potência nominal. Em tratativa sob o chamado 15219411</t>
  </si>
  <si>
    <t xml:space="preserve">BC Varjao1.3215KTL-H0(MBUS-14)46054,47016203746054,47016203746054,4706712963</t>
  </si>
  <si>
    <t xml:space="preserve">Equipamento anormal - 2024. Inversor com alarme oscilando geração e não atinge potência nominal. Em tratativa sob o chamado 15219412</t>
  </si>
  <si>
    <t xml:space="preserve">BC Varjao1.3215KTL-H0(MBUS-14)46054,461597222246054,461597222246054,4621412037</t>
  </si>
  <si>
    <t xml:space="preserve">Equipamento anormal - 2024. Inversor com alarme oscilando geração e não atinge potência nominal. Em tratativa sob o chamado 15219413</t>
  </si>
  <si>
    <t xml:space="preserve">BC Varjao1.3215KTL-H0(MBUS-14)46054,453252314846054,453252314846054,4537731481</t>
  </si>
  <si>
    <t xml:space="preserve">Equipamento anormal - 2024. Inversor com alarme oscilando geração e não atinge potência nominal. Em tratativa sob o chamado 15219414</t>
  </si>
  <si>
    <t xml:space="preserve">BC Varjao1.3215KTL-H0(MBUS-14)46054,446666666746054,446666666746054,4471875</t>
  </si>
  <si>
    <t xml:space="preserve">Equipamento anormal - 2024. Inversor com alarme oscilando geração e não atinge potência nominal. Em tratativa sob o chamado 15219415</t>
  </si>
  <si>
    <t xml:space="preserve">BC Varjao1.3215KTL-H0(MBUS-14)46054,432847222246054,432847222246054,4333912037</t>
  </si>
  <si>
    <t xml:space="preserve">Equipamento anormal - 2024. Inversor com alarme oscilando geração e não atinge potência nominal. Em tratativa sob o chamado 15219416</t>
  </si>
  <si>
    <t xml:space="preserve">BC Varjao1.3215KTL-H0(MBUS-14)46054,423495370446054,423495370446054,4240162037</t>
  </si>
  <si>
    <t xml:space="preserve">Equipamento anormal - 2024. Inversor com alarme oscilando geração e não atinge potência nominal. Em tratativa sob o chamado 15219417</t>
  </si>
  <si>
    <t xml:space="preserve">BC Varjao1.3215KTL-H0(MBUS-14)46054,416030092646054,416030092646054,4165277778</t>
  </si>
  <si>
    <t xml:space="preserve">Equipamento anormal - 2024. Inversor com alarme oscilando geração e não atinge potência nominal. Em tratativa sob o chamado 15219418</t>
  </si>
  <si>
    <t xml:space="preserve">BC Varjao1.3215KTL-H0(MBUS-14)46054,402476851946054,402476851946054,4029976852</t>
  </si>
  <si>
    <t xml:space="preserve">Equipamento anormal - 2024. Inversor com alarme oscilando geração e não atinge potência nominal. Em tratativa sob o chamado 15219419</t>
  </si>
  <si>
    <t xml:space="preserve">BC Varjao1.3215KTL-H0(MBUS-14)46054,396018518546054,396018518546054,3965625</t>
  </si>
  <si>
    <t xml:space="preserve">Equipamento anormal - 2024. Inversor com alarme oscilando geração e não atinge potência nominal. Em tratativa sob o chamado 15219420</t>
  </si>
  <si>
    <t xml:space="preserve">BC Varjao1.3215KTL-H0(MBUS-14)46054,383356481546054,383356481546054,3838888889</t>
  </si>
  <si>
    <t xml:space="preserve">Equipamento anormal - 2024. Inversor com alarme oscilando geração e não atinge potência nominal. Em tratativa sob o chamado 15219421</t>
  </si>
  <si>
    <t xml:space="preserve">BC Varjao1.3215KTL-H0(MBUS-14)46054,371446759346054,371446759346054,3719560185</t>
  </si>
  <si>
    <t xml:space="preserve">Equipamento anormal - 2024. Inversor com alarme oscilando geração e não atinge potência nominal. Em tratativa sob o chamado 15219422</t>
  </si>
  <si>
    <t xml:space="preserve">BC Varjao1.3215KTL-H0(MBUS-14)46054,360219907446054,360219907446054,3607175926</t>
  </si>
  <si>
    <t xml:space="preserve">Equipamento anormal - 2024. Inversor com alarme oscilando geração e não atinge potência nominal. Em tratativa sob o chamado 15219423</t>
  </si>
  <si>
    <t xml:space="preserve">BC Varjao1.3215KTL-H0(MBUS-14)46054,354502314846054,354502314846054,3550115741</t>
  </si>
  <si>
    <t xml:space="preserve">Equipamento anormal - 2024. Inversor com alarme oscilando geração e não atinge potência nominal. Em tratativa sob o chamado 15219424</t>
  </si>
  <si>
    <t xml:space="preserve">BC Varjao1.3215KTL-H0(MBUS-14)46054,345671296346054,345671296346054,3461805556</t>
  </si>
  <si>
    <t xml:space="preserve">Equipamento anormal - 2024. Inversor com alarme oscilando geração e não atinge potência nominal. Em tratativa sob o chamado 15219425</t>
  </si>
  <si>
    <t xml:space="preserve">BC Varjao1.3215KTL-H0(MBUS-14)46054,333854166746054,333854166746054,3343981481</t>
  </si>
  <si>
    <t xml:space="preserve">Equipamento anormal - 2024. Inversor com alarme oscilando geração e não atinge potência nominal. Em tratativa sob o chamado 15219426</t>
  </si>
  <si>
    <t xml:space="preserve">BC Varjao1.3215KTL-H0(MBUS-14)46054,282858796346054,282858796346054,2833796296</t>
  </si>
  <si>
    <t xml:space="preserve">Equipamento anormal - 2024. Inversor com alarme oscilando geração e não atinge potência nominal. Em tratativa sob o chamado 15219427</t>
  </si>
  <si>
    <t xml:space="preserve">BC Varjao1.3215KTL-H0(MBUS-14)46054,261631944446054,261631944446054,2621527778</t>
  </si>
  <si>
    <t xml:space="preserve">Equipamento anormal - 2024. Inversor com alarme oscilando geração e não atinge potência nominal. Em tratativa sob o chamado 15219428</t>
  </si>
  <si>
    <t xml:space="preserve">BC Varjao1.3215KTL-H0(MBUS-14)46054,235879629646054,235879629646054,2581944444</t>
  </si>
  <si>
    <t xml:space="preserve">Equipamento anormal - 2024. Inversor com alarme oscilando geração e não atinge potência nominal. Em tratativa sob o chamado 15219429</t>
  </si>
  <si>
    <t xml:space="preserve">BC Varjao1.3215KTL-H0(MBUS-14)46054,235509259346054,235509259346054,2581944444</t>
  </si>
  <si>
    <t xml:space="preserve">Anomalia de operação do sistema</t>
  </si>
  <si>
    <t xml:space="preserve">Auto-Restart.</t>
  </si>
  <si>
    <t xml:space="preserve">inversor 6</t>
  </si>
  <si>
    <t xml:space="preserve">inversor 5</t>
  </si>
  <si>
    <t xml:space="preserve">inversor 7</t>
  </si>
  <si>
    <t xml:space="preserve">inversor 4</t>
  </si>
  <si>
    <t xml:space="preserve">inversor 3</t>
  </si>
  <si>
    <t xml:space="preserve">inversor 2</t>
  </si>
  <si>
    <t xml:space="preserve">Araçu III</t>
  </si>
  <si>
    <t xml:space="preserve">Corrente de fuga excessiva</t>
  </si>
  <si>
    <t xml:space="preserve">2026-02-19 18:35:03</t>
  </si>
  <si>
    <t xml:space="preserve">Oscilação da rede da concessionária (falha falta de energia no sistema de monitoramento)</t>
  </si>
  <si>
    <t xml:space="preserve">BC Varjao1.2Inverter(MBUS-15)46072,77434027782026-02-19 18:35:0346072,7744097222</t>
  </si>
  <si>
    <t xml:space="preserve">BC Varjao1.2Inverter(MBUS-12)46072,77434027782026-02-19 18:35:0346072,7744097222</t>
  </si>
  <si>
    <t xml:space="preserve">BC Varjao1.2Inverter(MBUS-16)46072,77434027782026-02-19 18:35:0346072,7744097222</t>
  </si>
  <si>
    <t xml:space="preserve">BC Varjao1.2Inverter(MBUS-13)46072,77434027782026-02-19 18:35:0346072,7744212963</t>
  </si>
  <si>
    <t xml:space="preserve">BC Varjao1.2Inverter(MBUS-14)46072,77434027782026-02-19 18:35:0346072,7744212963</t>
  </si>
  <si>
    <t xml:space="preserve">UF1 02 Varjão 1</t>
  </si>
  <si>
    <t xml:space="preserve">BC Varjao1.1UF1 02 Varjão 146072,77434027782026-02-19 18:35:0346072,7744097222</t>
  </si>
  <si>
    <t xml:space="preserve">uf1 05 Varjão 1</t>
  </si>
  <si>
    <t xml:space="preserve">BC Varjao1.1uf1 05 Varjão 146072,77434027782026-02-19 18:35:0346072,7744212963</t>
  </si>
  <si>
    <t xml:space="preserve">UF1 04 Varjão 1</t>
  </si>
  <si>
    <t xml:space="preserve">BC Varjao1.1UF1 04 Varjão 146072,77434027782026-02-19 18:35:0346072,7744212963</t>
  </si>
  <si>
    <t xml:space="preserve">UF1 03 Varjão 1</t>
  </si>
  <si>
    <t xml:space="preserve">2026-02-19 18:35:02</t>
  </si>
  <si>
    <t xml:space="preserve">BC Varjao1.1UF1 03 Varjão 146072,77432870372026-02-19 18:35:0246072,7744097222</t>
  </si>
  <si>
    <t xml:space="preserve">UF1 01 Varjão 1</t>
  </si>
  <si>
    <t xml:space="preserve">BC Varjao1.1UF1 01 Varjão 146072,77432870372026-02-19 18:35:0246072,7743981481</t>
  </si>
  <si>
    <t xml:space="preserve">2026-02-19 18:35:01</t>
  </si>
  <si>
    <t xml:space="preserve">BC Varjao1.3UF3Inv246072,77431712962026-02-19 18:35:0146072,7743981481</t>
  </si>
  <si>
    <t xml:space="preserve">BC Varjao1.3Inverter(MBUS-14)46072,77431712962026-02-19 18:35:0146072,7743981481</t>
  </si>
  <si>
    <t xml:space="preserve">BC Varjao1.3Inverter(MBUS-1)46072,77431712962026-02-19 18:35:0146072,7743981481</t>
  </si>
  <si>
    <t xml:space="preserve">Falha de energia de rede elétrica</t>
  </si>
  <si>
    <t xml:space="preserve">Auto-restart</t>
  </si>
  <si>
    <t xml:space="preserve">Excesso do componente CC</t>
  </si>
  <si>
    <t xml:space="preserve">ESTADO OPERATIVO</t>
  </si>
  <si>
    <t xml:space="preserve">CONDIÇÃO OPERATIVA</t>
  </si>
  <si>
    <t xml:space="preserve">ORIGEM</t>
  </si>
  <si>
    <t xml:space="preserve">Definição - Origem</t>
  </si>
  <si>
    <t xml:space="preserve">Causa Padrão</t>
  </si>
  <si>
    <t xml:space="preserve">NOR</t>
  </si>
  <si>
    <t xml:space="preserve">Prestador de Serviço de TI/CFTV</t>
  </si>
  <si>
    <t xml:space="preserve">RPR</t>
  </si>
  <si>
    <t xml:space="preserve">Anomalia OP. Sistema</t>
  </si>
  <si>
    <t xml:space="preserve">B. Res. Isolamento</t>
  </si>
  <si>
    <t xml:space="preserve">OEM</t>
  </si>
  <si>
    <t xml:space="preserve">DMT</t>
  </si>
  <si>
    <t xml:space="preserve">Disjuntor MT</t>
  </si>
  <si>
    <t xml:space="preserve">COD</t>
  </si>
  <si>
    <t xml:space="preserve">ESO</t>
  </si>
  <si>
    <t xml:space="preserve">Estação Solarimétrica</t>
  </si>
  <si>
    <t xml:space="preserve">Relé de proteção</t>
  </si>
  <si>
    <t xml:space="preserve">EPC</t>
  </si>
  <si>
    <t xml:space="preserve">Falha SPDA</t>
  </si>
  <si>
    <t xml:space="preserve">CBP</t>
  </si>
  <si>
    <t xml:space="preserve">Cabine Primária</t>
  </si>
  <si>
    <t xml:space="preserve">Falha String</t>
  </si>
  <si>
    <t xml:space="preserve">Limitação</t>
  </si>
  <si>
    <t xml:space="preserve">UC BC</t>
  </si>
  <si>
    <t xml:space="preserve">UC Brasol</t>
  </si>
  <si>
    <t xml:space="preserve">Araçu II</t>
  </si>
  <si>
    <t xml:space="preserve">Araçu IV</t>
  </si>
  <si>
    <t xml:space="preserve">Araçu V</t>
  </si>
  <si>
    <t xml:space="preserve">BC Clareira1.1</t>
  </si>
  <si>
    <t xml:space="preserve">BC Clareira1.2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</si>
</sst>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-* #,##0.00_-;\-* #,##0.00_-;_-* \-??_-;_-@_-"/>
    <numFmt numFmtId="166" formatCode="General"/>
    <numFmt numFmtId="167" formatCode="0.0000"/>
    <numFmt numFmtId="168" formatCode="0.00%"/>
    <numFmt numFmtId="169" formatCode="0.00"/>
    <numFmt numFmtId="170" formatCode="yyyy\-mm\-dd\ hh:mm:ss"/>
    <numFmt numFmtId="171" formatCode="[h]:mm:ss;@"/>
    <numFmt numFmtId="172" formatCode="m/d/yyyy\ h:mm"/>
    <numFmt numFmtId="173" formatCode="@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Arial"/>
      <family val="2"/>
      <charset val="1"/>
    </font>
    <font>
      <b val="true"/>
      <sz val="11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b val="true"/>
      <sz val="8"/>
      <color theme="0" tint="-0.15"/>
      <name val="Calibri"/>
      <family val="2"/>
      <charset val="1"/>
    </font>
    <font>
      <b val="true"/>
      <sz val="11"/>
      <color rgb="FFFFC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242424"/>
      <name val="Aptos Narrow"/>
      <family val="0"/>
      <charset val="1"/>
    </font>
    <font>
      <b val="true"/>
      <sz val="8"/>
      <color theme="0"/>
      <name val="Verdana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047AB"/>
        <bgColor rgb="FF1F4E79"/>
      </patternFill>
    </fill>
    <fill>
      <patternFill patternType="solid">
        <fgColor theme="8" tint="-0.5"/>
        <bgColor rgb="FF1F4E79"/>
      </patternFill>
    </fill>
    <fill>
      <patternFill patternType="solid">
        <fgColor rgb="FFFFFF00"/>
        <bgColor rgb="FFFFFF00"/>
      </patternFill>
    </fill>
    <fill>
      <patternFill patternType="solid">
        <fgColor theme="4" tint="-0.5"/>
        <bgColor rgb="FF203864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8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8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2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2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2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4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11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11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6" fillId="0" borderId="0" xfId="2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5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Vírgula 2" xfId="23"/>
  </cellStyles>
  <dxfs count="10">
    <dxf>
      <fill>
        <patternFill patternType="solid">
          <fgColor rgb="FF203864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Calibri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Calibri"/>
        <charset val="1"/>
        <family val="2"/>
        <color rgb="FF9C0006"/>
        <sz val="1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47AB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203864"/>
      <rgbColor rgb="FF339966"/>
      <rgbColor rgb="FF003300"/>
      <rgbColor rgb="FF333300"/>
      <rgbColor rgb="FF993300"/>
      <rgbColor rgb="FF993366"/>
      <rgbColor rgb="FF1F4E7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4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M15" activeCellId="0" sqref="M1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9.71"/>
    <col collapsed="false" customWidth="true" hidden="false" outlineLevel="0" max="2" min="2" style="1" width="18.42"/>
    <col collapsed="false" customWidth="true" hidden="false" outlineLevel="0" max="3" min="3" style="1" width="22.86"/>
    <col collapsed="false" customWidth="true" hidden="false" outlineLevel="0" max="4" min="4" style="1" width="40"/>
    <col collapsed="false" customWidth="true" hidden="false" outlineLevel="0" max="5" min="5" style="1" width="16.29"/>
    <col collapsed="false" customWidth="true" hidden="false" outlineLevel="0" max="6" min="6" style="1" width="23.29"/>
    <col collapsed="false" customWidth="true" hidden="false" outlineLevel="0" max="7" min="7" style="1" width="18"/>
    <col collapsed="false" customWidth="true" hidden="false" outlineLevel="0" max="8" min="8" style="1" width="13.29"/>
    <col collapsed="false" customWidth="true" hidden="true" outlineLevel="0" max="9" min="9" style="1" width="18.86"/>
    <col collapsed="false" customWidth="true" hidden="false" outlineLevel="0" max="10" min="10" style="1" width="22.71"/>
    <col collapsed="false" customWidth="true" hidden="false" outlineLevel="0" max="12" min="11" style="2" width="8.86"/>
    <col collapsed="false" customWidth="true" hidden="false" outlineLevel="0" max="13" min="13" style="2" width="16"/>
  </cols>
  <sheetData>
    <row r="1" customFormat="false" ht="70.5" hidden="false" customHeight="true" outlineLevel="0" collapsed="false">
      <c r="A1" s="3" t="e">
        <f aca="false">#VALUE!</f>
        <v>#VALUE!</v>
      </c>
      <c r="B1" s="4" t="s">
        <v>0</v>
      </c>
      <c r="C1" s="4"/>
      <c r="D1" s="4"/>
      <c r="E1" s="4"/>
      <c r="F1" s="4"/>
      <c r="G1" s="4"/>
      <c r="H1" s="4"/>
      <c r="I1" s="4"/>
      <c r="J1" s="5" t="s">
        <v>1</v>
      </c>
    </row>
    <row r="2" customFormat="false" ht="15" hidden="false" customHeight="true" outlineLevel="0" collapsed="false">
      <c r="A2" s="6"/>
      <c r="B2" s="7" t="s">
        <v>2</v>
      </c>
      <c r="C2" s="7"/>
      <c r="D2" s="7"/>
      <c r="E2" s="7"/>
      <c r="F2" s="7"/>
      <c r="G2" s="7"/>
      <c r="H2" s="7"/>
      <c r="I2" s="7"/>
      <c r="J2" s="8"/>
    </row>
    <row r="3" s="12" customFormat="true" ht="15" hidden="false" customHeight="false" outlineLevel="0" collapsed="false">
      <c r="A3" s="9" t="s">
        <v>3</v>
      </c>
      <c r="B3" s="10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0" t="s">
        <v>10</v>
      </c>
      <c r="I3" s="10" t="s">
        <v>11</v>
      </c>
      <c r="J3" s="11" t="s">
        <v>12</v>
      </c>
    </row>
    <row r="4" customFormat="false" ht="15" hidden="false" customHeight="false" outlineLevel="0" collapsed="false">
      <c r="A4" s="13" t="n">
        <v>2</v>
      </c>
      <c r="B4" s="14" t="n">
        <v>10031214850</v>
      </c>
      <c r="C4" s="14" t="s">
        <v>13</v>
      </c>
      <c r="D4" s="14" t="s">
        <v>14</v>
      </c>
      <c r="E4" s="15" t="s">
        <v>15</v>
      </c>
      <c r="F4" s="14" t="n">
        <v>117.0961</v>
      </c>
      <c r="G4" s="14"/>
      <c r="H4" s="16" t="n">
        <v>129.8</v>
      </c>
      <c r="I4" s="15" t="n">
        <f aca="false">IF(G4&lt;&gt;0,G4,F4)</f>
        <v>117.0961</v>
      </c>
      <c r="J4" s="17" t="n">
        <f aca="false">IF(G4&lt;&gt;0,G4/H4,F4/H4)</f>
        <v>0.902127118644068</v>
      </c>
    </row>
    <row r="5" customFormat="false" ht="15" hidden="false" customHeight="false" outlineLevel="0" collapsed="false">
      <c r="A5" s="18" t="n">
        <v>2</v>
      </c>
      <c r="B5" s="19" t="n">
        <v>10031394475</v>
      </c>
      <c r="C5" s="19" t="s">
        <v>16</v>
      </c>
      <c r="D5" s="19" t="s">
        <v>17</v>
      </c>
      <c r="E5" s="20" t="s">
        <v>18</v>
      </c>
      <c r="F5" s="19" t="n">
        <v>27.1522</v>
      </c>
      <c r="G5" s="19"/>
      <c r="H5" s="21" t="n">
        <v>32.67</v>
      </c>
      <c r="I5" s="15" t="n">
        <f aca="false">IF(G5&lt;&gt;0,G5,F5)</f>
        <v>27.1522</v>
      </c>
      <c r="J5" s="22" t="n">
        <f aca="false">IF(G5&lt;&gt;0,G5/H5,F5/H5)</f>
        <v>0.831104989286807</v>
      </c>
    </row>
    <row r="6" customFormat="false" ht="15" hidden="false" customHeight="false" outlineLevel="0" collapsed="false">
      <c r="A6" s="13" t="n">
        <v>2</v>
      </c>
      <c r="B6" s="19" t="n">
        <v>10031394572</v>
      </c>
      <c r="C6" s="19" t="s">
        <v>19</v>
      </c>
      <c r="D6" s="19" t="s">
        <v>20</v>
      </c>
      <c r="E6" s="20" t="s">
        <v>18</v>
      </c>
      <c r="F6" s="19" t="n">
        <v>34.5336</v>
      </c>
      <c r="G6" s="19"/>
      <c r="H6" s="21" t="n">
        <v>38.65</v>
      </c>
      <c r="I6" s="15" t="n">
        <f aca="false">IF(G6&lt;&gt;0,G6,F6)</f>
        <v>34.5336</v>
      </c>
      <c r="J6" s="22" t="n">
        <f aca="false">IF(G6&lt;&gt;0,G6/H6,F6/H6)</f>
        <v>0.893495472186287</v>
      </c>
    </row>
    <row r="7" s="23" customFormat="true" ht="15" hidden="false" customHeight="false" outlineLevel="0" collapsed="false">
      <c r="A7" s="18" t="n">
        <v>2</v>
      </c>
      <c r="B7" s="19" t="n">
        <v>10031394211</v>
      </c>
      <c r="C7" s="19" t="s">
        <v>21</v>
      </c>
      <c r="D7" s="19" t="s">
        <v>22</v>
      </c>
      <c r="E7" s="20" t="s">
        <v>18</v>
      </c>
      <c r="F7" s="19" t="n">
        <v>58.6662</v>
      </c>
      <c r="G7" s="19"/>
      <c r="H7" s="21" t="n">
        <v>70.23</v>
      </c>
      <c r="I7" s="15" t="n">
        <f aca="false">IF(G7&lt;&gt;0,G7,F7)</f>
        <v>58.6662</v>
      </c>
      <c r="J7" s="22" t="n">
        <f aca="false">IF(G7&lt;&gt;0,G7/H7,F7/H7)</f>
        <v>0.835343870140965</v>
      </c>
    </row>
    <row r="8" customFormat="false" ht="15" hidden="false" customHeight="false" outlineLevel="0" collapsed="false">
      <c r="A8" s="13" t="n">
        <v>2</v>
      </c>
      <c r="B8" s="19" t="n">
        <v>10031394599</v>
      </c>
      <c r="C8" s="19" t="s">
        <v>23</v>
      </c>
      <c r="D8" s="19" t="s">
        <v>24</v>
      </c>
      <c r="E8" s="20" t="s">
        <v>18</v>
      </c>
      <c r="F8" s="19" t="n">
        <v>69.7079</v>
      </c>
      <c r="G8" s="19"/>
      <c r="H8" s="21" t="n">
        <v>77.9</v>
      </c>
      <c r="I8" s="15" t="n">
        <f aca="false">IF(G8&lt;&gt;0,G8,F8)</f>
        <v>69.7079</v>
      </c>
      <c r="J8" s="22" t="n">
        <f aca="false">IF(G8&lt;&gt;0,G8/H8,F8/H8)</f>
        <v>0.894838254172015</v>
      </c>
    </row>
    <row r="9" customFormat="false" ht="15" hidden="false" customHeight="false" outlineLevel="0" collapsed="false">
      <c r="A9" s="18" t="n">
        <v>2</v>
      </c>
      <c r="B9" s="19" t="n">
        <v>10035044444</v>
      </c>
      <c r="C9" s="19" t="s">
        <v>25</v>
      </c>
      <c r="D9" s="19" t="s">
        <v>26</v>
      </c>
      <c r="E9" s="20" t="s">
        <v>27</v>
      </c>
      <c r="F9" s="19" t="n">
        <v>17.5315</v>
      </c>
      <c r="G9" s="19"/>
      <c r="H9" s="21" t="n">
        <v>18.59</v>
      </c>
      <c r="I9" s="15" t="n">
        <f aca="false">IF(G9&lt;&gt;0,G9,F9)</f>
        <v>17.5315</v>
      </c>
      <c r="J9" s="22" t="n">
        <f aca="false">IF(G9&lt;&gt;0,G9/H9,F9/H9)</f>
        <v>0.943060785368478</v>
      </c>
    </row>
    <row r="10" customFormat="false" ht="15" hidden="false" customHeight="false" outlineLevel="0" collapsed="false">
      <c r="A10" s="13" t="n">
        <v>2</v>
      </c>
      <c r="B10" s="19" t="n">
        <v>10035044363</v>
      </c>
      <c r="C10" s="19" t="s">
        <v>28</v>
      </c>
      <c r="D10" s="19" t="s">
        <v>29</v>
      </c>
      <c r="E10" s="20" t="s">
        <v>27</v>
      </c>
      <c r="F10" s="19" t="n">
        <v>17.1527</v>
      </c>
      <c r="G10" s="19"/>
      <c r="H10" s="21" t="n">
        <v>18.5</v>
      </c>
      <c r="I10" s="15" t="n">
        <f aca="false">IF(G10&lt;&gt;0,G10,F10)</f>
        <v>17.1527</v>
      </c>
      <c r="J10" s="22" t="n">
        <f aca="false">IF(G10&lt;&gt;0,G10/H10,F10/H10)</f>
        <v>0.927172972972973</v>
      </c>
    </row>
    <row r="11" customFormat="false" ht="15" hidden="false" customHeight="false" outlineLevel="0" collapsed="false">
      <c r="A11" s="18" t="n">
        <v>2</v>
      </c>
      <c r="B11" s="19" t="n">
        <v>10035302079</v>
      </c>
      <c r="C11" s="19" t="s">
        <v>30</v>
      </c>
      <c r="D11" s="19" t="s">
        <v>31</v>
      </c>
      <c r="E11" s="20" t="s">
        <v>32</v>
      </c>
      <c r="F11" s="19" t="n">
        <v>45.6739</v>
      </c>
      <c r="G11" s="19"/>
      <c r="H11" s="21" t="n">
        <v>48.88</v>
      </c>
      <c r="I11" s="15" t="n">
        <f aca="false">IF(G11&lt;&gt;0,G11,F11)</f>
        <v>45.6739</v>
      </c>
      <c r="J11" s="22" t="n">
        <f aca="false">IF(G11&lt;&gt;0,G11/H11,F11/H11)</f>
        <v>0.93440875613748</v>
      </c>
    </row>
    <row r="12" customFormat="false" ht="15" hidden="false" customHeight="false" outlineLevel="0" collapsed="false">
      <c r="A12" s="13" t="n">
        <v>2</v>
      </c>
      <c r="B12" s="19" t="s">
        <v>33</v>
      </c>
      <c r="C12" s="19" t="s">
        <v>34</v>
      </c>
      <c r="D12" s="19" t="s">
        <v>35</v>
      </c>
      <c r="E12" s="20" t="s">
        <v>36</v>
      </c>
      <c r="F12" s="19" t="n">
        <v>10.6704</v>
      </c>
      <c r="G12" s="19"/>
      <c r="H12" s="21" t="n">
        <v>11.83</v>
      </c>
      <c r="I12" s="15" t="n">
        <f aca="false">IF(G12&lt;&gt;0,G12,F12)</f>
        <v>10.6704</v>
      </c>
      <c r="J12" s="22" t="n">
        <f aca="false">IF(G12&lt;&gt;0,G12/H12,F12/H12)</f>
        <v>0.901978021978022</v>
      </c>
    </row>
    <row r="13" customFormat="false" ht="15" hidden="false" customHeight="false" outlineLevel="0" collapsed="false">
      <c r="A13" s="18" t="n">
        <v>2</v>
      </c>
      <c r="B13" s="19" t="s">
        <v>37</v>
      </c>
      <c r="C13" s="19" t="s">
        <v>38</v>
      </c>
      <c r="D13" s="19" t="s">
        <v>39</v>
      </c>
      <c r="E13" s="20" t="s">
        <v>36</v>
      </c>
      <c r="F13" s="19" t="n">
        <v>40.9199</v>
      </c>
      <c r="G13" s="19"/>
      <c r="H13" s="21" t="n">
        <v>45</v>
      </c>
      <c r="I13" s="15" t="n">
        <f aca="false">IF(G13&lt;&gt;0,G13,F13)</f>
        <v>40.9199</v>
      </c>
      <c r="J13" s="22" t="n">
        <f aca="false">IF(G13&lt;&gt;0,G13/H13,F13/H13)</f>
        <v>0.909331111111111</v>
      </c>
    </row>
    <row r="14" customFormat="false" ht="15" hidden="false" customHeight="false" outlineLevel="0" collapsed="false">
      <c r="A14" s="13" t="n">
        <v>2</v>
      </c>
      <c r="B14" s="19" t="s">
        <v>40</v>
      </c>
      <c r="C14" s="19" t="s">
        <v>41</v>
      </c>
      <c r="D14" s="19" t="s">
        <v>42</v>
      </c>
      <c r="E14" s="20" t="s">
        <v>36</v>
      </c>
      <c r="F14" s="19" t="n">
        <v>40.6725</v>
      </c>
      <c r="G14" s="19"/>
      <c r="H14" s="21" t="n">
        <v>45.04</v>
      </c>
      <c r="I14" s="15" t="n">
        <f aca="false">IF(G14&lt;&gt;0,G14,F14)</f>
        <v>40.6725</v>
      </c>
      <c r="J14" s="22" t="n">
        <f aca="false">IF(G14&lt;&gt;0,G14/H14,F14/H14)</f>
        <v>0.903030639431616</v>
      </c>
    </row>
    <row r="15" customFormat="false" ht="15" hidden="false" customHeight="false" outlineLevel="0" collapsed="false">
      <c r="A15" s="18" t="n">
        <v>2</v>
      </c>
      <c r="B15" s="19" t="n">
        <v>10031246905</v>
      </c>
      <c r="C15" s="19" t="s">
        <v>43</v>
      </c>
      <c r="D15" s="19" t="s">
        <v>44</v>
      </c>
      <c r="E15" s="20" t="s">
        <v>45</v>
      </c>
      <c r="F15" s="19" t="n">
        <v>89.2493</v>
      </c>
      <c r="G15" s="19" t="n">
        <v>90.16126</v>
      </c>
      <c r="H15" s="21" t="n">
        <v>95.4</v>
      </c>
      <c r="I15" s="15" t="n">
        <f aca="false">IF(G15&lt;&gt;0,G15,F15)</f>
        <v>90.16126</v>
      </c>
      <c r="J15" s="22" t="n">
        <f aca="false">IF(G15&lt;&gt;0,G15/H15,F15/H15)</f>
        <v>0.945086582809224</v>
      </c>
      <c r="K15" s="2" t="e">
        <f aca="false">#VALUE!</f>
        <v>#VALUE!</v>
      </c>
      <c r="L15" s="2" t="e">
        <f aca="false">#VALUE!</f>
        <v>#VALUE!</v>
      </c>
      <c r="M15" s="2" t="e">
        <f aca="false">#VALUE!</f>
        <v>#VALUE!</v>
      </c>
    </row>
    <row r="16" customFormat="false" ht="15" hidden="false" customHeight="false" outlineLevel="0" collapsed="false">
      <c r="A16" s="13" t="n">
        <v>2</v>
      </c>
      <c r="B16" s="19" t="n">
        <v>10035461975</v>
      </c>
      <c r="C16" s="19" t="s">
        <v>46</v>
      </c>
      <c r="D16" s="19" t="s">
        <v>47</v>
      </c>
      <c r="E16" s="20" t="s">
        <v>48</v>
      </c>
      <c r="F16" s="19" t="n">
        <v>73.1527</v>
      </c>
      <c r="G16" s="19"/>
      <c r="H16" s="21" t="n">
        <v>87.1</v>
      </c>
      <c r="I16" s="15" t="n">
        <f aca="false">IF(G16&lt;&gt;0,G16,F16)</f>
        <v>73.1527</v>
      </c>
      <c r="J16" s="22" t="n">
        <f aca="false">IF(G16&lt;&gt;0,G16/H16,F16/H16)</f>
        <v>0.839870264064294</v>
      </c>
    </row>
    <row r="17" customFormat="false" ht="15" hidden="false" customHeight="false" outlineLevel="0" collapsed="false">
      <c r="A17" s="18" t="n">
        <v>2</v>
      </c>
      <c r="B17" s="19" t="n">
        <v>10035461983</v>
      </c>
      <c r="C17" s="19" t="s">
        <v>49</v>
      </c>
      <c r="D17" s="19" t="s">
        <v>50</v>
      </c>
      <c r="E17" s="20" t="s">
        <v>48</v>
      </c>
      <c r="F17" s="19" t="n">
        <v>62.961</v>
      </c>
      <c r="G17" s="19"/>
      <c r="H17" s="21" t="n">
        <v>74.21</v>
      </c>
      <c r="I17" s="15" t="n">
        <f aca="false">IF(G17&lt;&gt;0,G17,F17)</f>
        <v>62.961</v>
      </c>
      <c r="J17" s="22" t="n">
        <f aca="false">IF(G17&lt;&gt;0,G17/H17,F17/H17)</f>
        <v>0.848416655437273</v>
      </c>
    </row>
    <row r="18" customFormat="false" ht="15" hidden="false" customHeight="false" outlineLevel="0" collapsed="false">
      <c r="A18" s="13" t="n">
        <v>2</v>
      </c>
      <c r="B18" s="19" t="n">
        <v>10035505336</v>
      </c>
      <c r="C18" s="19" t="s">
        <v>51</v>
      </c>
      <c r="D18" s="19" t="s">
        <v>52</v>
      </c>
      <c r="E18" s="20" t="s">
        <v>48</v>
      </c>
      <c r="F18" s="19" t="n">
        <v>46.0071</v>
      </c>
      <c r="G18" s="19"/>
      <c r="H18" s="21" t="n">
        <v>53.92</v>
      </c>
      <c r="I18" s="15" t="n">
        <f aca="false">IF(G18&lt;&gt;0,G18,F18)</f>
        <v>46.0071</v>
      </c>
      <c r="J18" s="22" t="n">
        <f aca="false">IF(G18&lt;&gt;0,G18/H18,F18/H18)</f>
        <v>0.853247403560831</v>
      </c>
    </row>
    <row r="19" customFormat="false" ht="15" hidden="false" customHeight="false" outlineLevel="0" collapsed="false">
      <c r="A19" s="18" t="n">
        <v>2</v>
      </c>
      <c r="B19" s="19" t="n">
        <v>10035462122</v>
      </c>
      <c r="C19" s="19" t="s">
        <v>53</v>
      </c>
      <c r="D19" s="19" t="s">
        <v>54</v>
      </c>
      <c r="E19" s="20" t="s">
        <v>48</v>
      </c>
      <c r="F19" s="19" t="n">
        <v>35.8911</v>
      </c>
      <c r="G19" s="19"/>
      <c r="H19" s="21" t="n">
        <v>41.08</v>
      </c>
      <c r="I19" s="15" t="n">
        <f aca="false">IF(G19&lt;&gt;0,G19,F19)</f>
        <v>35.8911</v>
      </c>
      <c r="J19" s="22" t="n">
        <f aca="false">IF(G19&lt;&gt;0,G19/H19,F19/H19)</f>
        <v>0.873687925998053</v>
      </c>
    </row>
    <row r="20" customFormat="false" ht="15" hidden="false" customHeight="false" outlineLevel="0" collapsed="false">
      <c r="A20" s="13" t="n">
        <v>2</v>
      </c>
      <c r="B20" s="19" t="n">
        <v>10035462130</v>
      </c>
      <c r="C20" s="19" t="s">
        <v>55</v>
      </c>
      <c r="D20" s="19" t="s">
        <v>56</v>
      </c>
      <c r="E20" s="20" t="s">
        <v>48</v>
      </c>
      <c r="F20" s="19" t="n">
        <v>37.8702</v>
      </c>
      <c r="G20" s="19"/>
      <c r="H20" s="21" t="n">
        <v>46.02</v>
      </c>
      <c r="I20" s="15" t="n">
        <f aca="false">IF(G20&lt;&gt;0,G20,F20)</f>
        <v>37.8702</v>
      </c>
      <c r="J20" s="22" t="n">
        <f aca="false">IF(G20&lt;&gt;0,G20/H20,F20/H20)</f>
        <v>0.822907431551499</v>
      </c>
    </row>
    <row r="21" customFormat="false" ht="15" hidden="false" customHeight="false" outlineLevel="0" collapsed="false">
      <c r="A21" s="18" t="n">
        <v>2</v>
      </c>
      <c r="B21" s="19" t="n">
        <v>10035462084</v>
      </c>
      <c r="C21" s="19" t="s">
        <v>57</v>
      </c>
      <c r="D21" s="19" t="s">
        <v>58</v>
      </c>
      <c r="E21" s="20" t="s">
        <v>59</v>
      </c>
      <c r="F21" s="19" t="n">
        <v>158.11595</v>
      </c>
      <c r="G21" s="19"/>
      <c r="H21" s="21" t="n">
        <v>213.17</v>
      </c>
      <c r="I21" s="15" t="n">
        <f aca="false">IF(G21&lt;&gt;0,G21,F21)</f>
        <v>158.11595</v>
      </c>
      <c r="J21" s="22" t="n">
        <f aca="false">IF(G21&lt;&gt;0,G21/H21,F21/H21)</f>
        <v>0.74173640756204</v>
      </c>
    </row>
    <row r="22" customFormat="false" ht="15" hidden="false" customHeight="false" outlineLevel="0" collapsed="false">
      <c r="A22" s="13" t="n">
        <v>2</v>
      </c>
      <c r="B22" s="19" t="n">
        <v>10035462114</v>
      </c>
      <c r="C22" s="19" t="s">
        <v>60</v>
      </c>
      <c r="D22" s="19" t="s">
        <v>61</v>
      </c>
      <c r="E22" s="20" t="s">
        <v>59</v>
      </c>
      <c r="F22" s="19" t="n">
        <v>152.59515</v>
      </c>
      <c r="G22" s="19"/>
      <c r="H22" s="21" t="n">
        <v>203.91</v>
      </c>
      <c r="I22" s="15" t="n">
        <f aca="false">IF(G22&lt;&gt;0,G22,F22)</f>
        <v>152.59515</v>
      </c>
      <c r="J22" s="22" t="n">
        <f aca="false">IF(G22&lt;&gt;0,G22/H22,F22/H22)</f>
        <v>0.748345593644255</v>
      </c>
    </row>
    <row r="23" customFormat="false" ht="15" hidden="false" customHeight="false" outlineLevel="0" collapsed="false">
      <c r="A23" s="18" t="n">
        <v>2</v>
      </c>
      <c r="B23" s="19" t="n">
        <v>10035462262</v>
      </c>
      <c r="C23" s="19" t="s">
        <v>62</v>
      </c>
      <c r="D23" s="19" t="s">
        <v>63</v>
      </c>
      <c r="E23" s="20" t="s">
        <v>59</v>
      </c>
      <c r="F23" s="19" t="n">
        <v>155.28119</v>
      </c>
      <c r="G23" s="19"/>
      <c r="H23" s="21" t="n">
        <v>211.32</v>
      </c>
      <c r="I23" s="15" t="n">
        <f aca="false">IF(G23&lt;&gt;0,G23,F23)</f>
        <v>155.28119</v>
      </c>
      <c r="J23" s="22" t="n">
        <f aca="false">IF(G23&lt;&gt;0,G23/H23,F23/H23)</f>
        <v>0.734815398447852</v>
      </c>
    </row>
    <row r="24" customFormat="false" ht="15" hidden="false" customHeight="false" outlineLevel="0" collapsed="false">
      <c r="A24" s="13" t="n">
        <v>2</v>
      </c>
      <c r="B24" s="19" t="n">
        <v>10035977122</v>
      </c>
      <c r="C24" s="19" t="s">
        <v>64</v>
      </c>
      <c r="D24" s="19" t="s">
        <v>65</v>
      </c>
      <c r="E24" s="20" t="s">
        <v>66</v>
      </c>
      <c r="F24" s="19" t="n">
        <v>179.31465</v>
      </c>
      <c r="G24" s="19"/>
      <c r="H24" s="21" t="n">
        <v>222</v>
      </c>
      <c r="I24" s="15" t="n">
        <f aca="false">IF(G24&lt;&gt;0,G24,F24)</f>
        <v>179.31465</v>
      </c>
      <c r="J24" s="22" t="n">
        <f aca="false">IF(G24&lt;&gt;0,G24/H24,F24/H24)</f>
        <v>0.807723648648649</v>
      </c>
    </row>
    <row r="25" customFormat="false" ht="15" hidden="false" customHeight="false" outlineLevel="0" collapsed="false">
      <c r="A25" s="18" t="n">
        <v>2</v>
      </c>
      <c r="B25" s="19" t="n">
        <v>10035977130</v>
      </c>
      <c r="C25" s="19" t="s">
        <v>67</v>
      </c>
      <c r="D25" s="19" t="s">
        <v>68</v>
      </c>
      <c r="E25" s="20" t="s">
        <v>66</v>
      </c>
      <c r="F25" s="19" t="n">
        <v>178.04613</v>
      </c>
      <c r="G25" s="19"/>
      <c r="H25" s="21" t="n">
        <v>221.1</v>
      </c>
      <c r="I25" s="15" t="n">
        <f aca="false">IF(G25&lt;&gt;0,G25,F25)</f>
        <v>178.04613</v>
      </c>
      <c r="J25" s="22" t="n">
        <f aca="false">IF(G25&lt;&gt;0,G25/H25,F25/H25)</f>
        <v>0.805274219810041</v>
      </c>
    </row>
    <row r="26" customFormat="false" ht="15" hidden="false" customHeight="false" outlineLevel="0" collapsed="false">
      <c r="A26" s="13" t="n">
        <v>2</v>
      </c>
      <c r="B26" s="19" t="n">
        <v>10035977149</v>
      </c>
      <c r="C26" s="19" t="s">
        <v>69</v>
      </c>
      <c r="D26" s="19" t="s">
        <v>70</v>
      </c>
      <c r="E26" s="20" t="s">
        <v>66</v>
      </c>
      <c r="F26" s="19" t="n">
        <v>178.83824</v>
      </c>
      <c r="G26" s="19"/>
      <c r="H26" s="21" t="n">
        <v>220.3</v>
      </c>
      <c r="I26" s="15" t="n">
        <f aca="false">IF(G26&lt;&gt;0,G26,F26)</f>
        <v>178.83824</v>
      </c>
      <c r="J26" s="22" t="n">
        <f aca="false">IF(G26&lt;&gt;0,G26/H26,F26/H26)</f>
        <v>0.811794098955969</v>
      </c>
    </row>
    <row r="27" customFormat="false" ht="15" hidden="false" customHeight="false" outlineLevel="0" collapsed="false">
      <c r="A27" s="18" t="n">
        <v>2</v>
      </c>
      <c r="B27" s="19" t="n">
        <v>10035977157</v>
      </c>
      <c r="C27" s="19" t="s">
        <v>71</v>
      </c>
      <c r="D27" s="19" t="s">
        <v>72</v>
      </c>
      <c r="E27" s="20" t="s">
        <v>66</v>
      </c>
      <c r="F27" s="19" t="n">
        <v>181.78614</v>
      </c>
      <c r="G27" s="19"/>
      <c r="H27" s="21" t="n">
        <v>219.5</v>
      </c>
      <c r="I27" s="15" t="n">
        <f aca="false">IF(G27&lt;&gt;0,G27,F27)</f>
        <v>181.78614</v>
      </c>
      <c r="J27" s="22" t="n">
        <f aca="false">IF(G27&lt;&gt;0,G27/H27,F27/H27)</f>
        <v>0.828182870159453</v>
      </c>
    </row>
    <row r="28" customFormat="false" ht="15" hidden="false" customHeight="false" outlineLevel="0" collapsed="false">
      <c r="A28" s="13" t="n">
        <v>2</v>
      </c>
      <c r="B28" s="19" t="n">
        <v>10035977203</v>
      </c>
      <c r="C28" s="19" t="s">
        <v>73</v>
      </c>
      <c r="D28" s="19" t="s">
        <v>74</v>
      </c>
      <c r="E28" s="20" t="s">
        <v>66</v>
      </c>
      <c r="F28" s="19" t="n">
        <v>180.7155</v>
      </c>
      <c r="G28" s="19"/>
      <c r="H28" s="21" t="n">
        <v>219.4</v>
      </c>
      <c r="I28" s="15" t="n">
        <f aca="false">IF(G28&lt;&gt;0,G28,F28)</f>
        <v>180.7155</v>
      </c>
      <c r="J28" s="22" t="n">
        <f aca="false">IF(G28&lt;&gt;0,G28/H28,F28/H28)</f>
        <v>0.823680492251595</v>
      </c>
    </row>
    <row r="29" customFormat="false" ht="15" hidden="false" customHeight="false" outlineLevel="0" collapsed="false">
      <c r="A29" s="18" t="n">
        <v>2</v>
      </c>
      <c r="B29" s="19" t="n">
        <v>10035715969</v>
      </c>
      <c r="C29" s="19" t="s">
        <v>75</v>
      </c>
      <c r="D29" s="19" t="s">
        <v>76</v>
      </c>
      <c r="E29" s="20" t="s">
        <v>77</v>
      </c>
      <c r="F29" s="19" t="n">
        <v>165.96492</v>
      </c>
      <c r="G29" s="19"/>
      <c r="H29" s="21" t="n">
        <v>197.94</v>
      </c>
      <c r="I29" s="15" t="n">
        <f aca="false">IF(G29&lt;&gt;0,G29,F29)</f>
        <v>165.96492</v>
      </c>
      <c r="J29" s="22" t="n">
        <f aca="false">IF(G29&lt;&gt;0,G29/H29,F29/H29)</f>
        <v>0.838460745680509</v>
      </c>
    </row>
    <row r="30" customFormat="false" ht="15" hidden="false" customHeight="false" outlineLevel="0" collapsed="false">
      <c r="A30" s="13" t="n">
        <v>2</v>
      </c>
      <c r="B30" s="19" t="n">
        <v>10035715993</v>
      </c>
      <c r="C30" s="19" t="s">
        <v>78</v>
      </c>
      <c r="D30" s="19" t="s">
        <v>79</v>
      </c>
      <c r="E30" s="20" t="s">
        <v>77</v>
      </c>
      <c r="F30" s="19" t="n">
        <v>81.64761</v>
      </c>
      <c r="G30" s="19"/>
      <c r="H30" s="21" t="n">
        <v>94.26</v>
      </c>
      <c r="I30" s="15" t="n">
        <f aca="false">IF(G30&lt;&gt;0,G30,F30)</f>
        <v>81.64761</v>
      </c>
      <c r="J30" s="22" t="n">
        <f aca="false">IF(G30&lt;&gt;0,G30/H30,F30/H30)</f>
        <v>0.866195735200509</v>
      </c>
    </row>
    <row r="31" customFormat="false" ht="15" hidden="false" customHeight="false" outlineLevel="0" collapsed="false">
      <c r="A31" s="18" t="n">
        <v>2</v>
      </c>
      <c r="B31" s="19" t="n">
        <v>1003665285</v>
      </c>
      <c r="C31" s="19" t="s">
        <v>80</v>
      </c>
      <c r="D31" s="19" t="s">
        <v>81</v>
      </c>
      <c r="E31" s="20" t="s">
        <v>82</v>
      </c>
      <c r="F31" s="19" t="n">
        <v>175.35856</v>
      </c>
      <c r="G31" s="19" t="n">
        <v>175.35856</v>
      </c>
      <c r="H31" s="21" t="n">
        <v>215.9581</v>
      </c>
      <c r="I31" s="15" t="n">
        <f aca="false">IF(G31&lt;&gt;0,G31,F31)</f>
        <v>175.35856</v>
      </c>
      <c r="J31" s="22" t="n">
        <f aca="false">IF(G31&lt;&gt;0,G31/H31,F31/H31)</f>
        <v>0.812002698671641</v>
      </c>
    </row>
    <row r="32" customFormat="false" ht="15" hidden="false" customHeight="false" outlineLevel="0" collapsed="false">
      <c r="A32" s="13" t="n">
        <v>2</v>
      </c>
      <c r="B32" s="19" t="n">
        <v>1003665286</v>
      </c>
      <c r="C32" s="19" t="s">
        <v>83</v>
      </c>
      <c r="D32" s="19" t="s">
        <v>84</v>
      </c>
      <c r="E32" s="20" t="s">
        <v>82</v>
      </c>
      <c r="F32" s="19" t="n">
        <v>169.98413</v>
      </c>
      <c r="G32" s="19" t="n">
        <v>169.98412</v>
      </c>
      <c r="H32" s="21" t="n">
        <v>209.6064</v>
      </c>
      <c r="I32" s="15" t="n">
        <f aca="false">IF(G32&lt;&gt;0,G32,F32)</f>
        <v>169.98412</v>
      </c>
      <c r="J32" s="22" t="n">
        <f aca="false">IF(G32&lt;&gt;0,G32/H32,F32/H32)</f>
        <v>0.810968176544228</v>
      </c>
    </row>
    <row r="33" customFormat="false" ht="15" hidden="false" customHeight="false" outlineLevel="0" collapsed="false">
      <c r="A33" s="18" t="n">
        <v>2</v>
      </c>
      <c r="B33" s="19" t="n">
        <v>1003665288</v>
      </c>
      <c r="C33" s="19" t="s">
        <v>85</v>
      </c>
      <c r="D33" s="19" t="s">
        <v>86</v>
      </c>
      <c r="E33" s="20" t="s">
        <v>82</v>
      </c>
      <c r="F33" s="19" t="n">
        <v>86.79227</v>
      </c>
      <c r="G33" s="19" t="n">
        <v>86.79227</v>
      </c>
      <c r="H33" s="21" t="n">
        <v>107.979</v>
      </c>
      <c r="I33" s="15" t="n">
        <f aca="false">IF(G33&lt;&gt;0,G33,F33)</f>
        <v>86.79227</v>
      </c>
      <c r="J33" s="22" t="n">
        <f aca="false">IF(G33&lt;&gt;0,G33/H33,F33/H33)</f>
        <v>0.803788421822762</v>
      </c>
    </row>
    <row r="34" customFormat="false" ht="15" hidden="false" customHeight="false" outlineLevel="0" collapsed="false">
      <c r="A34" s="13" t="n">
        <v>2</v>
      </c>
      <c r="B34" s="19" t="n">
        <v>10035751906</v>
      </c>
      <c r="C34" s="19" t="s">
        <v>87</v>
      </c>
      <c r="D34" s="19" t="s">
        <v>88</v>
      </c>
      <c r="E34" s="20" t="s">
        <v>89</v>
      </c>
      <c r="F34" s="19" t="n">
        <v>108.01733</v>
      </c>
      <c r="G34" s="19" t="n">
        <v>108.03875</v>
      </c>
      <c r="H34" s="21" t="n">
        <v>217.31667</v>
      </c>
      <c r="I34" s="15" t="n">
        <f aca="false">IF(G34&lt;&gt;0,G34,F34)</f>
        <v>108.03875</v>
      </c>
      <c r="J34" s="22" t="n">
        <f aca="false">IF(G34&lt;&gt;0,G34/H34,F34/H34)</f>
        <v>0.49714893017641</v>
      </c>
    </row>
    <row r="35" customFormat="false" ht="15" hidden="false" customHeight="false" outlineLevel="0" collapsed="false">
      <c r="A35" s="18" t="n">
        <v>2</v>
      </c>
      <c r="B35" s="19" t="n">
        <v>10035751914</v>
      </c>
      <c r="C35" s="19" t="s">
        <v>90</v>
      </c>
      <c r="D35" s="19" t="s">
        <v>91</v>
      </c>
      <c r="E35" s="20" t="s">
        <v>89</v>
      </c>
      <c r="F35" s="19" t="n">
        <v>171.16612</v>
      </c>
      <c r="G35" s="19" t="n">
        <v>171.16612</v>
      </c>
      <c r="H35" s="21" t="n">
        <v>210.925</v>
      </c>
      <c r="I35" s="15" t="n">
        <f aca="false">IF(G35&lt;&gt;0,G35,F35)</f>
        <v>171.16612</v>
      </c>
      <c r="J35" s="22" t="n">
        <f aca="false">IF(G35&lt;&gt;0,G35/H35,F35/H35)</f>
        <v>0.811502287542966</v>
      </c>
    </row>
    <row r="36" customFormat="false" ht="15" hidden="false" customHeight="false" outlineLevel="0" collapsed="false">
      <c r="A36" s="13" t="n">
        <v>2</v>
      </c>
      <c r="B36" s="19" t="n">
        <v>10035751922</v>
      </c>
      <c r="C36" s="19" t="s">
        <v>92</v>
      </c>
      <c r="D36" s="19" t="s">
        <v>93</v>
      </c>
      <c r="E36" s="20" t="s">
        <v>89</v>
      </c>
      <c r="F36" s="19" t="n">
        <v>85.91509</v>
      </c>
      <c r="G36" s="19" t="n">
        <v>85.91509</v>
      </c>
      <c r="H36" s="21" t="n">
        <v>108.65833</v>
      </c>
      <c r="I36" s="15" t="n">
        <f aca="false">IF(G36&lt;&gt;0,G36,F36)</f>
        <v>85.91509</v>
      </c>
      <c r="J36" s="22" t="n">
        <f aca="false">IF(G36&lt;&gt;0,G36/H36,F36/H36)</f>
        <v>0.790690322591927</v>
      </c>
    </row>
    <row r="37" customFormat="false" ht="15" hidden="false" customHeight="false" outlineLevel="0" collapsed="false">
      <c r="A37" s="18" t="n">
        <v>2</v>
      </c>
      <c r="B37" s="19" t="n">
        <v>10035154517</v>
      </c>
      <c r="C37" s="19" t="s">
        <v>94</v>
      </c>
      <c r="D37" s="19" t="s">
        <v>95</v>
      </c>
      <c r="E37" s="20" t="s">
        <v>96</v>
      </c>
      <c r="F37" s="19" t="n">
        <v>8.9417</v>
      </c>
      <c r="G37" s="19"/>
      <c r="H37" s="21" t="n">
        <v>9.12</v>
      </c>
      <c r="I37" s="15" t="n">
        <f aca="false">IF(G37&lt;&gt;0,G37,F37)</f>
        <v>8.9417</v>
      </c>
      <c r="J37" s="22" t="n">
        <f aca="false">IF(G37&lt;&gt;0,G37/H37,F37/H37)</f>
        <v>0.980449561403509</v>
      </c>
    </row>
    <row r="38" customFormat="false" ht="15" hidden="false" customHeight="false" outlineLevel="0" collapsed="false">
      <c r="A38" s="13" t="n">
        <v>2</v>
      </c>
      <c r="B38" s="19" t="n">
        <v>10034908372</v>
      </c>
      <c r="C38" s="19" t="s">
        <v>97</v>
      </c>
      <c r="D38" s="19" t="s">
        <v>98</v>
      </c>
      <c r="E38" s="20" t="s">
        <v>96</v>
      </c>
      <c r="F38" s="19" t="n">
        <v>7.8257</v>
      </c>
      <c r="G38" s="19"/>
      <c r="H38" s="21" t="n">
        <v>8.79</v>
      </c>
      <c r="I38" s="15" t="n">
        <f aca="false">IF(G38&lt;&gt;0,G38,F38)</f>
        <v>7.8257</v>
      </c>
      <c r="J38" s="22" t="n">
        <f aca="false">IF(G38&lt;&gt;0,G38/H38,F38/H38)</f>
        <v>0.890295790671217</v>
      </c>
    </row>
    <row r="39" customFormat="false" ht="15" hidden="false" customHeight="false" outlineLevel="0" collapsed="false">
      <c r="A39" s="18" t="n">
        <v>2</v>
      </c>
      <c r="B39" s="19" t="n">
        <v>10035156587</v>
      </c>
      <c r="C39" s="19" t="s">
        <v>99</v>
      </c>
      <c r="D39" s="19" t="s">
        <v>100</v>
      </c>
      <c r="E39" s="20" t="s">
        <v>96</v>
      </c>
      <c r="F39" s="19" t="n">
        <v>8.9636</v>
      </c>
      <c r="G39" s="19"/>
      <c r="H39" s="21" t="n">
        <v>9.12</v>
      </c>
      <c r="I39" s="15" t="n">
        <f aca="false">IF(G39&lt;&gt;0,G39,F39)</f>
        <v>8.9636</v>
      </c>
      <c r="J39" s="22" t="n">
        <f aca="false">IF(G39&lt;&gt;0,G39/H39,F39/H39)</f>
        <v>0.982850877192983</v>
      </c>
    </row>
    <row r="40" customFormat="false" ht="15" hidden="false" customHeight="false" outlineLevel="0" collapsed="false">
      <c r="A40" s="13" t="n">
        <v>2</v>
      </c>
      <c r="B40" s="19" t="n">
        <v>10035106113</v>
      </c>
      <c r="C40" s="19" t="s">
        <v>101</v>
      </c>
      <c r="D40" s="19" t="s">
        <v>102</v>
      </c>
      <c r="E40" s="20" t="s">
        <v>96</v>
      </c>
      <c r="F40" s="19" t="n">
        <v>9.3282</v>
      </c>
      <c r="G40" s="19"/>
      <c r="H40" s="21" t="n">
        <v>9.12</v>
      </c>
      <c r="I40" s="15" t="n">
        <f aca="false">IF(G40&lt;&gt;0,G40,F40)</f>
        <v>9.3282</v>
      </c>
      <c r="J40" s="22" t="n">
        <f aca="false">IF(G40&lt;&gt;0,G40/H40,F40/H40)</f>
        <v>1.02282894736842</v>
      </c>
    </row>
    <row r="41" customFormat="false" ht="15" hidden="false" customHeight="false" outlineLevel="0" collapsed="false">
      <c r="A41" s="18" t="n">
        <v>2</v>
      </c>
      <c r="B41" s="19" t="n">
        <v>10034913074</v>
      </c>
      <c r="C41" s="19" t="s">
        <v>103</v>
      </c>
      <c r="D41" s="19" t="s">
        <v>104</v>
      </c>
      <c r="E41" s="20" t="s">
        <v>96</v>
      </c>
      <c r="F41" s="19" t="n">
        <v>8.2317</v>
      </c>
      <c r="G41" s="19"/>
      <c r="H41" s="21" t="n">
        <v>8.79</v>
      </c>
      <c r="I41" s="15" t="n">
        <f aca="false">IF(G41&lt;&gt;0,G41,F41)</f>
        <v>8.2317</v>
      </c>
      <c r="J41" s="22" t="n">
        <f aca="false">IF(G41&lt;&gt;0,G41/H41,F41/H41)</f>
        <v>0.936484641638225</v>
      </c>
    </row>
    <row r="42" customFormat="false" ht="15" hidden="false" customHeight="false" outlineLevel="0" collapsed="false">
      <c r="A42" s="13" t="n">
        <v>2</v>
      </c>
      <c r="B42" s="19" t="n">
        <v>10034908402</v>
      </c>
      <c r="C42" s="19" t="s">
        <v>105</v>
      </c>
      <c r="D42" s="19" t="s">
        <v>106</v>
      </c>
      <c r="E42" s="20" t="s">
        <v>96</v>
      </c>
      <c r="F42" s="19" t="n">
        <v>8.1083</v>
      </c>
      <c r="G42" s="19"/>
      <c r="H42" s="21" t="n">
        <v>8.79</v>
      </c>
      <c r="I42" s="15" t="n">
        <f aca="false">IF(G42&lt;&gt;0,G42,F42)</f>
        <v>8.1083</v>
      </c>
      <c r="J42" s="22" t="n">
        <f aca="false">IF(G42&lt;&gt;0,G42/H42,F42/H42)</f>
        <v>0.922445961319682</v>
      </c>
    </row>
    <row r="43" customFormat="false" ht="15" hidden="false" customHeight="false" outlineLevel="0" collapsed="false">
      <c r="A43" s="18" t="n">
        <v>2</v>
      </c>
      <c r="B43" s="19" t="n">
        <v>10035156609</v>
      </c>
      <c r="C43" s="19" t="s">
        <v>107</v>
      </c>
      <c r="D43" s="19" t="s">
        <v>108</v>
      </c>
      <c r="E43" s="20" t="s">
        <v>96</v>
      </c>
      <c r="F43" s="19" t="n">
        <v>9.4565</v>
      </c>
      <c r="G43" s="19"/>
      <c r="H43" s="21" t="n">
        <v>9.12</v>
      </c>
      <c r="I43" s="15" t="n">
        <f aca="false">IF(G43&lt;&gt;0,G43,F43)</f>
        <v>9.4565</v>
      </c>
      <c r="J43" s="22" t="n">
        <f aca="false">IF(G43&lt;&gt;0,G43/H43,F43/H43)</f>
        <v>1.03689692982456</v>
      </c>
    </row>
    <row r="44" customFormat="false" ht="15" hidden="false" customHeight="false" outlineLevel="0" collapsed="false">
      <c r="A44" s="13" t="n">
        <v>2</v>
      </c>
      <c r="B44" s="19" t="s">
        <v>109</v>
      </c>
      <c r="C44" s="19" t="s">
        <v>110</v>
      </c>
      <c r="D44" s="19" t="s">
        <v>111</v>
      </c>
      <c r="E44" s="20" t="s">
        <v>112</v>
      </c>
      <c r="F44" s="19" t="n">
        <v>80.0787</v>
      </c>
      <c r="G44" s="19"/>
      <c r="H44" s="21" t="n">
        <v>85.8</v>
      </c>
      <c r="I44" s="15" t="n">
        <f aca="false">IF(G44&lt;&gt;0,G44,F44)</f>
        <v>80.0787</v>
      </c>
      <c r="J44" s="22" t="n">
        <f aca="false">IF(G44&lt;&gt;0,G44/H44,F44/H44)</f>
        <v>0.933318181818182</v>
      </c>
    </row>
    <row r="45" customFormat="false" ht="15" hidden="false" customHeight="false" outlineLevel="0" collapsed="false">
      <c r="A45" s="18" t="n">
        <v>2</v>
      </c>
      <c r="B45" s="19" t="s">
        <v>113</v>
      </c>
      <c r="C45" s="19" t="s">
        <v>114</v>
      </c>
      <c r="D45" s="19" t="s">
        <v>115</v>
      </c>
      <c r="E45" s="20" t="s">
        <v>112</v>
      </c>
      <c r="F45" s="19" t="n">
        <v>44.6365</v>
      </c>
      <c r="G45" s="19"/>
      <c r="H45" s="21" t="n">
        <v>47.26</v>
      </c>
      <c r="I45" s="15" t="n">
        <f aca="false">IF(G45&lt;&gt;0,G45,F45)</f>
        <v>44.6365</v>
      </c>
      <c r="J45" s="22" t="n">
        <f aca="false">IF(G45&lt;&gt;0,G45/H45,F45/H45)</f>
        <v>0.944487939060516</v>
      </c>
    </row>
    <row r="46" customFormat="false" ht="15" hidden="false" customHeight="false" outlineLevel="0" collapsed="false">
      <c r="A46" s="13" t="n">
        <v>2</v>
      </c>
      <c r="B46" s="19" t="s">
        <v>116</v>
      </c>
      <c r="C46" s="19" t="s">
        <v>117</v>
      </c>
      <c r="D46" s="19" t="s">
        <v>118</v>
      </c>
      <c r="E46" s="20" t="s">
        <v>112</v>
      </c>
      <c r="F46" s="19" t="n">
        <v>48.9983</v>
      </c>
      <c r="G46" s="19"/>
      <c r="H46" s="21" t="n">
        <v>51.92</v>
      </c>
      <c r="I46" s="15" t="n">
        <f aca="false">IF(G46&lt;&gt;0,G46,F46)</f>
        <v>48.9983</v>
      </c>
      <c r="J46" s="22" t="n">
        <f aca="false">IF(G46&lt;&gt;0,G46/H46,F46/H46)</f>
        <v>0.94372688751926</v>
      </c>
    </row>
    <row r="47" customFormat="false" ht="15" hidden="false" customHeight="false" outlineLevel="0" collapsed="false">
      <c r="A47" s="18" t="n">
        <v>2</v>
      </c>
      <c r="B47" s="19" t="s">
        <v>119</v>
      </c>
      <c r="C47" s="19" t="s">
        <v>120</v>
      </c>
      <c r="D47" s="19" t="s">
        <v>121</v>
      </c>
      <c r="E47" s="20" t="s">
        <v>112</v>
      </c>
      <c r="F47" s="19" t="n">
        <v>55.3538</v>
      </c>
      <c r="G47" s="19"/>
      <c r="H47" s="21" t="n">
        <v>59.14</v>
      </c>
      <c r="I47" s="15" t="n">
        <f aca="false">IF(G47&lt;&gt;0,G47,F47)</f>
        <v>55.3538</v>
      </c>
      <c r="J47" s="22" t="n">
        <f aca="false">IF(G47&lt;&gt;0,G47/H47,F47/H47)</f>
        <v>0.935979032803517</v>
      </c>
    </row>
    <row r="48" customFormat="false" ht="15" hidden="false" customHeight="false" outlineLevel="0" collapsed="false">
      <c r="A48" s="13" t="n">
        <v>2</v>
      </c>
      <c r="B48" s="19" t="s">
        <v>122</v>
      </c>
      <c r="C48" s="19" t="s">
        <v>123</v>
      </c>
      <c r="D48" s="19" t="s">
        <v>124</v>
      </c>
      <c r="E48" s="20" t="s">
        <v>112</v>
      </c>
      <c r="F48" s="19" t="n">
        <v>24.1746</v>
      </c>
      <c r="G48" s="19"/>
      <c r="H48" s="21" t="n">
        <v>26.65</v>
      </c>
      <c r="I48" s="15" t="n">
        <f aca="false">IF(G48&lt;&gt;0,G48,F48)</f>
        <v>24.1746</v>
      </c>
      <c r="J48" s="22" t="n">
        <f aca="false">IF(G48&lt;&gt;0,G48/H48,F48/H48)</f>
        <v>0.907114446529081</v>
      </c>
    </row>
    <row r="49" customFormat="false" ht="15" hidden="false" customHeight="false" outlineLevel="0" collapsed="false">
      <c r="A49" s="18" t="n">
        <v>2</v>
      </c>
      <c r="B49" s="19" t="s">
        <v>125</v>
      </c>
      <c r="C49" s="19" t="s">
        <v>126</v>
      </c>
      <c r="D49" s="19" t="s">
        <v>127</v>
      </c>
      <c r="E49" s="20" t="s">
        <v>112</v>
      </c>
      <c r="F49" s="19" t="n">
        <v>25.0895</v>
      </c>
      <c r="G49" s="19"/>
      <c r="H49" s="21" t="n">
        <v>26.64</v>
      </c>
      <c r="I49" s="15" t="n">
        <f aca="false">IF(G49&lt;&gt;0,G49,F49)</f>
        <v>25.0895</v>
      </c>
      <c r="J49" s="22" t="n">
        <f aca="false">IF(G49&lt;&gt;0,G49/H49,F49/H49)</f>
        <v>0.941798048048048</v>
      </c>
    </row>
    <row r="50" customFormat="false" ht="15" hidden="false" customHeight="false" outlineLevel="0" collapsed="false">
      <c r="A50" s="13" t="n">
        <v>2</v>
      </c>
      <c r="B50" s="19" t="s">
        <v>128</v>
      </c>
      <c r="C50" s="19" t="s">
        <v>129</v>
      </c>
      <c r="D50" s="19" t="s">
        <v>130</v>
      </c>
      <c r="E50" s="20" t="s">
        <v>112</v>
      </c>
      <c r="F50" s="19" t="n">
        <v>56.4416</v>
      </c>
      <c r="G50" s="19"/>
      <c r="H50" s="21" t="n">
        <v>59.94</v>
      </c>
      <c r="I50" s="15" t="n">
        <f aca="false">IF(G50&lt;&gt;0,G50,F50)</f>
        <v>56.4416</v>
      </c>
      <c r="J50" s="22" t="n">
        <f aca="false">IF(G50&lt;&gt;0,G50/H50,F50/H50)</f>
        <v>0.941634968301635</v>
      </c>
    </row>
    <row r="51" customFormat="false" ht="15" hidden="false" customHeight="false" outlineLevel="0" collapsed="false">
      <c r="A51" s="18" t="n">
        <v>2</v>
      </c>
      <c r="B51" s="19" t="s">
        <v>131</v>
      </c>
      <c r="C51" s="19" t="s">
        <v>132</v>
      </c>
      <c r="D51" s="19" t="s">
        <v>133</v>
      </c>
      <c r="E51" s="20" t="s">
        <v>112</v>
      </c>
      <c r="F51" s="19" t="n">
        <v>26.1962</v>
      </c>
      <c r="G51" s="19"/>
      <c r="H51" s="21" t="n">
        <v>28.37</v>
      </c>
      <c r="I51" s="15" t="n">
        <f aca="false">IF(G51&lt;&gt;0,G51,F51)</f>
        <v>26.1962</v>
      </c>
      <c r="J51" s="22" t="n">
        <f aca="false">IF(G51&lt;&gt;0,G51/H51,F51/H51)</f>
        <v>0.923376806485724</v>
      </c>
    </row>
    <row r="52" customFormat="false" ht="15" hidden="false" customHeight="false" outlineLevel="0" collapsed="false">
      <c r="A52" s="13" t="n">
        <v>2</v>
      </c>
      <c r="B52" s="19" t="n">
        <v>10029355760</v>
      </c>
      <c r="C52" s="19" t="s">
        <v>134</v>
      </c>
      <c r="D52" s="19" t="s">
        <v>135</v>
      </c>
      <c r="E52" s="20" t="s">
        <v>136</v>
      </c>
      <c r="F52" s="19" t="n">
        <v>142.981</v>
      </c>
      <c r="G52" s="19"/>
      <c r="H52" s="21" t="n">
        <v>151.1</v>
      </c>
      <c r="I52" s="15" t="n">
        <f aca="false">IF(G52&lt;&gt;0,G52,F52)</f>
        <v>142.981</v>
      </c>
      <c r="J52" s="22" t="n">
        <f aca="false">IF(G52&lt;&gt;0,G52/H52,F52/H52)</f>
        <v>0.946267372600927</v>
      </c>
    </row>
    <row r="53" customFormat="false" ht="15" hidden="false" customHeight="false" outlineLevel="0" collapsed="false">
      <c r="A53" s="18" t="n">
        <v>2</v>
      </c>
      <c r="B53" s="19" t="n">
        <v>10035716108</v>
      </c>
      <c r="C53" s="19" t="s">
        <v>137</v>
      </c>
      <c r="D53" s="19" t="s">
        <v>138</v>
      </c>
      <c r="E53" s="20" t="s">
        <v>139</v>
      </c>
      <c r="F53" s="19" t="n">
        <v>44.2807</v>
      </c>
      <c r="G53" s="19"/>
      <c r="H53" s="21" t="n">
        <v>51.77</v>
      </c>
      <c r="I53" s="15" t="n">
        <f aca="false">IF(G53&lt;&gt;0,G53,F53)</f>
        <v>44.2807</v>
      </c>
      <c r="J53" s="22" t="n">
        <f aca="false">IF(G53&lt;&gt;0,G53/H53,F53/H53)</f>
        <v>0.855335136179254</v>
      </c>
    </row>
    <row r="54" customFormat="false" ht="15" hidden="false" customHeight="false" outlineLevel="0" collapsed="false">
      <c r="A54" s="13" t="n">
        <v>2</v>
      </c>
      <c r="B54" s="19" t="n">
        <v>10029848863</v>
      </c>
      <c r="C54" s="19" t="s">
        <v>140</v>
      </c>
      <c r="D54" s="19" t="s">
        <v>141</v>
      </c>
      <c r="E54" s="20" t="s">
        <v>142</v>
      </c>
      <c r="F54" s="19" t="n">
        <v>10.6512</v>
      </c>
      <c r="G54" s="19"/>
      <c r="H54" s="21" t="n">
        <v>13.14</v>
      </c>
      <c r="I54" s="15" t="n">
        <f aca="false">IF(G54&lt;&gt;0,G54,F54)</f>
        <v>10.6512</v>
      </c>
      <c r="J54" s="22" t="n">
        <f aca="false">IF(G54&lt;&gt;0,G54/H54,F54/H54)</f>
        <v>0.810593607305936</v>
      </c>
    </row>
    <row r="55" customFormat="false" ht="15" hidden="false" customHeight="false" outlineLevel="0" collapsed="false">
      <c r="A55" s="18" t="n">
        <v>2</v>
      </c>
      <c r="B55" s="19" t="n">
        <v>10029848855</v>
      </c>
      <c r="C55" s="19" t="s">
        <v>143</v>
      </c>
      <c r="D55" s="19" t="s">
        <v>144</v>
      </c>
      <c r="E55" s="20" t="s">
        <v>142</v>
      </c>
      <c r="F55" s="19" t="n">
        <v>46.2428</v>
      </c>
      <c r="G55" s="19"/>
      <c r="H55" s="21" t="n">
        <v>53.39</v>
      </c>
      <c r="I55" s="15" t="n">
        <f aca="false">IF(G55&lt;&gt;0,G55,F55)</f>
        <v>46.2428</v>
      </c>
      <c r="J55" s="22" t="n">
        <f aca="false">IF(G55&lt;&gt;0,G55/H55,F55/H55)</f>
        <v>0.866132234500843</v>
      </c>
    </row>
    <row r="56" customFormat="false" ht="15" hidden="false" customHeight="false" outlineLevel="0" collapsed="false">
      <c r="A56" s="13" t="n">
        <v>2</v>
      </c>
      <c r="B56" s="19" t="n">
        <v>10029848820</v>
      </c>
      <c r="C56" s="19" t="s">
        <v>145</v>
      </c>
      <c r="D56" s="19" t="s">
        <v>146</v>
      </c>
      <c r="E56" s="20" t="s">
        <v>142</v>
      </c>
      <c r="F56" s="19" t="n">
        <v>84.1913</v>
      </c>
      <c r="G56" s="19"/>
      <c r="H56" s="21" t="n">
        <v>97.9</v>
      </c>
      <c r="I56" s="15" t="n">
        <f aca="false">IF(G56&lt;&gt;0,G56,F56)</f>
        <v>84.1913</v>
      </c>
      <c r="J56" s="22" t="n">
        <f aca="false">IF(G56&lt;&gt;0,G56/H56,F56/H56)</f>
        <v>0.859972420837589</v>
      </c>
    </row>
    <row r="57" customFormat="false" ht="15" hidden="false" customHeight="false" outlineLevel="0" collapsed="false">
      <c r="A57" s="18" t="n">
        <v>2</v>
      </c>
      <c r="B57" s="19" t="n">
        <v>3014365852</v>
      </c>
      <c r="C57" s="19" t="s">
        <v>147</v>
      </c>
      <c r="D57" s="19" t="s">
        <v>148</v>
      </c>
      <c r="E57" s="20" t="s">
        <v>149</v>
      </c>
      <c r="F57" s="19" t="n">
        <v>178.51853</v>
      </c>
      <c r="G57" s="19"/>
      <c r="H57" s="21" t="n">
        <v>214.5</v>
      </c>
      <c r="I57" s="15" t="n">
        <f aca="false">IF(G57&lt;&gt;0,G57,F57)</f>
        <v>178.51853</v>
      </c>
      <c r="J57" s="22" t="n">
        <f aca="false">IF(G57&lt;&gt;0,G57/H57,F57/H57)</f>
        <v>0.832254219114219</v>
      </c>
    </row>
    <row r="58" customFormat="false" ht="15" hidden="false" customHeight="false" outlineLevel="0" collapsed="false">
      <c r="A58" s="13" t="n">
        <v>2</v>
      </c>
      <c r="B58" s="19" t="n">
        <v>3014365880</v>
      </c>
      <c r="C58" s="19" t="s">
        <v>150</v>
      </c>
      <c r="D58" s="19" t="s">
        <v>151</v>
      </c>
      <c r="E58" s="20" t="s">
        <v>149</v>
      </c>
      <c r="F58" s="19" t="n">
        <v>179.73767</v>
      </c>
      <c r="G58" s="19"/>
      <c r="H58" s="21" t="n">
        <v>212.6</v>
      </c>
      <c r="I58" s="15" t="n">
        <f aca="false">IF(G58&lt;&gt;0,G58,F58)</f>
        <v>179.73767</v>
      </c>
      <c r="J58" s="22" t="n">
        <f aca="false">IF(G58&lt;&gt;0,G58/H58,F58/H58)</f>
        <v>0.845426481655692</v>
      </c>
    </row>
    <row r="59" customFormat="false" ht="15" hidden="false" customHeight="false" outlineLevel="0" collapsed="false">
      <c r="A59" s="18" t="n">
        <v>2</v>
      </c>
      <c r="B59" s="19" t="n">
        <v>3014365849</v>
      </c>
      <c r="C59" s="19" t="s">
        <v>152</v>
      </c>
      <c r="D59" s="19" t="s">
        <v>153</v>
      </c>
      <c r="E59" s="20" t="s">
        <v>149</v>
      </c>
      <c r="F59" s="19" t="n">
        <v>68.86927</v>
      </c>
      <c r="G59" s="19"/>
      <c r="H59" s="21" t="n">
        <v>100</v>
      </c>
      <c r="I59" s="15" t="n">
        <f aca="false">IF(G59&lt;&gt;0,G59,F59)</f>
        <v>68.86927</v>
      </c>
      <c r="J59" s="22" t="n">
        <f aca="false">IF(G59&lt;&gt;0,G59/H59,F59/H59)</f>
        <v>0.6886927</v>
      </c>
    </row>
    <row r="60" customFormat="false" ht="15" hidden="false" customHeight="false" outlineLevel="0" collapsed="false">
      <c r="A60" s="13" t="n">
        <v>2</v>
      </c>
      <c r="B60" s="19" t="n">
        <v>3014367769</v>
      </c>
      <c r="C60" s="19" t="s">
        <v>154</v>
      </c>
      <c r="D60" s="19" t="s">
        <v>155</v>
      </c>
      <c r="E60" s="20" t="s">
        <v>156</v>
      </c>
      <c r="F60" s="19" t="n">
        <v>174.01689</v>
      </c>
      <c r="G60" s="19"/>
      <c r="H60" s="21" t="n">
        <v>207.7</v>
      </c>
      <c r="I60" s="15" t="n">
        <f aca="false">IF(G60&lt;&gt;0,G60,F60)</f>
        <v>174.01689</v>
      </c>
      <c r="J60" s="22" t="n">
        <f aca="false">IF(G60&lt;&gt;0,G60/H60,F60/H60)</f>
        <v>0.837828069330766</v>
      </c>
    </row>
    <row r="61" customFormat="false" ht="15" hidden="false" customHeight="false" outlineLevel="0" collapsed="false">
      <c r="A61" s="18" t="n">
        <v>2</v>
      </c>
      <c r="B61" s="19" t="n">
        <v>3014367806</v>
      </c>
      <c r="C61" s="19" t="s">
        <v>157</v>
      </c>
      <c r="D61" s="19" t="s">
        <v>158</v>
      </c>
      <c r="E61" s="20" t="s">
        <v>156</v>
      </c>
      <c r="F61" s="19" t="n">
        <v>174.71808</v>
      </c>
      <c r="G61" s="19"/>
      <c r="H61" s="21" t="n">
        <v>209.5</v>
      </c>
      <c r="I61" s="15" t="n">
        <f aca="false">IF(G61&lt;&gt;0,G61,F61)</f>
        <v>174.71808</v>
      </c>
      <c r="J61" s="22" t="n">
        <f aca="false">IF(G61&lt;&gt;0,G61/H61,F61/H61)</f>
        <v>0.833976515513127</v>
      </c>
    </row>
    <row r="62" customFormat="false" ht="15" hidden="false" customHeight="false" outlineLevel="0" collapsed="false">
      <c r="A62" s="13" t="n">
        <v>2</v>
      </c>
      <c r="B62" s="19" t="n">
        <v>3014367812</v>
      </c>
      <c r="C62" s="19" t="s">
        <v>159</v>
      </c>
      <c r="D62" s="19" t="s">
        <v>160</v>
      </c>
      <c r="E62" s="20" t="s">
        <v>156</v>
      </c>
      <c r="F62" s="19" t="n">
        <v>87.86224</v>
      </c>
      <c r="G62" s="19"/>
      <c r="H62" s="21" t="n">
        <v>100</v>
      </c>
      <c r="I62" s="15" t="n">
        <f aca="false">IF(G62&lt;&gt;0,G62,F62)</f>
        <v>87.86224</v>
      </c>
      <c r="J62" s="22" t="n">
        <f aca="false">IF(G62&lt;&gt;0,G62/H62,F62/H62)</f>
        <v>0.8786224</v>
      </c>
    </row>
    <row r="63" customFormat="false" ht="15" hidden="false" customHeight="false" outlineLevel="0" collapsed="false">
      <c r="A63" s="18" t="n">
        <v>2</v>
      </c>
      <c r="B63" s="19" t="n">
        <v>3014367788</v>
      </c>
      <c r="C63" s="19" t="s">
        <v>161</v>
      </c>
      <c r="D63" s="19" t="s">
        <v>162</v>
      </c>
      <c r="E63" s="20" t="s">
        <v>163</v>
      </c>
      <c r="F63" s="19" t="n">
        <v>184.7648</v>
      </c>
      <c r="G63" s="19"/>
      <c r="H63" s="21" t="n">
        <v>201.1</v>
      </c>
      <c r="I63" s="15" t="n">
        <f aca="false">IF(G63&lt;&gt;0,G63,F63)</f>
        <v>184.7648</v>
      </c>
      <c r="J63" s="22" t="n">
        <f aca="false">IF(G63&lt;&gt;0,G63/H63,F63/H63)</f>
        <v>0.918770760815515</v>
      </c>
    </row>
    <row r="64" customFormat="false" ht="15" hidden="false" customHeight="false" outlineLevel="0" collapsed="false">
      <c r="A64" s="13" t="n">
        <v>2</v>
      </c>
      <c r="B64" s="19" t="n">
        <v>3014367836</v>
      </c>
      <c r="C64" s="19" t="s">
        <v>164</v>
      </c>
      <c r="D64" s="19" t="s">
        <v>165</v>
      </c>
      <c r="E64" s="20" t="s">
        <v>163</v>
      </c>
      <c r="F64" s="19" t="n">
        <v>183.4173</v>
      </c>
      <c r="G64" s="19"/>
      <c r="H64" s="21" t="n">
        <v>199.2</v>
      </c>
      <c r="I64" s="15" t="n">
        <f aca="false">IF(G64&lt;&gt;0,G64,F64)</f>
        <v>183.4173</v>
      </c>
      <c r="J64" s="22" t="n">
        <f aca="false">IF(G64&lt;&gt;0,G64/H64,F64/H64)</f>
        <v>0.920769578313253</v>
      </c>
    </row>
    <row r="65" customFormat="false" ht="15" hidden="false" customHeight="false" outlineLevel="0" collapsed="false">
      <c r="A65" s="18" t="n">
        <v>2</v>
      </c>
      <c r="B65" s="19" t="n">
        <v>3014367837</v>
      </c>
      <c r="C65" s="19" t="s">
        <v>166</v>
      </c>
      <c r="D65" s="19" t="s">
        <v>167</v>
      </c>
      <c r="E65" s="20" t="s">
        <v>163</v>
      </c>
      <c r="F65" s="19" t="n">
        <v>91.8782</v>
      </c>
      <c r="G65" s="19"/>
      <c r="H65" s="21" t="n">
        <v>96.9</v>
      </c>
      <c r="I65" s="15" t="n">
        <f aca="false">IF(G65&lt;&gt;0,G65,F65)</f>
        <v>91.8782</v>
      </c>
      <c r="J65" s="22" t="n">
        <f aca="false">IF(G65&lt;&gt;0,G65/H65,F65/H65)</f>
        <v>0.948175438596491</v>
      </c>
    </row>
    <row r="66" customFormat="false" ht="15" hidden="false" customHeight="false" outlineLevel="0" collapsed="false">
      <c r="A66" s="13" t="n">
        <v>2</v>
      </c>
      <c r="B66" s="19" t="n">
        <v>3014367827</v>
      </c>
      <c r="C66" s="19" t="s">
        <v>168</v>
      </c>
      <c r="D66" s="19" t="s">
        <v>169</v>
      </c>
      <c r="E66" s="20" t="s">
        <v>170</v>
      </c>
      <c r="F66" s="19" t="n">
        <v>185.77824</v>
      </c>
      <c r="G66" s="19"/>
      <c r="H66" s="21" t="n">
        <v>214.2</v>
      </c>
      <c r="I66" s="15" t="n">
        <f aca="false">IF(G66&lt;&gt;0,G66,F66)</f>
        <v>185.77824</v>
      </c>
      <c r="J66" s="22" t="n">
        <f aca="false">IF(G66&lt;&gt;0,G66/H66,F66/H66)</f>
        <v>0.867312044817927</v>
      </c>
    </row>
    <row r="67" customFormat="false" ht="15" hidden="false" customHeight="false" outlineLevel="0" collapsed="false">
      <c r="A67" s="18" t="n">
        <v>2</v>
      </c>
      <c r="B67" s="19" t="n">
        <v>3014367828</v>
      </c>
      <c r="C67" s="19" t="s">
        <v>171</v>
      </c>
      <c r="D67" s="19" t="s">
        <v>172</v>
      </c>
      <c r="E67" s="20" t="s">
        <v>170</v>
      </c>
      <c r="F67" s="19" t="n">
        <v>171.47151</v>
      </c>
      <c r="G67" s="19"/>
      <c r="H67" s="21" t="n">
        <v>214.8</v>
      </c>
      <c r="I67" s="15" t="n">
        <f aca="false">IF(G67&lt;&gt;0,G67,F67)</f>
        <v>171.47151</v>
      </c>
      <c r="J67" s="22" t="n">
        <f aca="false">IF(G67&lt;&gt;0,G67/H67,F67/H67)</f>
        <v>0.798284497206704</v>
      </c>
    </row>
    <row r="68" customFormat="false" ht="15" hidden="false" customHeight="false" outlineLevel="0" collapsed="false">
      <c r="A68" s="13" t="n">
        <v>2</v>
      </c>
      <c r="B68" s="19" t="n">
        <v>3014367829</v>
      </c>
      <c r="C68" s="19" t="s">
        <v>173</v>
      </c>
      <c r="D68" s="19" t="s">
        <v>174</v>
      </c>
      <c r="E68" s="20" t="s">
        <v>170</v>
      </c>
      <c r="F68" s="19" t="n">
        <v>92.96331</v>
      </c>
      <c r="G68" s="19"/>
      <c r="H68" s="21" t="n">
        <v>101.4</v>
      </c>
      <c r="I68" s="15" t="n">
        <f aca="false">IF(G68&lt;&gt;0,G68,F68)</f>
        <v>92.96331</v>
      </c>
      <c r="J68" s="22" t="n">
        <f aca="false">IF(G68&lt;&gt;0,G68/H68,F68/H68)</f>
        <v>0.916797928994083</v>
      </c>
    </row>
    <row r="69" customFormat="false" ht="15" hidden="false" customHeight="false" outlineLevel="0" collapsed="false">
      <c r="A69" s="18" t="n">
        <v>2</v>
      </c>
      <c r="B69" s="19" t="n">
        <v>4003703994</v>
      </c>
      <c r="C69" s="19" t="s">
        <v>175</v>
      </c>
      <c r="D69" s="19" t="s">
        <v>176</v>
      </c>
      <c r="E69" s="20" t="s">
        <v>177</v>
      </c>
      <c r="F69" s="19" t="n">
        <v>119.06174</v>
      </c>
      <c r="G69" s="19"/>
      <c r="H69" s="21" t="n">
        <v>210.1</v>
      </c>
      <c r="I69" s="15" t="n">
        <f aca="false">IF(G69&lt;&gt;0,G69,F69)</f>
        <v>119.06174</v>
      </c>
      <c r="J69" s="22" t="n">
        <f aca="false">IF(G69&lt;&gt;0,G69/H69,F69/H69)</f>
        <v>0.566690813898144</v>
      </c>
    </row>
    <row r="70" customFormat="false" ht="15" hidden="false" customHeight="false" outlineLevel="0" collapsed="false">
      <c r="A70" s="13" t="n">
        <v>2</v>
      </c>
      <c r="B70" s="19" t="n">
        <v>10036981336</v>
      </c>
      <c r="C70" s="19" t="s">
        <v>178</v>
      </c>
      <c r="D70" s="19" t="s">
        <v>179</v>
      </c>
      <c r="E70" s="20" t="s">
        <v>180</v>
      </c>
      <c r="F70" s="19" t="n">
        <v>34.37934</v>
      </c>
      <c r="G70" s="19" t="n">
        <v>34.87403</v>
      </c>
      <c r="H70" s="21" t="n">
        <v>40.96</v>
      </c>
      <c r="I70" s="15" t="n">
        <f aca="false">IF(G70&lt;&gt;0,G70,F70)</f>
        <v>34.87403</v>
      </c>
      <c r="J70" s="22" t="n">
        <f aca="false">IF(G70&lt;&gt;0,G70/H70,F70/H70)</f>
        <v>0.851416748046875</v>
      </c>
    </row>
    <row r="71" customFormat="false" ht="15" hidden="false" customHeight="false" outlineLevel="0" collapsed="false">
      <c r="A71" s="18" t="n">
        <v>2</v>
      </c>
      <c r="B71" s="19" t="n">
        <v>10036981344</v>
      </c>
      <c r="C71" s="19" t="s">
        <v>181</v>
      </c>
      <c r="D71" s="19" t="s">
        <v>182</v>
      </c>
      <c r="E71" s="20" t="s">
        <v>180</v>
      </c>
      <c r="F71" s="19" t="n">
        <v>0</v>
      </c>
      <c r="G71" s="19" t="n">
        <v>0</v>
      </c>
      <c r="H71" s="21" t="n">
        <v>40.96</v>
      </c>
      <c r="I71" s="15" t="n">
        <f aca="false">IF(G71&lt;&gt;0,G71,F71)</f>
        <v>0</v>
      </c>
      <c r="J71" s="22" t="n">
        <f aca="false">IF(G71&lt;&gt;0,G71/H71,F71/H71)</f>
        <v>0</v>
      </c>
    </row>
    <row r="72" customFormat="false" ht="15" hidden="false" customHeight="false" outlineLevel="0" collapsed="false">
      <c r="A72" s="13" t="n">
        <v>2</v>
      </c>
      <c r="B72" s="19" t="n">
        <v>10036981352</v>
      </c>
      <c r="C72" s="19" t="s">
        <v>183</v>
      </c>
      <c r="D72" s="19" t="s">
        <v>184</v>
      </c>
      <c r="E72" s="20" t="s">
        <v>180</v>
      </c>
      <c r="F72" s="19" t="n">
        <v>0</v>
      </c>
      <c r="G72" s="19" t="n">
        <v>34.05713</v>
      </c>
      <c r="H72" s="21" t="n">
        <v>40.96</v>
      </c>
      <c r="I72" s="15" t="n">
        <f aca="false">IF(G72&lt;&gt;0,G72,F72)</f>
        <v>34.05713</v>
      </c>
      <c r="J72" s="22" t="n">
        <f aca="false">IF(G72&lt;&gt;0,G72/H72,F72/H72)</f>
        <v>0.831472900390625</v>
      </c>
    </row>
    <row r="73" customFormat="false" ht="15" hidden="false" customHeight="false" outlineLevel="0" collapsed="false">
      <c r="A73" s="18" t="n">
        <v>2</v>
      </c>
      <c r="B73" s="19" t="n">
        <v>10036981387</v>
      </c>
      <c r="C73" s="19" t="s">
        <v>185</v>
      </c>
      <c r="D73" s="19" t="s">
        <v>186</v>
      </c>
      <c r="E73" s="20" t="s">
        <v>180</v>
      </c>
      <c r="F73" s="19" t="n">
        <v>33.29346</v>
      </c>
      <c r="G73" s="19" t="n">
        <v>33.75166</v>
      </c>
      <c r="H73" s="21" t="n">
        <v>40.96</v>
      </c>
      <c r="I73" s="15" t="n">
        <f aca="false">IF(G73&lt;&gt;0,G73,F73)</f>
        <v>33.75166</v>
      </c>
      <c r="J73" s="22" t="n">
        <f aca="false">IF(G73&lt;&gt;0,G73/H73,F73/H73)</f>
        <v>0.82401513671875</v>
      </c>
    </row>
    <row r="74" customFormat="false" ht="15" hidden="false" customHeight="false" outlineLevel="0" collapsed="false">
      <c r="A74" s="13" t="n">
        <v>2</v>
      </c>
      <c r="B74" s="19" t="n">
        <v>10036981573</v>
      </c>
      <c r="C74" s="19" t="s">
        <v>187</v>
      </c>
      <c r="D74" s="19" t="s">
        <v>188</v>
      </c>
      <c r="E74" s="20" t="s">
        <v>180</v>
      </c>
      <c r="F74" s="19" t="n">
        <v>33.82855</v>
      </c>
      <c r="G74" s="19" t="n">
        <v>34.30132</v>
      </c>
      <c r="H74" s="21" t="n">
        <v>40.96</v>
      </c>
      <c r="I74" s="15" t="n">
        <f aca="false">IF(G74&lt;&gt;0,G74,F74)</f>
        <v>34.30132</v>
      </c>
      <c r="J74" s="22" t="n">
        <f aca="false">IF(G74&lt;&gt;0,G74/H74,F74/H74)</f>
        <v>0.8374345703125</v>
      </c>
    </row>
    <row r="75" customFormat="false" ht="15" hidden="false" customHeight="false" outlineLevel="0" collapsed="false">
      <c r="A75" s="18" t="n">
        <v>2</v>
      </c>
      <c r="B75" s="19" t="n">
        <v>10036976782</v>
      </c>
      <c r="C75" s="19" t="s">
        <v>189</v>
      </c>
      <c r="D75" s="19" t="s">
        <v>190</v>
      </c>
      <c r="E75" s="20" t="s">
        <v>191</v>
      </c>
      <c r="F75" s="19" t="n">
        <v>191.10128</v>
      </c>
      <c r="G75" s="19"/>
      <c r="H75" s="21" t="n">
        <v>212.8</v>
      </c>
      <c r="I75" s="15" t="n">
        <f aca="false">IF(G75&lt;&gt;0,G75,F75)</f>
        <v>191.10128</v>
      </c>
      <c r="J75" s="22" t="n">
        <f aca="false">IF(G75&lt;&gt;0,G75/H75,F75/H75)</f>
        <v>0.898032330827068</v>
      </c>
    </row>
    <row r="76" customFormat="false" ht="15" hidden="false" customHeight="false" outlineLevel="0" collapsed="false">
      <c r="A76" s="13" t="n">
        <v>2</v>
      </c>
      <c r="B76" s="19" t="n">
        <v>10036976790</v>
      </c>
      <c r="C76" s="19" t="s">
        <v>192</v>
      </c>
      <c r="D76" s="19" t="s">
        <v>193</v>
      </c>
      <c r="E76" s="20" t="s">
        <v>191</v>
      </c>
      <c r="F76" s="19" t="n">
        <v>180.6208</v>
      </c>
      <c r="G76" s="19"/>
      <c r="H76" s="21" t="n">
        <v>212.8</v>
      </c>
      <c r="I76" s="15" t="n">
        <f aca="false">IF(G76&lt;&gt;0,G76,F76)</f>
        <v>180.6208</v>
      </c>
      <c r="J76" s="22" t="n">
        <f aca="false">IF(G76&lt;&gt;0,G76/H76,F76/H76)</f>
        <v>0.848781954887218</v>
      </c>
    </row>
    <row r="77" customFormat="false" ht="15" hidden="false" customHeight="false" outlineLevel="0" collapsed="false">
      <c r="A77" s="18" t="n">
        <v>2</v>
      </c>
      <c r="B77" s="19" t="n">
        <v>10036976804</v>
      </c>
      <c r="C77" s="19" t="s">
        <v>194</v>
      </c>
      <c r="D77" s="19" t="s">
        <v>195</v>
      </c>
      <c r="E77" s="20" t="s">
        <v>191</v>
      </c>
      <c r="F77" s="19" t="n">
        <v>173.95139</v>
      </c>
      <c r="G77" s="19"/>
      <c r="H77" s="21" t="n">
        <v>212.8</v>
      </c>
      <c r="I77" s="15" t="n">
        <f aca="false">IF(G77&lt;&gt;0,G77,F77)</f>
        <v>173.95139</v>
      </c>
      <c r="J77" s="22" t="n">
        <f aca="false">IF(G77&lt;&gt;0,G77/H77,F77/H77)</f>
        <v>0.817440742481203</v>
      </c>
    </row>
    <row r="78" customFormat="false" ht="15" hidden="false" customHeight="false" outlineLevel="0" collapsed="false">
      <c r="A78" s="13" t="n">
        <v>2</v>
      </c>
      <c r="B78" s="19" t="n">
        <v>10036976812</v>
      </c>
      <c r="C78" s="19" t="s">
        <v>196</v>
      </c>
      <c r="D78" s="19" t="s">
        <v>197</v>
      </c>
      <c r="E78" s="20" t="s">
        <v>191</v>
      </c>
      <c r="F78" s="19" t="n">
        <v>188.58657</v>
      </c>
      <c r="G78" s="19"/>
      <c r="H78" s="21" t="n">
        <v>212.8</v>
      </c>
      <c r="I78" s="15" t="n">
        <f aca="false">IF(G78&lt;&gt;0,G78,F78)</f>
        <v>188.58657</v>
      </c>
      <c r="J78" s="22" t="n">
        <f aca="false">IF(G78&lt;&gt;0,G78/H78,F78/H78)</f>
        <v>0.886215084586466</v>
      </c>
    </row>
    <row r="79" customFormat="false" ht="15" hidden="false" customHeight="false" outlineLevel="0" collapsed="false">
      <c r="A79" s="18" t="n">
        <v>2</v>
      </c>
      <c r="B79" s="19" t="n">
        <v>10036976839</v>
      </c>
      <c r="C79" s="19" t="s">
        <v>198</v>
      </c>
      <c r="D79" s="19" t="s">
        <v>199</v>
      </c>
      <c r="E79" s="20" t="s">
        <v>191</v>
      </c>
      <c r="F79" s="19" t="n">
        <v>192.52128</v>
      </c>
      <c r="G79" s="19"/>
      <c r="H79" s="21" t="n">
        <v>212.8</v>
      </c>
      <c r="I79" s="15" t="n">
        <f aca="false">IF(G79&lt;&gt;0,G79,F79)</f>
        <v>192.52128</v>
      </c>
      <c r="J79" s="22" t="n">
        <f aca="false">IF(G79&lt;&gt;0,G79/H79,F79/H79)</f>
        <v>0.904705263157895</v>
      </c>
    </row>
    <row r="80" customFormat="false" ht="15" hidden="false" customHeight="false" outlineLevel="0" collapsed="false">
      <c r="A80" s="13" t="n">
        <v>2</v>
      </c>
      <c r="B80" s="19" t="n">
        <v>10036748080</v>
      </c>
      <c r="C80" s="19" t="s">
        <v>200</v>
      </c>
      <c r="D80" s="19" t="s">
        <v>201</v>
      </c>
      <c r="E80" s="20" t="s">
        <v>202</v>
      </c>
      <c r="F80" s="24" t="n">
        <v>165.14685</v>
      </c>
      <c r="G80" s="19"/>
      <c r="H80" s="21" t="n">
        <v>202.64</v>
      </c>
      <c r="I80" s="15" t="n">
        <f aca="false">IF(G80&lt;&gt;0,G80,F80)</f>
        <v>165.14685</v>
      </c>
      <c r="J80" s="22" t="n">
        <f aca="false">IF(G80&lt;&gt;0,G80/H80,F80/H80)</f>
        <v>0.814976559415713</v>
      </c>
    </row>
    <row r="81" customFormat="false" ht="15" hidden="false" customHeight="false" outlineLevel="0" collapsed="false">
      <c r="A81" s="18" t="n">
        <v>2</v>
      </c>
      <c r="B81" s="19" t="n">
        <v>10036748090</v>
      </c>
      <c r="C81" s="19" t="s">
        <v>203</v>
      </c>
      <c r="D81" s="19" t="s">
        <v>204</v>
      </c>
      <c r="E81" s="20" t="s">
        <v>202</v>
      </c>
      <c r="F81" s="24" t="n">
        <v>171.7741</v>
      </c>
      <c r="G81" s="19"/>
      <c r="H81" s="21" t="n">
        <v>202.64</v>
      </c>
      <c r="I81" s="15" t="n">
        <f aca="false">IF(G81&lt;&gt;0,G81,F81)</f>
        <v>171.7741</v>
      </c>
      <c r="J81" s="22" t="n">
        <f aca="false">IF(G81&lt;&gt;0,G81/H81,F81/H81)</f>
        <v>0.847681109356494</v>
      </c>
    </row>
    <row r="82" customFormat="false" ht="15" hidden="false" customHeight="false" outlineLevel="0" collapsed="false">
      <c r="A82" s="13" t="n">
        <v>2</v>
      </c>
      <c r="B82" s="19" t="n">
        <v>10036748130</v>
      </c>
      <c r="C82" s="19" t="s">
        <v>205</v>
      </c>
      <c r="D82" s="19" t="s">
        <v>206</v>
      </c>
      <c r="E82" s="20" t="s">
        <v>202</v>
      </c>
      <c r="F82" s="24" t="n">
        <v>83.5921</v>
      </c>
      <c r="G82" s="19"/>
      <c r="H82" s="21" t="n">
        <v>101.32</v>
      </c>
      <c r="I82" s="15" t="n">
        <f aca="false">IF(G82&lt;&gt;0,G82,F82)</f>
        <v>83.5921</v>
      </c>
      <c r="J82" s="22" t="n">
        <f aca="false">IF(G82&lt;&gt;0,G82/H82,F82/H82)</f>
        <v>0.82503059613107</v>
      </c>
    </row>
    <row r="83" customFormat="false" ht="15" hidden="false" customHeight="false" outlineLevel="0" collapsed="false">
      <c r="A83" s="18" t="n">
        <v>2</v>
      </c>
      <c r="B83" s="19" t="n">
        <v>10036750940</v>
      </c>
      <c r="C83" s="19" t="s">
        <v>207</v>
      </c>
      <c r="D83" s="19" t="s">
        <v>208</v>
      </c>
      <c r="E83" s="20" t="s">
        <v>209</v>
      </c>
      <c r="F83" s="24" t="n">
        <v>142.68408</v>
      </c>
      <c r="G83" s="19"/>
      <c r="H83" s="21" t="n">
        <v>201.8</v>
      </c>
      <c r="I83" s="15" t="n">
        <f aca="false">IF(G83&lt;&gt;0,G83,F83)</f>
        <v>142.68408</v>
      </c>
      <c r="J83" s="22" t="n">
        <f aca="false">IF(G83&lt;&gt;0,G83/H83,F83/H83)</f>
        <v>0.707056888007929</v>
      </c>
    </row>
    <row r="84" customFormat="false" ht="15" hidden="false" customHeight="false" outlineLevel="0" collapsed="false">
      <c r="A84" s="13" t="n">
        <v>2</v>
      </c>
      <c r="B84" s="19" t="n">
        <v>10036750980</v>
      </c>
      <c r="C84" s="19" t="s">
        <v>210</v>
      </c>
      <c r="D84" s="19" t="s">
        <v>211</v>
      </c>
      <c r="E84" s="20" t="s">
        <v>209</v>
      </c>
      <c r="F84" s="24" t="n">
        <v>144.33481</v>
      </c>
      <c r="G84" s="19"/>
      <c r="H84" s="21" t="n">
        <v>201.8</v>
      </c>
      <c r="I84" s="15" t="n">
        <f aca="false">IF(G84&lt;&gt;0,G84,F84)</f>
        <v>144.33481</v>
      </c>
      <c r="J84" s="22" t="n">
        <f aca="false">IF(G84&lt;&gt;0,G84/H84,F84/H84)</f>
        <v>0.715236917740337</v>
      </c>
    </row>
    <row r="85" customFormat="false" ht="15" hidden="false" customHeight="false" outlineLevel="0" collapsed="false">
      <c r="A85" s="18" t="n">
        <v>2</v>
      </c>
      <c r="B85" s="19" t="n">
        <v>10036751030</v>
      </c>
      <c r="C85" s="19" t="s">
        <v>212</v>
      </c>
      <c r="D85" s="19" t="s">
        <v>213</v>
      </c>
      <c r="E85" s="20" t="s">
        <v>209</v>
      </c>
      <c r="F85" s="24" t="n">
        <v>71.45874</v>
      </c>
      <c r="G85" s="19"/>
      <c r="H85" s="21" t="n">
        <v>100.9</v>
      </c>
      <c r="I85" s="15" t="n">
        <f aca="false">IF(G85&lt;&gt;0,G85,F85)</f>
        <v>71.45874</v>
      </c>
      <c r="J85" s="22" t="n">
        <f aca="false">IF(G85&lt;&gt;0,G85/H85,F85/H85)</f>
        <v>0.708213478691774</v>
      </c>
    </row>
    <row r="86" customFormat="false" ht="15" hidden="false" customHeight="false" outlineLevel="0" collapsed="false">
      <c r="A86" s="13" t="n">
        <v>2</v>
      </c>
      <c r="B86" s="19" t="n">
        <v>834669283</v>
      </c>
      <c r="C86" s="19" t="s">
        <v>214</v>
      </c>
      <c r="D86" s="19" t="s">
        <v>215</v>
      </c>
      <c r="E86" s="20" t="s">
        <v>216</v>
      </c>
      <c r="F86" s="24" t="n">
        <v>162.11696</v>
      </c>
      <c r="G86" s="19"/>
      <c r="H86" s="21" t="n">
        <v>193.12</v>
      </c>
      <c r="I86" s="15" t="n">
        <f aca="false">IF(G86&lt;&gt;0,G86,F86)</f>
        <v>162.11696</v>
      </c>
      <c r="J86" s="22" t="n">
        <f aca="false">IF(G86&lt;&gt;0,G86/H86,F86/H86)</f>
        <v>0.839462303231152</v>
      </c>
    </row>
    <row r="87" customFormat="false" ht="15" hidden="false" customHeight="false" outlineLevel="0" collapsed="false">
      <c r="A87" s="18" t="n">
        <v>2</v>
      </c>
      <c r="B87" s="19" t="n">
        <v>834669341</v>
      </c>
      <c r="C87" s="19" t="s">
        <v>217</v>
      </c>
      <c r="D87" s="19" t="s">
        <v>218</v>
      </c>
      <c r="E87" s="20" t="s">
        <v>216</v>
      </c>
      <c r="F87" s="24" t="n">
        <v>163.91583</v>
      </c>
      <c r="G87" s="19"/>
      <c r="H87" s="21" t="n">
        <v>193.12</v>
      </c>
      <c r="I87" s="15" t="n">
        <f aca="false">IF(G87&lt;&gt;0,G87,F87)</f>
        <v>163.91583</v>
      </c>
      <c r="J87" s="22" t="n">
        <f aca="false">IF(G87&lt;&gt;0,G87/H87,F87/H87)</f>
        <v>0.848777081607291</v>
      </c>
    </row>
    <row r="88" customFormat="false" ht="15" hidden="false" customHeight="false" outlineLevel="0" collapsed="false">
      <c r="A88" s="13" t="n">
        <v>2</v>
      </c>
      <c r="B88" s="19" t="n">
        <v>834669366</v>
      </c>
      <c r="C88" s="19" t="s">
        <v>219</v>
      </c>
      <c r="D88" s="19" t="s">
        <v>220</v>
      </c>
      <c r="E88" s="20" t="s">
        <v>216</v>
      </c>
      <c r="F88" s="24" t="n">
        <v>81.35316</v>
      </c>
      <c r="G88" s="19"/>
      <c r="H88" s="21" t="n">
        <v>96.56</v>
      </c>
      <c r="I88" s="15" t="n">
        <f aca="false">IF(G88&lt;&gt;0,G88,F88)</f>
        <v>81.35316</v>
      </c>
      <c r="J88" s="22" t="n">
        <f aca="false">IF(G88&lt;&gt;0,G88/H88,F88/H88)</f>
        <v>0.842514084507042</v>
      </c>
    </row>
    <row r="89" customFormat="false" ht="15" hidden="false" customHeight="false" outlineLevel="0" collapsed="false">
      <c r="A89" s="18" t="n">
        <v>2</v>
      </c>
      <c r="B89" s="19" t="n">
        <v>834669374</v>
      </c>
      <c r="C89" s="19" t="s">
        <v>221</v>
      </c>
      <c r="D89" s="19" t="s">
        <v>222</v>
      </c>
      <c r="E89" s="20" t="s">
        <v>223</v>
      </c>
      <c r="F89" s="24" t="n">
        <v>133.54731</v>
      </c>
      <c r="G89" s="19"/>
      <c r="H89" s="21" t="n">
        <v>194</v>
      </c>
      <c r="I89" s="15" t="n">
        <f aca="false">IF(G89&lt;&gt;0,G89,F89)</f>
        <v>133.54731</v>
      </c>
      <c r="J89" s="22" t="n">
        <f aca="false">IF(G89&lt;&gt;0,G89/H89,F89/H89)</f>
        <v>0.688388195876289</v>
      </c>
    </row>
    <row r="90" customFormat="false" ht="15" hidden="false" customHeight="false" outlineLevel="0" collapsed="false">
      <c r="A90" s="13" t="n">
        <v>2</v>
      </c>
      <c r="B90" s="19" t="n">
        <v>834669390</v>
      </c>
      <c r="C90" s="19" t="s">
        <v>224</v>
      </c>
      <c r="D90" s="19" t="s">
        <v>225</v>
      </c>
      <c r="E90" s="20" t="s">
        <v>223</v>
      </c>
      <c r="F90" s="24" t="n">
        <v>166.79322</v>
      </c>
      <c r="G90" s="19"/>
      <c r="H90" s="21" t="n">
        <v>194</v>
      </c>
      <c r="I90" s="15" t="n">
        <f aca="false">IF(G90&lt;&gt;0,G90,F90)</f>
        <v>166.79322</v>
      </c>
      <c r="J90" s="22" t="n">
        <f aca="false">IF(G90&lt;&gt;0,G90/H90,F90/H90)</f>
        <v>0.859758865979381</v>
      </c>
    </row>
    <row r="91" customFormat="false" ht="15" hidden="false" customHeight="false" outlineLevel="0" collapsed="false">
      <c r="A91" s="18" t="n">
        <v>2</v>
      </c>
      <c r="B91" s="19" t="n">
        <v>834669424</v>
      </c>
      <c r="C91" s="19" t="s">
        <v>226</v>
      </c>
      <c r="D91" s="19" t="s">
        <v>227</v>
      </c>
      <c r="E91" s="20" t="s">
        <v>223</v>
      </c>
      <c r="F91" s="24" t="n">
        <v>83.01181</v>
      </c>
      <c r="G91" s="19"/>
      <c r="H91" s="21" t="n">
        <v>97</v>
      </c>
      <c r="I91" s="15" t="n">
        <f aca="false">IF(G91&lt;&gt;0,G91,F91)</f>
        <v>83.01181</v>
      </c>
      <c r="J91" s="22" t="n">
        <f aca="false">IF(G91&lt;&gt;0,G91/H91,F91/H91)</f>
        <v>0.855791855670103</v>
      </c>
    </row>
    <row r="92" customFormat="false" ht="15" hidden="false" customHeight="false" outlineLevel="0" collapsed="false">
      <c r="A92" s="13" t="n">
        <v>2</v>
      </c>
      <c r="B92" s="19"/>
      <c r="C92" s="19" t="s">
        <v>228</v>
      </c>
      <c r="D92" s="19" t="s">
        <v>229</v>
      </c>
      <c r="E92" s="20" t="s">
        <v>230</v>
      </c>
      <c r="F92" s="24" t="n">
        <v>157.01999</v>
      </c>
      <c r="G92" s="19"/>
      <c r="H92" s="21" t="n">
        <v>194.05</v>
      </c>
      <c r="I92" s="15" t="n">
        <f aca="false">IF(G92&lt;&gt;0,G92,F92)</f>
        <v>157.01999</v>
      </c>
      <c r="J92" s="22" t="n">
        <f aca="false">IF(G92&lt;&gt;0,G92/H92,F92/H92)</f>
        <v>0.809172842051018</v>
      </c>
    </row>
    <row r="93" customFormat="false" ht="15" hidden="false" customHeight="false" outlineLevel="0" collapsed="false">
      <c r="A93" s="18" t="n">
        <v>2</v>
      </c>
      <c r="B93" s="19"/>
      <c r="C93" s="19" t="s">
        <v>231</v>
      </c>
      <c r="D93" s="19" t="s">
        <v>232</v>
      </c>
      <c r="E93" s="20" t="s">
        <v>230</v>
      </c>
      <c r="F93" s="24" t="n">
        <v>157.94702</v>
      </c>
      <c r="G93" s="19"/>
      <c r="H93" s="21" t="n">
        <v>194.05</v>
      </c>
      <c r="I93" s="15" t="n">
        <f aca="false">IF(G93&lt;&gt;0,G93,F93)</f>
        <v>157.94702</v>
      </c>
      <c r="J93" s="22" t="n">
        <f aca="false">IF(G93&lt;&gt;0,G93/H93,F93/H93)</f>
        <v>0.813950115949498</v>
      </c>
    </row>
    <row r="94" customFormat="false" ht="15" hidden="false" customHeight="true" outlineLevel="0" collapsed="false">
      <c r="A94" s="25" t="s">
        <v>233</v>
      </c>
      <c r="B94" s="25"/>
      <c r="C94" s="25"/>
      <c r="D94" s="25"/>
      <c r="E94" s="25"/>
      <c r="F94" s="26" t="n">
        <f aca="false">SUM(F4:F93)</f>
        <v>8790.65561</v>
      </c>
      <c r="G94" s="27" t="n">
        <f aca="false">I94</f>
        <v>8827.07177</v>
      </c>
      <c r="H94" s="28" t="n">
        <f aca="false">SUM(H4:H93)</f>
        <v>10761.8335</v>
      </c>
      <c r="I94" s="26" t="n">
        <f aca="false">SUM(I4:I93)</f>
        <v>8827.07177</v>
      </c>
      <c r="J94" s="29" t="n">
        <f aca="false">IF(G94&lt;&gt;0,G94/H94,F94/H94)</f>
        <v>0.820220064731535</v>
      </c>
      <c r="K94" s="30"/>
    </row>
  </sheetData>
  <mergeCells count="3">
    <mergeCell ref="B1:I1"/>
    <mergeCell ref="B2:I2"/>
    <mergeCell ref="A94:E94"/>
  </mergeCells>
  <conditionalFormatting sqref="J4:J93">
    <cfRule type="dataBar" priority="2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{6D47E4B8-EB34-44FC-8F65-6260BAA155FA}</x14:id>
        </ext>
      </extLst>
    </cfRule>
  </conditionalFormatting>
  <dataValidations count="1">
    <dataValidation allowBlank="true" errorStyle="stop" operator="between" showDropDown="false" showErrorMessage="true" showInputMessage="true" sqref="A1" type="none">
      <formula1>0</formula1>
      <formula2>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47E4B8-EB34-44FC-8F65-6260BAA155FA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J4:J93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true" outlineLevel="0" max="1" min="1" style="31" width="17.42"/>
    <col collapsed="false" customWidth="true" hidden="false" outlineLevel="0" max="2" min="2" style="32" width="32.15"/>
    <col collapsed="false" customWidth="true" hidden="false" outlineLevel="0" max="3" min="3" style="32" width="29.42"/>
    <col collapsed="false" customWidth="true" hidden="false" outlineLevel="0" max="4" min="4" style="33" width="22.57"/>
    <col collapsed="false" customWidth="true" hidden="false" outlineLevel="0" max="6" min="5" style="33" width="19.57"/>
    <col collapsed="false" customWidth="true" hidden="false" outlineLevel="0" max="7" min="7" style="34" width="23.42"/>
    <col collapsed="false" customWidth="true" hidden="false" outlineLevel="0" max="8" min="8" style="32" width="15.71"/>
    <col collapsed="false" customWidth="true" hidden="false" outlineLevel="0" max="9" min="9" style="32" width="17"/>
    <col collapsed="false" customWidth="true" hidden="false" outlineLevel="0" max="10" min="10" style="32" width="14"/>
    <col collapsed="false" customWidth="true" hidden="false" outlineLevel="0" max="11" min="11" style="32" width="15.71"/>
    <col collapsed="false" customWidth="true" hidden="false" outlineLevel="0" max="12" min="12" style="32" width="142"/>
    <col collapsed="false" customWidth="true" hidden="false" outlineLevel="0" max="13" min="13" style="32" width="18.29"/>
    <col collapsed="false" customWidth="true" hidden="false" outlineLevel="0" max="14" min="14" style="32" width="36.57"/>
    <col collapsed="false" customWidth="true" hidden="false" outlineLevel="0" max="15" min="15" style="32" width="184"/>
    <col collapsed="false" customWidth="true" hidden="false" outlineLevel="0" max="16" min="16" style="32" width="90.71"/>
    <col collapsed="false" customWidth="true" hidden="false" outlineLevel="0" max="17" min="17" style="32" width="16"/>
  </cols>
  <sheetData>
    <row r="1" customFormat="false" ht="15" hidden="false" customHeight="false" outlineLevel="0" collapsed="false">
      <c r="A1" s="35" t="s">
        <v>4</v>
      </c>
      <c r="B1" s="36" t="s">
        <v>234</v>
      </c>
      <c r="C1" s="36" t="s">
        <v>235</v>
      </c>
      <c r="D1" s="37" t="s">
        <v>236</v>
      </c>
      <c r="E1" s="37" t="s">
        <v>237</v>
      </c>
      <c r="F1" s="37" t="s">
        <v>238</v>
      </c>
      <c r="G1" s="38" t="s">
        <v>239</v>
      </c>
      <c r="H1" s="36" t="s">
        <v>240</v>
      </c>
      <c r="I1" s="36" t="s">
        <v>241</v>
      </c>
      <c r="J1" s="36" t="s">
        <v>242</v>
      </c>
      <c r="K1" s="36" t="s">
        <v>243</v>
      </c>
      <c r="L1" s="36" t="s">
        <v>244</v>
      </c>
      <c r="M1" s="36" t="s">
        <v>245</v>
      </c>
      <c r="N1" s="36" t="s">
        <v>246</v>
      </c>
      <c r="O1" s="36" t="s">
        <v>247</v>
      </c>
      <c r="P1" s="36" t="s">
        <v>248</v>
      </c>
      <c r="Q1" s="36" t="s">
        <v>249</v>
      </c>
    </row>
    <row r="2" customFormat="false" ht="15" hidden="false" customHeight="false" outlineLevel="0" collapsed="false">
      <c r="B2" s="32" t="s">
        <v>250</v>
      </c>
      <c r="C2" s="32" t="s">
        <v>251</v>
      </c>
      <c r="D2" s="33" t="n">
        <v>46023.0875</v>
      </c>
      <c r="E2" s="33" t="n">
        <v>46023.0875</v>
      </c>
      <c r="F2" s="33" t="n">
        <v>46023.9013888889</v>
      </c>
      <c r="G2" s="34" t="n">
        <f aca="false">F2-E2</f>
        <v>0.813888888888889</v>
      </c>
      <c r="H2" s="39" t="s">
        <v>252</v>
      </c>
      <c r="J2" s="39" t="s">
        <v>253</v>
      </c>
      <c r="K2" s="32" t="e">
        <f aca="false">_xlfn.xlookup(J2,[1]REF!$D$2:$D$12,[1]REF!$E$2:$E$12)</f>
        <v>#NAME?</v>
      </c>
      <c r="L2" s="32" t="s">
        <v>254</v>
      </c>
      <c r="M2" s="39" t="s">
        <v>255</v>
      </c>
      <c r="N2" s="39" t="s">
        <v>256</v>
      </c>
      <c r="O2" s="32" t="s">
        <v>257</v>
      </c>
      <c r="P2" s="40" t="str">
        <f aca="false">_xlfn.CONCAT(B2,C2,D2,E2,F2)</f>
        <v>BC Caiaponia2.1215KTL-H3(MBUS-12)46023.087546023.087546023.9013888889</v>
      </c>
      <c r="Q2" s="32" t="str">
        <f aca="false">_xlfn.CONCAT(H2,I2,J2)</f>
        <v>DAURDE</v>
      </c>
    </row>
    <row r="3" customFormat="false" ht="15" hidden="false" customHeight="false" outlineLevel="0" collapsed="false">
      <c r="B3" s="32" t="s">
        <v>250</v>
      </c>
      <c r="C3" s="32" t="s">
        <v>258</v>
      </c>
      <c r="D3" s="33" t="n">
        <v>46023.0875</v>
      </c>
      <c r="E3" s="33" t="n">
        <v>46023.0875</v>
      </c>
      <c r="F3" s="33" t="n">
        <v>46023.9013888889</v>
      </c>
      <c r="G3" s="34" t="n">
        <f aca="false">F3-E3</f>
        <v>0.813888888888889</v>
      </c>
      <c r="H3" s="39" t="s">
        <v>252</v>
      </c>
      <c r="J3" s="39" t="s">
        <v>253</v>
      </c>
      <c r="K3" s="32" t="e">
        <f aca="false">_xlfn.xlookup(J3,[1]REF!$D$2:$D$12,[1]REF!$E$2:$E$12)</f>
        <v>#NAME?</v>
      </c>
      <c r="L3" s="32" t="s">
        <v>254</v>
      </c>
      <c r="M3" s="39" t="s">
        <v>255</v>
      </c>
      <c r="N3" s="39" t="s">
        <v>256</v>
      </c>
      <c r="O3" s="32" t="s">
        <v>257</v>
      </c>
      <c r="P3" s="40" t="str">
        <f aca="false">_xlfn.CONCAT(B3,C3,D3,E3,F3)</f>
        <v>BC Caiaponia2.1215KTL-H3(MBUS-13)46023.087546023.087546023.9013888889</v>
      </c>
      <c r="Q3" s="32" t="str">
        <f aca="false">_xlfn.CONCAT(H3,I3,J3)</f>
        <v>DAURDE</v>
      </c>
    </row>
    <row r="4" customFormat="false" ht="15" hidden="false" customHeight="false" outlineLevel="0" collapsed="false">
      <c r="B4" s="32" t="s">
        <v>250</v>
      </c>
      <c r="C4" s="32" t="s">
        <v>259</v>
      </c>
      <c r="D4" s="33" t="n">
        <v>46023.0875</v>
      </c>
      <c r="E4" s="33" t="n">
        <v>46023.0875</v>
      </c>
      <c r="F4" s="33" t="n">
        <v>46023.9013888889</v>
      </c>
      <c r="G4" s="34" t="n">
        <f aca="false">F4-E4</f>
        <v>0.813888888888889</v>
      </c>
      <c r="H4" s="39" t="s">
        <v>252</v>
      </c>
      <c r="J4" s="39" t="s">
        <v>253</v>
      </c>
      <c r="K4" s="32" t="e">
        <f aca="false">_xlfn.xlookup(J4,[1]REF!$D$2:$D$12,[1]REF!$E$2:$E$12)</f>
        <v>#NAME?</v>
      </c>
      <c r="L4" s="32" t="s">
        <v>254</v>
      </c>
      <c r="M4" s="39" t="s">
        <v>255</v>
      </c>
      <c r="N4" s="39" t="s">
        <v>256</v>
      </c>
      <c r="O4" s="32" t="s">
        <v>257</v>
      </c>
      <c r="P4" s="40" t="str">
        <f aca="false">_xlfn.CONCAT(B4,C4,D4,E4,F4)</f>
        <v>BC Caiaponia2.1215KTL-H3(MBUS-14)46023.087546023.087546023.9013888889</v>
      </c>
      <c r="Q4" s="32" t="str">
        <f aca="false">_xlfn.CONCAT(H4,I4,J4)</f>
        <v>DAURDE</v>
      </c>
    </row>
    <row r="5" customFormat="false" ht="15" hidden="false" customHeight="false" outlineLevel="0" collapsed="false">
      <c r="B5" s="32" t="s">
        <v>250</v>
      </c>
      <c r="C5" s="32" t="s">
        <v>260</v>
      </c>
      <c r="D5" s="33" t="n">
        <v>46023.0875</v>
      </c>
      <c r="E5" s="33" t="n">
        <v>46023.0875</v>
      </c>
      <c r="F5" s="33" t="n">
        <v>46023.9013888889</v>
      </c>
      <c r="G5" s="34" t="n">
        <f aca="false">F5-E5</f>
        <v>0.813888888888889</v>
      </c>
      <c r="H5" s="39" t="s">
        <v>252</v>
      </c>
      <c r="J5" s="39" t="s">
        <v>253</v>
      </c>
      <c r="K5" s="32" t="e">
        <f aca="false">_xlfn.xlookup(J5,[1]REF!$D$2:$D$12,[1]REF!$E$2:$E$12)</f>
        <v>#NAME?</v>
      </c>
      <c r="L5" s="32" t="s">
        <v>254</v>
      </c>
      <c r="M5" s="39" t="s">
        <v>255</v>
      </c>
      <c r="N5" s="39" t="s">
        <v>256</v>
      </c>
      <c r="O5" s="32" t="s">
        <v>257</v>
      </c>
      <c r="P5" s="40" t="str">
        <f aca="false">_xlfn.CONCAT(B5,C5,D5,E5,F5)</f>
        <v>BC Caiaponia2.1215KTL-H3(MBUS-15)46023.087546023.087546023.9013888889</v>
      </c>
      <c r="Q5" s="32" t="str">
        <f aca="false">_xlfn.CONCAT(H5,I5,J5)</f>
        <v>DAURDE</v>
      </c>
    </row>
    <row r="6" customFormat="false" ht="15" hidden="false" customHeight="false" outlineLevel="0" collapsed="false">
      <c r="B6" s="32" t="s">
        <v>250</v>
      </c>
      <c r="C6" s="32" t="s">
        <v>261</v>
      </c>
      <c r="D6" s="33" t="n">
        <v>46023.0875</v>
      </c>
      <c r="E6" s="33" t="n">
        <v>46023.0875</v>
      </c>
      <c r="F6" s="33" t="n">
        <v>46023.9013888889</v>
      </c>
      <c r="G6" s="34" t="n">
        <f aca="false">F6-E6</f>
        <v>0.813888888888889</v>
      </c>
      <c r="H6" s="39" t="s">
        <v>252</v>
      </c>
      <c r="J6" s="39" t="s">
        <v>253</v>
      </c>
      <c r="K6" s="32" t="e">
        <f aca="false">_xlfn.xlookup(J6,[1]REF!$D$2:$D$12,[1]REF!$E$2:$E$12)</f>
        <v>#NAME?</v>
      </c>
      <c r="L6" s="32" t="s">
        <v>254</v>
      </c>
      <c r="M6" s="39" t="s">
        <v>255</v>
      </c>
      <c r="N6" s="39" t="s">
        <v>256</v>
      </c>
      <c r="O6" s="32" t="s">
        <v>257</v>
      </c>
      <c r="P6" s="40" t="str">
        <f aca="false">_xlfn.CONCAT(B6,C6,D6,E6,F6)</f>
        <v>BC Caiaponia2.1215KTL-H3(MBUS-16)46023.087546023.087546023.9013888889</v>
      </c>
      <c r="Q6" s="32" t="str">
        <f aca="false">_xlfn.CONCAT(H6,I6,J6)</f>
        <v>DAURDE</v>
      </c>
    </row>
    <row r="7" customFormat="false" ht="15" hidden="false" customHeight="false" outlineLevel="0" collapsed="false">
      <c r="B7" s="32" t="s">
        <v>262</v>
      </c>
      <c r="C7" s="32" t="s">
        <v>251</v>
      </c>
      <c r="D7" s="33" t="n">
        <v>46023.0875</v>
      </c>
      <c r="E7" s="33" t="n">
        <v>46023.0875</v>
      </c>
      <c r="F7" s="33" t="n">
        <v>46023.9013888889</v>
      </c>
      <c r="G7" s="34" t="n">
        <f aca="false">F7-E7</f>
        <v>0.813888888888889</v>
      </c>
      <c r="H7" s="39" t="s">
        <v>252</v>
      </c>
      <c r="J7" s="39" t="s">
        <v>253</v>
      </c>
      <c r="K7" s="32" t="e">
        <f aca="false">_xlfn.xlookup(J7,[1]REF!$D$2:$D$12,[1]REF!$E$2:$E$12)</f>
        <v>#NAME?</v>
      </c>
      <c r="L7" s="32" t="s">
        <v>254</v>
      </c>
      <c r="M7" s="39" t="s">
        <v>255</v>
      </c>
      <c r="N7" s="39" t="s">
        <v>256</v>
      </c>
      <c r="O7" s="32" t="s">
        <v>257</v>
      </c>
      <c r="P7" s="40" t="str">
        <f aca="false">_xlfn.CONCAT(B7,C7,D7,E7,F7)</f>
        <v>BC Caiaponia2.2215KTL-H3(MBUS-12)46023.087546023.087546023.9013888889</v>
      </c>
      <c r="Q7" s="32" t="str">
        <f aca="false">_xlfn.CONCAT(H7,I7,J7)</f>
        <v>DAURDE</v>
      </c>
    </row>
    <row r="8" customFormat="false" ht="15" hidden="false" customHeight="false" outlineLevel="0" collapsed="false">
      <c r="B8" s="32" t="s">
        <v>262</v>
      </c>
      <c r="C8" s="32" t="s">
        <v>258</v>
      </c>
      <c r="D8" s="33" t="n">
        <v>46023.0875</v>
      </c>
      <c r="E8" s="33" t="n">
        <v>46023.0875</v>
      </c>
      <c r="F8" s="33" t="n">
        <v>46023.9013888889</v>
      </c>
      <c r="G8" s="34" t="n">
        <f aca="false">F8-E8</f>
        <v>0.813888888888889</v>
      </c>
      <c r="H8" s="39" t="s">
        <v>252</v>
      </c>
      <c r="J8" s="39" t="s">
        <v>253</v>
      </c>
      <c r="K8" s="32" t="e">
        <f aca="false">_xlfn.xlookup(J8,[1]REF!$D$2:$D$12,[1]REF!$E$2:$E$12)</f>
        <v>#NAME?</v>
      </c>
      <c r="L8" s="32" t="s">
        <v>254</v>
      </c>
      <c r="M8" s="39" t="s">
        <v>255</v>
      </c>
      <c r="N8" s="39" t="s">
        <v>256</v>
      </c>
      <c r="O8" s="32" t="s">
        <v>257</v>
      </c>
      <c r="P8" s="40" t="str">
        <f aca="false">_xlfn.CONCAT(B8,C8,D8,E8,F8)</f>
        <v>BC Caiaponia2.2215KTL-H3(MBUS-13)46023.087546023.087546023.9013888889</v>
      </c>
      <c r="Q8" s="32" t="str">
        <f aca="false">_xlfn.CONCAT(H8,I8,J8)</f>
        <v>DAURDE</v>
      </c>
    </row>
    <row r="9" customFormat="false" ht="15" hidden="false" customHeight="false" outlineLevel="0" collapsed="false">
      <c r="B9" s="32" t="s">
        <v>262</v>
      </c>
      <c r="C9" s="32" t="s">
        <v>259</v>
      </c>
      <c r="D9" s="33" t="n">
        <v>46023.0875</v>
      </c>
      <c r="E9" s="33" t="n">
        <v>46023.0875</v>
      </c>
      <c r="F9" s="33" t="n">
        <v>46023.9013888889</v>
      </c>
      <c r="G9" s="34" t="n">
        <f aca="false">F9-E9</f>
        <v>0.813888888888889</v>
      </c>
      <c r="H9" s="39" t="s">
        <v>252</v>
      </c>
      <c r="J9" s="39" t="s">
        <v>253</v>
      </c>
      <c r="K9" s="32" t="e">
        <f aca="false">_xlfn.xlookup(J9,[1]REF!$D$2:$D$12,[1]REF!$E$2:$E$12)</f>
        <v>#NAME?</v>
      </c>
      <c r="L9" s="32" t="s">
        <v>254</v>
      </c>
      <c r="M9" s="39" t="s">
        <v>255</v>
      </c>
      <c r="N9" s="39" t="s">
        <v>256</v>
      </c>
      <c r="O9" s="32" t="s">
        <v>257</v>
      </c>
      <c r="P9" s="40" t="str">
        <f aca="false">_xlfn.CONCAT(B9,C9,D9,E9,F9)</f>
        <v>BC Caiaponia2.2215KTL-H3(MBUS-14)46023.087546023.087546023.9013888889</v>
      </c>
      <c r="Q9" s="32" t="str">
        <f aca="false">_xlfn.CONCAT(H9,I9,J9)</f>
        <v>DAURDE</v>
      </c>
    </row>
    <row r="10" customFormat="false" ht="15" hidden="false" customHeight="false" outlineLevel="0" collapsed="false">
      <c r="B10" s="32" t="s">
        <v>262</v>
      </c>
      <c r="C10" s="32" t="s">
        <v>260</v>
      </c>
      <c r="D10" s="33" t="n">
        <v>46023.0875</v>
      </c>
      <c r="E10" s="33" t="n">
        <v>46023.0875</v>
      </c>
      <c r="F10" s="33" t="n">
        <v>46023.9013888889</v>
      </c>
      <c r="G10" s="34" t="n">
        <f aca="false">F10-E10</f>
        <v>0.813888888888889</v>
      </c>
      <c r="H10" s="39" t="s">
        <v>252</v>
      </c>
      <c r="J10" s="39" t="s">
        <v>253</v>
      </c>
      <c r="K10" s="32" t="e">
        <f aca="false">_xlfn.xlookup(J10,[1]REF!$D$2:$D$12,[1]REF!$E$2:$E$12)</f>
        <v>#NAME?</v>
      </c>
      <c r="L10" s="32" t="s">
        <v>254</v>
      </c>
      <c r="M10" s="39" t="s">
        <v>255</v>
      </c>
      <c r="N10" s="39" t="s">
        <v>256</v>
      </c>
      <c r="O10" s="32" t="s">
        <v>257</v>
      </c>
      <c r="P10" s="40" t="str">
        <f aca="false">_xlfn.CONCAT(B10,C10,D10,E10,F10)</f>
        <v>BC Caiaponia2.2215KTL-H3(MBUS-15)46023.087546023.087546023.9013888889</v>
      </c>
      <c r="Q10" s="32" t="str">
        <f aca="false">_xlfn.CONCAT(H10,I10,J10)</f>
        <v>DAURDE</v>
      </c>
    </row>
    <row r="11" customFormat="false" ht="15" hidden="false" customHeight="false" outlineLevel="0" collapsed="false">
      <c r="B11" s="32" t="s">
        <v>262</v>
      </c>
      <c r="C11" s="32" t="s">
        <v>261</v>
      </c>
      <c r="D11" s="33" t="n">
        <v>46023.0875</v>
      </c>
      <c r="E11" s="33" t="n">
        <v>46023.0875</v>
      </c>
      <c r="F11" s="33" t="n">
        <v>46023.9013888889</v>
      </c>
      <c r="G11" s="34" t="n">
        <f aca="false">F11-E11</f>
        <v>0.813888888888889</v>
      </c>
      <c r="H11" s="39" t="s">
        <v>252</v>
      </c>
      <c r="J11" s="39" t="s">
        <v>253</v>
      </c>
      <c r="K11" s="32" t="e">
        <f aca="false">_xlfn.xlookup(J11,[1]REF!$D$2:$D$12,[1]REF!$E$2:$E$12)</f>
        <v>#NAME?</v>
      </c>
      <c r="L11" s="32" t="s">
        <v>254</v>
      </c>
      <c r="M11" s="39" t="s">
        <v>255</v>
      </c>
      <c r="N11" s="39" t="s">
        <v>256</v>
      </c>
      <c r="O11" s="32" t="s">
        <v>257</v>
      </c>
      <c r="P11" s="40" t="str">
        <f aca="false">_xlfn.CONCAT(B11,C11,D11,E11,F11)</f>
        <v>BC Caiaponia2.2215KTL-H3(MBUS-16)46023.087546023.087546023.9013888889</v>
      </c>
      <c r="Q11" s="32" t="str">
        <f aca="false">_xlfn.CONCAT(H11,I11,J11)</f>
        <v>DAURDE</v>
      </c>
    </row>
    <row r="12" customFormat="false" ht="15" hidden="false" customHeight="false" outlineLevel="0" collapsed="false">
      <c r="B12" s="32" t="s">
        <v>263</v>
      </c>
      <c r="C12" s="32" t="s">
        <v>251</v>
      </c>
      <c r="D12" s="33" t="n">
        <v>46023.0875</v>
      </c>
      <c r="E12" s="33" t="n">
        <v>46023.0875</v>
      </c>
      <c r="F12" s="33" t="n">
        <v>46023.9013888889</v>
      </c>
      <c r="G12" s="34" t="n">
        <f aca="false">F12-E12</f>
        <v>0.813888888888889</v>
      </c>
      <c r="H12" s="39" t="s">
        <v>252</v>
      </c>
      <c r="J12" s="39" t="s">
        <v>253</v>
      </c>
      <c r="K12" s="32" t="e">
        <f aca="false">_xlfn.xlookup(J12,[1]REF!$D$2:$D$12,[1]REF!$E$2:$E$12)</f>
        <v>#NAME?</v>
      </c>
      <c r="L12" s="32" t="s">
        <v>254</v>
      </c>
      <c r="M12" s="39" t="s">
        <v>255</v>
      </c>
      <c r="N12" s="39" t="s">
        <v>256</v>
      </c>
      <c r="O12" s="32" t="s">
        <v>257</v>
      </c>
      <c r="P12" s="40" t="str">
        <f aca="false">_xlfn.CONCAT(B12,C12,D12,E12,F12)</f>
        <v>BC Caiaponia2.3215KTL-H3(MBUS-12)46023.087546023.087546023.9013888889</v>
      </c>
      <c r="Q12" s="32" t="str">
        <f aca="false">_xlfn.CONCAT(H12,I12,J12)</f>
        <v>DAURDE</v>
      </c>
    </row>
    <row r="13" customFormat="false" ht="15" hidden="false" customHeight="false" outlineLevel="0" collapsed="false">
      <c r="B13" s="32" t="s">
        <v>263</v>
      </c>
      <c r="C13" s="32" t="s">
        <v>258</v>
      </c>
      <c r="D13" s="33" t="n">
        <v>46023.0875</v>
      </c>
      <c r="E13" s="33" t="n">
        <v>46023.0875</v>
      </c>
      <c r="F13" s="33" t="n">
        <v>46023.9013888889</v>
      </c>
      <c r="G13" s="34" t="n">
        <f aca="false">F13-E13</f>
        <v>0.813888888888889</v>
      </c>
      <c r="H13" s="39" t="s">
        <v>252</v>
      </c>
      <c r="J13" s="39" t="s">
        <v>253</v>
      </c>
      <c r="K13" s="32" t="e">
        <f aca="false">_xlfn.xlookup(J13,[1]REF!$D$2:$D$12,[1]REF!$E$2:$E$12)</f>
        <v>#NAME?</v>
      </c>
      <c r="L13" s="32" t="s">
        <v>254</v>
      </c>
      <c r="M13" s="39" t="s">
        <v>255</v>
      </c>
      <c r="N13" s="39" t="s">
        <v>256</v>
      </c>
      <c r="O13" s="32" t="s">
        <v>257</v>
      </c>
      <c r="P13" s="40" t="str">
        <f aca="false">_xlfn.CONCAT(B13,C13,D13,E13,F13)</f>
        <v>BC Caiaponia2.3215KTL-H3(MBUS-13)46023.087546023.087546023.9013888889</v>
      </c>
      <c r="Q13" s="32" t="str">
        <f aca="false">_xlfn.CONCAT(H13,I13,J13)</f>
        <v>DAURDE</v>
      </c>
    </row>
    <row r="14" customFormat="false" ht="15" hidden="false" customHeight="false" outlineLevel="0" collapsed="false">
      <c r="B14" s="32" t="s">
        <v>263</v>
      </c>
      <c r="C14" s="32" t="s">
        <v>259</v>
      </c>
      <c r="D14" s="33" t="n">
        <v>46023.0875</v>
      </c>
      <c r="E14" s="33" t="n">
        <v>46023.0875</v>
      </c>
      <c r="F14" s="33" t="n">
        <v>46023.9013888889</v>
      </c>
      <c r="G14" s="34" t="n">
        <f aca="false">F14-E14</f>
        <v>0.813888888888889</v>
      </c>
      <c r="H14" s="39" t="s">
        <v>252</v>
      </c>
      <c r="J14" s="39" t="s">
        <v>253</v>
      </c>
      <c r="K14" s="32" t="e">
        <f aca="false">_xlfn.xlookup(J14,[1]REF!$D$2:$D$12,[1]REF!$E$2:$E$12)</f>
        <v>#NAME?</v>
      </c>
      <c r="L14" s="32" t="s">
        <v>254</v>
      </c>
      <c r="M14" s="39" t="s">
        <v>255</v>
      </c>
      <c r="N14" s="39" t="s">
        <v>256</v>
      </c>
      <c r="O14" s="32" t="s">
        <v>257</v>
      </c>
      <c r="P14" s="40" t="str">
        <f aca="false">_xlfn.CONCAT(B14,C14,D14,E14,F14)</f>
        <v>BC Caiaponia2.3215KTL-H3(MBUS-14)46023.087546023.087546023.9013888889</v>
      </c>
      <c r="Q14" s="32" t="str">
        <f aca="false">_xlfn.CONCAT(H14,I14,J14)</f>
        <v>DAURDE</v>
      </c>
    </row>
    <row r="15" customFormat="false" ht="15" hidden="false" customHeight="false" outlineLevel="0" collapsed="false">
      <c r="B15" s="32" t="s">
        <v>263</v>
      </c>
      <c r="C15" s="32" t="s">
        <v>260</v>
      </c>
      <c r="D15" s="33" t="n">
        <v>46023.0875</v>
      </c>
      <c r="E15" s="33" t="n">
        <v>46023.0875</v>
      </c>
      <c r="F15" s="33" t="n">
        <v>46023.9013888889</v>
      </c>
      <c r="G15" s="34" t="n">
        <f aca="false">F15-E15</f>
        <v>0.813888888888889</v>
      </c>
      <c r="H15" s="39" t="s">
        <v>252</v>
      </c>
      <c r="J15" s="39" t="s">
        <v>253</v>
      </c>
      <c r="K15" s="32" t="e">
        <f aca="false">_xlfn.xlookup(J15,[1]REF!$D$2:$D$12,[1]REF!$E$2:$E$12)</f>
        <v>#NAME?</v>
      </c>
      <c r="L15" s="32" t="s">
        <v>254</v>
      </c>
      <c r="M15" s="39" t="s">
        <v>255</v>
      </c>
      <c r="N15" s="39" t="s">
        <v>256</v>
      </c>
      <c r="O15" s="32" t="s">
        <v>257</v>
      </c>
      <c r="P15" s="40" t="str">
        <f aca="false">_xlfn.CONCAT(B15,C15,D15,E15,F15)</f>
        <v>BC Caiaponia2.3215KTL-H3(MBUS-15)46023.087546023.087546023.9013888889</v>
      </c>
      <c r="Q15" s="32" t="str">
        <f aca="false">_xlfn.CONCAT(H15,I15,J15)</f>
        <v>DAURDE</v>
      </c>
    </row>
    <row r="16" customFormat="false" ht="15" hidden="false" customHeight="false" outlineLevel="0" collapsed="false">
      <c r="B16" s="32" t="s">
        <v>263</v>
      </c>
      <c r="C16" s="32" t="s">
        <v>261</v>
      </c>
      <c r="D16" s="33" t="n">
        <v>46023.0875</v>
      </c>
      <c r="E16" s="33" t="n">
        <v>46023.0875</v>
      </c>
      <c r="F16" s="33" t="n">
        <v>46023.9013888889</v>
      </c>
      <c r="G16" s="34" t="n">
        <f aca="false">F16-E16</f>
        <v>0.813888888888889</v>
      </c>
      <c r="H16" s="39" t="s">
        <v>252</v>
      </c>
      <c r="J16" s="39" t="s">
        <v>253</v>
      </c>
      <c r="K16" s="32" t="e">
        <f aca="false">_xlfn.xlookup(J16,[1]REF!$D$2:$D$12,[1]REF!$E$2:$E$12)</f>
        <v>#NAME?</v>
      </c>
      <c r="L16" s="32" t="s">
        <v>254</v>
      </c>
      <c r="M16" s="39" t="s">
        <v>255</v>
      </c>
      <c r="N16" s="39" t="s">
        <v>256</v>
      </c>
      <c r="O16" s="32" t="s">
        <v>257</v>
      </c>
      <c r="P16" s="40" t="str">
        <f aca="false">_xlfn.CONCAT(B16,C16,D16,E16,F16)</f>
        <v>BC Caiaponia2.3215KTL-H3(MBUS-16)46023.087546023.087546023.9013888889</v>
      </c>
      <c r="Q16" s="32" t="str">
        <f aca="false">_xlfn.CONCAT(H16,I16,J16)</f>
        <v>DAURDE</v>
      </c>
    </row>
    <row r="17" customFormat="false" ht="15" hidden="false" customHeight="false" outlineLevel="0" collapsed="false">
      <c r="B17" s="32" t="s">
        <v>264</v>
      </c>
      <c r="C17" s="32" t="s">
        <v>265</v>
      </c>
      <c r="D17" s="33" t="n">
        <v>46023.2645833333</v>
      </c>
      <c r="E17" s="33" t="n">
        <v>46023.2645833333</v>
      </c>
      <c r="F17" s="33" t="n">
        <v>46023.3680555556</v>
      </c>
      <c r="G17" s="34" t="n">
        <f aca="false">F17-E17</f>
        <v>0.103472222222222</v>
      </c>
      <c r="H17" s="39" t="s">
        <v>252</v>
      </c>
      <c r="J17" s="39" t="s">
        <v>253</v>
      </c>
      <c r="K17" s="32" t="s">
        <v>266</v>
      </c>
      <c r="L17" s="32" t="s">
        <v>267</v>
      </c>
      <c r="M17" s="39" t="s">
        <v>255</v>
      </c>
      <c r="N17" s="39" t="s">
        <v>268</v>
      </c>
      <c r="O17" s="32" t="s">
        <v>269</v>
      </c>
      <c r="P17" s="40" t="str">
        <f aca="false">_xlfn.CONCAT(B17,C17,D17,E17,F17)</f>
        <v>BC Aracu5.1Inverter(MBUS-1)46023.264583333346023.264583333346023.3680555556</v>
      </c>
      <c r="Q17" s="32" t="str">
        <f aca="false">_xlfn.CONCAT(H17,I17,J17)</f>
        <v>DAURDE</v>
      </c>
    </row>
    <row r="18" customFormat="false" ht="15" hidden="false" customHeight="false" outlineLevel="0" collapsed="false">
      <c r="B18" s="32" t="s">
        <v>270</v>
      </c>
      <c r="C18" s="32" t="s">
        <v>265</v>
      </c>
      <c r="D18" s="33" t="n">
        <v>46023.2645833333</v>
      </c>
      <c r="E18" s="33" t="n">
        <v>46023.2645833333</v>
      </c>
      <c r="F18" s="33" t="n">
        <v>46023.3680555556</v>
      </c>
      <c r="G18" s="34" t="n">
        <f aca="false">F18-E18</f>
        <v>0.103472222222222</v>
      </c>
      <c r="H18" s="39" t="s">
        <v>252</v>
      </c>
      <c r="J18" s="39" t="s">
        <v>253</v>
      </c>
      <c r="K18" s="32" t="s">
        <v>266</v>
      </c>
      <c r="L18" s="32" t="s">
        <v>267</v>
      </c>
      <c r="M18" s="39" t="s">
        <v>255</v>
      </c>
      <c r="N18" s="39" t="s">
        <v>268</v>
      </c>
      <c r="O18" s="32" t="s">
        <v>269</v>
      </c>
      <c r="P18" s="40" t="str">
        <f aca="false">_xlfn.CONCAT(B18,C18,D18,E18,F18)</f>
        <v>BC Aracu5.2Inverter(MBUS-1)46023.264583333346023.264583333346023.3680555556</v>
      </c>
      <c r="Q18" s="32" t="str">
        <f aca="false">_xlfn.CONCAT(H18,I18,J18)</f>
        <v>DAURDE</v>
      </c>
    </row>
    <row r="19" customFormat="false" ht="15" hidden="false" customHeight="false" outlineLevel="0" collapsed="false">
      <c r="B19" s="32" t="s">
        <v>271</v>
      </c>
      <c r="C19" s="32" t="s">
        <v>265</v>
      </c>
      <c r="D19" s="33" t="n">
        <v>46023.2645833333</v>
      </c>
      <c r="E19" s="33" t="n">
        <v>46023.2645833333</v>
      </c>
      <c r="F19" s="33" t="n">
        <v>46023.3680555556</v>
      </c>
      <c r="G19" s="34" t="n">
        <f aca="false">F19-E19</f>
        <v>0.103472222222222</v>
      </c>
      <c r="H19" s="39" t="s">
        <v>252</v>
      </c>
      <c r="J19" s="39" t="s">
        <v>253</v>
      </c>
      <c r="K19" s="32" t="s">
        <v>266</v>
      </c>
      <c r="L19" s="32" t="s">
        <v>267</v>
      </c>
      <c r="M19" s="39" t="s">
        <v>255</v>
      </c>
      <c r="N19" s="39" t="s">
        <v>268</v>
      </c>
      <c r="O19" s="32" t="s">
        <v>269</v>
      </c>
      <c r="P19" s="40" t="str">
        <f aca="false">_xlfn.CONCAT(B19,C19,D19,E19,F19)</f>
        <v>BC Aracu5.3Inverter(MBUS-1)46023.264583333346023.264583333346023.3680555556</v>
      </c>
      <c r="Q19" s="32" t="str">
        <f aca="false">_xlfn.CONCAT(H19,I19,J19)</f>
        <v>DAURDE</v>
      </c>
    </row>
    <row r="20" customFormat="false" ht="15" hidden="false" customHeight="false" outlineLevel="0" collapsed="false">
      <c r="B20" s="32" t="s">
        <v>272</v>
      </c>
      <c r="C20" s="32" t="s">
        <v>265</v>
      </c>
      <c r="D20" s="33" t="n">
        <v>46023.2645833333</v>
      </c>
      <c r="E20" s="33" t="n">
        <v>46023.2645833333</v>
      </c>
      <c r="F20" s="33" t="n">
        <v>46023.3680555556</v>
      </c>
      <c r="G20" s="34" t="n">
        <f aca="false">F20-E20</f>
        <v>0.103472222222222</v>
      </c>
      <c r="H20" s="39" t="s">
        <v>252</v>
      </c>
      <c r="J20" s="39" t="s">
        <v>253</v>
      </c>
      <c r="K20" s="32" t="s">
        <v>266</v>
      </c>
      <c r="L20" s="32" t="s">
        <v>267</v>
      </c>
      <c r="M20" s="39" t="s">
        <v>255</v>
      </c>
      <c r="N20" s="39" t="s">
        <v>268</v>
      </c>
      <c r="O20" s="32" t="s">
        <v>269</v>
      </c>
      <c r="P20" s="40" t="str">
        <f aca="false">_xlfn.CONCAT(B20,C20,D20,E20,F20)</f>
        <v>BC Aracu5.4Inverter(MBUS-1)46023.264583333346023.264583333346023.3680555556</v>
      </c>
      <c r="Q20" s="32" t="str">
        <f aca="false">_xlfn.CONCAT(H20,I20,J20)</f>
        <v>DAURDE</v>
      </c>
    </row>
    <row r="21" customFormat="false" ht="15" hidden="false" customHeight="false" outlineLevel="0" collapsed="false">
      <c r="B21" s="32" t="s">
        <v>273</v>
      </c>
      <c r="C21" s="32" t="s">
        <v>265</v>
      </c>
      <c r="D21" s="33" t="n">
        <v>46023.2645833333</v>
      </c>
      <c r="E21" s="33" t="n">
        <v>46023.2645833333</v>
      </c>
      <c r="F21" s="33" t="n">
        <v>46023.3680555556</v>
      </c>
      <c r="G21" s="34" t="n">
        <f aca="false">F21-E21</f>
        <v>0.103472222222222</v>
      </c>
      <c r="H21" s="39" t="s">
        <v>252</v>
      </c>
      <c r="J21" s="39" t="s">
        <v>253</v>
      </c>
      <c r="K21" s="32" t="s">
        <v>266</v>
      </c>
      <c r="L21" s="32" t="s">
        <v>267</v>
      </c>
      <c r="M21" s="39" t="s">
        <v>255</v>
      </c>
      <c r="N21" s="39" t="s">
        <v>268</v>
      </c>
      <c r="O21" s="32" t="s">
        <v>269</v>
      </c>
      <c r="P21" s="40" t="str">
        <f aca="false">_xlfn.CONCAT(B21,C21,D21,E21,F21)</f>
        <v>BC Aracu5.5Inverter(MBUS-1)46023.264583333346023.264583333346023.3680555556</v>
      </c>
      <c r="Q21" s="32" t="str">
        <f aca="false">_xlfn.CONCAT(H21,I21,J21)</f>
        <v>DAURDE</v>
      </c>
    </row>
    <row r="22" customFormat="false" ht="15" hidden="false" customHeight="false" outlineLevel="0" collapsed="false">
      <c r="B22" s="32" t="s">
        <v>142</v>
      </c>
      <c r="C22" s="32" t="s">
        <v>274</v>
      </c>
      <c r="D22" s="33" t="n">
        <v>46023.2701388889</v>
      </c>
      <c r="E22" s="33" t="n">
        <v>46023.2701388889</v>
      </c>
      <c r="F22" s="33" t="n">
        <v>46023.2777777778</v>
      </c>
      <c r="G22" s="34" t="n">
        <f aca="false">F22-E22</f>
        <v>0.00763888888888889</v>
      </c>
      <c r="H22" s="39" t="s">
        <v>252</v>
      </c>
      <c r="J22" s="39" t="s">
        <v>253</v>
      </c>
      <c r="K22" s="32" t="s">
        <v>266</v>
      </c>
      <c r="L22" s="32" t="s">
        <v>275</v>
      </c>
      <c r="M22" s="39" t="s">
        <v>255</v>
      </c>
      <c r="N22" s="39" t="s">
        <v>268</v>
      </c>
      <c r="O22" s="32" t="s">
        <v>269</v>
      </c>
      <c r="P22" s="40" t="str">
        <f aca="false">_xlfn.CONCAT(B22,C22,D22,E22,F22)</f>
        <v>BC Rio Monte1Inverter3546023.270138888946023.270138888946023.2777777778</v>
      </c>
      <c r="Q22" s="32" t="str">
        <f aca="false">_xlfn.CONCAT(H22,I22,J22)</f>
        <v>DAURDE</v>
      </c>
    </row>
    <row r="23" customFormat="false" ht="15" hidden="false" customHeight="false" outlineLevel="0" collapsed="false">
      <c r="B23" s="32" t="s">
        <v>142</v>
      </c>
      <c r="C23" s="32" t="s">
        <v>276</v>
      </c>
      <c r="D23" s="33" t="n">
        <v>46023.2701388889</v>
      </c>
      <c r="E23" s="33" t="n">
        <v>46023.2701388889</v>
      </c>
      <c r="F23" s="33" t="n">
        <v>46023.2777777778</v>
      </c>
      <c r="G23" s="34" t="n">
        <f aca="false">F23-E23</f>
        <v>0.00763888888888889</v>
      </c>
      <c r="H23" s="39" t="s">
        <v>252</v>
      </c>
      <c r="J23" s="39" t="s">
        <v>253</v>
      </c>
      <c r="K23" s="32" t="s">
        <v>266</v>
      </c>
      <c r="L23" s="32" t="s">
        <v>275</v>
      </c>
      <c r="M23" s="39" t="s">
        <v>255</v>
      </c>
      <c r="N23" s="39" t="s">
        <v>268</v>
      </c>
      <c r="O23" s="32" t="s">
        <v>269</v>
      </c>
      <c r="P23" s="40" t="str">
        <f aca="false">_xlfn.CONCAT(B23,C23,D23,E23,F23)</f>
        <v>BC Rio Monte1Inverter4046023.270138888946023.270138888946023.2777777778</v>
      </c>
      <c r="Q23" s="32" t="str">
        <f aca="false">_xlfn.CONCAT(H23,I23,J23)</f>
        <v>DAURDE</v>
      </c>
    </row>
    <row r="24" customFormat="false" ht="15" hidden="false" customHeight="false" outlineLevel="0" collapsed="false">
      <c r="B24" s="32" t="s">
        <v>142</v>
      </c>
      <c r="C24" s="32" t="s">
        <v>277</v>
      </c>
      <c r="D24" s="33" t="n">
        <v>46023.2701388889</v>
      </c>
      <c r="E24" s="33" t="n">
        <v>46023.2701388889</v>
      </c>
      <c r="F24" s="33" t="n">
        <v>46023.2777777778</v>
      </c>
      <c r="G24" s="34" t="n">
        <f aca="false">F24-E24</f>
        <v>0.00763888888888889</v>
      </c>
      <c r="H24" s="39" t="s">
        <v>252</v>
      </c>
      <c r="J24" s="39" t="s">
        <v>253</v>
      </c>
      <c r="K24" s="32" t="s">
        <v>266</v>
      </c>
      <c r="L24" s="32" t="s">
        <v>275</v>
      </c>
      <c r="M24" s="39" t="s">
        <v>255</v>
      </c>
      <c r="N24" s="39" t="s">
        <v>268</v>
      </c>
      <c r="O24" s="32" t="s">
        <v>269</v>
      </c>
      <c r="P24" s="40" t="str">
        <f aca="false">_xlfn.CONCAT(B24,C24,D24,E24,F24)</f>
        <v>BC Rio Monte1Inverter4246023.270138888946023.270138888946023.2777777778</v>
      </c>
      <c r="Q24" s="32" t="str">
        <f aca="false">_xlfn.CONCAT(H24,I24,J24)</f>
        <v>DAURDE</v>
      </c>
    </row>
    <row r="25" customFormat="false" ht="15" hidden="false" customHeight="false" outlineLevel="0" collapsed="false">
      <c r="B25" s="32" t="s">
        <v>142</v>
      </c>
      <c r="C25" s="32" t="s">
        <v>278</v>
      </c>
      <c r="D25" s="33" t="n">
        <v>46023.2701388889</v>
      </c>
      <c r="E25" s="33" t="n">
        <v>46023.2701388889</v>
      </c>
      <c r="F25" s="33" t="n">
        <v>46023.2777777778</v>
      </c>
      <c r="G25" s="34" t="n">
        <f aca="false">F25-E25</f>
        <v>0.00763888888888889</v>
      </c>
      <c r="H25" s="39" t="s">
        <v>252</v>
      </c>
      <c r="J25" s="39" t="s">
        <v>253</v>
      </c>
      <c r="K25" s="32" t="s">
        <v>266</v>
      </c>
      <c r="L25" s="32" t="s">
        <v>275</v>
      </c>
      <c r="M25" s="39" t="s">
        <v>255</v>
      </c>
      <c r="N25" s="39" t="s">
        <v>268</v>
      </c>
      <c r="O25" s="32" t="s">
        <v>269</v>
      </c>
      <c r="P25" s="40" t="str">
        <f aca="false">_xlfn.CONCAT(B25,C25,D25,E25,F25)</f>
        <v>BC Rio Monte1Inverter4146023.270138888946023.270138888946023.2777777778</v>
      </c>
      <c r="Q25" s="32" t="str">
        <f aca="false">_xlfn.CONCAT(H25,I25,J25)</f>
        <v>DAURDE</v>
      </c>
    </row>
    <row r="26" customFormat="false" ht="15" hidden="false" customHeight="false" outlineLevel="0" collapsed="false">
      <c r="B26" s="32" t="s">
        <v>142</v>
      </c>
      <c r="C26" s="32" t="s">
        <v>279</v>
      </c>
      <c r="D26" s="33" t="n">
        <v>46023.2701388889</v>
      </c>
      <c r="E26" s="33" t="n">
        <v>46023.2701388889</v>
      </c>
      <c r="F26" s="33" t="n">
        <v>46023.2777777778</v>
      </c>
      <c r="G26" s="34" t="n">
        <f aca="false">F26-E26</f>
        <v>0.00763888888888889</v>
      </c>
      <c r="H26" s="39" t="s">
        <v>252</v>
      </c>
      <c r="J26" s="39" t="s">
        <v>253</v>
      </c>
      <c r="K26" s="32" t="s">
        <v>266</v>
      </c>
      <c r="L26" s="32" t="s">
        <v>275</v>
      </c>
      <c r="M26" s="39" t="s">
        <v>255</v>
      </c>
      <c r="N26" s="39" t="s">
        <v>268</v>
      </c>
      <c r="O26" s="32" t="s">
        <v>269</v>
      </c>
      <c r="P26" s="40" t="str">
        <f aca="false">_xlfn.CONCAT(B26,C26,D26,E26,F26)</f>
        <v>BC Rio Monte1Inverter4446023.270138888946023.270138888946023.2777777778</v>
      </c>
      <c r="Q26" s="32" t="str">
        <f aca="false">_xlfn.CONCAT(H26,I26,J26)</f>
        <v>DAURDE</v>
      </c>
    </row>
    <row r="27" customFormat="false" ht="15" hidden="false" customHeight="false" outlineLevel="0" collapsed="false">
      <c r="B27" s="32" t="s">
        <v>142</v>
      </c>
      <c r="C27" s="32" t="s">
        <v>280</v>
      </c>
      <c r="D27" s="33" t="n">
        <v>46023.2701388889</v>
      </c>
      <c r="E27" s="33" t="n">
        <v>46023.2701388889</v>
      </c>
      <c r="F27" s="33" t="n">
        <v>46023.2777777778</v>
      </c>
      <c r="G27" s="34" t="n">
        <f aca="false">F27-E27</f>
        <v>0.00763888888888889</v>
      </c>
      <c r="H27" s="39" t="s">
        <v>252</v>
      </c>
      <c r="J27" s="39" t="s">
        <v>253</v>
      </c>
      <c r="K27" s="32" t="s">
        <v>266</v>
      </c>
      <c r="L27" s="32" t="s">
        <v>275</v>
      </c>
      <c r="M27" s="39" t="s">
        <v>255</v>
      </c>
      <c r="N27" s="39" t="s">
        <v>268</v>
      </c>
      <c r="O27" s="32" t="s">
        <v>269</v>
      </c>
      <c r="P27" s="40" t="str">
        <f aca="false">_xlfn.CONCAT(B27,C27,D27,E27,F27)</f>
        <v>BC Rio Monte1Inverter4346023.270138888946023.270138888946023.2777777778</v>
      </c>
      <c r="Q27" s="32" t="str">
        <f aca="false">_xlfn.CONCAT(H27,I27,J27)</f>
        <v>DAURDE</v>
      </c>
    </row>
    <row r="28" customFormat="false" ht="15" hidden="false" customHeight="false" outlineLevel="0" collapsed="false">
      <c r="B28" s="32" t="s">
        <v>142</v>
      </c>
      <c r="C28" s="32" t="s">
        <v>281</v>
      </c>
      <c r="D28" s="33" t="n">
        <v>46023.2701388889</v>
      </c>
      <c r="E28" s="33" t="n">
        <v>46023.2701388889</v>
      </c>
      <c r="F28" s="33" t="n">
        <v>46023.2777777778</v>
      </c>
      <c r="G28" s="34" t="n">
        <f aca="false">F28-E28</f>
        <v>0.00763888888888889</v>
      </c>
      <c r="H28" s="39" t="s">
        <v>252</v>
      </c>
      <c r="J28" s="39" t="s">
        <v>253</v>
      </c>
      <c r="K28" s="32" t="s">
        <v>266</v>
      </c>
      <c r="L28" s="32" t="s">
        <v>275</v>
      </c>
      <c r="M28" s="39" t="s">
        <v>255</v>
      </c>
      <c r="N28" s="39" t="s">
        <v>268</v>
      </c>
      <c r="O28" s="32" t="s">
        <v>269</v>
      </c>
      <c r="P28" s="40" t="str">
        <f aca="false">_xlfn.CONCAT(B28,C28,D28,E28,F28)</f>
        <v>BC Rio Monte1Inverter4546023.270138888946023.270138888946023.2777777778</v>
      </c>
      <c r="Q28" s="32" t="str">
        <f aca="false">_xlfn.CONCAT(H28,I28,J28)</f>
        <v>DAURDE</v>
      </c>
    </row>
    <row r="29" customFormat="false" ht="15" hidden="false" customHeight="false" outlineLevel="0" collapsed="false">
      <c r="B29" s="41" t="s">
        <v>139</v>
      </c>
      <c r="C29" s="32" t="s">
        <v>282</v>
      </c>
      <c r="D29" s="33" t="n">
        <v>46023.2833333333</v>
      </c>
      <c r="E29" s="33" t="n">
        <v>46023.2833333333</v>
      </c>
      <c r="F29" s="33" t="n">
        <v>46023.3645833333</v>
      </c>
      <c r="G29" s="34" t="n">
        <f aca="false">F29-E29</f>
        <v>0.08125</v>
      </c>
      <c r="H29" s="39" t="s">
        <v>283</v>
      </c>
      <c r="I29" s="32" t="s">
        <v>284</v>
      </c>
      <c r="J29" s="39" t="s">
        <v>285</v>
      </c>
      <c r="K29" s="32" t="s">
        <v>286</v>
      </c>
      <c r="L29" s="32" t="s">
        <v>287</v>
      </c>
      <c r="M29" s="39" t="s">
        <v>288</v>
      </c>
      <c r="N29" s="39" t="s">
        <v>289</v>
      </c>
      <c r="O29" s="32" t="s">
        <v>290</v>
      </c>
      <c r="P29" s="40" t="str">
        <f aca="false">_xlfn.CONCAT(B29,C29,D29,E29,F29)</f>
        <v>BC Rio Bonito2INV-00146023.283333333346023.283333333346023.3645833333</v>
      </c>
      <c r="Q29" s="32" t="str">
        <f aca="false">_xlfn.CONCAT(H29,I29,J29)</f>
        <v>LIGRFOCOM</v>
      </c>
    </row>
    <row r="30" customFormat="false" ht="15" hidden="false" customHeight="false" outlineLevel="0" collapsed="false">
      <c r="B30" s="41" t="s">
        <v>139</v>
      </c>
      <c r="C30" s="32" t="s">
        <v>291</v>
      </c>
      <c r="D30" s="33" t="n">
        <v>46023.2833333333</v>
      </c>
      <c r="E30" s="33" t="n">
        <v>46023.2833333333</v>
      </c>
      <c r="F30" s="33" t="n">
        <v>46023.3645833333</v>
      </c>
      <c r="G30" s="34" t="n">
        <f aca="false">F30-E30</f>
        <v>0.08125</v>
      </c>
      <c r="H30" s="39" t="s">
        <v>283</v>
      </c>
      <c r="I30" s="32" t="s">
        <v>284</v>
      </c>
      <c r="J30" s="39" t="s">
        <v>285</v>
      </c>
      <c r="K30" s="32" t="s">
        <v>286</v>
      </c>
      <c r="L30" s="32" t="s">
        <v>287</v>
      </c>
      <c r="M30" s="39" t="s">
        <v>288</v>
      </c>
      <c r="N30" s="39" t="s">
        <v>289</v>
      </c>
      <c r="O30" s="32" t="s">
        <v>290</v>
      </c>
      <c r="P30" s="40" t="str">
        <f aca="false">_xlfn.CONCAT(B30,C30,D30,E30,F30)</f>
        <v>BC Rio Bonito2INV-00246023.283333333346023.283333333346023.3645833333</v>
      </c>
      <c r="Q30" s="32" t="str">
        <f aca="false">_xlfn.CONCAT(H30,I30,J30)</f>
        <v>LIGRFOCOM</v>
      </c>
    </row>
    <row r="31" customFormat="false" ht="15" hidden="false" customHeight="false" outlineLevel="0" collapsed="false">
      <c r="B31" s="41" t="s">
        <v>139</v>
      </c>
      <c r="C31" s="32" t="s">
        <v>292</v>
      </c>
      <c r="D31" s="33" t="n">
        <v>46023.2833333333</v>
      </c>
      <c r="E31" s="33" t="n">
        <v>46023.2833333333</v>
      </c>
      <c r="F31" s="33" t="n">
        <v>46023.3645833333</v>
      </c>
      <c r="G31" s="34" t="n">
        <f aca="false">F31-E31</f>
        <v>0.08125</v>
      </c>
      <c r="H31" s="39" t="s">
        <v>283</v>
      </c>
      <c r="I31" s="32" t="s">
        <v>284</v>
      </c>
      <c r="J31" s="39" t="s">
        <v>285</v>
      </c>
      <c r="K31" s="32" t="s">
        <v>286</v>
      </c>
      <c r="L31" s="32" t="s">
        <v>287</v>
      </c>
      <c r="M31" s="39" t="s">
        <v>288</v>
      </c>
      <c r="N31" s="39" t="s">
        <v>289</v>
      </c>
      <c r="O31" s="32" t="s">
        <v>290</v>
      </c>
      <c r="P31" s="40" t="str">
        <f aca="false">_xlfn.CONCAT(B31,C31,D31,E31,F31)</f>
        <v>BC Rio Bonito2INV-00346023.283333333346023.283333333346023.3645833333</v>
      </c>
      <c r="Q31" s="32" t="str">
        <f aca="false">_xlfn.CONCAT(H31,I31,J31)</f>
        <v>LIGRFOCOM</v>
      </c>
    </row>
    <row r="32" customFormat="false" ht="15" hidden="false" customHeight="false" outlineLevel="0" collapsed="false">
      <c r="B32" s="41" t="s">
        <v>139</v>
      </c>
      <c r="C32" s="32" t="s">
        <v>293</v>
      </c>
      <c r="D32" s="33" t="n">
        <v>46023.2833333333</v>
      </c>
      <c r="E32" s="33" t="n">
        <v>46023.2833333333</v>
      </c>
      <c r="F32" s="33" t="n">
        <v>46023.3645833333</v>
      </c>
      <c r="G32" s="34" t="n">
        <f aca="false">F32-E32</f>
        <v>0.08125</v>
      </c>
      <c r="H32" s="39" t="s">
        <v>283</v>
      </c>
      <c r="I32" s="32" t="s">
        <v>284</v>
      </c>
      <c r="J32" s="39" t="s">
        <v>285</v>
      </c>
      <c r="K32" s="32" t="s">
        <v>286</v>
      </c>
      <c r="L32" s="32" t="s">
        <v>287</v>
      </c>
      <c r="M32" s="39" t="s">
        <v>288</v>
      </c>
      <c r="N32" s="39" t="s">
        <v>289</v>
      </c>
      <c r="O32" s="32" t="s">
        <v>290</v>
      </c>
      <c r="P32" s="40" t="str">
        <f aca="false">_xlfn.CONCAT(B32,C32,D32,E32,F32)</f>
        <v>BC Rio Bonito2INV-00446023.283333333346023.283333333346023.3645833333</v>
      </c>
      <c r="Q32" s="32" t="str">
        <f aca="false">_xlfn.CONCAT(H32,I32,J32)</f>
        <v>LIGRFOCOM</v>
      </c>
    </row>
    <row r="33" customFormat="false" ht="15" hidden="false" customHeight="false" outlineLevel="0" collapsed="false">
      <c r="B33" s="32" t="s">
        <v>48</v>
      </c>
      <c r="C33" s="32" t="s">
        <v>294</v>
      </c>
      <c r="D33" s="33" t="n">
        <v>46023.2875</v>
      </c>
      <c r="E33" s="33" t="n">
        <v>46023.2875</v>
      </c>
      <c r="F33" s="33" t="n">
        <v>46023.9013888889</v>
      </c>
      <c r="G33" s="34" t="n">
        <f aca="false">F33-E33</f>
        <v>0.613888888888889</v>
      </c>
      <c r="H33" s="39" t="s">
        <v>252</v>
      </c>
      <c r="J33" s="39" t="s">
        <v>253</v>
      </c>
      <c r="K33" s="32" t="e">
        <f aca="false">_xlfn.xlookup(J33,[1]REF!$D$2:$D$12,[1]REF!$E$2:$E$12)</f>
        <v>#NAME?</v>
      </c>
      <c r="L33" s="32" t="s">
        <v>254</v>
      </c>
      <c r="M33" s="39" t="s">
        <v>255</v>
      </c>
      <c r="N33" s="39" t="s">
        <v>256</v>
      </c>
      <c r="O33" s="32" t="s">
        <v>257</v>
      </c>
      <c r="P33" s="40" t="str">
        <f aca="false">_xlfn.CONCAT(B33,C33,D33,E33,F33)</f>
        <v>BC Caiaponia1SG60KTL(COM1-001)_001_00746023.287546023.287546023.9013888889</v>
      </c>
      <c r="Q33" s="32" t="str">
        <f aca="false">_xlfn.CONCAT(H33,I33,J33)</f>
        <v>DAURDE</v>
      </c>
    </row>
    <row r="34" customFormat="false" ht="15" hidden="false" customHeight="false" outlineLevel="0" collapsed="false">
      <c r="B34" s="32" t="s">
        <v>48</v>
      </c>
      <c r="C34" s="32" t="s">
        <v>295</v>
      </c>
      <c r="D34" s="33" t="n">
        <v>46023.2875</v>
      </c>
      <c r="E34" s="33" t="n">
        <v>46023.2875</v>
      </c>
      <c r="F34" s="33" t="n">
        <v>46023.9013888889</v>
      </c>
      <c r="G34" s="34" t="n">
        <f aca="false">F34-E34</f>
        <v>0.613888888888889</v>
      </c>
      <c r="H34" s="39" t="s">
        <v>252</v>
      </c>
      <c r="J34" s="39" t="s">
        <v>253</v>
      </c>
      <c r="K34" s="32" t="e">
        <f aca="false">_xlfn.xlookup(J34,[1]REF!$D$2:$D$12,[1]REF!$E$2:$E$12)</f>
        <v>#NAME?</v>
      </c>
      <c r="L34" s="32" t="s">
        <v>254</v>
      </c>
      <c r="M34" s="39" t="s">
        <v>255</v>
      </c>
      <c r="N34" s="39" t="s">
        <v>256</v>
      </c>
      <c r="O34" s="32" t="s">
        <v>257</v>
      </c>
      <c r="P34" s="40" t="str">
        <f aca="false">_xlfn.CONCAT(B34,C34,D34,E34,F34)</f>
        <v>BC Caiaponia1SG60KTL(COM1-002)_001_01046023.287546023.287546023.9013888889</v>
      </c>
      <c r="Q34" s="32" t="str">
        <f aca="false">_xlfn.CONCAT(H34,I34,J34)</f>
        <v>DAURDE</v>
      </c>
    </row>
    <row r="35" customFormat="false" ht="15" hidden="false" customHeight="false" outlineLevel="0" collapsed="false">
      <c r="B35" s="32" t="s">
        <v>48</v>
      </c>
      <c r="C35" s="32" t="s">
        <v>296</v>
      </c>
      <c r="D35" s="33" t="n">
        <v>46023.2875</v>
      </c>
      <c r="E35" s="33" t="n">
        <v>46023.2875</v>
      </c>
      <c r="F35" s="33" t="n">
        <v>46023.9013888889</v>
      </c>
      <c r="G35" s="34" t="n">
        <f aca="false">F35-E35</f>
        <v>0.613888888888889</v>
      </c>
      <c r="H35" s="39" t="s">
        <v>252</v>
      </c>
      <c r="J35" s="39" t="s">
        <v>253</v>
      </c>
      <c r="K35" s="32" t="e">
        <f aca="false">_xlfn.xlookup(J35,[1]REF!$D$2:$D$12,[1]REF!$E$2:$E$12)</f>
        <v>#NAME?</v>
      </c>
      <c r="L35" s="32" t="s">
        <v>254</v>
      </c>
      <c r="M35" s="39" t="s">
        <v>255</v>
      </c>
      <c r="N35" s="39" t="s">
        <v>256</v>
      </c>
      <c r="O35" s="32" t="s">
        <v>257</v>
      </c>
      <c r="P35" s="40" t="str">
        <f aca="false">_xlfn.CONCAT(B35,C35,D35,E35,F35)</f>
        <v>BC Caiaponia1SG60KTL(COM1-003)_001_01146023.287546023.287546023.9013888889</v>
      </c>
      <c r="Q35" s="32" t="str">
        <f aca="false">_xlfn.CONCAT(H35,I35,J35)</f>
        <v>DAURDE</v>
      </c>
    </row>
    <row r="36" customFormat="false" ht="15" hidden="false" customHeight="false" outlineLevel="0" collapsed="false">
      <c r="B36" s="32" t="s">
        <v>48</v>
      </c>
      <c r="C36" s="32" t="s">
        <v>297</v>
      </c>
      <c r="D36" s="33" t="n">
        <v>46023.2875</v>
      </c>
      <c r="E36" s="33" t="n">
        <v>46023.2875</v>
      </c>
      <c r="F36" s="33" t="n">
        <v>46023.9013888889</v>
      </c>
      <c r="G36" s="34" t="n">
        <f aca="false">F36-E36</f>
        <v>0.613888888888889</v>
      </c>
      <c r="H36" s="39" t="s">
        <v>252</v>
      </c>
      <c r="J36" s="39" t="s">
        <v>253</v>
      </c>
      <c r="K36" s="32" t="e">
        <f aca="false">_xlfn.xlookup(J36,[1]REF!$D$2:$D$12,[1]REF!$E$2:$E$12)</f>
        <v>#NAME?</v>
      </c>
      <c r="L36" s="32" t="s">
        <v>254</v>
      </c>
      <c r="M36" s="39" t="s">
        <v>255</v>
      </c>
      <c r="N36" s="39" t="s">
        <v>256</v>
      </c>
      <c r="O36" s="32" t="s">
        <v>257</v>
      </c>
      <c r="P36" s="40" t="str">
        <f aca="false">_xlfn.CONCAT(B36,C36,D36,E36,F36)</f>
        <v>BC Caiaponia1SG60KTL(COM1-004)_001_01446023.287546023.287546023.9013888889</v>
      </c>
      <c r="Q36" s="32" t="str">
        <f aca="false">_xlfn.CONCAT(H36,I36,J36)</f>
        <v>DAURDE</v>
      </c>
    </row>
    <row r="37" customFormat="false" ht="15" hidden="false" customHeight="false" outlineLevel="0" collapsed="false">
      <c r="B37" s="32" t="s">
        <v>48</v>
      </c>
      <c r="C37" s="32" t="s">
        <v>298</v>
      </c>
      <c r="D37" s="33" t="n">
        <v>46023.2875</v>
      </c>
      <c r="E37" s="33" t="n">
        <v>46023.2875</v>
      </c>
      <c r="F37" s="33" t="n">
        <v>46023.9013888889</v>
      </c>
      <c r="G37" s="34" t="n">
        <f aca="false">F37-E37</f>
        <v>0.613888888888889</v>
      </c>
      <c r="H37" s="39" t="s">
        <v>252</v>
      </c>
      <c r="J37" s="39" t="s">
        <v>253</v>
      </c>
      <c r="K37" s="32" t="e">
        <f aca="false">_xlfn.xlookup(J37,[1]REF!$D$2:$D$12,[1]REF!$E$2:$E$12)</f>
        <v>#NAME?</v>
      </c>
      <c r="L37" s="32" t="s">
        <v>254</v>
      </c>
      <c r="M37" s="39" t="s">
        <v>255</v>
      </c>
      <c r="N37" s="39" t="s">
        <v>256</v>
      </c>
      <c r="O37" s="32" t="s">
        <v>257</v>
      </c>
      <c r="P37" s="40" t="str">
        <f aca="false">_xlfn.CONCAT(B37,C37,D37,E37,F37)</f>
        <v>BC Caiaponia1SG60KTL(COM1-005)_001_01746023.287546023.287546023.9013888889</v>
      </c>
      <c r="Q37" s="32" t="str">
        <f aca="false">_xlfn.CONCAT(H37,I37,J37)</f>
        <v>DAURDE</v>
      </c>
    </row>
    <row r="38" customFormat="false" ht="15" hidden="false" customHeight="false" outlineLevel="0" collapsed="false">
      <c r="B38" s="32" t="s">
        <v>48</v>
      </c>
      <c r="C38" s="32" t="s">
        <v>299</v>
      </c>
      <c r="D38" s="33" t="n">
        <v>46023.2875</v>
      </c>
      <c r="E38" s="33" t="n">
        <v>46023.2875</v>
      </c>
      <c r="F38" s="33" t="n">
        <v>46023.9013888889</v>
      </c>
      <c r="G38" s="34" t="n">
        <f aca="false">F38-E38</f>
        <v>0.613888888888889</v>
      </c>
      <c r="H38" s="39" t="s">
        <v>252</v>
      </c>
      <c r="J38" s="39" t="s">
        <v>253</v>
      </c>
      <c r="K38" s="32" t="e">
        <f aca="false">_xlfn.xlookup(J38,[1]REF!$D$2:$D$12,[1]REF!$E$2:$E$12)</f>
        <v>#NAME?</v>
      </c>
      <c r="L38" s="32" t="s">
        <v>254</v>
      </c>
      <c r="M38" s="39" t="s">
        <v>255</v>
      </c>
      <c r="N38" s="39" t="s">
        <v>256</v>
      </c>
      <c r="O38" s="32" t="s">
        <v>257</v>
      </c>
      <c r="P38" s="40" t="str">
        <f aca="false">_xlfn.CONCAT(B38,C38,D38,E38,F38)</f>
        <v>BC Caiaponia1SG60KTL(COM1-006)_001_01646023.287546023.287546023.9013888889</v>
      </c>
      <c r="Q38" s="32" t="str">
        <f aca="false">_xlfn.CONCAT(H38,I38,J38)</f>
        <v>DAURDE</v>
      </c>
    </row>
    <row r="39" customFormat="false" ht="15" hidden="false" customHeight="false" outlineLevel="0" collapsed="false">
      <c r="B39" s="32" t="s">
        <v>48</v>
      </c>
      <c r="C39" s="32" t="s">
        <v>300</v>
      </c>
      <c r="D39" s="33" t="n">
        <v>46023.2875</v>
      </c>
      <c r="E39" s="33" t="n">
        <v>46023.2875</v>
      </c>
      <c r="F39" s="33" t="n">
        <v>46023.9013888889</v>
      </c>
      <c r="G39" s="34" t="n">
        <f aca="false">F39-E39</f>
        <v>0.613888888888889</v>
      </c>
      <c r="H39" s="39" t="s">
        <v>252</v>
      </c>
      <c r="J39" s="39" t="s">
        <v>253</v>
      </c>
      <c r="K39" s="32" t="e">
        <f aca="false">_xlfn.xlookup(J39,[1]REF!$D$2:$D$12,[1]REF!$E$2:$E$12)</f>
        <v>#NAME?</v>
      </c>
      <c r="L39" s="32" t="s">
        <v>254</v>
      </c>
      <c r="M39" s="39" t="s">
        <v>255</v>
      </c>
      <c r="N39" s="39" t="s">
        <v>256</v>
      </c>
      <c r="O39" s="32" t="s">
        <v>257</v>
      </c>
      <c r="P39" s="40" t="str">
        <f aca="false">_xlfn.CONCAT(B39,C39,D39,E39,F39)</f>
        <v>BC Caiaponia1SG60KTL(COM1-007)_001_01346023.287546023.287546023.9013888889</v>
      </c>
      <c r="Q39" s="32" t="str">
        <f aca="false">_xlfn.CONCAT(H39,I39,J39)</f>
        <v>DAURDE</v>
      </c>
    </row>
    <row r="40" customFormat="false" ht="15" hidden="false" customHeight="false" outlineLevel="0" collapsed="false">
      <c r="B40" s="32" t="s">
        <v>48</v>
      </c>
      <c r="C40" s="32" t="s">
        <v>301</v>
      </c>
      <c r="D40" s="33" t="n">
        <v>46023.2875</v>
      </c>
      <c r="E40" s="33" t="n">
        <v>46023.2875</v>
      </c>
      <c r="F40" s="33" t="n">
        <v>46023.9013888889</v>
      </c>
      <c r="G40" s="34" t="n">
        <f aca="false">F40-E40</f>
        <v>0.613888888888889</v>
      </c>
      <c r="H40" s="39" t="s">
        <v>252</v>
      </c>
      <c r="J40" s="39" t="s">
        <v>253</v>
      </c>
      <c r="K40" s="32" t="e">
        <f aca="false">_xlfn.xlookup(J40,[1]REF!$D$2:$D$12,[1]REF!$E$2:$E$12)</f>
        <v>#NAME?</v>
      </c>
      <c r="L40" s="32" t="s">
        <v>254</v>
      </c>
      <c r="M40" s="39" t="s">
        <v>255</v>
      </c>
      <c r="N40" s="39" t="s">
        <v>256</v>
      </c>
      <c r="O40" s="32" t="s">
        <v>257</v>
      </c>
      <c r="P40" s="40" t="str">
        <f aca="false">_xlfn.CONCAT(B40,C40,D40,E40,F40)</f>
        <v>BC Caiaponia1SG60KTL(COM1-008)_001_00146023.287546023.287546023.9013888889</v>
      </c>
      <c r="Q40" s="32" t="str">
        <f aca="false">_xlfn.CONCAT(H40,I40,J40)</f>
        <v>DAURDE</v>
      </c>
    </row>
    <row r="41" customFormat="false" ht="15" hidden="false" customHeight="false" outlineLevel="0" collapsed="false">
      <c r="B41" s="32" t="s">
        <v>48</v>
      </c>
      <c r="C41" s="32" t="s">
        <v>302</v>
      </c>
      <c r="D41" s="33" t="n">
        <v>46023.2875</v>
      </c>
      <c r="E41" s="33" t="n">
        <v>46023.2875</v>
      </c>
      <c r="F41" s="33" t="n">
        <v>46023.9013888889</v>
      </c>
      <c r="G41" s="34" t="n">
        <f aca="false">F41-E41</f>
        <v>0.613888888888889</v>
      </c>
      <c r="H41" s="39" t="s">
        <v>252</v>
      </c>
      <c r="J41" s="39" t="s">
        <v>253</v>
      </c>
      <c r="K41" s="32" t="e">
        <f aca="false">_xlfn.xlookup(J41,[1]REF!$D$2:$D$12,[1]REF!$E$2:$E$12)</f>
        <v>#NAME?</v>
      </c>
      <c r="L41" s="32" t="s">
        <v>254</v>
      </c>
      <c r="M41" s="39" t="s">
        <v>255</v>
      </c>
      <c r="N41" s="39" t="s">
        <v>256</v>
      </c>
      <c r="O41" s="32" t="s">
        <v>257</v>
      </c>
      <c r="P41" s="40" t="str">
        <f aca="false">_xlfn.CONCAT(B41,C41,D41,E41,F41)</f>
        <v>BC Caiaponia1SG60KTL(COM1-009)46023.287546023.287546023.9013888889</v>
      </c>
      <c r="Q41" s="32" t="str">
        <f aca="false">_xlfn.CONCAT(H41,I41,J41)</f>
        <v>DAURDE</v>
      </c>
    </row>
    <row r="42" customFormat="false" ht="15" hidden="false" customHeight="false" outlineLevel="0" collapsed="false">
      <c r="B42" s="32" t="s">
        <v>48</v>
      </c>
      <c r="C42" s="32" t="s">
        <v>303</v>
      </c>
      <c r="D42" s="33" t="n">
        <v>46023.2875</v>
      </c>
      <c r="E42" s="33" t="n">
        <v>46023.2875</v>
      </c>
      <c r="F42" s="33" t="n">
        <v>46023.9013888889</v>
      </c>
      <c r="G42" s="34" t="n">
        <f aca="false">F42-E42</f>
        <v>0.613888888888889</v>
      </c>
      <c r="H42" s="39" t="s">
        <v>252</v>
      </c>
      <c r="J42" s="39" t="s">
        <v>253</v>
      </c>
      <c r="K42" s="32" t="e">
        <f aca="false">_xlfn.xlookup(J42,[1]REF!$D$2:$D$12,[1]REF!$E$2:$E$12)</f>
        <v>#NAME?</v>
      </c>
      <c r="L42" s="32" t="s">
        <v>254</v>
      </c>
      <c r="M42" s="39" t="s">
        <v>255</v>
      </c>
      <c r="N42" s="39" t="s">
        <v>256</v>
      </c>
      <c r="O42" s="32" t="s">
        <v>257</v>
      </c>
      <c r="P42" s="40" t="str">
        <f aca="false">_xlfn.CONCAT(B42,C42,D42,E42,F42)</f>
        <v>BC Caiaponia1SG60KTL(COM1-010)46023.287546023.287546023.9013888889</v>
      </c>
      <c r="Q42" s="32" t="str">
        <f aca="false">_xlfn.CONCAT(H42,I42,J42)</f>
        <v>DAURDE</v>
      </c>
    </row>
    <row r="43" customFormat="false" ht="15" hidden="false" customHeight="false" outlineLevel="0" collapsed="false">
      <c r="B43" s="32" t="s">
        <v>48</v>
      </c>
      <c r="C43" s="32" t="s">
        <v>304</v>
      </c>
      <c r="D43" s="33" t="n">
        <v>46023.2875</v>
      </c>
      <c r="E43" s="33" t="n">
        <v>46023.2875</v>
      </c>
      <c r="F43" s="33" t="n">
        <v>46023.9013888889</v>
      </c>
      <c r="G43" s="34" t="n">
        <f aca="false">F43-E43</f>
        <v>0.613888888888889</v>
      </c>
      <c r="H43" s="39" t="s">
        <v>252</v>
      </c>
      <c r="J43" s="39" t="s">
        <v>253</v>
      </c>
      <c r="K43" s="32" t="e">
        <f aca="false">_xlfn.xlookup(J43,[1]REF!$D$2:$D$12,[1]REF!$E$2:$E$12)</f>
        <v>#NAME?</v>
      </c>
      <c r="L43" s="32" t="s">
        <v>254</v>
      </c>
      <c r="M43" s="39" t="s">
        <v>255</v>
      </c>
      <c r="N43" s="39" t="s">
        <v>256</v>
      </c>
      <c r="O43" s="32" t="s">
        <v>257</v>
      </c>
      <c r="P43" s="40" t="str">
        <f aca="false">_xlfn.CONCAT(B43,C43,D43,E43,F43)</f>
        <v>BC Caiaponia1SG60KTL(COM1-011)46023.287546023.287546023.9013888889</v>
      </c>
      <c r="Q43" s="32" t="str">
        <f aca="false">_xlfn.CONCAT(H43,I43,J43)</f>
        <v>DAURDE</v>
      </c>
    </row>
    <row r="44" customFormat="false" ht="15" hidden="false" customHeight="false" outlineLevel="0" collapsed="false">
      <c r="B44" s="32" t="s">
        <v>48</v>
      </c>
      <c r="C44" s="32" t="s">
        <v>305</v>
      </c>
      <c r="D44" s="33" t="n">
        <v>46023.2875</v>
      </c>
      <c r="E44" s="33" t="n">
        <v>46023.2875</v>
      </c>
      <c r="F44" s="33" t="n">
        <v>46023.9013888889</v>
      </c>
      <c r="G44" s="34" t="n">
        <f aca="false">F44-E44</f>
        <v>0.613888888888889</v>
      </c>
      <c r="H44" s="39" t="s">
        <v>252</v>
      </c>
      <c r="J44" s="39" t="s">
        <v>253</v>
      </c>
      <c r="K44" s="32" t="e">
        <f aca="false">_xlfn.xlookup(J44,[1]REF!$D$2:$D$12,[1]REF!$E$2:$E$12)</f>
        <v>#NAME?</v>
      </c>
      <c r="L44" s="32" t="s">
        <v>254</v>
      </c>
      <c r="M44" s="39" t="s">
        <v>255</v>
      </c>
      <c r="N44" s="39" t="s">
        <v>256</v>
      </c>
      <c r="O44" s="32" t="s">
        <v>257</v>
      </c>
      <c r="P44" s="40" t="str">
        <f aca="false">_xlfn.CONCAT(B44,C44,D44,E44,F44)</f>
        <v>BC Caiaponia1SG60KTL(COM1-012)46023.287546023.287546023.9013888889</v>
      </c>
      <c r="Q44" s="32" t="str">
        <f aca="false">_xlfn.CONCAT(H44,I44,J44)</f>
        <v>DAURDE</v>
      </c>
    </row>
    <row r="45" customFormat="false" ht="15" hidden="false" customHeight="false" outlineLevel="0" collapsed="false">
      <c r="B45" s="32" t="s">
        <v>48</v>
      </c>
      <c r="C45" s="32" t="s">
        <v>306</v>
      </c>
      <c r="D45" s="33" t="n">
        <v>46023.2875</v>
      </c>
      <c r="E45" s="33" t="n">
        <v>46023.2875</v>
      </c>
      <c r="F45" s="33" t="n">
        <v>46023.9013888889</v>
      </c>
      <c r="G45" s="34" t="n">
        <f aca="false">F45-E45</f>
        <v>0.613888888888889</v>
      </c>
      <c r="H45" s="39" t="s">
        <v>252</v>
      </c>
      <c r="J45" s="39" t="s">
        <v>253</v>
      </c>
      <c r="K45" s="32" t="e">
        <f aca="false">_xlfn.xlookup(J45,[1]REF!$D$2:$D$12,[1]REF!$E$2:$E$12)</f>
        <v>#NAME?</v>
      </c>
      <c r="L45" s="32" t="s">
        <v>254</v>
      </c>
      <c r="M45" s="39" t="s">
        <v>255</v>
      </c>
      <c r="N45" s="39" t="s">
        <v>256</v>
      </c>
      <c r="O45" s="32" t="s">
        <v>257</v>
      </c>
      <c r="P45" s="40" t="str">
        <f aca="false">_xlfn.CONCAT(B45,C45,D45,E45,F45)</f>
        <v>BC Caiaponia1SG60KTL(COM1-013)46023.287546023.287546023.9013888889</v>
      </c>
      <c r="Q45" s="32" t="str">
        <f aca="false">_xlfn.CONCAT(H45,I45,J45)</f>
        <v>DAURDE</v>
      </c>
    </row>
    <row r="46" customFormat="false" ht="15" hidden="false" customHeight="false" outlineLevel="0" collapsed="false">
      <c r="B46" s="32" t="s">
        <v>48</v>
      </c>
      <c r="C46" s="32" t="s">
        <v>307</v>
      </c>
      <c r="D46" s="33" t="n">
        <v>46023.2875</v>
      </c>
      <c r="E46" s="33" t="n">
        <v>46023.2875</v>
      </c>
      <c r="F46" s="33" t="n">
        <v>46023.9013888889</v>
      </c>
      <c r="G46" s="34" t="n">
        <f aca="false">F46-E46</f>
        <v>0.613888888888889</v>
      </c>
      <c r="H46" s="39" t="s">
        <v>252</v>
      </c>
      <c r="J46" s="39" t="s">
        <v>253</v>
      </c>
      <c r="K46" s="32" t="e">
        <f aca="false">_xlfn.xlookup(J46,[1]REF!$D$2:$D$12,[1]REF!$E$2:$E$12)</f>
        <v>#NAME?</v>
      </c>
      <c r="L46" s="32" t="s">
        <v>254</v>
      </c>
      <c r="M46" s="39" t="s">
        <v>255</v>
      </c>
      <c r="N46" s="39" t="s">
        <v>256</v>
      </c>
      <c r="O46" s="32" t="s">
        <v>257</v>
      </c>
      <c r="P46" s="40" t="str">
        <f aca="false">_xlfn.CONCAT(B46,C46,D46,E46,F46)</f>
        <v>BC Caiaponia1SG60KTL(COM1-014)46023.287546023.287546023.9013888889</v>
      </c>
      <c r="Q46" s="32" t="str">
        <f aca="false">_xlfn.CONCAT(H46,I46,J46)</f>
        <v>DAURDE</v>
      </c>
    </row>
    <row r="47" customFormat="false" ht="15" hidden="false" customHeight="false" outlineLevel="0" collapsed="false">
      <c r="B47" s="32" t="s">
        <v>48</v>
      </c>
      <c r="C47" s="32" t="s">
        <v>308</v>
      </c>
      <c r="D47" s="33" t="n">
        <v>46023.2875</v>
      </c>
      <c r="E47" s="33" t="n">
        <v>46023.2875</v>
      </c>
      <c r="F47" s="33" t="n">
        <v>46023.9013888889</v>
      </c>
      <c r="G47" s="34" t="n">
        <f aca="false">F47-E47</f>
        <v>0.613888888888889</v>
      </c>
      <c r="H47" s="39" t="s">
        <v>252</v>
      </c>
      <c r="J47" s="39" t="s">
        <v>253</v>
      </c>
      <c r="K47" s="32" t="e">
        <f aca="false">_xlfn.xlookup(J47,[1]REF!$D$2:$D$12,[1]REF!$E$2:$E$12)</f>
        <v>#NAME?</v>
      </c>
      <c r="L47" s="32" t="s">
        <v>254</v>
      </c>
      <c r="M47" s="39" t="s">
        <v>255</v>
      </c>
      <c r="N47" s="39" t="s">
        <v>256</v>
      </c>
      <c r="O47" s="32" t="s">
        <v>257</v>
      </c>
      <c r="P47" s="40" t="str">
        <f aca="false">_xlfn.CONCAT(B47,C47,D47,E47,F47)</f>
        <v>BC Caiaponia1SG60KTL(COM1-015)46023.287546023.287546023.9013888889</v>
      </c>
      <c r="Q47" s="32" t="str">
        <f aca="false">_xlfn.CONCAT(H47,I47,J47)</f>
        <v>DAURDE</v>
      </c>
    </row>
    <row r="48" customFormat="false" ht="15" hidden="false" customHeight="false" outlineLevel="0" collapsed="false">
      <c r="B48" s="32" t="s">
        <v>48</v>
      </c>
      <c r="C48" s="32" t="s">
        <v>309</v>
      </c>
      <c r="D48" s="33" t="n">
        <v>46023.2875</v>
      </c>
      <c r="E48" s="33" t="n">
        <v>46023.2875</v>
      </c>
      <c r="F48" s="33" t="n">
        <v>46023.9013888889</v>
      </c>
      <c r="G48" s="34" t="n">
        <f aca="false">F48-E48</f>
        <v>0.613888888888889</v>
      </c>
      <c r="H48" s="39" t="s">
        <v>252</v>
      </c>
      <c r="J48" s="39" t="s">
        <v>253</v>
      </c>
      <c r="K48" s="32" t="e">
        <f aca="false">_xlfn.xlookup(J48,[1]REF!$D$2:$D$12,[1]REF!$E$2:$E$12)</f>
        <v>#NAME?</v>
      </c>
      <c r="L48" s="32" t="s">
        <v>254</v>
      </c>
      <c r="M48" s="39" t="s">
        <v>255</v>
      </c>
      <c r="N48" s="39" t="s">
        <v>256</v>
      </c>
      <c r="O48" s="32" t="s">
        <v>257</v>
      </c>
      <c r="P48" s="40" t="str">
        <f aca="false">_xlfn.CONCAT(B48,C48,D48,E48,F48)</f>
        <v>BC Caiaponia1SG60KTL(COM3-016)_001_00946023.287546023.287546023.9013888889</v>
      </c>
      <c r="Q48" s="32" t="str">
        <f aca="false">_xlfn.CONCAT(H48,I48,J48)</f>
        <v>DAURDE</v>
      </c>
    </row>
    <row r="49" customFormat="false" ht="15" hidden="false" customHeight="false" outlineLevel="0" collapsed="false">
      <c r="B49" s="32" t="s">
        <v>48</v>
      </c>
      <c r="C49" s="32" t="s">
        <v>310</v>
      </c>
      <c r="D49" s="33" t="n">
        <v>46023.2875</v>
      </c>
      <c r="E49" s="33" t="n">
        <v>46023.2875</v>
      </c>
      <c r="F49" s="33" t="n">
        <v>46023.9013888889</v>
      </c>
      <c r="G49" s="34" t="n">
        <f aca="false">F49-E49</f>
        <v>0.613888888888889</v>
      </c>
      <c r="H49" s="39" t="s">
        <v>252</v>
      </c>
      <c r="J49" s="39" t="s">
        <v>253</v>
      </c>
      <c r="K49" s="32" t="e">
        <f aca="false">_xlfn.xlookup(J49,[1]REF!$D$2:$D$12,[1]REF!$E$2:$E$12)</f>
        <v>#NAME?</v>
      </c>
      <c r="L49" s="32" t="s">
        <v>254</v>
      </c>
      <c r="M49" s="39" t="s">
        <v>255</v>
      </c>
      <c r="N49" s="39" t="s">
        <v>256</v>
      </c>
      <c r="O49" s="32" t="s">
        <v>257</v>
      </c>
      <c r="P49" s="40" t="str">
        <f aca="false">_xlfn.CONCAT(B49,C49,D49,E49,F49)</f>
        <v>BC Caiaponia1SG60KTL(COM3-017)_001_01246023.287546023.287546023.9013888889</v>
      </c>
      <c r="Q49" s="32" t="str">
        <f aca="false">_xlfn.CONCAT(H49,I49,J49)</f>
        <v>DAURDE</v>
      </c>
    </row>
    <row r="50" customFormat="false" ht="15" hidden="false" customHeight="false" outlineLevel="0" collapsed="false">
      <c r="B50" s="32" t="s">
        <v>48</v>
      </c>
      <c r="C50" s="32" t="s">
        <v>311</v>
      </c>
      <c r="D50" s="33" t="n">
        <v>46023.2875</v>
      </c>
      <c r="E50" s="33" t="n">
        <v>46023.2875</v>
      </c>
      <c r="F50" s="33" t="n">
        <v>46023.9013888889</v>
      </c>
      <c r="G50" s="34" t="n">
        <f aca="false">F50-E50</f>
        <v>0.613888888888889</v>
      </c>
      <c r="H50" s="39" t="s">
        <v>252</v>
      </c>
      <c r="J50" s="39" t="s">
        <v>253</v>
      </c>
      <c r="K50" s="32" t="e">
        <f aca="false">_xlfn.xlookup(J50,[1]REF!$D$2:$D$12,[1]REF!$E$2:$E$12)</f>
        <v>#NAME?</v>
      </c>
      <c r="L50" s="32" t="s">
        <v>254</v>
      </c>
      <c r="M50" s="39" t="s">
        <v>255</v>
      </c>
      <c r="N50" s="39" t="s">
        <v>256</v>
      </c>
      <c r="O50" s="32" t="s">
        <v>257</v>
      </c>
      <c r="P50" s="40" t="str">
        <f aca="false">_xlfn.CONCAT(B50,C50,D50,E50,F50)</f>
        <v>BC Caiaponia1SG60KTL(COM3-018)_001_00846023.287546023.287546023.9013888889</v>
      </c>
      <c r="Q50" s="32" t="str">
        <f aca="false">_xlfn.CONCAT(H50,I50,J50)</f>
        <v>DAURDE</v>
      </c>
    </row>
    <row r="51" customFormat="false" ht="15" hidden="false" customHeight="false" outlineLevel="0" collapsed="false">
      <c r="B51" s="32" t="s">
        <v>48</v>
      </c>
      <c r="C51" s="32" t="s">
        <v>312</v>
      </c>
      <c r="D51" s="33" t="n">
        <v>46023.2875</v>
      </c>
      <c r="E51" s="33" t="n">
        <v>46023.2875</v>
      </c>
      <c r="F51" s="33" t="n">
        <v>46023.9013888889</v>
      </c>
      <c r="G51" s="34" t="n">
        <f aca="false">F51-E51</f>
        <v>0.613888888888889</v>
      </c>
      <c r="H51" s="39" t="s">
        <v>252</v>
      </c>
      <c r="J51" s="39" t="s">
        <v>253</v>
      </c>
      <c r="K51" s="32" t="e">
        <f aca="false">_xlfn.xlookup(J51,[1]REF!$D$2:$D$12,[1]REF!$E$2:$E$12)</f>
        <v>#NAME?</v>
      </c>
      <c r="L51" s="32" t="s">
        <v>254</v>
      </c>
      <c r="M51" s="39" t="s">
        <v>255</v>
      </c>
      <c r="N51" s="39" t="s">
        <v>256</v>
      </c>
      <c r="O51" s="32" t="s">
        <v>257</v>
      </c>
      <c r="P51" s="40" t="str">
        <f aca="false">_xlfn.CONCAT(B51,C51,D51,E51,F51)</f>
        <v>BC Caiaponia1SG60KTL(COM3-019)_001_01946023.287546023.287546023.9013888889</v>
      </c>
      <c r="Q51" s="32" t="str">
        <f aca="false">_xlfn.CONCAT(H51,I51,J51)</f>
        <v>DAURDE</v>
      </c>
    </row>
    <row r="52" customFormat="false" ht="15" hidden="false" customHeight="false" outlineLevel="0" collapsed="false">
      <c r="B52" s="32" t="s">
        <v>48</v>
      </c>
      <c r="C52" s="32" t="s">
        <v>313</v>
      </c>
      <c r="D52" s="33" t="n">
        <v>46023.2875</v>
      </c>
      <c r="E52" s="33" t="n">
        <v>46023.2875</v>
      </c>
      <c r="F52" s="33" t="n">
        <v>46023.9013888889</v>
      </c>
      <c r="G52" s="34" t="n">
        <f aca="false">F52-E52</f>
        <v>0.613888888888889</v>
      </c>
      <c r="H52" s="39" t="s">
        <v>252</v>
      </c>
      <c r="J52" s="39" t="s">
        <v>253</v>
      </c>
      <c r="K52" s="32" t="e">
        <f aca="false">_xlfn.xlookup(J52,[1]REF!$D$2:$D$12,[1]REF!$E$2:$E$12)</f>
        <v>#NAME?</v>
      </c>
      <c r="L52" s="32" t="s">
        <v>254</v>
      </c>
      <c r="M52" s="39" t="s">
        <v>255</v>
      </c>
      <c r="N52" s="39" t="s">
        <v>256</v>
      </c>
      <c r="O52" s="32" t="s">
        <v>257</v>
      </c>
      <c r="P52" s="40" t="str">
        <f aca="false">_xlfn.CONCAT(B52,C52,D52,E52,F52)</f>
        <v>BC Caiaponia1SG60KTL(COM3-020)_001_02046023.287546023.287546023.9013888889</v>
      </c>
      <c r="Q52" s="32" t="str">
        <f aca="false">_xlfn.CONCAT(H52,I52,J52)</f>
        <v>DAURDE</v>
      </c>
    </row>
    <row r="53" customFormat="false" ht="15" hidden="false" customHeight="false" outlineLevel="0" collapsed="false">
      <c r="B53" s="32" t="s">
        <v>48</v>
      </c>
      <c r="C53" s="32" t="s">
        <v>314</v>
      </c>
      <c r="D53" s="33" t="n">
        <v>46023.2875</v>
      </c>
      <c r="E53" s="33" t="n">
        <v>46023.2875</v>
      </c>
      <c r="F53" s="33" t="n">
        <v>46023.9013888889</v>
      </c>
      <c r="G53" s="34" t="n">
        <f aca="false">F53-E53</f>
        <v>0.613888888888889</v>
      </c>
      <c r="H53" s="39" t="s">
        <v>252</v>
      </c>
      <c r="J53" s="39" t="s">
        <v>253</v>
      </c>
      <c r="K53" s="32" t="e">
        <f aca="false">_xlfn.xlookup(J53,[1]REF!$D$2:$D$12,[1]REF!$E$2:$E$12)</f>
        <v>#NAME?</v>
      </c>
      <c r="L53" s="32" t="s">
        <v>254</v>
      </c>
      <c r="M53" s="39" t="s">
        <v>255</v>
      </c>
      <c r="N53" s="39" t="s">
        <v>256</v>
      </c>
      <c r="O53" s="32" t="s">
        <v>257</v>
      </c>
      <c r="P53" s="40" t="str">
        <f aca="false">_xlfn.CONCAT(B53,C53,D53,E53,F53)</f>
        <v>BC Caiaponia1SG60KTL(COM2-026)46023.287546023.287546023.9013888889</v>
      </c>
      <c r="Q53" s="32" t="str">
        <f aca="false">_xlfn.CONCAT(H53,I53,J53)</f>
        <v>DAURDE</v>
      </c>
    </row>
    <row r="54" customFormat="false" ht="15" hidden="false" customHeight="false" outlineLevel="0" collapsed="false">
      <c r="B54" s="32" t="s">
        <v>48</v>
      </c>
      <c r="C54" s="32" t="s">
        <v>315</v>
      </c>
      <c r="D54" s="33" t="n">
        <v>46023.2875</v>
      </c>
      <c r="E54" s="33" t="n">
        <v>46023.2875</v>
      </c>
      <c r="F54" s="33" t="n">
        <v>46023.9013888889</v>
      </c>
      <c r="G54" s="34" t="n">
        <f aca="false">F54-E54</f>
        <v>0.613888888888889</v>
      </c>
      <c r="H54" s="39" t="s">
        <v>252</v>
      </c>
      <c r="J54" s="39" t="s">
        <v>253</v>
      </c>
      <c r="K54" s="32" t="e">
        <f aca="false">_xlfn.xlookup(J54,[1]REF!$D$2:$D$12,[1]REF!$E$2:$E$12)</f>
        <v>#NAME?</v>
      </c>
      <c r="L54" s="32" t="s">
        <v>254</v>
      </c>
      <c r="M54" s="39" t="s">
        <v>255</v>
      </c>
      <c r="N54" s="39" t="s">
        <v>256</v>
      </c>
      <c r="O54" s="32" t="s">
        <v>257</v>
      </c>
      <c r="P54" s="40" t="str">
        <f aca="false">_xlfn.CONCAT(B54,C54,D54,E54,F54)</f>
        <v>BC Caiaponia1SG60KTL(COM2-027)46023.287546023.287546023.9013888889</v>
      </c>
      <c r="Q54" s="32" t="str">
        <f aca="false">_xlfn.CONCAT(H54,I54,J54)</f>
        <v>DAURDE</v>
      </c>
    </row>
    <row r="55" customFormat="false" ht="15" hidden="false" customHeight="false" outlineLevel="0" collapsed="false">
      <c r="B55" s="32" t="s">
        <v>48</v>
      </c>
      <c r="C55" s="32" t="s">
        <v>316</v>
      </c>
      <c r="D55" s="33" t="n">
        <v>46023.2875</v>
      </c>
      <c r="E55" s="33" t="n">
        <v>46023.2875</v>
      </c>
      <c r="F55" s="33" t="n">
        <v>46023.9013888889</v>
      </c>
      <c r="G55" s="34" t="n">
        <f aca="false">F55-E55</f>
        <v>0.613888888888889</v>
      </c>
      <c r="H55" s="39" t="s">
        <v>252</v>
      </c>
      <c r="J55" s="39" t="s">
        <v>253</v>
      </c>
      <c r="K55" s="32" t="e">
        <f aca="false">_xlfn.xlookup(J55,[1]REF!$D$2:$D$12,[1]REF!$E$2:$E$12)</f>
        <v>#NAME?</v>
      </c>
      <c r="L55" s="32" t="s">
        <v>254</v>
      </c>
      <c r="M55" s="39" t="s">
        <v>255</v>
      </c>
      <c r="N55" s="39" t="s">
        <v>256</v>
      </c>
      <c r="O55" s="32" t="s">
        <v>257</v>
      </c>
      <c r="P55" s="40" t="str">
        <f aca="false">_xlfn.CONCAT(B55,C55,D55,E55,F55)</f>
        <v>BC Caiaponia1SG60KTL(COM2-028)46023.287546023.287546023.9013888889</v>
      </c>
      <c r="Q55" s="32" t="str">
        <f aca="false">_xlfn.CONCAT(H55,I55,J55)</f>
        <v>DAURDE</v>
      </c>
    </row>
    <row r="56" customFormat="false" ht="15" hidden="false" customHeight="false" outlineLevel="0" collapsed="false">
      <c r="B56" s="32" t="s">
        <v>48</v>
      </c>
      <c r="C56" s="32" t="s">
        <v>317</v>
      </c>
      <c r="D56" s="33" t="n">
        <v>46023.2875</v>
      </c>
      <c r="E56" s="33" t="n">
        <v>46023.2875</v>
      </c>
      <c r="F56" s="33" t="n">
        <v>46023.9013888889</v>
      </c>
      <c r="G56" s="34" t="n">
        <f aca="false">F56-E56</f>
        <v>0.613888888888889</v>
      </c>
      <c r="H56" s="39" t="s">
        <v>252</v>
      </c>
      <c r="J56" s="39" t="s">
        <v>253</v>
      </c>
      <c r="K56" s="32" t="e">
        <f aca="false">_xlfn.xlookup(J56,[1]REF!$D$2:$D$12,[1]REF!$E$2:$E$12)</f>
        <v>#NAME?</v>
      </c>
      <c r="L56" s="32" t="s">
        <v>254</v>
      </c>
      <c r="M56" s="39" t="s">
        <v>255</v>
      </c>
      <c r="N56" s="39" t="s">
        <v>256</v>
      </c>
      <c r="O56" s="32" t="s">
        <v>257</v>
      </c>
      <c r="P56" s="40" t="str">
        <f aca="false">_xlfn.CONCAT(B56,C56,D56,E56,F56)</f>
        <v>BC Caiaponia1SG60KTL(COM2-029)46023.287546023.287546023.9013888889</v>
      </c>
      <c r="Q56" s="32" t="str">
        <f aca="false">_xlfn.CONCAT(H56,I56,J56)</f>
        <v>DAURDE</v>
      </c>
    </row>
    <row r="57" customFormat="false" ht="15" hidden="false" customHeight="false" outlineLevel="0" collapsed="false">
      <c r="B57" s="32" t="s">
        <v>48</v>
      </c>
      <c r="C57" s="32" t="s">
        <v>318</v>
      </c>
      <c r="D57" s="33" t="n">
        <v>46023.2875</v>
      </c>
      <c r="E57" s="33" t="n">
        <v>46023.2875</v>
      </c>
      <c r="F57" s="33" t="n">
        <v>46023.9013888889</v>
      </c>
      <c r="G57" s="34" t="n">
        <f aca="false">F57-E57</f>
        <v>0.613888888888889</v>
      </c>
      <c r="H57" s="39" t="s">
        <v>252</v>
      </c>
      <c r="J57" s="39" t="s">
        <v>253</v>
      </c>
      <c r="K57" s="32" t="e">
        <f aca="false">_xlfn.xlookup(J57,[1]REF!$D$2:$D$12,[1]REF!$E$2:$E$12)</f>
        <v>#NAME?</v>
      </c>
      <c r="L57" s="32" t="s">
        <v>254</v>
      </c>
      <c r="M57" s="39" t="s">
        <v>255</v>
      </c>
      <c r="N57" s="39" t="s">
        <v>256</v>
      </c>
      <c r="O57" s="32" t="s">
        <v>257</v>
      </c>
      <c r="P57" s="40" t="str">
        <f aca="false">_xlfn.CONCAT(B57,C57,D57,E57,F57)</f>
        <v>BC Caiaponia1SG50CX(COM1-021)46023.287546023.287546023.9013888889</v>
      </c>
      <c r="Q57" s="32" t="str">
        <f aca="false">_xlfn.CONCAT(H57,I57,J57)</f>
        <v>DAURDE</v>
      </c>
    </row>
    <row r="58" customFormat="false" ht="15" hidden="false" customHeight="false" outlineLevel="0" collapsed="false">
      <c r="B58" s="32" t="s">
        <v>48</v>
      </c>
      <c r="C58" s="32" t="s">
        <v>319</v>
      </c>
      <c r="D58" s="33" t="n">
        <v>46023.2875</v>
      </c>
      <c r="E58" s="33" t="n">
        <v>46023.2875</v>
      </c>
      <c r="F58" s="33" t="n">
        <v>46023.9013888889</v>
      </c>
      <c r="G58" s="34" t="n">
        <f aca="false">F58-E58</f>
        <v>0.613888888888889</v>
      </c>
      <c r="H58" s="39" t="s">
        <v>252</v>
      </c>
      <c r="J58" s="39" t="s">
        <v>253</v>
      </c>
      <c r="K58" s="32" t="e">
        <f aca="false">_xlfn.xlookup(J58,[1]REF!$D$2:$D$12,[1]REF!$E$2:$E$12)</f>
        <v>#NAME?</v>
      </c>
      <c r="L58" s="32" t="s">
        <v>254</v>
      </c>
      <c r="M58" s="39" t="s">
        <v>255</v>
      </c>
      <c r="N58" s="39" t="s">
        <v>256</v>
      </c>
      <c r="O58" s="32" t="s">
        <v>257</v>
      </c>
      <c r="P58" s="40" t="str">
        <f aca="false">_xlfn.CONCAT(B58,C58,D58,E58,F58)</f>
        <v>BC Caiaponia1SG50CX(COM1-022)46023.287546023.287546023.9013888889</v>
      </c>
      <c r="Q58" s="32" t="str">
        <f aca="false">_xlfn.CONCAT(H58,I58,J58)</f>
        <v>DAURDE</v>
      </c>
    </row>
    <row r="59" customFormat="false" ht="15" hidden="false" customHeight="false" outlineLevel="0" collapsed="false">
      <c r="B59" s="32" t="s">
        <v>48</v>
      </c>
      <c r="C59" s="32" t="s">
        <v>320</v>
      </c>
      <c r="D59" s="33" t="n">
        <v>46023.2875</v>
      </c>
      <c r="E59" s="33" t="n">
        <v>46023.2875</v>
      </c>
      <c r="F59" s="33" t="n">
        <v>46023.9013888889</v>
      </c>
      <c r="G59" s="34" t="n">
        <f aca="false">F59-E59</f>
        <v>0.613888888888889</v>
      </c>
      <c r="H59" s="39" t="s">
        <v>252</v>
      </c>
      <c r="J59" s="39" t="s">
        <v>253</v>
      </c>
      <c r="K59" s="32" t="e">
        <f aca="false">_xlfn.xlookup(J59,[1]REF!$D$2:$D$12,[1]REF!$E$2:$E$12)</f>
        <v>#NAME?</v>
      </c>
      <c r="L59" s="32" t="s">
        <v>254</v>
      </c>
      <c r="M59" s="39" t="s">
        <v>255</v>
      </c>
      <c r="N59" s="39" t="s">
        <v>256</v>
      </c>
      <c r="O59" s="32" t="s">
        <v>257</v>
      </c>
      <c r="P59" s="40" t="str">
        <f aca="false">_xlfn.CONCAT(B59,C59,D59,E59,F59)</f>
        <v>BC Caiaponia1SG50CX(COM1-023)46023.287546023.287546023.9013888889</v>
      </c>
      <c r="Q59" s="32" t="str">
        <f aca="false">_xlfn.CONCAT(H59,I59,J59)</f>
        <v>DAURDE</v>
      </c>
    </row>
    <row r="60" customFormat="false" ht="15" hidden="false" customHeight="false" outlineLevel="0" collapsed="false">
      <c r="B60" s="32" t="s">
        <v>48</v>
      </c>
      <c r="C60" s="32" t="s">
        <v>321</v>
      </c>
      <c r="D60" s="33" t="n">
        <v>46023.2875</v>
      </c>
      <c r="E60" s="33" t="n">
        <v>46023.2875</v>
      </c>
      <c r="F60" s="33" t="n">
        <v>46023.9013888889</v>
      </c>
      <c r="G60" s="34" t="n">
        <f aca="false">F60-E60</f>
        <v>0.613888888888889</v>
      </c>
      <c r="H60" s="39" t="s">
        <v>252</v>
      </c>
      <c r="J60" s="39" t="s">
        <v>253</v>
      </c>
      <c r="K60" s="32" t="e">
        <f aca="false">_xlfn.xlookup(J60,[1]REF!$D$2:$D$12,[1]REF!$E$2:$E$12)</f>
        <v>#NAME?</v>
      </c>
      <c r="L60" s="32" t="s">
        <v>254</v>
      </c>
      <c r="M60" s="39" t="s">
        <v>255</v>
      </c>
      <c r="N60" s="39" t="s">
        <v>256</v>
      </c>
      <c r="O60" s="32" t="s">
        <v>257</v>
      </c>
      <c r="P60" s="40" t="str">
        <f aca="false">_xlfn.CONCAT(B60,C60,D60,E60,F60)</f>
        <v>BC Caiaponia1SG50CX(COM1-024)46023.287546023.287546023.9013888889</v>
      </c>
      <c r="Q60" s="32" t="str">
        <f aca="false">_xlfn.CONCAT(H60,I60,J60)</f>
        <v>DAURDE</v>
      </c>
    </row>
    <row r="61" customFormat="false" ht="15" hidden="false" customHeight="false" outlineLevel="0" collapsed="false">
      <c r="B61" s="32" t="s">
        <v>48</v>
      </c>
      <c r="C61" s="32" t="s">
        <v>322</v>
      </c>
      <c r="D61" s="33" t="n">
        <v>46023.2875</v>
      </c>
      <c r="E61" s="33" t="n">
        <v>46023.2875</v>
      </c>
      <c r="F61" s="33" t="n">
        <v>46023.9013888889</v>
      </c>
      <c r="G61" s="34" t="n">
        <f aca="false">F61-E61</f>
        <v>0.613888888888889</v>
      </c>
      <c r="H61" s="39" t="s">
        <v>252</v>
      </c>
      <c r="J61" s="39" t="s">
        <v>253</v>
      </c>
      <c r="K61" s="32" t="e">
        <f aca="false">_xlfn.xlookup(J61,[1]REF!$D$2:$D$12,[1]REF!$E$2:$E$12)</f>
        <v>#NAME?</v>
      </c>
      <c r="L61" s="32" t="s">
        <v>254</v>
      </c>
      <c r="M61" s="39" t="s">
        <v>255</v>
      </c>
      <c r="N61" s="39" t="s">
        <v>256</v>
      </c>
      <c r="O61" s="32" t="s">
        <v>257</v>
      </c>
      <c r="P61" s="40" t="str">
        <f aca="false">_xlfn.CONCAT(B61,C61,D61,E61,F61)</f>
        <v>BC Caiaponia1SG50CX(COM1-025)46023.287546023.287546023.9013888889</v>
      </c>
      <c r="Q61" s="32" t="str">
        <f aca="false">_xlfn.CONCAT(H61,I61,J61)</f>
        <v>DAURDE</v>
      </c>
    </row>
    <row r="62" customFormat="false" ht="15" hidden="false" customHeight="false" outlineLevel="0" collapsed="false">
      <c r="B62" s="32" t="s">
        <v>323</v>
      </c>
      <c r="C62" s="32" t="s">
        <v>324</v>
      </c>
      <c r="D62" s="33" t="n">
        <v>46023.3208333333</v>
      </c>
      <c r="E62" s="33" t="n">
        <v>46023.3208333333</v>
      </c>
      <c r="F62" s="33" t="n">
        <v>46028.5208333333</v>
      </c>
      <c r="G62" s="34" t="n">
        <f aca="false">F62-E62</f>
        <v>5.2</v>
      </c>
      <c r="H62" s="39" t="s">
        <v>252</v>
      </c>
      <c r="J62" s="39" t="s">
        <v>253</v>
      </c>
      <c r="K62" s="32" t="s">
        <v>266</v>
      </c>
      <c r="L62" s="32" t="s">
        <v>325</v>
      </c>
      <c r="M62" s="39" t="s">
        <v>255</v>
      </c>
      <c r="N62" s="39" t="s">
        <v>268</v>
      </c>
      <c r="O62" s="32" t="s">
        <v>269</v>
      </c>
      <c r="P62" s="40" t="str">
        <f aca="false">_xlfn.CONCAT(B62,C62,D62,E62,F62)</f>
        <v>BC Ibiuna 1.1Inverter(MBUS-12)46023.320833333346023.320833333346028.5208333333</v>
      </c>
      <c r="Q62" s="32" t="str">
        <f aca="false">_xlfn.CONCAT(H62,I62,J62)</f>
        <v>DAURDE</v>
      </c>
    </row>
    <row r="63" customFormat="false" ht="15" hidden="false" customHeight="false" outlineLevel="0" collapsed="false">
      <c r="B63" s="32" t="s">
        <v>323</v>
      </c>
      <c r="C63" s="32" t="s">
        <v>326</v>
      </c>
      <c r="D63" s="33" t="n">
        <v>46023.3208333333</v>
      </c>
      <c r="E63" s="33" t="n">
        <v>46023.3208333333</v>
      </c>
      <c r="F63" s="33" t="n">
        <v>46028.5208333333</v>
      </c>
      <c r="G63" s="34" t="n">
        <f aca="false">F63-E63</f>
        <v>5.2</v>
      </c>
      <c r="H63" s="39" t="s">
        <v>252</v>
      </c>
      <c r="J63" s="39" t="s">
        <v>253</v>
      </c>
      <c r="K63" s="32" t="s">
        <v>266</v>
      </c>
      <c r="L63" s="32" t="s">
        <v>325</v>
      </c>
      <c r="M63" s="39" t="s">
        <v>255</v>
      </c>
      <c r="N63" s="39" t="s">
        <v>268</v>
      </c>
      <c r="O63" s="32" t="s">
        <v>269</v>
      </c>
      <c r="P63" s="40" t="str">
        <f aca="false">_xlfn.CONCAT(B63,C63,D63,E63,F63)</f>
        <v>BC Ibiuna 1.1Inverter(MBUS-13)46023.320833333346023.320833333346028.5208333333</v>
      </c>
      <c r="Q63" s="32" t="str">
        <f aca="false">_xlfn.CONCAT(H63,I63,J63)</f>
        <v>DAURDE</v>
      </c>
    </row>
    <row r="64" customFormat="false" ht="15" hidden="false" customHeight="false" outlineLevel="0" collapsed="false">
      <c r="B64" s="32" t="s">
        <v>323</v>
      </c>
      <c r="C64" s="32" t="s">
        <v>327</v>
      </c>
      <c r="D64" s="33" t="n">
        <v>46023.3208333333</v>
      </c>
      <c r="E64" s="33" t="n">
        <v>46023.3208333333</v>
      </c>
      <c r="F64" s="33" t="n">
        <v>46028.5208333333</v>
      </c>
      <c r="G64" s="34" t="n">
        <f aca="false">F64-E64</f>
        <v>5.2</v>
      </c>
      <c r="H64" s="39" t="s">
        <v>252</v>
      </c>
      <c r="J64" s="39" t="s">
        <v>253</v>
      </c>
      <c r="K64" s="32" t="s">
        <v>266</v>
      </c>
      <c r="L64" s="32" t="s">
        <v>325</v>
      </c>
      <c r="M64" s="39" t="s">
        <v>255</v>
      </c>
      <c r="N64" s="39" t="s">
        <v>268</v>
      </c>
      <c r="O64" s="32" t="s">
        <v>269</v>
      </c>
      <c r="P64" s="40" t="str">
        <f aca="false">_xlfn.CONCAT(B64,C64,D64,E64,F64)</f>
        <v>BC Ibiuna 1.1Inverter(MBUS-14)46023.320833333346023.320833333346028.5208333333</v>
      </c>
      <c r="Q64" s="32" t="str">
        <f aca="false">_xlfn.CONCAT(H64,I64,J64)</f>
        <v>DAURDE</v>
      </c>
    </row>
    <row r="65" customFormat="false" ht="15" hidden="false" customHeight="false" outlineLevel="0" collapsed="false">
      <c r="B65" s="32" t="s">
        <v>323</v>
      </c>
      <c r="C65" s="32" t="s">
        <v>328</v>
      </c>
      <c r="D65" s="33" t="n">
        <v>46023.3208333333</v>
      </c>
      <c r="E65" s="33" t="n">
        <v>46023.3208333333</v>
      </c>
      <c r="F65" s="33" t="n">
        <v>46028.5208333333</v>
      </c>
      <c r="G65" s="34" t="n">
        <f aca="false">F65-E65</f>
        <v>5.2</v>
      </c>
      <c r="H65" s="39" t="s">
        <v>252</v>
      </c>
      <c r="J65" s="39" t="s">
        <v>253</v>
      </c>
      <c r="K65" s="32" t="s">
        <v>266</v>
      </c>
      <c r="L65" s="32" t="s">
        <v>325</v>
      </c>
      <c r="M65" s="39" t="s">
        <v>255</v>
      </c>
      <c r="N65" s="39" t="s">
        <v>268</v>
      </c>
      <c r="O65" s="32" t="s">
        <v>269</v>
      </c>
      <c r="P65" s="40" t="str">
        <f aca="false">_xlfn.CONCAT(B65,C65,D65,E65,F65)</f>
        <v>BC Ibiuna 1.1Inverter(MBUS-15)46023.320833333346023.320833333346028.5208333333</v>
      </c>
      <c r="Q65" s="32" t="str">
        <f aca="false">_xlfn.CONCAT(H65,I65,J65)</f>
        <v>DAURDE</v>
      </c>
    </row>
    <row r="66" customFormat="false" ht="15" hidden="false" customHeight="false" outlineLevel="0" collapsed="false">
      <c r="B66" s="32" t="s">
        <v>329</v>
      </c>
      <c r="C66" s="32" t="s">
        <v>324</v>
      </c>
      <c r="D66" s="33" t="n">
        <v>46023.3208333333</v>
      </c>
      <c r="E66" s="33" t="n">
        <v>46023.3208333333</v>
      </c>
      <c r="F66" s="33" t="n">
        <v>46028.5208333333</v>
      </c>
      <c r="G66" s="34" t="n">
        <f aca="false">F66-E66</f>
        <v>5.2</v>
      </c>
      <c r="H66" s="39" t="s">
        <v>252</v>
      </c>
      <c r="J66" s="39" t="s">
        <v>253</v>
      </c>
      <c r="K66" s="32" t="s">
        <v>266</v>
      </c>
      <c r="L66" s="32" t="s">
        <v>330</v>
      </c>
      <c r="M66" s="39" t="s">
        <v>255</v>
      </c>
      <c r="N66" s="39" t="s">
        <v>268</v>
      </c>
      <c r="O66" s="32" t="s">
        <v>269</v>
      </c>
      <c r="P66" s="40" t="str">
        <f aca="false">_xlfn.CONCAT(B66,C66,D66,E66,F66)</f>
        <v>BC Ibiuna 1.2Inverter(MBUS-12)46023.320833333346023.320833333346028.5208333333</v>
      </c>
      <c r="Q66" s="32" t="str">
        <f aca="false">_xlfn.CONCAT(H66,I66,J66)</f>
        <v>DAURDE</v>
      </c>
    </row>
    <row r="67" customFormat="false" ht="15" hidden="false" customHeight="false" outlineLevel="0" collapsed="false">
      <c r="B67" s="32" t="s">
        <v>329</v>
      </c>
      <c r="C67" s="32" t="s">
        <v>326</v>
      </c>
      <c r="D67" s="33" t="n">
        <v>46023.3208333333</v>
      </c>
      <c r="E67" s="33" t="n">
        <v>46023.3208333333</v>
      </c>
      <c r="F67" s="33" t="n">
        <v>46028.5208333333</v>
      </c>
      <c r="G67" s="34" t="n">
        <f aca="false">F67-E67</f>
        <v>5.2</v>
      </c>
      <c r="H67" s="39" t="s">
        <v>252</v>
      </c>
      <c r="J67" s="39" t="s">
        <v>253</v>
      </c>
      <c r="K67" s="32" t="s">
        <v>266</v>
      </c>
      <c r="L67" s="32" t="s">
        <v>330</v>
      </c>
      <c r="M67" s="39" t="s">
        <v>255</v>
      </c>
      <c r="N67" s="39" t="s">
        <v>268</v>
      </c>
      <c r="O67" s="32" t="s">
        <v>269</v>
      </c>
      <c r="P67" s="40" t="str">
        <f aca="false">_xlfn.CONCAT(B67,C67,D67,E67,F67)</f>
        <v>BC Ibiuna 1.2Inverter(MBUS-13)46023.320833333346023.320833333346028.5208333333</v>
      </c>
      <c r="Q67" s="32" t="str">
        <f aca="false">_xlfn.CONCAT(H67,I67,J67)</f>
        <v>DAURDE</v>
      </c>
    </row>
    <row r="68" customFormat="false" ht="15" hidden="false" customHeight="false" outlineLevel="0" collapsed="false">
      <c r="B68" s="32" t="s">
        <v>329</v>
      </c>
      <c r="C68" s="32" t="s">
        <v>327</v>
      </c>
      <c r="D68" s="33" t="n">
        <v>46023.3208333333</v>
      </c>
      <c r="E68" s="33" t="n">
        <v>46023.3208333333</v>
      </c>
      <c r="F68" s="33" t="n">
        <v>46028.5208333333</v>
      </c>
      <c r="G68" s="34" t="n">
        <f aca="false">F68-E68</f>
        <v>5.2</v>
      </c>
      <c r="H68" s="39" t="s">
        <v>252</v>
      </c>
      <c r="J68" s="39" t="s">
        <v>253</v>
      </c>
      <c r="K68" s="32" t="s">
        <v>266</v>
      </c>
      <c r="L68" s="32" t="s">
        <v>330</v>
      </c>
      <c r="M68" s="32" t="s">
        <v>255</v>
      </c>
      <c r="N68" s="32" t="s">
        <v>268</v>
      </c>
      <c r="O68" s="32" t="s">
        <v>269</v>
      </c>
      <c r="P68" s="40" t="str">
        <f aca="false">_xlfn.CONCAT(B68,C68,D68,E68,F68)</f>
        <v>BC Ibiuna 1.2Inverter(MBUS-14)46023.320833333346023.320833333346028.5208333333</v>
      </c>
      <c r="Q68" s="32" t="str">
        <f aca="false">_xlfn.CONCAT(H68,I68,J68)</f>
        <v>DAURDE</v>
      </c>
    </row>
    <row r="69" customFormat="false" ht="15" hidden="false" customHeight="false" outlineLevel="0" collapsed="false">
      <c r="B69" s="32" t="s">
        <v>329</v>
      </c>
      <c r="C69" s="32" t="s">
        <v>328</v>
      </c>
      <c r="D69" s="33" t="n">
        <v>46023.3208333333</v>
      </c>
      <c r="E69" s="33" t="n">
        <v>46023.3208333333</v>
      </c>
      <c r="F69" s="33" t="n">
        <v>46028.5208333333</v>
      </c>
      <c r="G69" s="34" t="n">
        <f aca="false">F69-E69</f>
        <v>5.2</v>
      </c>
      <c r="H69" s="39" t="s">
        <v>252</v>
      </c>
      <c r="J69" s="39" t="s">
        <v>253</v>
      </c>
      <c r="K69" s="32" t="s">
        <v>266</v>
      </c>
      <c r="L69" s="32" t="s">
        <v>330</v>
      </c>
      <c r="M69" s="39" t="s">
        <v>255</v>
      </c>
      <c r="N69" s="39" t="s">
        <v>268</v>
      </c>
      <c r="O69" s="32" t="s">
        <v>269</v>
      </c>
      <c r="P69" s="40" t="str">
        <f aca="false">_xlfn.CONCAT(B69,C69,D69,E69,F69)</f>
        <v>BC Ibiuna 1.2Inverter(MBUS-15)46023.320833333346023.320833333346028.5208333333</v>
      </c>
      <c r="Q69" s="32" t="str">
        <f aca="false">_xlfn.CONCAT(H69,I69,J69)</f>
        <v>DAURDE</v>
      </c>
    </row>
    <row r="70" customFormat="false" ht="15" hidden="false" customHeight="false" outlineLevel="0" collapsed="false">
      <c r="B70" s="41" t="s">
        <v>331</v>
      </c>
      <c r="C70" s="41" t="s">
        <v>332</v>
      </c>
      <c r="D70" s="42" t="n">
        <v>46023.3590277778</v>
      </c>
      <c r="E70" s="42" t="n">
        <v>46023.3590277778</v>
      </c>
      <c r="F70" s="42" t="n">
        <v>46036.4791666667</v>
      </c>
      <c r="G70" s="43" t="n">
        <f aca="false">F70-E70</f>
        <v>13.1201388888889</v>
      </c>
      <c r="H70" s="41" t="s">
        <v>252</v>
      </c>
      <c r="I70" s="41"/>
      <c r="J70" s="41" t="s">
        <v>333</v>
      </c>
      <c r="K70" s="41" t="s">
        <v>334</v>
      </c>
      <c r="L70" s="41" t="s">
        <v>335</v>
      </c>
      <c r="M70" s="41" t="s">
        <v>336</v>
      </c>
      <c r="N70" s="41" t="s">
        <v>289</v>
      </c>
      <c r="O70" s="41" t="s">
        <v>269</v>
      </c>
      <c r="P70" s="44" t="str">
        <f aca="false">_xlfn.CONCAT(B70,C70,D70,E70,F70)</f>
        <v>BC Vazante 1.1Inverter1346023.359027777846023.359027777846036.4791666667</v>
      </c>
      <c r="Q70" s="41" t="str">
        <f aca="false">_xlfn.CONCAT(H70,I70,J70)</f>
        <v>DAUINV</v>
      </c>
      <c r="R70" s="45"/>
    </row>
    <row r="71" customFormat="false" ht="15" hidden="false" customHeight="false" outlineLevel="0" collapsed="false">
      <c r="B71" s="32" t="s">
        <v>337</v>
      </c>
      <c r="C71" s="32" t="s">
        <v>326</v>
      </c>
      <c r="D71" s="33" t="n">
        <v>46023.4256944444</v>
      </c>
      <c r="E71" s="33" t="n">
        <v>46023.4256944444</v>
      </c>
      <c r="F71" s="33" t="n">
        <v>46024.3958333333</v>
      </c>
      <c r="G71" s="34" t="n">
        <f aca="false">F71-E71</f>
        <v>0.970138888888889</v>
      </c>
      <c r="H71" s="39" t="s">
        <v>252</v>
      </c>
      <c r="J71" s="39" t="s">
        <v>253</v>
      </c>
      <c r="K71" s="32" t="s">
        <v>266</v>
      </c>
      <c r="L71" s="32" t="s">
        <v>338</v>
      </c>
      <c r="M71" s="39" t="s">
        <v>255</v>
      </c>
      <c r="N71" s="39" t="s">
        <v>268</v>
      </c>
      <c r="O71" s="32" t="s">
        <v>269</v>
      </c>
      <c r="P71" s="40" t="str">
        <f aca="false">_xlfn.CONCAT(B71,C71,D71,E71,F71)</f>
        <v>BC Formoso1.2Inverter(MBUS-13)46023.425694444446023.425694444446024.3958333333</v>
      </c>
      <c r="Q71" s="32" t="str">
        <f aca="false">_xlfn.CONCAT(H71,I71,J71)</f>
        <v>DAURDE</v>
      </c>
    </row>
    <row r="72" customFormat="false" ht="15" hidden="false" customHeight="false" outlineLevel="0" collapsed="false">
      <c r="B72" s="32" t="s">
        <v>337</v>
      </c>
      <c r="C72" s="32" t="s">
        <v>324</v>
      </c>
      <c r="D72" s="33" t="n">
        <v>46023.4256944444</v>
      </c>
      <c r="E72" s="33" t="n">
        <v>46023.4256944444</v>
      </c>
      <c r="F72" s="33" t="n">
        <v>46024.3958333333</v>
      </c>
      <c r="G72" s="34" t="n">
        <f aca="false">F72-E72</f>
        <v>0.970138888888889</v>
      </c>
      <c r="H72" s="39" t="s">
        <v>252</v>
      </c>
      <c r="J72" s="39" t="s">
        <v>253</v>
      </c>
      <c r="K72" s="32" t="s">
        <v>266</v>
      </c>
      <c r="L72" s="32" t="s">
        <v>338</v>
      </c>
      <c r="M72" s="39" t="s">
        <v>255</v>
      </c>
      <c r="N72" s="39" t="s">
        <v>268</v>
      </c>
      <c r="O72" s="32" t="s">
        <v>269</v>
      </c>
      <c r="P72" s="40" t="str">
        <f aca="false">_xlfn.CONCAT(B72,C72,D72,E72,F72)</f>
        <v>BC Formoso1.2Inverter(MBUS-12)46023.425694444446023.425694444446024.3958333333</v>
      </c>
      <c r="Q72" s="32" t="str">
        <f aca="false">_xlfn.CONCAT(H72,I72,J72)</f>
        <v>DAURDE</v>
      </c>
    </row>
    <row r="73" customFormat="false" ht="15" hidden="false" customHeight="false" outlineLevel="0" collapsed="false">
      <c r="B73" s="32" t="s">
        <v>337</v>
      </c>
      <c r="C73" s="32" t="s">
        <v>328</v>
      </c>
      <c r="D73" s="33" t="n">
        <v>46023.4256944444</v>
      </c>
      <c r="E73" s="33" t="n">
        <v>46023.4256944444</v>
      </c>
      <c r="F73" s="33" t="n">
        <v>46024.3958333333</v>
      </c>
      <c r="G73" s="34" t="n">
        <f aca="false">F73-E73</f>
        <v>0.970138888888889</v>
      </c>
      <c r="H73" s="39" t="s">
        <v>252</v>
      </c>
      <c r="J73" s="39" t="s">
        <v>253</v>
      </c>
      <c r="K73" s="32" t="s">
        <v>266</v>
      </c>
      <c r="L73" s="32" t="s">
        <v>338</v>
      </c>
      <c r="M73" s="39" t="s">
        <v>255</v>
      </c>
      <c r="N73" s="39" t="s">
        <v>268</v>
      </c>
      <c r="O73" s="32" t="s">
        <v>269</v>
      </c>
      <c r="P73" s="40" t="str">
        <f aca="false">_xlfn.CONCAT(B73,C73,D73,E73,F73)</f>
        <v>BC Formoso1.2Inverter(MBUS-15)46023.425694444446023.425694444446024.3958333333</v>
      </c>
      <c r="Q73" s="32" t="str">
        <f aca="false">_xlfn.CONCAT(H73,I73,J73)</f>
        <v>DAURDE</v>
      </c>
    </row>
    <row r="74" customFormat="false" ht="15" hidden="false" customHeight="false" outlineLevel="0" collapsed="false">
      <c r="B74" s="32" t="s">
        <v>337</v>
      </c>
      <c r="C74" s="32" t="s">
        <v>327</v>
      </c>
      <c r="D74" s="33" t="n">
        <v>46023.4256944444</v>
      </c>
      <c r="E74" s="33" t="n">
        <v>46023.4256944444</v>
      </c>
      <c r="F74" s="33" t="n">
        <v>46024.3958333333</v>
      </c>
      <c r="G74" s="34" t="n">
        <f aca="false">F74-E74</f>
        <v>0.970138888888889</v>
      </c>
      <c r="H74" s="39" t="s">
        <v>252</v>
      </c>
      <c r="J74" s="39" t="s">
        <v>253</v>
      </c>
      <c r="K74" s="32" t="s">
        <v>266</v>
      </c>
      <c r="L74" s="32" t="s">
        <v>338</v>
      </c>
      <c r="M74" s="39" t="s">
        <v>255</v>
      </c>
      <c r="N74" s="39" t="s">
        <v>268</v>
      </c>
      <c r="O74" s="32" t="s">
        <v>269</v>
      </c>
      <c r="P74" s="40" t="str">
        <f aca="false">_xlfn.CONCAT(B74,C74,D74,E74,F74)</f>
        <v>BC Formoso1.2Inverter(MBUS-14)46023.425694444446023.425694444446024.3958333333</v>
      </c>
      <c r="Q74" s="32" t="str">
        <f aca="false">_xlfn.CONCAT(H74,I74,J74)</f>
        <v>DAURDE</v>
      </c>
    </row>
    <row r="75" customFormat="false" ht="15" hidden="false" customHeight="false" outlineLevel="0" collapsed="false">
      <c r="B75" s="32" t="s">
        <v>339</v>
      </c>
      <c r="C75" s="32" t="s">
        <v>324</v>
      </c>
      <c r="D75" s="33" t="n">
        <v>46023.4256944444</v>
      </c>
      <c r="E75" s="33" t="n">
        <v>46023.4256944444</v>
      </c>
      <c r="F75" s="33" t="n">
        <v>46024.3958333333</v>
      </c>
      <c r="G75" s="34" t="n">
        <f aca="false">F75-E75</f>
        <v>0.970138888888889</v>
      </c>
      <c r="H75" s="39" t="s">
        <v>252</v>
      </c>
      <c r="J75" s="39" t="s">
        <v>253</v>
      </c>
      <c r="K75" s="32" t="s">
        <v>266</v>
      </c>
      <c r="L75" s="32" t="s">
        <v>338</v>
      </c>
      <c r="M75" s="39" t="s">
        <v>255</v>
      </c>
      <c r="N75" s="39" t="s">
        <v>268</v>
      </c>
      <c r="O75" s="32" t="s">
        <v>269</v>
      </c>
      <c r="P75" s="40" t="str">
        <f aca="false">_xlfn.CONCAT(B75,C75,D75,E75,F75)</f>
        <v>BC Formoso2.1Inverter(MBUS-12)46023.425694444446023.425694444446024.3958333333</v>
      </c>
      <c r="Q75" s="32" t="str">
        <f aca="false">_xlfn.CONCAT(H75,I75,J75)</f>
        <v>DAURDE</v>
      </c>
    </row>
    <row r="76" customFormat="false" ht="15" hidden="false" customHeight="false" outlineLevel="0" collapsed="false">
      <c r="B76" s="32" t="s">
        <v>339</v>
      </c>
      <c r="C76" s="32" t="s">
        <v>327</v>
      </c>
      <c r="D76" s="33" t="n">
        <v>46023.4256944444</v>
      </c>
      <c r="E76" s="33" t="n">
        <v>46023.4256944444</v>
      </c>
      <c r="F76" s="33" t="n">
        <v>46024.3958333333</v>
      </c>
      <c r="G76" s="34" t="n">
        <f aca="false">F76-E76</f>
        <v>0.970138888888889</v>
      </c>
      <c r="H76" s="39" t="s">
        <v>252</v>
      </c>
      <c r="J76" s="39" t="s">
        <v>253</v>
      </c>
      <c r="K76" s="32" t="s">
        <v>266</v>
      </c>
      <c r="L76" s="32" t="s">
        <v>338</v>
      </c>
      <c r="M76" s="39" t="s">
        <v>255</v>
      </c>
      <c r="N76" s="39" t="s">
        <v>268</v>
      </c>
      <c r="O76" s="32" t="s">
        <v>269</v>
      </c>
      <c r="P76" s="40" t="str">
        <f aca="false">_xlfn.CONCAT(B76,C76,D76,E76,F76)</f>
        <v>BC Formoso2.1Inverter(MBUS-14)46023.425694444446023.425694444446024.3958333333</v>
      </c>
      <c r="Q76" s="32" t="str">
        <f aca="false">_xlfn.CONCAT(H76,I76,J76)</f>
        <v>DAURDE</v>
      </c>
    </row>
    <row r="77" customFormat="false" ht="15" hidden="false" customHeight="false" outlineLevel="0" collapsed="false">
      <c r="B77" s="32" t="s">
        <v>339</v>
      </c>
      <c r="C77" s="32" t="s">
        <v>326</v>
      </c>
      <c r="D77" s="33" t="n">
        <v>46023.4256944444</v>
      </c>
      <c r="E77" s="33" t="n">
        <v>46023.4256944444</v>
      </c>
      <c r="F77" s="33" t="n">
        <v>46024.3958333333</v>
      </c>
      <c r="G77" s="34" t="n">
        <f aca="false">F77-E77</f>
        <v>0.970138888888889</v>
      </c>
      <c r="H77" s="39" t="s">
        <v>252</v>
      </c>
      <c r="J77" s="39" t="s">
        <v>253</v>
      </c>
      <c r="K77" s="32" t="s">
        <v>266</v>
      </c>
      <c r="L77" s="32" t="s">
        <v>338</v>
      </c>
      <c r="M77" s="39" t="s">
        <v>255</v>
      </c>
      <c r="N77" s="39" t="s">
        <v>268</v>
      </c>
      <c r="O77" s="32" t="s">
        <v>269</v>
      </c>
      <c r="P77" s="40" t="str">
        <f aca="false">_xlfn.CONCAT(B77,C77,D77,E77,F77)</f>
        <v>BC Formoso2.1Inverter(MBUS-13)46023.425694444446023.425694444446024.3958333333</v>
      </c>
      <c r="Q77" s="32" t="str">
        <f aca="false">_xlfn.CONCAT(H77,I77,J77)</f>
        <v>DAURDE</v>
      </c>
    </row>
    <row r="78" customFormat="false" ht="15" hidden="false" customHeight="false" outlineLevel="0" collapsed="false">
      <c r="B78" s="32" t="s">
        <v>339</v>
      </c>
      <c r="C78" s="32" t="s">
        <v>265</v>
      </c>
      <c r="D78" s="33" t="n">
        <v>46023.4256944444</v>
      </c>
      <c r="E78" s="33" t="n">
        <v>46023.4256944444</v>
      </c>
      <c r="F78" s="33" t="n">
        <v>46024.3958333333</v>
      </c>
      <c r="G78" s="34" t="n">
        <f aca="false">F78-E78</f>
        <v>0.970138888888889</v>
      </c>
      <c r="H78" s="39" t="s">
        <v>252</v>
      </c>
      <c r="J78" s="39" t="s">
        <v>253</v>
      </c>
      <c r="K78" s="32" t="s">
        <v>266</v>
      </c>
      <c r="L78" s="32" t="s">
        <v>338</v>
      </c>
      <c r="M78" s="39" t="s">
        <v>255</v>
      </c>
      <c r="N78" s="39" t="s">
        <v>268</v>
      </c>
      <c r="O78" s="32" t="s">
        <v>269</v>
      </c>
      <c r="P78" s="40" t="str">
        <f aca="false">_xlfn.CONCAT(B78,C78,D78,E78,F78)</f>
        <v>BC Formoso2.1Inverter(MBUS-1)46023.425694444446023.425694444446024.3958333333</v>
      </c>
      <c r="Q78" s="32" t="str">
        <f aca="false">_xlfn.CONCAT(H78,I78,J78)</f>
        <v>DAURDE</v>
      </c>
    </row>
    <row r="79" customFormat="false" ht="15" hidden="false" customHeight="false" outlineLevel="0" collapsed="false">
      <c r="B79" s="32" t="s">
        <v>340</v>
      </c>
      <c r="C79" s="32" t="s">
        <v>327</v>
      </c>
      <c r="D79" s="33" t="n">
        <v>46023.4256944444</v>
      </c>
      <c r="E79" s="33" t="n">
        <v>46023.4256944444</v>
      </c>
      <c r="F79" s="33" t="n">
        <v>46024.3958333333</v>
      </c>
      <c r="G79" s="34" t="n">
        <f aca="false">F79-E79</f>
        <v>0.970138888888889</v>
      </c>
      <c r="H79" s="39" t="s">
        <v>252</v>
      </c>
      <c r="J79" s="39" t="s">
        <v>253</v>
      </c>
      <c r="K79" s="32" t="s">
        <v>266</v>
      </c>
      <c r="L79" s="32" t="s">
        <v>338</v>
      </c>
      <c r="M79" s="39" t="s">
        <v>255</v>
      </c>
      <c r="N79" s="39" t="s">
        <v>268</v>
      </c>
      <c r="O79" s="32" t="s">
        <v>269</v>
      </c>
      <c r="P79" s="40" t="str">
        <f aca="false">_xlfn.CONCAT(B79,C79,D79,E79,F79)</f>
        <v>BC Formoso2.2Inverter(MBUS-14)46023.425694444446023.425694444446024.3958333333</v>
      </c>
      <c r="Q79" s="32" t="str">
        <f aca="false">_xlfn.CONCAT(H79,I79,J79)</f>
        <v>DAURDE</v>
      </c>
    </row>
    <row r="80" customFormat="false" ht="15" hidden="false" customHeight="false" outlineLevel="0" collapsed="false">
      <c r="B80" s="32" t="s">
        <v>340</v>
      </c>
      <c r="C80" s="32" t="s">
        <v>326</v>
      </c>
      <c r="D80" s="33" t="n">
        <v>46023.4256944444</v>
      </c>
      <c r="E80" s="33" t="n">
        <v>46023.4256944444</v>
      </c>
      <c r="F80" s="33" t="n">
        <v>46024.3958333333</v>
      </c>
      <c r="G80" s="34" t="n">
        <f aca="false">F80-E80</f>
        <v>0.970138888888889</v>
      </c>
      <c r="H80" s="39" t="s">
        <v>252</v>
      </c>
      <c r="J80" s="39" t="s">
        <v>253</v>
      </c>
      <c r="K80" s="32" t="s">
        <v>266</v>
      </c>
      <c r="L80" s="32" t="s">
        <v>338</v>
      </c>
      <c r="M80" s="39" t="s">
        <v>255</v>
      </c>
      <c r="N80" s="39" t="s">
        <v>268</v>
      </c>
      <c r="O80" s="32" t="s">
        <v>269</v>
      </c>
      <c r="P80" s="40" t="str">
        <f aca="false">_xlfn.CONCAT(B80,C80,D80,E80,F80)</f>
        <v>BC Formoso2.2Inverter(MBUS-13)46023.425694444446023.425694444446024.3958333333</v>
      </c>
      <c r="Q80" s="32" t="str">
        <f aca="false">_xlfn.CONCAT(H80,I80,J80)</f>
        <v>DAURDE</v>
      </c>
    </row>
    <row r="81" customFormat="false" ht="15" hidden="false" customHeight="false" outlineLevel="0" collapsed="false">
      <c r="B81" s="32" t="s">
        <v>340</v>
      </c>
      <c r="C81" s="32" t="s">
        <v>324</v>
      </c>
      <c r="D81" s="33" t="n">
        <v>46023.4256944444</v>
      </c>
      <c r="E81" s="33" t="n">
        <v>46023.4256944444</v>
      </c>
      <c r="F81" s="33" t="n">
        <v>46024.3958333333</v>
      </c>
      <c r="G81" s="34" t="n">
        <f aca="false">F81-E81</f>
        <v>0.970138888888889</v>
      </c>
      <c r="H81" s="39" t="s">
        <v>252</v>
      </c>
      <c r="J81" s="39" t="s">
        <v>253</v>
      </c>
      <c r="K81" s="32" t="s">
        <v>266</v>
      </c>
      <c r="L81" s="32" t="s">
        <v>338</v>
      </c>
      <c r="M81" s="39" t="s">
        <v>255</v>
      </c>
      <c r="N81" s="39" t="s">
        <v>268</v>
      </c>
      <c r="O81" s="32" t="s">
        <v>269</v>
      </c>
      <c r="P81" s="40" t="str">
        <f aca="false">_xlfn.CONCAT(B81,C81,D81,E81,F81)</f>
        <v>BC Formoso2.2Inverter(MBUS-12)46023.425694444446023.425694444446024.3958333333</v>
      </c>
      <c r="Q81" s="32" t="str">
        <f aca="false">_xlfn.CONCAT(H81,I81,J81)</f>
        <v>DAURDE</v>
      </c>
    </row>
    <row r="82" customFormat="false" ht="15" hidden="false" customHeight="false" outlineLevel="0" collapsed="false">
      <c r="B82" s="32" t="s">
        <v>340</v>
      </c>
      <c r="C82" s="32" t="s">
        <v>265</v>
      </c>
      <c r="D82" s="33" t="n">
        <v>46023.4256944444</v>
      </c>
      <c r="E82" s="33" t="n">
        <v>46023.4256944444</v>
      </c>
      <c r="F82" s="33" t="n">
        <v>46024.3958333333</v>
      </c>
      <c r="G82" s="34" t="n">
        <f aca="false">F82-E82</f>
        <v>0.970138888888889</v>
      </c>
      <c r="H82" s="39" t="s">
        <v>252</v>
      </c>
      <c r="J82" s="39" t="s">
        <v>253</v>
      </c>
      <c r="K82" s="32" t="s">
        <v>266</v>
      </c>
      <c r="L82" s="32" t="s">
        <v>338</v>
      </c>
      <c r="M82" s="39" t="s">
        <v>255</v>
      </c>
      <c r="N82" s="39" t="s">
        <v>268</v>
      </c>
      <c r="O82" s="32" t="s">
        <v>269</v>
      </c>
      <c r="P82" s="40" t="str">
        <f aca="false">_xlfn.CONCAT(B82,C82,D82,E82,F82)</f>
        <v>BC Formoso2.2Inverter(MBUS-1)46023.425694444446023.425694444446024.3958333333</v>
      </c>
      <c r="Q82" s="32" t="str">
        <f aca="false">_xlfn.CONCAT(H82,I82,J82)</f>
        <v>DAURDE</v>
      </c>
    </row>
    <row r="83" customFormat="false" ht="15" hidden="false" customHeight="false" outlineLevel="0" collapsed="false">
      <c r="B83" s="32" t="s">
        <v>341</v>
      </c>
      <c r="C83" s="32" t="s">
        <v>326</v>
      </c>
      <c r="D83" s="33" t="n">
        <v>46023.4256944444</v>
      </c>
      <c r="E83" s="33" t="n">
        <v>46023.4256944444</v>
      </c>
      <c r="F83" s="33" t="n">
        <v>46024.3958333333</v>
      </c>
      <c r="G83" s="34" t="n">
        <f aca="false">F83-E83</f>
        <v>0.970138888888889</v>
      </c>
      <c r="H83" s="39" t="s">
        <v>252</v>
      </c>
      <c r="J83" s="39" t="s">
        <v>253</v>
      </c>
      <c r="K83" s="32" t="s">
        <v>266</v>
      </c>
      <c r="L83" s="32" t="s">
        <v>338</v>
      </c>
      <c r="M83" s="39" t="s">
        <v>255</v>
      </c>
      <c r="N83" s="39" t="s">
        <v>268</v>
      </c>
      <c r="O83" s="32" t="s">
        <v>269</v>
      </c>
      <c r="P83" s="40" t="str">
        <f aca="false">_xlfn.CONCAT(B83,C83,D83,E83,F83)</f>
        <v>BC Formoso2.3Inverter(MBUS-13)46023.425694444446023.425694444446024.3958333333</v>
      </c>
      <c r="Q83" s="32" t="str">
        <f aca="false">_xlfn.CONCAT(H83,I83,J83)</f>
        <v>DAURDE</v>
      </c>
    </row>
    <row r="84" customFormat="false" ht="15" hidden="false" customHeight="false" outlineLevel="0" collapsed="false">
      <c r="B84" s="32" t="s">
        <v>341</v>
      </c>
      <c r="C84" s="32" t="s">
        <v>324</v>
      </c>
      <c r="D84" s="33" t="n">
        <v>46023.4256944444</v>
      </c>
      <c r="E84" s="33" t="n">
        <v>46023.4256944444</v>
      </c>
      <c r="F84" s="33" t="n">
        <v>46024.3958333333</v>
      </c>
      <c r="G84" s="34" t="n">
        <f aca="false">F84-E84</f>
        <v>0.970138888888889</v>
      </c>
      <c r="H84" s="39" t="s">
        <v>252</v>
      </c>
      <c r="J84" s="39" t="s">
        <v>253</v>
      </c>
      <c r="K84" s="32" t="s">
        <v>266</v>
      </c>
      <c r="L84" s="32" t="s">
        <v>338</v>
      </c>
      <c r="M84" s="39" t="s">
        <v>255</v>
      </c>
      <c r="N84" s="39" t="s">
        <v>268</v>
      </c>
      <c r="O84" s="32" t="s">
        <v>269</v>
      </c>
      <c r="P84" s="40" t="str">
        <f aca="false">_xlfn.CONCAT(B84,C84,D84,E84,F84)</f>
        <v>BC Formoso2.3Inverter(MBUS-12)46023.425694444446023.425694444446024.3958333333</v>
      </c>
      <c r="Q84" s="32" t="str">
        <f aca="false">_xlfn.CONCAT(H84,I84,J84)</f>
        <v>DAURDE</v>
      </c>
    </row>
    <row r="85" customFormat="false" ht="15" hidden="false" customHeight="false" outlineLevel="0" collapsed="false">
      <c r="B85" s="32" t="s">
        <v>342</v>
      </c>
      <c r="C85" s="32" t="s">
        <v>343</v>
      </c>
      <c r="D85" s="33" t="n">
        <v>46023.5173611111</v>
      </c>
      <c r="E85" s="33" t="n">
        <v>46023.5173611111</v>
      </c>
      <c r="F85" s="33" t="n">
        <v>46023.5729166667</v>
      </c>
      <c r="G85" s="34" t="n">
        <f aca="false">F85-E85</f>
        <v>0.0555555555555556</v>
      </c>
      <c r="H85" s="39" t="s">
        <v>252</v>
      </c>
      <c r="J85" s="39" t="s">
        <v>253</v>
      </c>
      <c r="K85" s="32" t="s">
        <v>266</v>
      </c>
      <c r="L85" s="32" t="s">
        <v>275</v>
      </c>
      <c r="M85" s="39" t="s">
        <v>255</v>
      </c>
      <c r="N85" s="39" t="s">
        <v>268</v>
      </c>
      <c r="O85" s="32" t="s">
        <v>269</v>
      </c>
      <c r="P85" s="40" t="str">
        <f aca="false">_xlfn.CONCAT(B85,C85,D86,E85,F85)</f>
        <v>BC Vazante1.3Inversor 146023.517361111146023.517361111146023.5729166667</v>
      </c>
      <c r="Q85" s="32" t="str">
        <f aca="false">_xlfn.CONCAT(H85,I85,J85)</f>
        <v>DAURDE</v>
      </c>
    </row>
    <row r="86" customFormat="false" ht="15" hidden="false" customHeight="false" outlineLevel="0" collapsed="false">
      <c r="B86" s="32" t="s">
        <v>342</v>
      </c>
      <c r="C86" s="32" t="s">
        <v>344</v>
      </c>
      <c r="D86" s="33" t="n">
        <v>46023.5173611111</v>
      </c>
      <c r="E86" s="33" t="n">
        <v>46023.5173611111</v>
      </c>
      <c r="F86" s="33" t="n">
        <v>46023.5729166667</v>
      </c>
      <c r="G86" s="34" t="n">
        <f aca="false">F86-E86</f>
        <v>0.0555555555555556</v>
      </c>
      <c r="H86" s="39" t="s">
        <v>252</v>
      </c>
      <c r="J86" s="39" t="s">
        <v>253</v>
      </c>
      <c r="K86" s="32" t="s">
        <v>266</v>
      </c>
      <c r="L86" s="32" t="s">
        <v>275</v>
      </c>
      <c r="M86" s="39" t="s">
        <v>255</v>
      </c>
      <c r="N86" s="39" t="s">
        <v>268</v>
      </c>
      <c r="O86" s="32" t="s">
        <v>269</v>
      </c>
      <c r="P86" s="40" t="str">
        <f aca="false">_xlfn.CONCAT(B86,C86,D87,E86,F86)</f>
        <v>BC Vazante1.3Inversor 246023.517361111146023.517361111146023.5729166667</v>
      </c>
      <c r="Q86" s="32" t="str">
        <f aca="false">_xlfn.CONCAT(H86,I86,J86)</f>
        <v>DAURDE</v>
      </c>
    </row>
    <row r="87" customFormat="false" ht="15" hidden="false" customHeight="false" outlineLevel="0" collapsed="false">
      <c r="B87" s="32" t="s">
        <v>342</v>
      </c>
      <c r="C87" s="32" t="s">
        <v>345</v>
      </c>
      <c r="D87" s="33" t="n">
        <v>46023.5173611111</v>
      </c>
      <c r="E87" s="33" t="n">
        <v>46023.5173611111</v>
      </c>
      <c r="F87" s="33" t="n">
        <v>46023.5729166667</v>
      </c>
      <c r="G87" s="34" t="n">
        <f aca="false">F87-E87</f>
        <v>0.0555555555555556</v>
      </c>
      <c r="H87" s="39" t="s">
        <v>252</v>
      </c>
      <c r="J87" s="39" t="s">
        <v>253</v>
      </c>
      <c r="K87" s="32" t="s">
        <v>266</v>
      </c>
      <c r="L87" s="32" t="s">
        <v>275</v>
      </c>
      <c r="M87" s="39" t="s">
        <v>255</v>
      </c>
      <c r="N87" s="39" t="s">
        <v>268</v>
      </c>
      <c r="O87" s="32" t="s">
        <v>269</v>
      </c>
      <c r="P87" s="40" t="str">
        <f aca="false">_xlfn.CONCAT(B87,C87,D88,E87,F87)</f>
        <v>BC Vazante1.3Inversor 346023.517361111146023.517361111146023.5729166667</v>
      </c>
      <c r="Q87" s="32" t="str">
        <f aca="false">_xlfn.CONCAT(H87,I87,J87)</f>
        <v>DAURDE</v>
      </c>
    </row>
    <row r="88" customFormat="false" ht="15" hidden="false" customHeight="false" outlineLevel="0" collapsed="false">
      <c r="B88" s="32" t="s">
        <v>342</v>
      </c>
      <c r="C88" s="32" t="s">
        <v>346</v>
      </c>
      <c r="D88" s="33" t="n">
        <v>46023.5173611111</v>
      </c>
      <c r="E88" s="33" t="n">
        <v>46023.5173611111</v>
      </c>
      <c r="F88" s="33" t="n">
        <v>46023.5729166667</v>
      </c>
      <c r="G88" s="34" t="n">
        <f aca="false">F88-E88</f>
        <v>0.0555555555555556</v>
      </c>
      <c r="H88" s="39" t="s">
        <v>252</v>
      </c>
      <c r="J88" s="39" t="s">
        <v>253</v>
      </c>
      <c r="K88" s="32" t="s">
        <v>266</v>
      </c>
      <c r="L88" s="32" t="s">
        <v>275</v>
      </c>
      <c r="M88" s="39" t="s">
        <v>255</v>
      </c>
      <c r="N88" s="39" t="s">
        <v>268</v>
      </c>
      <c r="O88" s="32" t="s">
        <v>269</v>
      </c>
      <c r="P88" s="40" t="str">
        <f aca="false">_xlfn.CONCAT(B88,C88,D89,E88,F88)</f>
        <v>BC Vazante1.3Inversor 446023.517361111146023.517361111146023.5729166667</v>
      </c>
      <c r="Q88" s="32" t="str">
        <f aca="false">_xlfn.CONCAT(H88,I88,J88)</f>
        <v>DAURDE</v>
      </c>
    </row>
    <row r="89" customFormat="false" ht="15" hidden="false" customHeight="false" outlineLevel="0" collapsed="false">
      <c r="B89" s="32" t="s">
        <v>342</v>
      </c>
      <c r="C89" s="32" t="s">
        <v>347</v>
      </c>
      <c r="D89" s="33" t="n">
        <v>46023.5173611111</v>
      </c>
      <c r="E89" s="33" t="n">
        <v>46023.5173611111</v>
      </c>
      <c r="F89" s="33" t="n">
        <v>46023.5729166667</v>
      </c>
      <c r="G89" s="34" t="n">
        <f aca="false">F89-E89</f>
        <v>0.0555555555555556</v>
      </c>
      <c r="H89" s="39" t="s">
        <v>252</v>
      </c>
      <c r="J89" s="39" t="s">
        <v>253</v>
      </c>
      <c r="K89" s="32" t="s">
        <v>266</v>
      </c>
      <c r="L89" s="32" t="s">
        <v>275</v>
      </c>
      <c r="M89" s="39" t="s">
        <v>255</v>
      </c>
      <c r="N89" s="39" t="s">
        <v>268</v>
      </c>
      <c r="O89" s="32" t="s">
        <v>269</v>
      </c>
      <c r="P89" s="40" t="str">
        <f aca="false">_xlfn.CONCAT(B89,C89,D90,E89,F89)</f>
        <v>BC Vazante1.3Inversor 546023.517361111146023.517361111146023.5729166667</v>
      </c>
      <c r="Q89" s="32" t="str">
        <f aca="false">_xlfn.CONCAT(H89,I89,J89)</f>
        <v>DAURDE</v>
      </c>
    </row>
    <row r="90" customFormat="false" ht="15" hidden="false" customHeight="false" outlineLevel="0" collapsed="false">
      <c r="B90" s="32" t="s">
        <v>342</v>
      </c>
      <c r="C90" s="32" t="s">
        <v>348</v>
      </c>
      <c r="D90" s="33" t="n">
        <v>46023.5173611111</v>
      </c>
      <c r="E90" s="33" t="n">
        <v>46023.5173611111</v>
      </c>
      <c r="F90" s="33" t="n">
        <v>46023.5729166667</v>
      </c>
      <c r="G90" s="34" t="n">
        <f aca="false">F90-E90</f>
        <v>0.0555555555555556</v>
      </c>
      <c r="H90" s="39" t="s">
        <v>252</v>
      </c>
      <c r="J90" s="39" t="s">
        <v>253</v>
      </c>
      <c r="K90" s="32" t="s">
        <v>266</v>
      </c>
      <c r="L90" s="32" t="s">
        <v>275</v>
      </c>
      <c r="M90" s="39" t="s">
        <v>255</v>
      </c>
      <c r="N90" s="39" t="s">
        <v>268</v>
      </c>
      <c r="O90" s="32" t="s">
        <v>269</v>
      </c>
      <c r="P90" s="40" t="str">
        <f aca="false">_xlfn.CONCAT(B90,C90,D91,E90,F90)</f>
        <v>BC Vazante1.3Inversor 646023.517361111146023.517361111146023.5729166667</v>
      </c>
      <c r="Q90" s="32" t="str">
        <f aca="false">_xlfn.CONCAT(H90,I90,J90)</f>
        <v>DAURDE</v>
      </c>
    </row>
    <row r="91" customFormat="false" ht="15" hidden="false" customHeight="false" outlineLevel="0" collapsed="false">
      <c r="B91" s="32" t="s">
        <v>342</v>
      </c>
      <c r="C91" s="32" t="s">
        <v>349</v>
      </c>
      <c r="D91" s="33" t="n">
        <v>46023.5173611111</v>
      </c>
      <c r="E91" s="33" t="n">
        <v>46023.5173611111</v>
      </c>
      <c r="F91" s="33" t="n">
        <v>46023.5729166667</v>
      </c>
      <c r="G91" s="34" t="n">
        <f aca="false">F91-E91</f>
        <v>0.0555555555555556</v>
      </c>
      <c r="H91" s="39" t="s">
        <v>252</v>
      </c>
      <c r="J91" s="39" t="s">
        <v>253</v>
      </c>
      <c r="K91" s="32" t="s">
        <v>266</v>
      </c>
      <c r="L91" s="32" t="s">
        <v>275</v>
      </c>
      <c r="M91" s="39" t="s">
        <v>255</v>
      </c>
      <c r="N91" s="39" t="s">
        <v>268</v>
      </c>
      <c r="O91" s="32" t="s">
        <v>269</v>
      </c>
      <c r="P91" s="40" t="str">
        <f aca="false">_xlfn.CONCAT(B91,C91,D92,E91,F91)</f>
        <v>BC Vazante1.3Inversor 746023.517361111146023.517361111146023.5729166667</v>
      </c>
      <c r="Q91" s="32" t="str">
        <f aca="false">_xlfn.CONCAT(H91,I91,J91)</f>
        <v>DAURDE</v>
      </c>
    </row>
    <row r="92" customFormat="false" ht="15" hidden="false" customHeight="false" outlineLevel="0" collapsed="false">
      <c r="B92" s="32" t="s">
        <v>342</v>
      </c>
      <c r="C92" s="32" t="s">
        <v>350</v>
      </c>
      <c r="D92" s="33" t="n">
        <v>46023.5173611111</v>
      </c>
      <c r="E92" s="33" t="n">
        <v>46023.5173611111</v>
      </c>
      <c r="F92" s="33" t="n">
        <v>46023.5729166667</v>
      </c>
      <c r="G92" s="34" t="n">
        <f aca="false">F92-E92</f>
        <v>0.0555555555555556</v>
      </c>
      <c r="H92" s="39" t="s">
        <v>252</v>
      </c>
      <c r="J92" s="39" t="s">
        <v>253</v>
      </c>
      <c r="K92" s="32" t="s">
        <v>266</v>
      </c>
      <c r="L92" s="32" t="s">
        <v>275</v>
      </c>
      <c r="M92" s="39" t="s">
        <v>255</v>
      </c>
      <c r="N92" s="39" t="s">
        <v>268</v>
      </c>
      <c r="O92" s="32" t="s">
        <v>269</v>
      </c>
      <c r="P92" s="40" t="str">
        <f aca="false">_xlfn.CONCAT(B92,C92,D93,E92,F92)</f>
        <v>BC Vazante1.3Inversor 846023.517361111146023.517361111146023.5729166667</v>
      </c>
      <c r="Q92" s="32" t="str">
        <f aca="false">_xlfn.CONCAT(H92,I92,J92)</f>
        <v>DAURDE</v>
      </c>
    </row>
    <row r="93" customFormat="false" ht="15" hidden="false" customHeight="false" outlineLevel="0" collapsed="false">
      <c r="B93" s="32" t="s">
        <v>342</v>
      </c>
      <c r="C93" s="32" t="s">
        <v>351</v>
      </c>
      <c r="D93" s="33" t="n">
        <v>46023.5173611111</v>
      </c>
      <c r="E93" s="33" t="n">
        <v>46023.5173611111</v>
      </c>
      <c r="F93" s="33" t="n">
        <v>46023.5729166667</v>
      </c>
      <c r="G93" s="34" t="n">
        <f aca="false">F93-E93</f>
        <v>0.0555555555555556</v>
      </c>
      <c r="H93" s="39" t="s">
        <v>252</v>
      </c>
      <c r="J93" s="39" t="s">
        <v>253</v>
      </c>
      <c r="K93" s="32" t="s">
        <v>266</v>
      </c>
      <c r="L93" s="32" t="s">
        <v>275</v>
      </c>
      <c r="M93" s="39" t="s">
        <v>255</v>
      </c>
      <c r="N93" s="39" t="s">
        <v>268</v>
      </c>
      <c r="O93" s="32" t="s">
        <v>269</v>
      </c>
      <c r="P93" s="40" t="str">
        <f aca="false">_xlfn.CONCAT(B93,C93,D94,E93,F93)</f>
        <v>BC Vazante1.3Inversor 946024.256944444446023.517361111146023.5729166667</v>
      </c>
      <c r="Q93" s="32" t="str">
        <f aca="false">_xlfn.CONCAT(H93,I93,J93)</f>
        <v>DAURDE</v>
      </c>
    </row>
    <row r="94" customFormat="false" ht="15" hidden="false" customHeight="false" outlineLevel="0" collapsed="false">
      <c r="B94" s="32" t="s">
        <v>250</v>
      </c>
      <c r="C94" s="32" t="s">
        <v>251</v>
      </c>
      <c r="D94" s="33" t="n">
        <v>46024.2569444444</v>
      </c>
      <c r="E94" s="33" t="n">
        <v>46024.2569444444</v>
      </c>
      <c r="F94" s="33" t="n">
        <v>46024.3166666667</v>
      </c>
      <c r="G94" s="34" t="n">
        <f aca="false">+F94-E94</f>
        <v>0.0597222222222222</v>
      </c>
      <c r="H94" s="39" t="s">
        <v>283</v>
      </c>
      <c r="I94" s="32" t="s">
        <v>284</v>
      </c>
      <c r="J94" s="39" t="s">
        <v>285</v>
      </c>
      <c r="K94" s="32" t="s">
        <v>286</v>
      </c>
      <c r="L94" s="32" t="s">
        <v>352</v>
      </c>
      <c r="M94" s="39" t="s">
        <v>288</v>
      </c>
      <c r="N94" s="39" t="s">
        <v>289</v>
      </c>
      <c r="O94" s="32" t="s">
        <v>353</v>
      </c>
      <c r="P94" s="40" t="str">
        <f aca="false">_xlfn.CONCAT(B94,C94,D94,E94,F94)</f>
        <v>BC Caiaponia2.1215KTL-H3(MBUS-12)46024.256944444446024.256944444446024.3166666667</v>
      </c>
      <c r="Q94" s="32" t="str">
        <f aca="false">_xlfn.CONCAT(H94,I94,J94)</f>
        <v>LIGRFOCOM</v>
      </c>
    </row>
    <row r="95" customFormat="false" ht="15" hidden="false" customHeight="false" outlineLevel="0" collapsed="false">
      <c r="B95" s="32" t="s">
        <v>250</v>
      </c>
      <c r="C95" s="32" t="s">
        <v>258</v>
      </c>
      <c r="D95" s="33" t="n">
        <v>46024.2569444444</v>
      </c>
      <c r="E95" s="33" t="n">
        <v>46024.2569444444</v>
      </c>
      <c r="F95" s="33" t="n">
        <v>46024.3166666667</v>
      </c>
      <c r="G95" s="34" t="n">
        <f aca="false">F95-E95</f>
        <v>0.0597222222222222</v>
      </c>
      <c r="H95" s="39" t="s">
        <v>283</v>
      </c>
      <c r="I95" s="32" t="s">
        <v>284</v>
      </c>
      <c r="J95" s="39" t="s">
        <v>285</v>
      </c>
      <c r="K95" s="32" t="s">
        <v>286</v>
      </c>
      <c r="L95" s="32" t="s">
        <v>352</v>
      </c>
      <c r="M95" s="39" t="s">
        <v>288</v>
      </c>
      <c r="N95" s="39" t="s">
        <v>289</v>
      </c>
      <c r="O95" s="32" t="s">
        <v>353</v>
      </c>
      <c r="P95" s="40" t="str">
        <f aca="false">_xlfn.CONCAT(B95,C95,D95,E95,F95)</f>
        <v>BC Caiaponia2.1215KTL-H3(MBUS-13)46024.256944444446024.256944444446024.3166666667</v>
      </c>
      <c r="Q95" s="32" t="str">
        <f aca="false">_xlfn.CONCAT(H95,I95,J95)</f>
        <v>LIGRFOCOM</v>
      </c>
    </row>
    <row r="96" customFormat="false" ht="15" hidden="false" customHeight="false" outlineLevel="0" collapsed="false">
      <c r="B96" s="32" t="s">
        <v>250</v>
      </c>
      <c r="C96" s="32" t="s">
        <v>259</v>
      </c>
      <c r="D96" s="33" t="n">
        <v>46024.2569444444</v>
      </c>
      <c r="E96" s="33" t="n">
        <v>46024.2569444444</v>
      </c>
      <c r="F96" s="33" t="n">
        <v>46024.3166666667</v>
      </c>
      <c r="G96" s="34" t="n">
        <f aca="false">F94-E94</f>
        <v>0.0597222222222222</v>
      </c>
      <c r="H96" s="39" t="s">
        <v>283</v>
      </c>
      <c r="I96" s="32" t="s">
        <v>284</v>
      </c>
      <c r="J96" s="39" t="s">
        <v>285</v>
      </c>
      <c r="K96" s="32" t="s">
        <v>286</v>
      </c>
      <c r="L96" s="32" t="s">
        <v>352</v>
      </c>
      <c r="M96" s="39" t="s">
        <v>288</v>
      </c>
      <c r="N96" s="39" t="s">
        <v>289</v>
      </c>
      <c r="O96" s="32" t="s">
        <v>353</v>
      </c>
      <c r="P96" s="40" t="str">
        <f aca="false">_xlfn.CONCAT(B96,C96,D96,E96,F96)</f>
        <v>BC Caiaponia2.1215KTL-H3(MBUS-14)46024.256944444446024.256944444446024.3166666667</v>
      </c>
      <c r="Q96" s="32" t="str">
        <f aca="false">_xlfn.CONCAT(H96,I96,J96)</f>
        <v>LIGRFOCOM</v>
      </c>
    </row>
    <row r="97" customFormat="false" ht="15" hidden="false" customHeight="false" outlineLevel="0" collapsed="false">
      <c r="B97" s="32" t="s">
        <v>250</v>
      </c>
      <c r="C97" s="32" t="s">
        <v>260</v>
      </c>
      <c r="D97" s="33" t="n">
        <v>46024.2569444444</v>
      </c>
      <c r="E97" s="33" t="n">
        <v>46024.2569444444</v>
      </c>
      <c r="F97" s="33" t="n">
        <v>46024.3166666667</v>
      </c>
      <c r="G97" s="34" t="n">
        <f aca="false">F97-E97</f>
        <v>0.0597222222222222</v>
      </c>
      <c r="H97" s="39" t="s">
        <v>283</v>
      </c>
      <c r="I97" s="32" t="s">
        <v>284</v>
      </c>
      <c r="J97" s="39" t="s">
        <v>285</v>
      </c>
      <c r="K97" s="32" t="s">
        <v>286</v>
      </c>
      <c r="L97" s="32" t="s">
        <v>352</v>
      </c>
      <c r="M97" s="39" t="s">
        <v>288</v>
      </c>
      <c r="N97" s="39" t="s">
        <v>289</v>
      </c>
      <c r="O97" s="32" t="s">
        <v>353</v>
      </c>
      <c r="P97" s="40" t="str">
        <f aca="false">_xlfn.CONCAT(B97,C97,D97,E97,F97)</f>
        <v>BC Caiaponia2.1215KTL-H3(MBUS-15)46024.256944444446024.256944444446024.3166666667</v>
      </c>
      <c r="Q97" s="32" t="str">
        <f aca="false">_xlfn.CONCAT(H97,I97,J97)</f>
        <v>LIGRFOCOM</v>
      </c>
    </row>
    <row r="98" customFormat="false" ht="15" hidden="false" customHeight="false" outlineLevel="0" collapsed="false">
      <c r="B98" s="32" t="s">
        <v>250</v>
      </c>
      <c r="C98" s="32" t="s">
        <v>261</v>
      </c>
      <c r="D98" s="33" t="n">
        <v>46024.2569444444</v>
      </c>
      <c r="E98" s="33" t="n">
        <v>46024.2569444444</v>
      </c>
      <c r="F98" s="33" t="n">
        <v>46024.3166666667</v>
      </c>
      <c r="G98" s="34" t="n">
        <f aca="false">F98-E98</f>
        <v>0.0597222222222222</v>
      </c>
      <c r="H98" s="39" t="s">
        <v>283</v>
      </c>
      <c r="I98" s="32" t="s">
        <v>284</v>
      </c>
      <c r="J98" s="39" t="s">
        <v>285</v>
      </c>
      <c r="K98" s="32" t="s">
        <v>286</v>
      </c>
      <c r="L98" s="32" t="s">
        <v>352</v>
      </c>
      <c r="M98" s="39" t="s">
        <v>288</v>
      </c>
      <c r="N98" s="39" t="s">
        <v>289</v>
      </c>
      <c r="O98" s="32" t="s">
        <v>353</v>
      </c>
      <c r="P98" s="40" t="str">
        <f aca="false">_xlfn.CONCAT(B98,C98,D98,E98,F98)</f>
        <v>BC Caiaponia2.1215KTL-H3(MBUS-16)46024.256944444446024.256944444446024.3166666667</v>
      </c>
      <c r="Q98" s="32" t="str">
        <f aca="false">_xlfn.CONCAT(H98,I98,J98)</f>
        <v>LIGRFOCOM</v>
      </c>
    </row>
    <row r="99" customFormat="false" ht="15" hidden="false" customHeight="false" outlineLevel="0" collapsed="false">
      <c r="B99" s="32" t="s">
        <v>262</v>
      </c>
      <c r="C99" s="32" t="s">
        <v>251</v>
      </c>
      <c r="D99" s="33" t="n">
        <v>46024.2569444444</v>
      </c>
      <c r="E99" s="33" t="n">
        <v>46024.2569444444</v>
      </c>
      <c r="F99" s="33" t="n">
        <v>46024.3166666667</v>
      </c>
      <c r="G99" s="34" t="n">
        <f aca="false">F99-E99</f>
        <v>0.0597222222222222</v>
      </c>
      <c r="H99" s="39" t="s">
        <v>283</v>
      </c>
      <c r="I99" s="32" t="s">
        <v>284</v>
      </c>
      <c r="J99" s="39" t="s">
        <v>285</v>
      </c>
      <c r="K99" s="32" t="s">
        <v>286</v>
      </c>
      <c r="L99" s="32" t="s">
        <v>352</v>
      </c>
      <c r="M99" s="39" t="s">
        <v>288</v>
      </c>
      <c r="N99" s="39" t="s">
        <v>289</v>
      </c>
      <c r="O99" s="32" t="s">
        <v>353</v>
      </c>
      <c r="P99" s="40" t="str">
        <f aca="false">_xlfn.CONCAT(B99,C99,D99,E99,F99)</f>
        <v>BC Caiaponia2.2215KTL-H3(MBUS-12)46024.256944444446024.256944444446024.3166666667</v>
      </c>
      <c r="Q99" s="32" t="str">
        <f aca="false">_xlfn.CONCAT(H99,I99,J99)</f>
        <v>LIGRFOCOM</v>
      </c>
    </row>
    <row r="100" customFormat="false" ht="15" hidden="false" customHeight="false" outlineLevel="0" collapsed="false">
      <c r="B100" s="32" t="s">
        <v>262</v>
      </c>
      <c r="C100" s="32" t="s">
        <v>258</v>
      </c>
      <c r="D100" s="33" t="n">
        <v>46024.2569444444</v>
      </c>
      <c r="E100" s="33" t="n">
        <v>46024.2569444444</v>
      </c>
      <c r="F100" s="33" t="n">
        <v>46024.3166666667</v>
      </c>
      <c r="G100" s="34" t="n">
        <f aca="false">F100-E100</f>
        <v>0.0597222222222222</v>
      </c>
      <c r="H100" s="39" t="s">
        <v>283</v>
      </c>
      <c r="I100" s="39" t="s">
        <v>284</v>
      </c>
      <c r="J100" s="39" t="s">
        <v>285</v>
      </c>
      <c r="K100" s="32" t="s">
        <v>286</v>
      </c>
      <c r="L100" s="32" t="s">
        <v>352</v>
      </c>
      <c r="M100" s="39" t="s">
        <v>288</v>
      </c>
      <c r="N100" s="39" t="s">
        <v>289</v>
      </c>
      <c r="O100" s="32" t="s">
        <v>353</v>
      </c>
      <c r="P100" s="40" t="str">
        <f aca="false">_xlfn.CONCAT(B100,C100,D100,E100,F100)</f>
        <v>BC Caiaponia2.2215KTL-H3(MBUS-13)46024.256944444446024.256944444446024.3166666667</v>
      </c>
      <c r="Q100" s="32" t="str">
        <f aca="false">_xlfn.CONCAT(H100,I100,J100)</f>
        <v>LIGRFOCOM</v>
      </c>
    </row>
    <row r="101" customFormat="false" ht="15" hidden="false" customHeight="false" outlineLevel="0" collapsed="false">
      <c r="B101" s="32" t="s">
        <v>262</v>
      </c>
      <c r="C101" s="32" t="s">
        <v>259</v>
      </c>
      <c r="D101" s="33" t="n">
        <v>46024.2569444444</v>
      </c>
      <c r="E101" s="33" t="n">
        <v>46024.2569444444</v>
      </c>
      <c r="F101" s="33" t="n">
        <v>46024.3166666667</v>
      </c>
      <c r="G101" s="34" t="n">
        <f aca="false">F101-E101</f>
        <v>0.0597222222222222</v>
      </c>
      <c r="H101" s="39" t="s">
        <v>283</v>
      </c>
      <c r="I101" s="32" t="s">
        <v>284</v>
      </c>
      <c r="J101" s="39" t="s">
        <v>285</v>
      </c>
      <c r="K101" s="32" t="s">
        <v>286</v>
      </c>
      <c r="L101" s="32" t="s">
        <v>352</v>
      </c>
      <c r="M101" s="39" t="s">
        <v>288</v>
      </c>
      <c r="N101" s="39" t="s">
        <v>289</v>
      </c>
      <c r="O101" s="32" t="s">
        <v>353</v>
      </c>
      <c r="P101" s="40" t="str">
        <f aca="false">_xlfn.CONCAT(B101,C101,D101,E101,F101)</f>
        <v>BC Caiaponia2.2215KTL-H3(MBUS-14)46024.256944444446024.256944444446024.3166666667</v>
      </c>
      <c r="Q101" s="32" t="str">
        <f aca="false">_xlfn.CONCAT(H101,I101,J101)</f>
        <v>LIGRFOCOM</v>
      </c>
    </row>
    <row r="102" customFormat="false" ht="15" hidden="false" customHeight="false" outlineLevel="0" collapsed="false">
      <c r="B102" s="32" t="s">
        <v>262</v>
      </c>
      <c r="C102" s="32" t="s">
        <v>260</v>
      </c>
      <c r="D102" s="33" t="n">
        <v>46024.2569444444</v>
      </c>
      <c r="E102" s="33" t="n">
        <v>46024.2569444444</v>
      </c>
      <c r="F102" s="33" t="n">
        <v>46024.3166666667</v>
      </c>
      <c r="G102" s="34" t="n">
        <f aca="false">F102-E102</f>
        <v>0.0597222222222222</v>
      </c>
      <c r="H102" s="39" t="s">
        <v>283</v>
      </c>
      <c r="I102" s="32" t="s">
        <v>284</v>
      </c>
      <c r="J102" s="39" t="s">
        <v>285</v>
      </c>
      <c r="K102" s="32" t="s">
        <v>286</v>
      </c>
      <c r="L102" s="32" t="s">
        <v>352</v>
      </c>
      <c r="M102" s="39" t="s">
        <v>288</v>
      </c>
      <c r="N102" s="39" t="s">
        <v>289</v>
      </c>
      <c r="O102" s="32" t="s">
        <v>353</v>
      </c>
      <c r="P102" s="40" t="str">
        <f aca="false">_xlfn.CONCAT(B102,C102,D102,E102,F102)</f>
        <v>BC Caiaponia2.2215KTL-H3(MBUS-15)46024.256944444446024.256944444446024.3166666667</v>
      </c>
      <c r="Q102" s="32" t="str">
        <f aca="false">_xlfn.CONCAT(H102,I102,J102)</f>
        <v>LIGRFOCOM</v>
      </c>
    </row>
    <row r="103" customFormat="false" ht="15" hidden="false" customHeight="false" outlineLevel="0" collapsed="false">
      <c r="B103" s="32" t="s">
        <v>262</v>
      </c>
      <c r="C103" s="32" t="s">
        <v>261</v>
      </c>
      <c r="D103" s="33" t="n">
        <v>46024.2569444444</v>
      </c>
      <c r="E103" s="33" t="n">
        <v>46024.2569444444</v>
      </c>
      <c r="F103" s="33" t="n">
        <v>46024.3166666667</v>
      </c>
      <c r="G103" s="34" t="n">
        <f aca="false">F103-E103</f>
        <v>0.0597222222222222</v>
      </c>
      <c r="H103" s="39" t="s">
        <v>283</v>
      </c>
      <c r="I103" s="32" t="s">
        <v>284</v>
      </c>
      <c r="J103" s="39" t="s">
        <v>285</v>
      </c>
      <c r="K103" s="32" t="s">
        <v>286</v>
      </c>
      <c r="L103" s="32" t="s">
        <v>352</v>
      </c>
      <c r="M103" s="39" t="s">
        <v>288</v>
      </c>
      <c r="N103" s="39" t="s">
        <v>289</v>
      </c>
      <c r="O103" s="32" t="s">
        <v>353</v>
      </c>
      <c r="P103" s="40" t="str">
        <f aca="false">_xlfn.CONCAT(B103,C103,D103,E103,F103)</f>
        <v>BC Caiaponia2.2215KTL-H3(MBUS-16)46024.256944444446024.256944444446024.3166666667</v>
      </c>
      <c r="Q103" s="32" t="str">
        <f aca="false">_xlfn.CONCAT(H103,I103,J103)</f>
        <v>LIGRFOCOM</v>
      </c>
    </row>
    <row r="104" customFormat="false" ht="15" hidden="false" customHeight="false" outlineLevel="0" collapsed="false">
      <c r="B104" s="32" t="s">
        <v>263</v>
      </c>
      <c r="C104" s="32" t="s">
        <v>251</v>
      </c>
      <c r="D104" s="33" t="n">
        <v>46024.2569444444</v>
      </c>
      <c r="E104" s="33" t="n">
        <v>46024.2569444444</v>
      </c>
      <c r="F104" s="33" t="n">
        <v>46024.3166666667</v>
      </c>
      <c r="G104" s="34" t="n">
        <f aca="false">F104-E104</f>
        <v>0.0597222222222222</v>
      </c>
      <c r="H104" s="39" t="s">
        <v>283</v>
      </c>
      <c r="I104" s="32" t="s">
        <v>284</v>
      </c>
      <c r="J104" s="39" t="s">
        <v>285</v>
      </c>
      <c r="K104" s="32" t="s">
        <v>286</v>
      </c>
      <c r="L104" s="32" t="s">
        <v>352</v>
      </c>
      <c r="M104" s="39" t="s">
        <v>288</v>
      </c>
      <c r="N104" s="39" t="s">
        <v>289</v>
      </c>
      <c r="O104" s="32" t="s">
        <v>353</v>
      </c>
      <c r="P104" s="40" t="str">
        <f aca="false">_xlfn.CONCAT(B104,C104,D104,E104,F104)</f>
        <v>BC Caiaponia2.3215KTL-H3(MBUS-12)46024.256944444446024.256944444446024.3166666667</v>
      </c>
      <c r="Q104" s="32" t="str">
        <f aca="false">_xlfn.CONCAT(H104,I104,J104)</f>
        <v>LIGRFOCOM</v>
      </c>
    </row>
    <row r="105" customFormat="false" ht="15" hidden="false" customHeight="false" outlineLevel="0" collapsed="false">
      <c r="B105" s="32" t="s">
        <v>263</v>
      </c>
      <c r="C105" s="32" t="s">
        <v>258</v>
      </c>
      <c r="D105" s="33" t="n">
        <v>46024.2569444444</v>
      </c>
      <c r="E105" s="33" t="n">
        <v>46024.2569444444</v>
      </c>
      <c r="F105" s="33" t="n">
        <v>46024.3166666667</v>
      </c>
      <c r="G105" s="34" t="n">
        <f aca="false">F105-E105</f>
        <v>0.0597222222222222</v>
      </c>
      <c r="H105" s="39" t="s">
        <v>283</v>
      </c>
      <c r="I105" s="32" t="s">
        <v>284</v>
      </c>
      <c r="J105" s="39" t="s">
        <v>285</v>
      </c>
      <c r="K105" s="32" t="s">
        <v>286</v>
      </c>
      <c r="L105" s="32" t="s">
        <v>352</v>
      </c>
      <c r="M105" s="39" t="s">
        <v>288</v>
      </c>
      <c r="N105" s="39" t="s">
        <v>289</v>
      </c>
      <c r="O105" s="32" t="s">
        <v>353</v>
      </c>
      <c r="P105" s="40" t="str">
        <f aca="false">_xlfn.CONCAT(B105,C105,D105,E105,F105)</f>
        <v>BC Caiaponia2.3215KTL-H3(MBUS-13)46024.256944444446024.256944444446024.3166666667</v>
      </c>
      <c r="Q105" s="32" t="str">
        <f aca="false">_xlfn.CONCAT(H105,I105,J105)</f>
        <v>LIGRFOCOM</v>
      </c>
    </row>
    <row r="106" customFormat="false" ht="15" hidden="false" customHeight="false" outlineLevel="0" collapsed="false">
      <c r="B106" s="32" t="s">
        <v>263</v>
      </c>
      <c r="C106" s="32" t="s">
        <v>259</v>
      </c>
      <c r="D106" s="33" t="n">
        <v>46024.2569444444</v>
      </c>
      <c r="E106" s="33" t="n">
        <v>46024.2569444444</v>
      </c>
      <c r="F106" s="33" t="n">
        <v>46024.3166666667</v>
      </c>
      <c r="G106" s="34" t="n">
        <f aca="false">F106-E106</f>
        <v>0.0597222222222222</v>
      </c>
      <c r="H106" s="39" t="s">
        <v>283</v>
      </c>
      <c r="I106" s="32" t="s">
        <v>284</v>
      </c>
      <c r="J106" s="39" t="s">
        <v>285</v>
      </c>
      <c r="K106" s="32" t="s">
        <v>286</v>
      </c>
      <c r="L106" s="32" t="s">
        <v>352</v>
      </c>
      <c r="M106" s="39" t="s">
        <v>288</v>
      </c>
      <c r="N106" s="39" t="s">
        <v>289</v>
      </c>
      <c r="O106" s="32" t="s">
        <v>353</v>
      </c>
      <c r="P106" s="40" t="str">
        <f aca="false">_xlfn.CONCAT(B106,C106,D106,E106,F106)</f>
        <v>BC Caiaponia2.3215KTL-H3(MBUS-14)46024.256944444446024.256944444446024.3166666667</v>
      </c>
      <c r="Q106" s="32" t="str">
        <f aca="false">_xlfn.CONCAT(H106,I106,J106)</f>
        <v>LIGRFOCOM</v>
      </c>
    </row>
    <row r="107" customFormat="false" ht="15" hidden="false" customHeight="false" outlineLevel="0" collapsed="false">
      <c r="B107" s="32" t="s">
        <v>263</v>
      </c>
      <c r="C107" s="32" t="s">
        <v>260</v>
      </c>
      <c r="D107" s="33" t="n">
        <v>46024.2569444444</v>
      </c>
      <c r="E107" s="33" t="n">
        <v>46024.2569444444</v>
      </c>
      <c r="F107" s="33" t="n">
        <v>46024.3166666667</v>
      </c>
      <c r="G107" s="34" t="n">
        <f aca="false">F107-E107</f>
        <v>0.0597222222222222</v>
      </c>
      <c r="H107" s="39" t="s">
        <v>283</v>
      </c>
      <c r="I107" s="32" t="s">
        <v>284</v>
      </c>
      <c r="J107" s="39" t="s">
        <v>285</v>
      </c>
      <c r="K107" s="32" t="s">
        <v>286</v>
      </c>
      <c r="L107" s="32" t="s">
        <v>352</v>
      </c>
      <c r="M107" s="39" t="s">
        <v>288</v>
      </c>
      <c r="N107" s="39" t="s">
        <v>289</v>
      </c>
      <c r="O107" s="32" t="s">
        <v>353</v>
      </c>
      <c r="P107" s="40" t="str">
        <f aca="false">_xlfn.CONCAT(B107,C107,D107,E107,F107)</f>
        <v>BC Caiaponia2.3215KTL-H3(MBUS-15)46024.256944444446024.256944444446024.3166666667</v>
      </c>
      <c r="Q107" s="32" t="str">
        <f aca="false">_xlfn.CONCAT(H107,I107,J107)</f>
        <v>LIGRFOCOM</v>
      </c>
    </row>
    <row r="108" customFormat="false" ht="15" hidden="false" customHeight="false" outlineLevel="0" collapsed="false">
      <c r="B108" s="32" t="s">
        <v>263</v>
      </c>
      <c r="C108" s="32" t="s">
        <v>261</v>
      </c>
      <c r="D108" s="33" t="n">
        <v>46024.2569444444</v>
      </c>
      <c r="E108" s="33" t="n">
        <v>46024.2569444444</v>
      </c>
      <c r="F108" s="33" t="n">
        <v>46024.3166666667</v>
      </c>
      <c r="G108" s="34" t="n">
        <f aca="false">F108-E108</f>
        <v>0.0597222222222222</v>
      </c>
      <c r="H108" s="39" t="s">
        <v>283</v>
      </c>
      <c r="I108" s="32" t="s">
        <v>284</v>
      </c>
      <c r="J108" s="39" t="s">
        <v>285</v>
      </c>
      <c r="K108" s="32" t="s">
        <v>286</v>
      </c>
      <c r="L108" s="32" t="s">
        <v>352</v>
      </c>
      <c r="M108" s="39" t="s">
        <v>288</v>
      </c>
      <c r="N108" s="39" t="s">
        <v>289</v>
      </c>
      <c r="O108" s="32" t="s">
        <v>353</v>
      </c>
      <c r="P108" s="40" t="str">
        <f aca="false">_xlfn.CONCAT(B108,C108,D108,E108,F108)</f>
        <v>BC Caiaponia2.3215KTL-H3(MBUS-16)46024.256944444446024.256944444446024.3166666667</v>
      </c>
      <c r="Q108" s="32" t="str">
        <f aca="false">_xlfn.CONCAT(H108,I108,J108)</f>
        <v>LIGRFOCOM</v>
      </c>
    </row>
    <row r="109" customFormat="false" ht="15" hidden="false" customHeight="false" outlineLevel="0" collapsed="false">
      <c r="B109" s="32" t="s">
        <v>36</v>
      </c>
      <c r="C109" s="32" t="s">
        <v>354</v>
      </c>
      <c r="D109" s="33" t="n">
        <v>46024.3715277778</v>
      </c>
      <c r="E109" s="33" t="n">
        <v>46024.3715277778</v>
      </c>
      <c r="F109" s="33" t="n">
        <v>46024.4229166667</v>
      </c>
      <c r="G109" s="34" t="n">
        <f aca="false">F109-E109</f>
        <v>0.0513888888888889</v>
      </c>
      <c r="H109" s="39" t="s">
        <v>252</v>
      </c>
      <c r="J109" s="39" t="s">
        <v>333</v>
      </c>
      <c r="K109" s="32" t="s">
        <v>334</v>
      </c>
      <c r="L109" s="32" t="s">
        <v>355</v>
      </c>
      <c r="M109" s="39" t="s">
        <v>336</v>
      </c>
      <c r="N109" s="39" t="s">
        <v>289</v>
      </c>
      <c r="O109" s="32" t="s">
        <v>356</v>
      </c>
      <c r="P109" s="40" t="str">
        <f aca="false">_xlfn.CONCAT(B109,C109,D109,E109,F109)</f>
        <v>BC Barra1Inverter__546024.371527777846024.371527777846024.4229166667</v>
      </c>
      <c r="Q109" s="32" t="str">
        <f aca="false">_xlfn.CONCAT(H109,I109,J109)</f>
        <v>DAUINV</v>
      </c>
    </row>
    <row r="110" customFormat="false" ht="15" hidden="false" customHeight="false" outlineLevel="0" collapsed="false">
      <c r="B110" s="32" t="s">
        <v>341</v>
      </c>
      <c r="C110" s="32" t="s">
        <v>326</v>
      </c>
      <c r="D110" s="33" t="n">
        <v>46024.4444444444</v>
      </c>
      <c r="E110" s="33" t="n">
        <v>46024.4444444444</v>
      </c>
      <c r="F110" s="33" t="n">
        <v>46024.6666666667</v>
      </c>
      <c r="G110" s="34" t="n">
        <f aca="false">F110-E110</f>
        <v>0.222222222222222</v>
      </c>
      <c r="H110" s="39" t="s">
        <v>252</v>
      </c>
      <c r="J110" s="39" t="s">
        <v>253</v>
      </c>
      <c r="K110" s="32" t="s">
        <v>266</v>
      </c>
      <c r="L110" s="32" t="s">
        <v>357</v>
      </c>
      <c r="M110" s="39" t="s">
        <v>255</v>
      </c>
      <c r="N110" s="39" t="s">
        <v>268</v>
      </c>
      <c r="O110" s="32" t="s">
        <v>257</v>
      </c>
      <c r="P110" s="40" t="str">
        <f aca="false">_xlfn.CONCAT(B110,C110,D110,E110,F110)</f>
        <v>BC Formoso2.3Inverter(MBUS-13)46024.444444444446024.444444444446024.6666666667</v>
      </c>
      <c r="Q110" s="32" t="str">
        <f aca="false">_xlfn.CONCAT(H110,I110,J110)</f>
        <v>DAURDE</v>
      </c>
    </row>
    <row r="111" customFormat="false" ht="15" hidden="false" customHeight="false" outlineLevel="0" collapsed="false">
      <c r="B111" s="32" t="s">
        <v>341</v>
      </c>
      <c r="C111" s="32" t="s">
        <v>324</v>
      </c>
      <c r="D111" s="33" t="n">
        <v>46024.4444444444</v>
      </c>
      <c r="E111" s="33" t="n">
        <v>46024.4444444444</v>
      </c>
      <c r="F111" s="33" t="n">
        <v>46024.6666666667</v>
      </c>
      <c r="G111" s="34" t="n">
        <f aca="false">F111-E111</f>
        <v>0.222222222222222</v>
      </c>
      <c r="H111" s="39" t="s">
        <v>252</v>
      </c>
      <c r="J111" s="39" t="s">
        <v>253</v>
      </c>
      <c r="K111" s="32" t="s">
        <v>266</v>
      </c>
      <c r="L111" s="32" t="s">
        <v>357</v>
      </c>
      <c r="M111" s="39" t="s">
        <v>255</v>
      </c>
      <c r="N111" s="39" t="s">
        <v>268</v>
      </c>
      <c r="O111" s="32" t="s">
        <v>257</v>
      </c>
      <c r="P111" s="40" t="str">
        <f aca="false">_xlfn.CONCAT(B111,C111,D111,E111,F111)</f>
        <v>BC Formoso2.3Inverter(MBUS-12)46024.444444444446024.444444444446024.6666666667</v>
      </c>
      <c r="Q111" s="32" t="str">
        <f aca="false">_xlfn.CONCAT(H111,I111,J111)</f>
        <v>DAURDE</v>
      </c>
    </row>
    <row r="112" customFormat="false" ht="15" hidden="false" customHeight="false" outlineLevel="0" collapsed="false">
      <c r="B112" s="32" t="s">
        <v>358</v>
      </c>
      <c r="C112" s="32" t="s">
        <v>324</v>
      </c>
      <c r="D112" s="33" t="n">
        <v>46024.6736111111</v>
      </c>
      <c r="E112" s="33" t="n">
        <v>46024.6736111111</v>
      </c>
      <c r="F112" s="33" t="n">
        <v>46024.7069444444</v>
      </c>
      <c r="G112" s="34" t="n">
        <f aca="false">F112-E112</f>
        <v>0.0333333333333333</v>
      </c>
      <c r="H112" s="39" t="s">
        <v>252</v>
      </c>
      <c r="J112" s="39" t="s">
        <v>253</v>
      </c>
      <c r="K112" s="32" t="s">
        <v>266</v>
      </c>
      <c r="L112" s="46" t="s">
        <v>359</v>
      </c>
      <c r="M112" s="39" t="s">
        <v>255</v>
      </c>
      <c r="N112" s="39" t="s">
        <v>268</v>
      </c>
      <c r="O112" s="32" t="s">
        <v>360</v>
      </c>
      <c r="P112" s="40" t="str">
        <f aca="false">_xlfn.CONCAT(B112,C112,D112,E112,F112)</f>
        <v>ARAGUATINS 1.1Inverter(MBUS-12)46024.673611111146024.673611111146024.7069444444</v>
      </c>
      <c r="Q112" s="32" t="str">
        <f aca="false">_xlfn.CONCAT(H112,I112,J112)</f>
        <v>DAURDE</v>
      </c>
    </row>
    <row r="113" customFormat="false" ht="15" hidden="false" customHeight="false" outlineLevel="0" collapsed="false">
      <c r="B113" s="32" t="s">
        <v>358</v>
      </c>
      <c r="C113" s="32" t="s">
        <v>326</v>
      </c>
      <c r="D113" s="33" t="n">
        <v>46024.6736111111</v>
      </c>
      <c r="E113" s="33" t="n">
        <v>46024.6736111111</v>
      </c>
      <c r="F113" s="33" t="n">
        <v>46024.7069444444</v>
      </c>
      <c r="G113" s="34" t="n">
        <f aca="false">F113-E113</f>
        <v>0.0333333333333333</v>
      </c>
      <c r="H113" s="39" t="s">
        <v>252</v>
      </c>
      <c r="J113" s="39" t="s">
        <v>253</v>
      </c>
      <c r="K113" s="32" t="s">
        <v>266</v>
      </c>
      <c r="L113" s="46" t="s">
        <v>359</v>
      </c>
      <c r="M113" s="39" t="s">
        <v>255</v>
      </c>
      <c r="N113" s="39" t="s">
        <v>268</v>
      </c>
      <c r="O113" s="32" t="s">
        <v>360</v>
      </c>
      <c r="P113" s="40" t="str">
        <f aca="false">_xlfn.CONCAT(B113,C113,D113,E113,F113)</f>
        <v>ARAGUATINS 1.1Inverter(MBUS-13)46024.673611111146024.673611111146024.7069444444</v>
      </c>
      <c r="Q113" s="32" t="str">
        <f aca="false">_xlfn.CONCAT(H113,I113,J113)</f>
        <v>DAURDE</v>
      </c>
    </row>
    <row r="114" customFormat="false" ht="15" hidden="false" customHeight="false" outlineLevel="0" collapsed="false">
      <c r="B114" s="32" t="s">
        <v>358</v>
      </c>
      <c r="C114" s="32" t="s">
        <v>327</v>
      </c>
      <c r="D114" s="33" t="n">
        <v>46024.6736111111</v>
      </c>
      <c r="E114" s="33" t="n">
        <v>46024.6736111111</v>
      </c>
      <c r="F114" s="33" t="n">
        <v>46024.7069444444</v>
      </c>
      <c r="G114" s="34" t="n">
        <f aca="false">F114-E114</f>
        <v>0.0333333333333333</v>
      </c>
      <c r="H114" s="39" t="s">
        <v>252</v>
      </c>
      <c r="J114" s="39" t="s">
        <v>253</v>
      </c>
      <c r="K114" s="32" t="s">
        <v>266</v>
      </c>
      <c r="L114" s="46" t="s">
        <v>359</v>
      </c>
      <c r="M114" s="39" t="s">
        <v>255</v>
      </c>
      <c r="N114" s="39" t="s">
        <v>268</v>
      </c>
      <c r="O114" s="32" t="s">
        <v>360</v>
      </c>
      <c r="P114" s="40" t="str">
        <f aca="false">_xlfn.CONCAT(B114,C114,D114,E114,F114)</f>
        <v>ARAGUATINS 1.1Inverter(MBUS-14)46024.673611111146024.673611111146024.7069444444</v>
      </c>
      <c r="Q114" s="32" t="str">
        <f aca="false">_xlfn.CONCAT(H114,I114,J114)</f>
        <v>DAURDE</v>
      </c>
    </row>
    <row r="115" customFormat="false" ht="15" hidden="false" customHeight="false" outlineLevel="0" collapsed="false">
      <c r="B115" s="32" t="s">
        <v>358</v>
      </c>
      <c r="C115" s="32" t="s">
        <v>328</v>
      </c>
      <c r="D115" s="33" t="n">
        <v>46024.6736111111</v>
      </c>
      <c r="E115" s="33" t="n">
        <v>46024.6736111111</v>
      </c>
      <c r="F115" s="33" t="n">
        <v>46024.7069444444</v>
      </c>
      <c r="G115" s="34" t="n">
        <f aca="false">F115-E115</f>
        <v>0.0333333333333333</v>
      </c>
      <c r="H115" s="39" t="s">
        <v>252</v>
      </c>
      <c r="J115" s="39" t="s">
        <v>253</v>
      </c>
      <c r="K115" s="32" t="s">
        <v>266</v>
      </c>
      <c r="L115" s="46" t="s">
        <v>359</v>
      </c>
      <c r="M115" s="39" t="s">
        <v>255</v>
      </c>
      <c r="N115" s="39" t="s">
        <v>268</v>
      </c>
      <c r="O115" s="32" t="s">
        <v>360</v>
      </c>
      <c r="P115" s="40" t="str">
        <f aca="false">_xlfn.CONCAT(B115,C115,D115,E115,F115)</f>
        <v>ARAGUATINS 1.1Inverter(MBUS-15)46024.673611111146024.673611111146024.7069444444</v>
      </c>
      <c r="Q115" s="32" t="str">
        <f aca="false">_xlfn.CONCAT(H115,I115,J115)</f>
        <v>DAURDE</v>
      </c>
    </row>
    <row r="116" customFormat="false" ht="15" hidden="false" customHeight="false" outlineLevel="0" collapsed="false">
      <c r="B116" s="32" t="s">
        <v>361</v>
      </c>
      <c r="C116" s="32" t="s">
        <v>324</v>
      </c>
      <c r="D116" s="33" t="n">
        <v>46024.6736111111</v>
      </c>
      <c r="E116" s="33" t="n">
        <v>46024.6736111111</v>
      </c>
      <c r="F116" s="33" t="n">
        <v>46024.7069444444</v>
      </c>
      <c r="G116" s="34" t="n">
        <f aca="false">F116-E116</f>
        <v>0.0333333333333333</v>
      </c>
      <c r="H116" s="39" t="s">
        <v>252</v>
      </c>
      <c r="J116" s="39" t="s">
        <v>253</v>
      </c>
      <c r="K116" s="32" t="s">
        <v>266</v>
      </c>
      <c r="L116" s="46" t="s">
        <v>359</v>
      </c>
      <c r="M116" s="39" t="s">
        <v>255</v>
      </c>
      <c r="N116" s="39" t="s">
        <v>268</v>
      </c>
      <c r="O116" s="32" t="s">
        <v>360</v>
      </c>
      <c r="P116" s="40" t="str">
        <f aca="false">_xlfn.CONCAT(B116,C116,D116,E116,F116)</f>
        <v>ARAGUATINS 1.2Inverter(MBUS-12)46024.673611111146024.673611111146024.7069444444</v>
      </c>
      <c r="Q116" s="32" t="str">
        <f aca="false">_xlfn.CONCAT(H116,I116,J116)</f>
        <v>DAURDE</v>
      </c>
    </row>
    <row r="117" customFormat="false" ht="15" hidden="false" customHeight="false" outlineLevel="0" collapsed="false">
      <c r="B117" s="32" t="s">
        <v>361</v>
      </c>
      <c r="C117" s="32" t="s">
        <v>326</v>
      </c>
      <c r="D117" s="33" t="n">
        <v>46024.6736111111</v>
      </c>
      <c r="E117" s="33" t="n">
        <v>46024.6736111111</v>
      </c>
      <c r="F117" s="33" t="n">
        <v>46024.7069444444</v>
      </c>
      <c r="G117" s="34" t="n">
        <f aca="false">F117-E117</f>
        <v>0.0333333333333333</v>
      </c>
      <c r="H117" s="39" t="s">
        <v>252</v>
      </c>
      <c r="J117" s="39" t="s">
        <v>253</v>
      </c>
      <c r="K117" s="32" t="s">
        <v>266</v>
      </c>
      <c r="L117" s="46" t="s">
        <v>359</v>
      </c>
      <c r="M117" s="39" t="s">
        <v>255</v>
      </c>
      <c r="N117" s="39" t="s">
        <v>268</v>
      </c>
      <c r="O117" s="32" t="s">
        <v>360</v>
      </c>
      <c r="P117" s="40" t="str">
        <f aca="false">_xlfn.CONCAT(B117,C117,D117,E117,F117)</f>
        <v>ARAGUATINS 1.2Inverter(MBUS-13)46024.673611111146024.673611111146024.7069444444</v>
      </c>
      <c r="Q117" s="32" t="str">
        <f aca="false">_xlfn.CONCAT(H117,I117,J117)</f>
        <v>DAURDE</v>
      </c>
    </row>
    <row r="118" customFormat="false" ht="15" hidden="false" customHeight="false" outlineLevel="0" collapsed="false">
      <c r="B118" s="32" t="s">
        <v>361</v>
      </c>
      <c r="C118" s="32" t="s">
        <v>327</v>
      </c>
      <c r="D118" s="33" t="n">
        <v>46024.6736111111</v>
      </c>
      <c r="E118" s="33" t="n">
        <v>46024.6736111111</v>
      </c>
      <c r="F118" s="33" t="n">
        <v>46024.7069444444</v>
      </c>
      <c r="G118" s="34" t="n">
        <f aca="false">F118-E118</f>
        <v>0.0333333333333333</v>
      </c>
      <c r="H118" s="39" t="s">
        <v>252</v>
      </c>
      <c r="J118" s="39" t="s">
        <v>253</v>
      </c>
      <c r="K118" s="32" t="s">
        <v>266</v>
      </c>
      <c r="L118" s="46" t="s">
        <v>359</v>
      </c>
      <c r="M118" s="39" t="s">
        <v>255</v>
      </c>
      <c r="N118" s="39" t="s">
        <v>268</v>
      </c>
      <c r="O118" s="32" t="s">
        <v>360</v>
      </c>
      <c r="P118" s="40" t="str">
        <f aca="false">_xlfn.CONCAT(B118,C118,D118,E118,F118)</f>
        <v>ARAGUATINS 1.2Inverter(MBUS-14)46024.673611111146024.673611111146024.7069444444</v>
      </c>
      <c r="Q118" s="32" t="str">
        <f aca="false">_xlfn.CONCAT(H118,I118,J118)</f>
        <v>DAURDE</v>
      </c>
    </row>
    <row r="119" customFormat="false" ht="15" hidden="false" customHeight="false" outlineLevel="0" collapsed="false">
      <c r="B119" s="32" t="s">
        <v>361</v>
      </c>
      <c r="C119" s="32" t="s">
        <v>328</v>
      </c>
      <c r="D119" s="33" t="n">
        <v>46024.6736111111</v>
      </c>
      <c r="E119" s="33" t="n">
        <v>46024.6736111111</v>
      </c>
      <c r="F119" s="33" t="n">
        <v>46024.7069444444</v>
      </c>
      <c r="G119" s="34" t="n">
        <f aca="false">F119-E119</f>
        <v>0.0333333333333333</v>
      </c>
      <c r="H119" s="39" t="s">
        <v>252</v>
      </c>
      <c r="J119" s="39" t="s">
        <v>253</v>
      </c>
      <c r="K119" s="32" t="s">
        <v>266</v>
      </c>
      <c r="L119" s="46" t="s">
        <v>359</v>
      </c>
      <c r="M119" s="39" t="s">
        <v>255</v>
      </c>
      <c r="N119" s="39" t="s">
        <v>268</v>
      </c>
      <c r="O119" s="32" t="s">
        <v>360</v>
      </c>
      <c r="P119" s="40" t="str">
        <f aca="false">_xlfn.CONCAT(B119,C119,D119,E119,F119)</f>
        <v>ARAGUATINS 1.2Inverter(MBUS-15)46024.673611111146024.673611111146024.7069444444</v>
      </c>
      <c r="Q119" s="32" t="str">
        <f aca="false">_xlfn.CONCAT(H119,I119,J119)</f>
        <v>DAURDE</v>
      </c>
    </row>
    <row r="120" customFormat="false" ht="15" hidden="false" customHeight="false" outlineLevel="0" collapsed="false">
      <c r="B120" s="32" t="s">
        <v>362</v>
      </c>
      <c r="C120" s="32" t="s">
        <v>363</v>
      </c>
      <c r="D120" s="33" t="n">
        <v>46024.6736111111</v>
      </c>
      <c r="E120" s="33" t="n">
        <v>46024.6736111111</v>
      </c>
      <c r="F120" s="33" t="n">
        <v>46024.7069444444</v>
      </c>
      <c r="G120" s="34" t="n">
        <f aca="false">F120-E120</f>
        <v>0.0333333333333333</v>
      </c>
      <c r="H120" s="39" t="s">
        <v>252</v>
      </c>
      <c r="J120" s="39" t="s">
        <v>253</v>
      </c>
      <c r="K120" s="32" t="s">
        <v>266</v>
      </c>
      <c r="L120" s="46" t="s">
        <v>359</v>
      </c>
      <c r="M120" s="39" t="s">
        <v>255</v>
      </c>
      <c r="N120" s="39" t="s">
        <v>268</v>
      </c>
      <c r="O120" s="32" t="s">
        <v>360</v>
      </c>
      <c r="P120" s="40" t="str">
        <f aca="false">_xlfn.CONCAT(B120,C120,D120,E120,F120)</f>
        <v>ARAGUATINS 1.3Inverter(MBUS-20)46024.673611111146024.673611111146024.7069444444</v>
      </c>
      <c r="Q120" s="32" t="str">
        <f aca="false">_xlfn.CONCAT(H120,I120,J120)</f>
        <v>DAURDE</v>
      </c>
    </row>
    <row r="121" customFormat="false" ht="15" hidden="false" customHeight="false" outlineLevel="0" collapsed="false">
      <c r="B121" s="32" t="s">
        <v>362</v>
      </c>
      <c r="C121" s="32" t="s">
        <v>265</v>
      </c>
      <c r="D121" s="33" t="n">
        <v>46024.6736111111</v>
      </c>
      <c r="E121" s="33" t="n">
        <v>46024.6736111111</v>
      </c>
      <c r="F121" s="33" t="n">
        <v>46024.7069444444</v>
      </c>
      <c r="G121" s="34" t="n">
        <f aca="false">F121-E121</f>
        <v>0.0333333333333333</v>
      </c>
      <c r="H121" s="39" t="s">
        <v>252</v>
      </c>
      <c r="J121" s="39" t="s">
        <v>253</v>
      </c>
      <c r="K121" s="32" t="s">
        <v>266</v>
      </c>
      <c r="L121" s="46" t="s">
        <v>359</v>
      </c>
      <c r="M121" s="39" t="s">
        <v>255</v>
      </c>
      <c r="N121" s="39" t="s">
        <v>268</v>
      </c>
      <c r="O121" s="32" t="s">
        <v>360</v>
      </c>
      <c r="P121" s="40" t="str">
        <f aca="false">_xlfn.CONCAT(B121,C121,D121,E121,F121)</f>
        <v>ARAGUATINS 1.3Inverter(MBUS-1)46024.673611111146024.673611111146024.7069444444</v>
      </c>
      <c r="Q121" s="32" t="str">
        <f aca="false">_xlfn.CONCAT(H121,I121,J121)</f>
        <v>DAURDE</v>
      </c>
    </row>
    <row r="122" customFormat="false" ht="15" hidden="false" customHeight="false" outlineLevel="0" collapsed="false">
      <c r="B122" s="32" t="s">
        <v>364</v>
      </c>
      <c r="C122" s="32" t="s">
        <v>365</v>
      </c>
      <c r="D122" s="33" t="n">
        <v>46025.3541666667</v>
      </c>
      <c r="E122" s="33" t="n">
        <v>46025.3541666667</v>
      </c>
      <c r="F122" s="33" t="n">
        <v>46025.4236111111</v>
      </c>
      <c r="G122" s="34" t="n">
        <f aca="false">F122-E122</f>
        <v>0.0694444444444445</v>
      </c>
      <c r="H122" s="39" t="s">
        <v>252</v>
      </c>
      <c r="J122" s="39" t="s">
        <v>253</v>
      </c>
      <c r="K122" s="32" t="s">
        <v>266</v>
      </c>
      <c r="L122" s="32" t="s">
        <v>366</v>
      </c>
      <c r="M122" s="39" t="s">
        <v>255</v>
      </c>
      <c r="N122" s="39" t="s">
        <v>268</v>
      </c>
      <c r="O122" s="32" t="s">
        <v>269</v>
      </c>
      <c r="P122" s="40" t="str">
        <f aca="false">_xlfn.CONCAT(B122,C122,D122,E122,F122)</f>
        <v>BC Camarao1.4INV-6T22A904138146025.354166666746025.354166666746025.4236111111</v>
      </c>
      <c r="Q122" s="32" t="str">
        <f aca="false">_xlfn.CONCAT(H122,I122,J122)</f>
        <v>DAURDE</v>
      </c>
    </row>
    <row r="123" customFormat="false" ht="15" hidden="false" customHeight="false" outlineLevel="0" collapsed="false">
      <c r="B123" s="32" t="s">
        <v>364</v>
      </c>
      <c r="C123" s="32" t="s">
        <v>259</v>
      </c>
      <c r="D123" s="33" t="n">
        <v>46025.3541666667</v>
      </c>
      <c r="E123" s="33" t="n">
        <v>46025.3541666667</v>
      </c>
      <c r="F123" s="33" t="n">
        <v>46025.4236111111</v>
      </c>
      <c r="G123" s="34" t="n">
        <f aca="false">F123-E123</f>
        <v>0.0694444444444445</v>
      </c>
      <c r="H123" s="39" t="s">
        <v>252</v>
      </c>
      <c r="J123" s="39" t="s">
        <v>253</v>
      </c>
      <c r="K123" s="32" t="s">
        <v>266</v>
      </c>
      <c r="L123" s="32" t="s">
        <v>366</v>
      </c>
      <c r="M123" s="39" t="s">
        <v>255</v>
      </c>
      <c r="N123" s="39" t="s">
        <v>268</v>
      </c>
      <c r="O123" s="32" t="s">
        <v>269</v>
      </c>
      <c r="P123" s="40" t="str">
        <f aca="false">_xlfn.CONCAT(B123,C123,D123,E123,F123)</f>
        <v>BC Camarao1.4215KTL-H3(MBUS-14)46025.354166666746025.354166666746025.4236111111</v>
      </c>
      <c r="Q123" s="32" t="str">
        <f aca="false">_xlfn.CONCAT(H123,I123,J123)</f>
        <v>DAURDE</v>
      </c>
    </row>
    <row r="124" customFormat="false" ht="15" hidden="false" customHeight="false" outlineLevel="0" collapsed="false">
      <c r="B124" s="32" t="s">
        <v>364</v>
      </c>
      <c r="C124" s="32" t="s">
        <v>258</v>
      </c>
      <c r="D124" s="33" t="n">
        <v>46025.3541666667</v>
      </c>
      <c r="E124" s="33" t="n">
        <v>46025.3541666667</v>
      </c>
      <c r="F124" s="33" t="n">
        <v>46025.4236111111</v>
      </c>
      <c r="G124" s="34" t="n">
        <f aca="false">F124-E124</f>
        <v>0.0694444444444445</v>
      </c>
      <c r="H124" s="39" t="s">
        <v>252</v>
      </c>
      <c r="J124" s="39" t="s">
        <v>253</v>
      </c>
      <c r="K124" s="32" t="s">
        <v>266</v>
      </c>
      <c r="L124" s="32" t="s">
        <v>366</v>
      </c>
      <c r="M124" s="39" t="s">
        <v>255</v>
      </c>
      <c r="N124" s="39" t="s">
        <v>268</v>
      </c>
      <c r="O124" s="32" t="s">
        <v>269</v>
      </c>
      <c r="P124" s="40" t="str">
        <f aca="false">_xlfn.CONCAT(B124,C124,D124,E124,F124)</f>
        <v>BC Camarao1.4215KTL-H3(MBUS-13)46025.354166666746025.354166666746025.4236111111</v>
      </c>
      <c r="Q124" s="32" t="str">
        <f aca="false">_xlfn.CONCAT(H124,I124,J124)</f>
        <v>DAURDE</v>
      </c>
    </row>
    <row r="125" customFormat="false" ht="15" hidden="false" customHeight="false" outlineLevel="0" collapsed="false">
      <c r="B125" s="32" t="s">
        <v>364</v>
      </c>
      <c r="C125" s="32" t="s">
        <v>261</v>
      </c>
      <c r="D125" s="33" t="n">
        <v>46025.3541666667</v>
      </c>
      <c r="E125" s="33" t="n">
        <v>46025.3541666667</v>
      </c>
      <c r="F125" s="33" t="n">
        <v>46025.4236111111</v>
      </c>
      <c r="G125" s="34" t="n">
        <f aca="false">F125-E125</f>
        <v>0.0694444444444445</v>
      </c>
      <c r="H125" s="39" t="s">
        <v>252</v>
      </c>
      <c r="J125" s="39" t="s">
        <v>253</v>
      </c>
      <c r="K125" s="32" t="s">
        <v>266</v>
      </c>
      <c r="L125" s="32" t="s">
        <v>366</v>
      </c>
      <c r="M125" s="39" t="s">
        <v>255</v>
      </c>
      <c r="N125" s="39" t="s">
        <v>268</v>
      </c>
      <c r="O125" s="32" t="s">
        <v>269</v>
      </c>
      <c r="P125" s="40" t="str">
        <f aca="false">_xlfn.CONCAT(B125,C125,D125,E125,F125)</f>
        <v>BC Camarao1.4215KTL-H3(MBUS-16)46025.354166666746025.354166666746025.4236111111</v>
      </c>
      <c r="Q125" s="32" t="str">
        <f aca="false">_xlfn.CONCAT(H125,I125,J125)</f>
        <v>DAURDE</v>
      </c>
    </row>
    <row r="126" customFormat="false" ht="15" hidden="false" customHeight="false" outlineLevel="0" collapsed="false">
      <c r="B126" s="32" t="s">
        <v>364</v>
      </c>
      <c r="C126" s="32" t="s">
        <v>260</v>
      </c>
      <c r="D126" s="33" t="n">
        <v>46025.3541666667</v>
      </c>
      <c r="E126" s="33" t="n">
        <v>46025.3541666667</v>
      </c>
      <c r="F126" s="33" t="n">
        <v>46025.4236111111</v>
      </c>
      <c r="G126" s="34" t="n">
        <f aca="false">F126-E126</f>
        <v>0.0694444444444445</v>
      </c>
      <c r="H126" s="39" t="s">
        <v>252</v>
      </c>
      <c r="J126" s="39" t="s">
        <v>253</v>
      </c>
      <c r="K126" s="32" t="s">
        <v>266</v>
      </c>
      <c r="L126" s="32" t="s">
        <v>366</v>
      </c>
      <c r="M126" s="39" t="s">
        <v>255</v>
      </c>
      <c r="N126" s="39" t="s">
        <v>268</v>
      </c>
      <c r="O126" s="32" t="s">
        <v>269</v>
      </c>
      <c r="P126" s="40" t="str">
        <f aca="false">_xlfn.CONCAT(B126,C126,D126,E126,F126)</f>
        <v>BC Camarao1.4215KTL-H3(MBUS-15)46025.354166666746025.354166666746025.4236111111</v>
      </c>
      <c r="Q126" s="32" t="str">
        <f aca="false">_xlfn.CONCAT(H126,I126,J126)</f>
        <v>DAURDE</v>
      </c>
    </row>
    <row r="127" customFormat="false" ht="15" hidden="false" customHeight="false" outlineLevel="0" collapsed="false">
      <c r="B127" s="32" t="s">
        <v>367</v>
      </c>
      <c r="C127" s="32" t="s">
        <v>324</v>
      </c>
      <c r="D127" s="33" t="n">
        <v>46025.55625</v>
      </c>
      <c r="E127" s="33" t="n">
        <v>46025.55625</v>
      </c>
      <c r="F127" s="33" t="n">
        <v>46025.6013888889</v>
      </c>
      <c r="G127" s="34" t="n">
        <f aca="false">F127-E127</f>
        <v>0.0451388888888889</v>
      </c>
      <c r="H127" s="39" t="s">
        <v>252</v>
      </c>
      <c r="J127" s="39" t="s">
        <v>253</v>
      </c>
      <c r="K127" s="32" t="s">
        <v>266</v>
      </c>
      <c r="L127" s="32" t="s">
        <v>368</v>
      </c>
      <c r="M127" s="39" t="s">
        <v>255</v>
      </c>
      <c r="N127" s="39" t="s">
        <v>268</v>
      </c>
      <c r="O127" s="32" t="s">
        <v>269</v>
      </c>
      <c r="P127" s="40" t="str">
        <f aca="false">_xlfn.CONCAT(B127,C127,D127,E127,F127)</f>
        <v>ARAGUATINS 2.1Inverter(MBUS-12)46025.5562546025.5562546025.6013888889</v>
      </c>
      <c r="Q127" s="32" t="str">
        <f aca="false">_xlfn.CONCAT(H127,I127,J127)</f>
        <v>DAURDE</v>
      </c>
    </row>
    <row r="128" customFormat="false" ht="15" hidden="false" customHeight="false" outlineLevel="0" collapsed="false">
      <c r="B128" s="32" t="s">
        <v>367</v>
      </c>
      <c r="C128" s="32" t="s">
        <v>328</v>
      </c>
      <c r="D128" s="33" t="n">
        <v>46025.55625</v>
      </c>
      <c r="E128" s="33" t="n">
        <v>46025.55625</v>
      </c>
      <c r="F128" s="33" t="n">
        <v>46025.6013888889</v>
      </c>
      <c r="G128" s="34" t="n">
        <f aca="false">F128-E128</f>
        <v>0.0451388888888889</v>
      </c>
      <c r="H128" s="39" t="s">
        <v>252</v>
      </c>
      <c r="J128" s="39" t="s">
        <v>253</v>
      </c>
      <c r="K128" s="32" t="s">
        <v>266</v>
      </c>
      <c r="L128" s="32" t="s">
        <v>368</v>
      </c>
      <c r="M128" s="39" t="s">
        <v>255</v>
      </c>
      <c r="N128" s="39" t="s">
        <v>268</v>
      </c>
      <c r="O128" s="32" t="s">
        <v>269</v>
      </c>
      <c r="P128" s="40" t="str">
        <f aca="false">_xlfn.CONCAT(B128,C128,D128,E128,F128)</f>
        <v>ARAGUATINS 2.1Inverter(MBUS-15)46025.5562546025.5562546025.6013888889</v>
      </c>
      <c r="Q128" s="32" t="str">
        <f aca="false">_xlfn.CONCAT(H128,I128,J128)</f>
        <v>DAURDE</v>
      </c>
    </row>
    <row r="129" customFormat="false" ht="15" hidden="false" customHeight="false" outlineLevel="0" collapsed="false">
      <c r="B129" s="32" t="s">
        <v>367</v>
      </c>
      <c r="C129" s="32" t="s">
        <v>327</v>
      </c>
      <c r="D129" s="33" t="n">
        <v>46025.55625</v>
      </c>
      <c r="E129" s="33" t="n">
        <v>46025.55625</v>
      </c>
      <c r="F129" s="33" t="n">
        <v>46025.6013888889</v>
      </c>
      <c r="G129" s="34" t="n">
        <f aca="false">F129-E129</f>
        <v>0.0451388888888889</v>
      </c>
      <c r="H129" s="39" t="s">
        <v>252</v>
      </c>
      <c r="J129" s="39" t="s">
        <v>253</v>
      </c>
      <c r="K129" s="32" t="s">
        <v>266</v>
      </c>
      <c r="L129" s="32" t="s">
        <v>368</v>
      </c>
      <c r="M129" s="39" t="s">
        <v>255</v>
      </c>
      <c r="N129" s="39" t="s">
        <v>268</v>
      </c>
      <c r="O129" s="32" t="s">
        <v>269</v>
      </c>
      <c r="P129" s="40" t="str">
        <f aca="false">_xlfn.CONCAT(B129,C129,D129,E129,F129)</f>
        <v>ARAGUATINS 2.1Inverter(MBUS-14)46025.5562546025.5562546025.6013888889</v>
      </c>
      <c r="Q129" s="32" t="str">
        <f aca="false">_xlfn.CONCAT(H129,I129,J129)</f>
        <v>DAURDE</v>
      </c>
    </row>
    <row r="130" customFormat="false" ht="15" hidden="false" customHeight="false" outlineLevel="0" collapsed="false">
      <c r="B130" s="32" t="s">
        <v>367</v>
      </c>
      <c r="C130" s="32" t="s">
        <v>265</v>
      </c>
      <c r="D130" s="33" t="n">
        <v>46025.55625</v>
      </c>
      <c r="E130" s="33" t="n">
        <v>46025.55625</v>
      </c>
      <c r="F130" s="33" t="n">
        <v>46025.6013888889</v>
      </c>
      <c r="G130" s="34" t="n">
        <f aca="false">F130-E130</f>
        <v>0.0451388888888889</v>
      </c>
      <c r="H130" s="39" t="s">
        <v>252</v>
      </c>
      <c r="J130" s="39" t="s">
        <v>253</v>
      </c>
      <c r="K130" s="32" t="s">
        <v>266</v>
      </c>
      <c r="L130" s="32" t="s">
        <v>368</v>
      </c>
      <c r="M130" s="39" t="s">
        <v>255</v>
      </c>
      <c r="N130" s="39" t="s">
        <v>268</v>
      </c>
      <c r="O130" s="32" t="s">
        <v>269</v>
      </c>
      <c r="P130" s="40" t="str">
        <f aca="false">_xlfn.CONCAT(B130,C130,D130,E130,F130)</f>
        <v>ARAGUATINS 2.1Inverter(MBUS-1)46025.5562546025.5562546025.6013888889</v>
      </c>
      <c r="Q130" s="32" t="str">
        <f aca="false">_xlfn.CONCAT(H130,I130,J130)</f>
        <v>DAURDE</v>
      </c>
    </row>
    <row r="131" customFormat="false" ht="15" hidden="false" customHeight="false" outlineLevel="0" collapsed="false">
      <c r="B131" s="32" t="s">
        <v>264</v>
      </c>
      <c r="C131" s="32" t="s">
        <v>265</v>
      </c>
      <c r="D131" s="33" t="n">
        <v>46026.2604166667</v>
      </c>
      <c r="E131" s="33" t="n">
        <v>46026.2604166667</v>
      </c>
      <c r="F131" s="33" t="n">
        <v>46026.2715277778</v>
      </c>
      <c r="G131" s="34" t="n">
        <f aca="false">F131-E131</f>
        <v>0.0111111111111111</v>
      </c>
      <c r="H131" s="39" t="s">
        <v>252</v>
      </c>
      <c r="J131" s="39" t="s">
        <v>253</v>
      </c>
      <c r="K131" s="32" t="s">
        <v>266</v>
      </c>
      <c r="L131" s="32" t="s">
        <v>267</v>
      </c>
      <c r="M131" s="39" t="s">
        <v>255</v>
      </c>
      <c r="N131" s="39" t="s">
        <v>268</v>
      </c>
      <c r="O131" s="32" t="s">
        <v>269</v>
      </c>
      <c r="P131" s="40" t="str">
        <f aca="false">_xlfn.CONCAT(B131,C131,D131,E131,F131)</f>
        <v>BC Aracu5.1Inverter(MBUS-1)46026.260416666746026.260416666746026.2715277778</v>
      </c>
      <c r="Q131" s="32" t="str">
        <f aca="false">_xlfn.CONCAT(H131,I131,J131)</f>
        <v>DAURDE</v>
      </c>
    </row>
    <row r="132" customFormat="false" ht="15" hidden="false" customHeight="false" outlineLevel="0" collapsed="false">
      <c r="B132" s="32" t="s">
        <v>270</v>
      </c>
      <c r="C132" s="32" t="s">
        <v>265</v>
      </c>
      <c r="D132" s="33" t="n">
        <v>46026.2604166667</v>
      </c>
      <c r="E132" s="33" t="n">
        <v>46026.2604166667</v>
      </c>
      <c r="F132" s="33" t="n">
        <v>46026.2715277778</v>
      </c>
      <c r="G132" s="34" t="n">
        <f aca="false">F132-E132</f>
        <v>0.0111111111111111</v>
      </c>
      <c r="H132" s="39" t="s">
        <v>252</v>
      </c>
      <c r="J132" s="39" t="s">
        <v>253</v>
      </c>
      <c r="K132" s="32" t="s">
        <v>266</v>
      </c>
      <c r="L132" s="32" t="s">
        <v>267</v>
      </c>
      <c r="M132" s="39" t="s">
        <v>255</v>
      </c>
      <c r="N132" s="39" t="s">
        <v>268</v>
      </c>
      <c r="O132" s="32" t="s">
        <v>269</v>
      </c>
      <c r="P132" s="40" t="str">
        <f aca="false">_xlfn.CONCAT(B132,C132,D132,E132,F132)</f>
        <v>BC Aracu5.2Inverter(MBUS-1)46026.260416666746026.260416666746026.2715277778</v>
      </c>
      <c r="Q132" s="32" t="str">
        <f aca="false">_xlfn.CONCAT(H132,I132,J132)</f>
        <v>DAURDE</v>
      </c>
    </row>
    <row r="133" customFormat="false" ht="15" hidden="false" customHeight="false" outlineLevel="0" collapsed="false">
      <c r="B133" s="32" t="s">
        <v>271</v>
      </c>
      <c r="C133" s="32" t="s">
        <v>265</v>
      </c>
      <c r="D133" s="33" t="n">
        <v>46026.2604166667</v>
      </c>
      <c r="E133" s="33" t="n">
        <v>46026.2604166667</v>
      </c>
      <c r="F133" s="33" t="n">
        <v>46026.2715277778</v>
      </c>
      <c r="G133" s="34" t="n">
        <f aca="false">F133-E133</f>
        <v>0.0111111111111111</v>
      </c>
      <c r="H133" s="39" t="s">
        <v>252</v>
      </c>
      <c r="J133" s="39" t="s">
        <v>253</v>
      </c>
      <c r="K133" s="32" t="s">
        <v>266</v>
      </c>
      <c r="L133" s="32" t="s">
        <v>267</v>
      </c>
      <c r="M133" s="39" t="s">
        <v>255</v>
      </c>
      <c r="N133" s="39" t="s">
        <v>268</v>
      </c>
      <c r="O133" s="32" t="s">
        <v>269</v>
      </c>
      <c r="P133" s="40" t="str">
        <f aca="false">_xlfn.CONCAT(B133,C133,D133,E133,F133)</f>
        <v>BC Aracu5.3Inverter(MBUS-1)46026.260416666746026.260416666746026.2715277778</v>
      </c>
      <c r="Q133" s="32" t="str">
        <f aca="false">_xlfn.CONCAT(H133,I133,J133)</f>
        <v>DAURDE</v>
      </c>
    </row>
    <row r="134" customFormat="false" ht="15" hidden="false" customHeight="false" outlineLevel="0" collapsed="false">
      <c r="B134" s="32" t="s">
        <v>272</v>
      </c>
      <c r="C134" s="32" t="s">
        <v>265</v>
      </c>
      <c r="D134" s="33" t="n">
        <v>46026.2604166667</v>
      </c>
      <c r="E134" s="33" t="n">
        <v>46026.2604166667</v>
      </c>
      <c r="F134" s="33" t="n">
        <v>46026.2715277778</v>
      </c>
      <c r="G134" s="34" t="n">
        <f aca="false">F134-E134</f>
        <v>0.0111111111111111</v>
      </c>
      <c r="H134" s="39" t="s">
        <v>252</v>
      </c>
      <c r="J134" s="39" t="s">
        <v>253</v>
      </c>
      <c r="K134" s="32" t="s">
        <v>266</v>
      </c>
      <c r="L134" s="32" t="s">
        <v>267</v>
      </c>
      <c r="M134" s="39" t="s">
        <v>255</v>
      </c>
      <c r="N134" s="39" t="s">
        <v>268</v>
      </c>
      <c r="O134" s="32" t="s">
        <v>269</v>
      </c>
      <c r="P134" s="40" t="str">
        <f aca="false">_xlfn.CONCAT(B134,C134,D134,E134,F134)</f>
        <v>BC Aracu5.4Inverter(MBUS-1)46026.260416666746026.260416666746026.2715277778</v>
      </c>
      <c r="Q134" s="32" t="str">
        <f aca="false">_xlfn.CONCAT(H134,I134,J134)</f>
        <v>DAURDE</v>
      </c>
    </row>
    <row r="135" customFormat="false" ht="15" hidden="false" customHeight="false" outlineLevel="0" collapsed="false">
      <c r="B135" s="32" t="s">
        <v>273</v>
      </c>
      <c r="C135" s="32" t="s">
        <v>265</v>
      </c>
      <c r="D135" s="33" t="n">
        <v>46026.2604166667</v>
      </c>
      <c r="E135" s="33" t="n">
        <v>46026.2604166667</v>
      </c>
      <c r="F135" s="33" t="n">
        <v>46026.2715277778</v>
      </c>
      <c r="G135" s="34" t="n">
        <f aca="false">F135-E135</f>
        <v>0.0111111111111111</v>
      </c>
      <c r="H135" s="39" t="s">
        <v>252</v>
      </c>
      <c r="J135" s="39" t="s">
        <v>253</v>
      </c>
      <c r="K135" s="32" t="s">
        <v>266</v>
      </c>
      <c r="L135" s="32" t="s">
        <v>267</v>
      </c>
      <c r="M135" s="39" t="s">
        <v>255</v>
      </c>
      <c r="N135" s="39" t="s">
        <v>268</v>
      </c>
      <c r="O135" s="32" t="s">
        <v>269</v>
      </c>
      <c r="P135" s="40" t="str">
        <f aca="false">_xlfn.CONCAT(B135,C135,D135,E135,F135)</f>
        <v>BC Aracu5.5Inverter(MBUS-1)46026.260416666746026.260416666746026.2715277778</v>
      </c>
      <c r="Q135" s="32" t="str">
        <f aca="false">_xlfn.CONCAT(H135,I135,J135)</f>
        <v>DAURDE</v>
      </c>
    </row>
    <row r="136" customFormat="false" ht="15" hidden="false" customHeight="false" outlineLevel="0" collapsed="false">
      <c r="B136" s="32" t="s">
        <v>340</v>
      </c>
      <c r="C136" s="32" t="s">
        <v>327</v>
      </c>
      <c r="D136" s="33" t="n">
        <v>46026.2673611111</v>
      </c>
      <c r="E136" s="33" t="n">
        <v>46026.2673611111</v>
      </c>
      <c r="F136" s="33" t="n">
        <v>46027.3055555556</v>
      </c>
      <c r="G136" s="34" t="n">
        <f aca="false">F136-E136</f>
        <v>1.03819444444444</v>
      </c>
      <c r="H136" s="39" t="s">
        <v>283</v>
      </c>
      <c r="I136" s="32" t="s">
        <v>284</v>
      </c>
      <c r="J136" s="39" t="s">
        <v>369</v>
      </c>
      <c r="K136" s="32" t="e">
        <f aca="false">_xlfn.xlookup(J136,[1]REF!D$1:D$1048576,[1]REF!E$1:E$1048576)</f>
        <v>#NAME?</v>
      </c>
      <c r="L136" s="32" t="s">
        <v>370</v>
      </c>
      <c r="M136" s="39" t="s">
        <v>371</v>
      </c>
      <c r="N136" s="39" t="s">
        <v>289</v>
      </c>
      <c r="O136" s="32" t="s">
        <v>372</v>
      </c>
      <c r="P136" s="40" t="str">
        <f aca="false">_xlfn.CONCAT(B136,C136,D136,E136,F136)</f>
        <v>BC Formoso2.2Inverter(MBUS-14)46026.267361111146026.267361111146027.3055555556</v>
      </c>
      <c r="Q136" s="32" t="str">
        <f aca="false">_xlfn.CONCAT(H136,I136,J136)</f>
        <v>LIGRFOINT</v>
      </c>
    </row>
    <row r="137" customFormat="false" ht="15" hidden="false" customHeight="false" outlineLevel="0" collapsed="false">
      <c r="B137" s="32" t="s">
        <v>340</v>
      </c>
      <c r="C137" s="32" t="s">
        <v>326</v>
      </c>
      <c r="D137" s="33" t="n">
        <v>46026.2673611111</v>
      </c>
      <c r="E137" s="33" t="n">
        <v>46026.2673611111</v>
      </c>
      <c r="F137" s="33" t="n">
        <v>46027.3055555556</v>
      </c>
      <c r="G137" s="34" t="n">
        <f aca="false">F137-E137</f>
        <v>1.03819444444444</v>
      </c>
      <c r="H137" s="39" t="s">
        <v>283</v>
      </c>
      <c r="I137" s="32" t="s">
        <v>284</v>
      </c>
      <c r="J137" s="39" t="s">
        <v>369</v>
      </c>
      <c r="K137" s="32" t="e">
        <f aca="false">_xlfn.xlookup(J137,[1]REF!D$1:D$1048576,[1]REF!E$1:E$1048576)</f>
        <v>#NAME?</v>
      </c>
      <c r="L137" s="32" t="s">
        <v>370</v>
      </c>
      <c r="M137" s="39" t="s">
        <v>371</v>
      </c>
      <c r="N137" s="39" t="s">
        <v>289</v>
      </c>
      <c r="O137" s="32" t="s">
        <v>372</v>
      </c>
      <c r="P137" s="40" t="str">
        <f aca="false">_xlfn.CONCAT(B137,C137,D137,E137,F137)</f>
        <v>BC Formoso2.2Inverter(MBUS-13)46026.267361111146026.267361111146027.3055555556</v>
      </c>
      <c r="Q137" s="32" t="str">
        <f aca="false">_xlfn.CONCAT(H137,I137,J137)</f>
        <v>LIGRFOINT</v>
      </c>
    </row>
    <row r="138" customFormat="false" ht="15" hidden="false" customHeight="false" outlineLevel="0" collapsed="false">
      <c r="B138" s="32" t="s">
        <v>340</v>
      </c>
      <c r="C138" s="32" t="s">
        <v>324</v>
      </c>
      <c r="D138" s="33" t="n">
        <v>46026.2673611111</v>
      </c>
      <c r="E138" s="33" t="n">
        <v>46026.2673611111</v>
      </c>
      <c r="F138" s="33" t="n">
        <v>46027.3055555556</v>
      </c>
      <c r="G138" s="34" t="n">
        <f aca="false">F138-E138</f>
        <v>1.03819444444444</v>
      </c>
      <c r="H138" s="39" t="s">
        <v>283</v>
      </c>
      <c r="I138" s="32" t="s">
        <v>284</v>
      </c>
      <c r="J138" s="39" t="s">
        <v>369</v>
      </c>
      <c r="K138" s="32" t="e">
        <f aca="false">_xlfn.xlookup(J138,[1]REF!D$1:D$1048576,[1]REF!E$1:E$1048576)</f>
        <v>#NAME?</v>
      </c>
      <c r="L138" s="32" t="s">
        <v>370</v>
      </c>
      <c r="M138" s="39" t="s">
        <v>371</v>
      </c>
      <c r="N138" s="39" t="s">
        <v>289</v>
      </c>
      <c r="O138" s="32" t="s">
        <v>372</v>
      </c>
      <c r="P138" s="40" t="str">
        <f aca="false">_xlfn.CONCAT(B138,C138,D138,E138,F138)</f>
        <v>BC Formoso2.2Inverter(MBUS-12)46026.267361111146026.267361111146027.3055555556</v>
      </c>
      <c r="Q138" s="32" t="str">
        <f aca="false">_xlfn.CONCAT(H138,I138,J138)</f>
        <v>LIGRFOINT</v>
      </c>
    </row>
    <row r="139" customFormat="false" ht="15" hidden="false" customHeight="false" outlineLevel="0" collapsed="false">
      <c r="B139" s="32" t="s">
        <v>340</v>
      </c>
      <c r="C139" s="32" t="s">
        <v>265</v>
      </c>
      <c r="D139" s="33" t="n">
        <v>46026.2673611111</v>
      </c>
      <c r="E139" s="33" t="n">
        <v>46026.2673611111</v>
      </c>
      <c r="F139" s="33" t="n">
        <v>46027.3055555556</v>
      </c>
      <c r="G139" s="34" t="n">
        <f aca="false">F139-E139</f>
        <v>1.03819444444444</v>
      </c>
      <c r="H139" s="39" t="s">
        <v>283</v>
      </c>
      <c r="I139" s="32" t="s">
        <v>284</v>
      </c>
      <c r="J139" s="39" t="s">
        <v>369</v>
      </c>
      <c r="K139" s="32" t="e">
        <f aca="false">_xlfn.xlookup(J139,[1]REF!D$1:D$1048576,[1]REF!E$1:E$1048576)</f>
        <v>#NAME?</v>
      </c>
      <c r="L139" s="32" t="s">
        <v>370</v>
      </c>
      <c r="M139" s="39" t="s">
        <v>371</v>
      </c>
      <c r="N139" s="39" t="s">
        <v>289</v>
      </c>
      <c r="O139" s="32" t="s">
        <v>372</v>
      </c>
      <c r="P139" s="40" t="str">
        <f aca="false">_xlfn.CONCAT(B139,C139,D139,E139,F139)</f>
        <v>BC Formoso2.2Inverter(MBUS-1)46026.267361111146026.267361111146027.3055555556</v>
      </c>
      <c r="Q139" s="32" t="str">
        <f aca="false">_xlfn.CONCAT(H139,I139,J139)</f>
        <v>LIGRFOINT</v>
      </c>
    </row>
    <row r="140" customFormat="false" ht="15" hidden="false" customHeight="false" outlineLevel="0" collapsed="false">
      <c r="B140" s="32" t="s">
        <v>367</v>
      </c>
      <c r="C140" s="32" t="s">
        <v>324</v>
      </c>
      <c r="D140" s="33" t="n">
        <v>46026.4375</v>
      </c>
      <c r="E140" s="33" t="n">
        <v>46026.4375</v>
      </c>
      <c r="F140" s="33" t="n">
        <v>46026.4729166667</v>
      </c>
      <c r="G140" s="34" t="n">
        <f aca="false">F140-E140</f>
        <v>0.0354166666666667</v>
      </c>
      <c r="H140" s="39" t="s">
        <v>252</v>
      </c>
      <c r="J140" s="39" t="s">
        <v>253</v>
      </c>
      <c r="K140" s="32" t="s">
        <v>266</v>
      </c>
      <c r="L140" s="32" t="s">
        <v>368</v>
      </c>
      <c r="M140" s="39" t="s">
        <v>255</v>
      </c>
      <c r="N140" s="39" t="s">
        <v>268</v>
      </c>
      <c r="O140" s="32" t="s">
        <v>269</v>
      </c>
      <c r="P140" s="40" t="str">
        <f aca="false">_xlfn.CONCAT(B140,C140,D140,E140,F140)</f>
        <v>ARAGUATINS 2.1Inverter(MBUS-12)46026.437546026.437546026.4729166667</v>
      </c>
      <c r="Q140" s="32" t="str">
        <f aca="false">_xlfn.CONCAT(H140,I140,J140)</f>
        <v>DAURDE</v>
      </c>
    </row>
    <row r="141" customFormat="false" ht="15" hidden="false" customHeight="false" outlineLevel="0" collapsed="false">
      <c r="B141" s="32" t="s">
        <v>367</v>
      </c>
      <c r="C141" s="32" t="s">
        <v>328</v>
      </c>
      <c r="D141" s="33" t="n">
        <v>46026.4375</v>
      </c>
      <c r="E141" s="33" t="n">
        <v>46026.4375</v>
      </c>
      <c r="F141" s="33" t="n">
        <v>46026.4729166667</v>
      </c>
      <c r="G141" s="34" t="n">
        <f aca="false">F141-E141</f>
        <v>0.0354166666666667</v>
      </c>
      <c r="H141" s="39" t="s">
        <v>252</v>
      </c>
      <c r="J141" s="39" t="s">
        <v>253</v>
      </c>
      <c r="K141" s="32" t="s">
        <v>266</v>
      </c>
      <c r="L141" s="32" t="s">
        <v>368</v>
      </c>
      <c r="M141" s="39" t="s">
        <v>255</v>
      </c>
      <c r="N141" s="39" t="s">
        <v>268</v>
      </c>
      <c r="O141" s="32" t="s">
        <v>269</v>
      </c>
      <c r="P141" s="40" t="str">
        <f aca="false">_xlfn.CONCAT(B141,C141,D141,E141,F141)</f>
        <v>ARAGUATINS 2.1Inverter(MBUS-15)46026.437546026.437546026.4729166667</v>
      </c>
      <c r="Q141" s="32" t="str">
        <f aca="false">_xlfn.CONCAT(H141,I141,J141)</f>
        <v>DAURDE</v>
      </c>
    </row>
    <row r="142" customFormat="false" ht="15" hidden="false" customHeight="false" outlineLevel="0" collapsed="false">
      <c r="B142" s="32" t="s">
        <v>367</v>
      </c>
      <c r="C142" s="32" t="s">
        <v>327</v>
      </c>
      <c r="D142" s="33" t="n">
        <v>46026.4375</v>
      </c>
      <c r="E142" s="33" t="n">
        <v>46026.4375</v>
      </c>
      <c r="F142" s="33" t="n">
        <v>46026.4729166667</v>
      </c>
      <c r="G142" s="34" t="n">
        <f aca="false">F142-E142</f>
        <v>0.0354166666666667</v>
      </c>
      <c r="H142" s="39" t="s">
        <v>252</v>
      </c>
      <c r="J142" s="39" t="s">
        <v>253</v>
      </c>
      <c r="K142" s="32" t="s">
        <v>266</v>
      </c>
      <c r="L142" s="32" t="s">
        <v>368</v>
      </c>
      <c r="M142" s="39" t="s">
        <v>255</v>
      </c>
      <c r="N142" s="39" t="s">
        <v>268</v>
      </c>
      <c r="O142" s="32" t="s">
        <v>269</v>
      </c>
      <c r="P142" s="40" t="str">
        <f aca="false">_xlfn.CONCAT(B142,C142,D142,E142,F142)</f>
        <v>ARAGUATINS 2.1Inverter(MBUS-14)46026.437546026.437546026.4729166667</v>
      </c>
      <c r="Q142" s="32" t="str">
        <f aca="false">_xlfn.CONCAT(H142,I142,J142)</f>
        <v>DAURDE</v>
      </c>
    </row>
    <row r="143" customFormat="false" ht="15" hidden="false" customHeight="false" outlineLevel="0" collapsed="false">
      <c r="B143" s="32" t="s">
        <v>367</v>
      </c>
      <c r="C143" s="32" t="s">
        <v>265</v>
      </c>
      <c r="D143" s="33" t="n">
        <v>46026.4375</v>
      </c>
      <c r="E143" s="33" t="n">
        <v>46026.4375</v>
      </c>
      <c r="F143" s="33" t="n">
        <v>46026.4729166667</v>
      </c>
      <c r="G143" s="34" t="n">
        <f aca="false">F143-E143</f>
        <v>0.0354166666666667</v>
      </c>
      <c r="H143" s="39" t="s">
        <v>252</v>
      </c>
      <c r="J143" s="39" t="s">
        <v>253</v>
      </c>
      <c r="K143" s="32" t="s">
        <v>266</v>
      </c>
      <c r="L143" s="32" t="s">
        <v>368</v>
      </c>
      <c r="M143" s="39" t="s">
        <v>255</v>
      </c>
      <c r="N143" s="39" t="s">
        <v>268</v>
      </c>
      <c r="O143" s="32" t="s">
        <v>269</v>
      </c>
      <c r="P143" s="40" t="str">
        <f aca="false">_xlfn.CONCAT(B143,C143,D143,E143,F143)</f>
        <v>ARAGUATINS 2.1Inverter(MBUS-1)46026.437546026.437546026.4729166667</v>
      </c>
      <c r="Q143" s="32" t="str">
        <f aca="false">_xlfn.CONCAT(H143,I143,J143)</f>
        <v>DAURDE</v>
      </c>
    </row>
    <row r="144" customFormat="false" ht="15" hidden="false" customHeight="false" outlineLevel="0" collapsed="false">
      <c r="B144" s="32" t="s">
        <v>18</v>
      </c>
      <c r="C144" s="32" t="s">
        <v>373</v>
      </c>
      <c r="D144" s="33" t="n">
        <v>46026.5763888889</v>
      </c>
      <c r="E144" s="33" t="n">
        <v>46026.5763888889</v>
      </c>
      <c r="F144" s="33" t="n">
        <v>46026.71875</v>
      </c>
      <c r="G144" s="34" t="n">
        <f aca="false">F144-E144</f>
        <v>0.142361111111111</v>
      </c>
      <c r="H144" s="39" t="s">
        <v>252</v>
      </c>
      <c r="J144" s="39" t="s">
        <v>333</v>
      </c>
      <c r="K144" s="32" t="s">
        <v>334</v>
      </c>
      <c r="L144" s="32" t="s">
        <v>374</v>
      </c>
      <c r="M144" s="39" t="s">
        <v>336</v>
      </c>
      <c r="N144" s="39" t="s">
        <v>289</v>
      </c>
      <c r="O144" s="32" t="s">
        <v>375</v>
      </c>
      <c r="P144" s="40" t="str">
        <f aca="false">_xlfn.CONCAT(B144,C144,D144,E144,F144)</f>
        <v>BC Aracu2araçu 2.1 inversor 146026.576388888946026.576388888946026.71875</v>
      </c>
      <c r="Q144" s="32" t="str">
        <f aca="false">_xlfn.CONCAT(H144,I144,J144)</f>
        <v>DAUINV</v>
      </c>
    </row>
    <row r="145" customFormat="false" ht="15" hidden="false" customHeight="false" outlineLevel="0" collapsed="false">
      <c r="B145" s="32" t="s">
        <v>264</v>
      </c>
      <c r="C145" s="32" t="s">
        <v>265</v>
      </c>
      <c r="D145" s="33" t="n">
        <v>46027.3555555556</v>
      </c>
      <c r="E145" s="33" t="n">
        <v>46027.3555555556</v>
      </c>
      <c r="F145" s="33" t="n">
        <v>46027.3638888889</v>
      </c>
      <c r="G145" s="34" t="n">
        <f aca="false">F145-E145</f>
        <v>0.00833333333333333</v>
      </c>
      <c r="H145" s="39" t="s">
        <v>252</v>
      </c>
      <c r="J145" s="39" t="s">
        <v>253</v>
      </c>
      <c r="K145" s="32" t="e">
        <f aca="false">_xlfn.xlookup(J145,[1]REF!$D$2:$D$12,[1]REF!$E$2:$E$12)</f>
        <v>#NAME?</v>
      </c>
      <c r="L145" s="32" t="s">
        <v>267</v>
      </c>
      <c r="M145" s="39" t="s">
        <v>255</v>
      </c>
      <c r="N145" s="39" t="s">
        <v>268</v>
      </c>
      <c r="O145" s="32" t="s">
        <v>269</v>
      </c>
      <c r="P145" s="40" t="str">
        <f aca="false">_xlfn.CONCAT(B145,C145,D145,E145,F145)</f>
        <v>BC Aracu5.1Inverter(MBUS-1)46027.355555555646027.355555555646027.3638888889</v>
      </c>
      <c r="Q145" s="32" t="str">
        <f aca="false">_xlfn.CONCAT(H145,I145,J145)</f>
        <v>DAURDE</v>
      </c>
    </row>
    <row r="146" customFormat="false" ht="15" hidden="false" customHeight="false" outlineLevel="0" collapsed="false">
      <c r="B146" s="32" t="s">
        <v>270</v>
      </c>
      <c r="C146" s="32" t="s">
        <v>265</v>
      </c>
      <c r="D146" s="33" t="n">
        <v>46027.3555555556</v>
      </c>
      <c r="E146" s="33" t="n">
        <v>46027.3555555556</v>
      </c>
      <c r="F146" s="33" t="n">
        <v>46027.3638888889</v>
      </c>
      <c r="G146" s="34" t="n">
        <f aca="false">F146-E146</f>
        <v>0.00833333333333333</v>
      </c>
      <c r="H146" s="39" t="s">
        <v>252</v>
      </c>
      <c r="J146" s="39" t="s">
        <v>253</v>
      </c>
      <c r="K146" s="32" t="e">
        <f aca="false">_xlfn.xlookup(J146,[1]REF!$D$2:$D$12,[1]REF!$E$2:$E$12)</f>
        <v>#NAME?</v>
      </c>
      <c r="L146" s="32" t="s">
        <v>267</v>
      </c>
      <c r="M146" s="39" t="s">
        <v>255</v>
      </c>
      <c r="N146" s="39" t="s">
        <v>268</v>
      </c>
      <c r="O146" s="32" t="s">
        <v>269</v>
      </c>
      <c r="P146" s="40" t="str">
        <f aca="false">_xlfn.CONCAT(B146,C146,D146,E146,F146)</f>
        <v>BC Aracu5.2Inverter(MBUS-1)46027.355555555646027.355555555646027.3638888889</v>
      </c>
      <c r="Q146" s="32" t="str">
        <f aca="false">_xlfn.CONCAT(H146,I146,J146)</f>
        <v>DAURDE</v>
      </c>
    </row>
    <row r="147" customFormat="false" ht="15" hidden="false" customHeight="false" outlineLevel="0" collapsed="false">
      <c r="B147" s="32" t="s">
        <v>271</v>
      </c>
      <c r="C147" s="32" t="s">
        <v>265</v>
      </c>
      <c r="D147" s="33" t="n">
        <v>46027.3555555556</v>
      </c>
      <c r="E147" s="33" t="n">
        <v>46027.3555555556</v>
      </c>
      <c r="F147" s="33" t="n">
        <v>46027.3638888889</v>
      </c>
      <c r="G147" s="34" t="n">
        <f aca="false">F147-E147</f>
        <v>0.00833333333333333</v>
      </c>
      <c r="H147" s="39" t="s">
        <v>252</v>
      </c>
      <c r="J147" s="39" t="s">
        <v>253</v>
      </c>
      <c r="K147" s="32" t="e">
        <f aca="false">_xlfn.xlookup(J147,[1]REF!$D$2:$D$12,[1]REF!$E$2:$E$12)</f>
        <v>#NAME?</v>
      </c>
      <c r="L147" s="32" t="s">
        <v>267</v>
      </c>
      <c r="M147" s="39" t="s">
        <v>255</v>
      </c>
      <c r="N147" s="39" t="s">
        <v>268</v>
      </c>
      <c r="O147" s="32" t="s">
        <v>269</v>
      </c>
      <c r="P147" s="40" t="str">
        <f aca="false">_xlfn.CONCAT(B147,C147,D147,E147,F147)</f>
        <v>BC Aracu5.3Inverter(MBUS-1)46027.355555555646027.355555555646027.3638888889</v>
      </c>
      <c r="Q147" s="32" t="str">
        <f aca="false">_xlfn.CONCAT(H147,I147,J147)</f>
        <v>DAURDE</v>
      </c>
    </row>
    <row r="148" customFormat="false" ht="15" hidden="false" customHeight="false" outlineLevel="0" collapsed="false">
      <c r="B148" s="32" t="s">
        <v>272</v>
      </c>
      <c r="C148" s="32" t="s">
        <v>265</v>
      </c>
      <c r="D148" s="33" t="n">
        <v>46027.3555555556</v>
      </c>
      <c r="E148" s="33" t="n">
        <v>46027.3555555556</v>
      </c>
      <c r="F148" s="33" t="n">
        <v>46027.3638888889</v>
      </c>
      <c r="G148" s="34" t="n">
        <f aca="false">F148-E148</f>
        <v>0.00833333333333333</v>
      </c>
      <c r="H148" s="39" t="s">
        <v>252</v>
      </c>
      <c r="J148" s="39" t="s">
        <v>253</v>
      </c>
      <c r="K148" s="32" t="e">
        <f aca="false">_xlfn.xlookup(J148,[1]REF!$D$2:$D$12,[1]REF!$E$2:$E$12)</f>
        <v>#NAME?</v>
      </c>
      <c r="L148" s="32" t="s">
        <v>267</v>
      </c>
      <c r="M148" s="39" t="s">
        <v>255</v>
      </c>
      <c r="N148" s="39" t="s">
        <v>268</v>
      </c>
      <c r="O148" s="32" t="s">
        <v>269</v>
      </c>
      <c r="P148" s="40" t="str">
        <f aca="false">_xlfn.CONCAT(B148,C148,D148,E148,F148)</f>
        <v>BC Aracu5.4Inverter(MBUS-1)46027.355555555646027.355555555646027.3638888889</v>
      </c>
      <c r="Q148" s="32" t="str">
        <f aca="false">_xlfn.CONCAT(H148,I148,J148)</f>
        <v>DAURDE</v>
      </c>
    </row>
    <row r="149" customFormat="false" ht="15" hidden="false" customHeight="false" outlineLevel="0" collapsed="false">
      <c r="B149" s="32" t="s">
        <v>273</v>
      </c>
      <c r="C149" s="32" t="s">
        <v>265</v>
      </c>
      <c r="D149" s="33" t="n">
        <v>46027.3555555556</v>
      </c>
      <c r="E149" s="33" t="n">
        <v>46027.3555555556</v>
      </c>
      <c r="F149" s="33" t="n">
        <v>46027.3638888889</v>
      </c>
      <c r="G149" s="34" t="n">
        <f aca="false">F149-E149</f>
        <v>0.00833333333333333</v>
      </c>
      <c r="H149" s="39" t="s">
        <v>252</v>
      </c>
      <c r="J149" s="39" t="s">
        <v>253</v>
      </c>
      <c r="K149" s="32" t="e">
        <f aca="false">_xlfn.xlookup(J149,[1]REF!$D$2:$D$12,[1]REF!$E$2:$E$12)</f>
        <v>#NAME?</v>
      </c>
      <c r="L149" s="32" t="s">
        <v>267</v>
      </c>
      <c r="M149" s="39" t="s">
        <v>255</v>
      </c>
      <c r="N149" s="39" t="s">
        <v>268</v>
      </c>
      <c r="O149" s="32" t="s">
        <v>269</v>
      </c>
      <c r="P149" s="40" t="str">
        <f aca="false">_xlfn.CONCAT(B149,C149,D149,E149,F149)</f>
        <v>BC Aracu5.5Inverter(MBUS-1)46027.355555555646027.355555555646027.3638888889</v>
      </c>
      <c r="Q149" s="32" t="str">
        <f aca="false">_xlfn.CONCAT(H149,I149,J149)</f>
        <v>DAURDE</v>
      </c>
    </row>
    <row r="150" customFormat="false" ht="15" hidden="false" customHeight="false" outlineLevel="0" collapsed="false">
      <c r="B150" s="32" t="s">
        <v>270</v>
      </c>
      <c r="C150" s="32" t="s">
        <v>265</v>
      </c>
      <c r="D150" s="33" t="n">
        <v>46027.3854166667</v>
      </c>
      <c r="E150" s="33" t="n">
        <v>46027.3854166667</v>
      </c>
      <c r="F150" s="33" t="n">
        <v>46053.9999884259</v>
      </c>
      <c r="G150" s="34" t="n">
        <f aca="false">F150-E150</f>
        <v>26.6145717592593</v>
      </c>
      <c r="H150" s="39" t="s">
        <v>376</v>
      </c>
      <c r="J150" s="39" t="s">
        <v>377</v>
      </c>
      <c r="K150" s="32" t="s">
        <v>378</v>
      </c>
      <c r="L150" s="32" t="s">
        <v>379</v>
      </c>
      <c r="M150" s="39" t="s">
        <v>380</v>
      </c>
      <c r="N150" s="39" t="s">
        <v>381</v>
      </c>
      <c r="O150" s="32" t="s">
        <v>382</v>
      </c>
      <c r="P150" s="40" t="str">
        <f aca="false">_xlfn.CONCAT(B150,C150,D150,E150,F150)</f>
        <v>BC Aracu5.2Inverter(MBUS-1)46027.385416666746027.385416666746053.9999884259</v>
      </c>
      <c r="Q150" s="32" t="str">
        <f aca="false">_xlfn.CONCAT(H150,I150,J150)</f>
        <v>DEMTRF</v>
      </c>
    </row>
    <row r="151" customFormat="false" ht="15" hidden="false" customHeight="false" outlineLevel="0" collapsed="false">
      <c r="B151" s="32" t="s">
        <v>367</v>
      </c>
      <c r="C151" s="32" t="s">
        <v>324</v>
      </c>
      <c r="D151" s="33" t="n">
        <v>46028.1180555556</v>
      </c>
      <c r="E151" s="33" t="n">
        <v>46028.1180555556</v>
      </c>
      <c r="F151" s="33" t="n">
        <v>46028.3201388889</v>
      </c>
      <c r="G151" s="34" t="n">
        <f aca="false">F151-E151</f>
        <v>0.202083333333333</v>
      </c>
      <c r="H151" s="39" t="s">
        <v>252</v>
      </c>
      <c r="J151" s="39" t="s">
        <v>253</v>
      </c>
      <c r="K151" s="32" t="s">
        <v>266</v>
      </c>
      <c r="L151" s="32" t="s">
        <v>383</v>
      </c>
      <c r="M151" s="39" t="s">
        <v>255</v>
      </c>
      <c r="N151" s="39" t="s">
        <v>268</v>
      </c>
      <c r="O151" s="32" t="s">
        <v>269</v>
      </c>
      <c r="P151" s="40" t="str">
        <f aca="false">_xlfn.CONCAT(B151,C151,D151,E151,F151)</f>
        <v>ARAGUATINS 2.1Inverter(MBUS-12)46028.118055555646028.118055555646028.3201388889</v>
      </c>
      <c r="Q151" s="32" t="str">
        <f aca="false">_xlfn.CONCAT(H151,I151,J151)</f>
        <v>DAURDE</v>
      </c>
    </row>
    <row r="152" customFormat="false" ht="15" hidden="false" customHeight="false" outlineLevel="0" collapsed="false">
      <c r="B152" s="32" t="s">
        <v>367</v>
      </c>
      <c r="C152" s="32" t="s">
        <v>328</v>
      </c>
      <c r="D152" s="33" t="n">
        <v>46028.1180555556</v>
      </c>
      <c r="E152" s="33" t="n">
        <v>46028.1180555556</v>
      </c>
      <c r="F152" s="33" t="n">
        <v>46028.3201388889</v>
      </c>
      <c r="G152" s="34" t="n">
        <f aca="false">F152-E152</f>
        <v>0.202083333333333</v>
      </c>
      <c r="H152" s="39" t="s">
        <v>252</v>
      </c>
      <c r="J152" s="39" t="s">
        <v>253</v>
      </c>
      <c r="K152" s="32" t="s">
        <v>266</v>
      </c>
      <c r="L152" s="32" t="s">
        <v>383</v>
      </c>
      <c r="M152" s="39" t="s">
        <v>255</v>
      </c>
      <c r="N152" s="39" t="s">
        <v>268</v>
      </c>
      <c r="O152" s="32" t="s">
        <v>269</v>
      </c>
      <c r="P152" s="40" t="str">
        <f aca="false">_xlfn.CONCAT(B152,C152,D152,E152,F152)</f>
        <v>ARAGUATINS 2.1Inverter(MBUS-15)46028.118055555646028.118055555646028.3201388889</v>
      </c>
      <c r="Q152" s="32" t="str">
        <f aca="false">_xlfn.CONCAT(H152,I152,J152)</f>
        <v>DAURDE</v>
      </c>
    </row>
    <row r="153" customFormat="false" ht="15" hidden="false" customHeight="false" outlineLevel="0" collapsed="false">
      <c r="B153" s="32" t="s">
        <v>367</v>
      </c>
      <c r="C153" s="32" t="s">
        <v>327</v>
      </c>
      <c r="D153" s="33" t="n">
        <v>46028.1180555556</v>
      </c>
      <c r="E153" s="33" t="n">
        <v>46028.1180555556</v>
      </c>
      <c r="F153" s="33" t="n">
        <v>46028.3201388889</v>
      </c>
      <c r="G153" s="34" t="n">
        <f aca="false">F153-E153</f>
        <v>0.202083333333333</v>
      </c>
      <c r="H153" s="39" t="s">
        <v>252</v>
      </c>
      <c r="J153" s="39" t="s">
        <v>253</v>
      </c>
      <c r="K153" s="32" t="s">
        <v>266</v>
      </c>
      <c r="L153" s="32" t="s">
        <v>383</v>
      </c>
      <c r="M153" s="39" t="s">
        <v>255</v>
      </c>
      <c r="N153" s="39" t="s">
        <v>268</v>
      </c>
      <c r="O153" s="32" t="s">
        <v>269</v>
      </c>
      <c r="P153" s="40" t="str">
        <f aca="false">_xlfn.CONCAT(B153,C153,D153,E153,F153)</f>
        <v>ARAGUATINS 2.1Inverter(MBUS-14)46028.118055555646028.118055555646028.3201388889</v>
      </c>
      <c r="Q153" s="32" t="str">
        <f aca="false">_xlfn.CONCAT(H153,I153,J153)</f>
        <v>DAURDE</v>
      </c>
    </row>
    <row r="154" customFormat="false" ht="15" hidden="false" customHeight="false" outlineLevel="0" collapsed="false">
      <c r="B154" s="32" t="s">
        <v>367</v>
      </c>
      <c r="C154" s="32" t="s">
        <v>265</v>
      </c>
      <c r="D154" s="33" t="n">
        <v>46028.1180555556</v>
      </c>
      <c r="E154" s="33" t="n">
        <v>46028.1180555556</v>
      </c>
      <c r="F154" s="33" t="n">
        <v>46028.3201388889</v>
      </c>
      <c r="G154" s="34" t="n">
        <f aca="false">F154-E154</f>
        <v>0.202083333333333</v>
      </c>
      <c r="H154" s="39" t="s">
        <v>252</v>
      </c>
      <c r="J154" s="39" t="s">
        <v>253</v>
      </c>
      <c r="K154" s="32" t="s">
        <v>266</v>
      </c>
      <c r="L154" s="32" t="s">
        <v>383</v>
      </c>
      <c r="M154" s="39" t="s">
        <v>255</v>
      </c>
      <c r="N154" s="39" t="s">
        <v>268</v>
      </c>
      <c r="O154" s="32" t="s">
        <v>269</v>
      </c>
      <c r="P154" s="40" t="str">
        <f aca="false">_xlfn.CONCAT(B154,C154,D154,E154,F154)</f>
        <v>ARAGUATINS 2.1Inverter(MBUS-1)46028.118055555646028.118055555646028.3201388889</v>
      </c>
      <c r="Q154" s="32" t="str">
        <f aca="false">_xlfn.CONCAT(H154,I154,J154)</f>
        <v>DAURDE</v>
      </c>
    </row>
    <row r="155" customFormat="false" ht="15" hidden="false" customHeight="false" outlineLevel="0" collapsed="false">
      <c r="B155" s="32" t="s">
        <v>18</v>
      </c>
      <c r="C155" s="32" t="s">
        <v>373</v>
      </c>
      <c r="D155" s="33" t="n">
        <v>46028.5520833333</v>
      </c>
      <c r="E155" s="33" t="n">
        <v>46028.5520833333</v>
      </c>
      <c r="F155" s="33" t="n">
        <v>46028.6805555556</v>
      </c>
      <c r="G155" s="34" t="n">
        <f aca="false">+F155-E155</f>
        <v>0.128472222222222</v>
      </c>
      <c r="H155" s="39" t="s">
        <v>384</v>
      </c>
      <c r="J155" s="39" t="s">
        <v>333</v>
      </c>
      <c r="K155" s="32" t="e">
        <f aca="false">_xlfn.xlookup(J155,[1]REF!$D$2:$D$12,[1]REF!$E$2:$E$12)</f>
        <v>#NAME?</v>
      </c>
      <c r="L155" s="32" t="s">
        <v>385</v>
      </c>
      <c r="M155" s="39" t="s">
        <v>386</v>
      </c>
      <c r="N155" s="39" t="s">
        <v>387</v>
      </c>
      <c r="O155" s="32" t="s">
        <v>388</v>
      </c>
      <c r="P155" s="40" t="str">
        <f aca="false">_xlfn.CONCAT(B155,C155,D155,E155,F155)</f>
        <v>BC Aracu2araçu 2.1 inversor 146028.552083333346028.552083333346028.6805555556</v>
      </c>
      <c r="Q155" s="32" t="str">
        <f aca="false">_xlfn.CONCAT(H155,I155,J155)</f>
        <v>DPRINV</v>
      </c>
    </row>
    <row r="156" customFormat="false" ht="15" hidden="false" customHeight="false" outlineLevel="0" collapsed="false">
      <c r="B156" s="32" t="s">
        <v>18</v>
      </c>
      <c r="C156" s="32" t="s">
        <v>389</v>
      </c>
      <c r="D156" s="33" t="n">
        <v>46028.5763888889</v>
      </c>
      <c r="E156" s="33" t="n">
        <v>46028.5763888889</v>
      </c>
      <c r="F156" s="33" t="n">
        <v>46028.5972222222</v>
      </c>
      <c r="G156" s="34" t="n">
        <f aca="false">F156-E156</f>
        <v>0.0208333333333333</v>
      </c>
      <c r="H156" s="39" t="s">
        <v>384</v>
      </c>
      <c r="J156" s="39" t="s">
        <v>333</v>
      </c>
      <c r="K156" s="32" t="e">
        <f aca="false">_xlfn.xlookup(J156,[1]REF!$D$2:$D$12,[1]REF!$E$2:$E$12)</f>
        <v>#NAME?</v>
      </c>
      <c r="L156" s="32" t="s">
        <v>385</v>
      </c>
      <c r="M156" s="39" t="s">
        <v>386</v>
      </c>
      <c r="N156" s="39" t="s">
        <v>387</v>
      </c>
      <c r="O156" s="32" t="s">
        <v>388</v>
      </c>
      <c r="P156" s="40" t="str">
        <f aca="false">_xlfn.CONCAT(B156,C156,D156,E156,F156)</f>
        <v>BC Aracu2araçu 2.3 inversor 246028.576388888946028.576388888946028.5972222222</v>
      </c>
      <c r="Q156" s="32" t="str">
        <f aca="false">_xlfn.CONCAT(H156,I156,J156)</f>
        <v>DPRINV</v>
      </c>
    </row>
    <row r="157" customFormat="false" ht="28.35" hidden="false" customHeight="false" outlineLevel="0" collapsed="false">
      <c r="B157" s="32" t="s">
        <v>18</v>
      </c>
      <c r="C157" s="32" t="s">
        <v>373</v>
      </c>
      <c r="D157" s="33" t="n">
        <v>46028.625</v>
      </c>
      <c r="E157" s="33" t="n">
        <v>46028.625</v>
      </c>
      <c r="F157" s="33" t="n">
        <v>46028.6673611111</v>
      </c>
      <c r="G157" s="34" t="n">
        <f aca="false">F157-E157</f>
        <v>0.0423611111111111</v>
      </c>
      <c r="H157" s="39" t="s">
        <v>384</v>
      </c>
      <c r="J157" s="39" t="s">
        <v>333</v>
      </c>
      <c r="K157" s="32" t="e">
        <f aca="false">_xlfn.xlookup(J157,[1]REF!$D$2:$D$12,[1]REF!$E$2:$E$12)</f>
        <v>#NAME?</v>
      </c>
      <c r="L157" s="32" t="s">
        <v>390</v>
      </c>
      <c r="M157" s="39" t="s">
        <v>386</v>
      </c>
      <c r="N157" s="39" t="s">
        <v>387</v>
      </c>
      <c r="O157" s="47" t="s">
        <v>391</v>
      </c>
      <c r="P157" s="40" t="str">
        <f aca="false">_xlfn.CONCAT(B157,C157,D157,E157,F157)</f>
        <v>BC Aracu2araçu 2.1 inversor 146028.62546028.62546028.6673611111</v>
      </c>
      <c r="Q157" s="32" t="str">
        <f aca="false">_xlfn.CONCAT(H157,I157,J157)</f>
        <v>DPRINV</v>
      </c>
    </row>
    <row r="158" customFormat="false" ht="28.35" hidden="false" customHeight="false" outlineLevel="0" collapsed="false">
      <c r="B158" s="32" t="s">
        <v>18</v>
      </c>
      <c r="C158" s="32" t="s">
        <v>392</v>
      </c>
      <c r="D158" s="33" t="n">
        <v>46028.625</v>
      </c>
      <c r="E158" s="33" t="n">
        <v>46028.625</v>
      </c>
      <c r="F158" s="33" t="n">
        <v>46028.6673611111</v>
      </c>
      <c r="G158" s="34" t="n">
        <f aca="false">F158-E158</f>
        <v>0.0423611111111111</v>
      </c>
      <c r="H158" s="39" t="s">
        <v>384</v>
      </c>
      <c r="J158" s="39" t="s">
        <v>333</v>
      </c>
      <c r="K158" s="32" t="e">
        <f aca="false">_xlfn.xlookup(J158,[1]REF!$D$2:$D$12,[1]REF!$E$2:$E$12)</f>
        <v>#NAME?</v>
      </c>
      <c r="L158" s="32" t="s">
        <v>390</v>
      </c>
      <c r="M158" s="39" t="s">
        <v>386</v>
      </c>
      <c r="N158" s="39" t="s">
        <v>387</v>
      </c>
      <c r="O158" s="47" t="s">
        <v>391</v>
      </c>
      <c r="P158" s="40" t="str">
        <f aca="false">_xlfn.CONCAT(B158,C158,D158,E158,F158)</f>
        <v>BC Aracu2araçu 2.1 inversor 246028.62546028.62546028.6673611111</v>
      </c>
      <c r="Q158" s="32" t="str">
        <f aca="false">_xlfn.CONCAT(H158,I158,J158)</f>
        <v>DPRINV</v>
      </c>
    </row>
    <row r="159" customFormat="false" ht="28.35" hidden="false" customHeight="false" outlineLevel="0" collapsed="false">
      <c r="B159" s="32" t="s">
        <v>18</v>
      </c>
      <c r="C159" s="32" t="s">
        <v>393</v>
      </c>
      <c r="D159" s="33" t="n">
        <v>46028.625</v>
      </c>
      <c r="E159" s="33" t="n">
        <v>46028.625</v>
      </c>
      <c r="F159" s="33" t="n">
        <v>46028.6673611111</v>
      </c>
      <c r="G159" s="34" t="n">
        <f aca="false">F159-E159</f>
        <v>0.0423611111111111</v>
      </c>
      <c r="H159" s="39" t="s">
        <v>384</v>
      </c>
      <c r="J159" s="39" t="s">
        <v>333</v>
      </c>
      <c r="K159" s="32" t="e">
        <f aca="false">_xlfn.xlookup(J159,[1]REF!$D$2:$D$12,[1]REF!$E$2:$E$12)</f>
        <v>#NAME?</v>
      </c>
      <c r="L159" s="32" t="s">
        <v>390</v>
      </c>
      <c r="M159" s="39" t="s">
        <v>386</v>
      </c>
      <c r="N159" s="39" t="s">
        <v>387</v>
      </c>
      <c r="O159" s="47" t="s">
        <v>391</v>
      </c>
      <c r="P159" s="40" t="str">
        <f aca="false">_xlfn.CONCAT(B159,C159,D159,E159,F159)</f>
        <v>BC Aracu2araçu 2.1 inversor 346028.62546028.62546028.6673611111</v>
      </c>
      <c r="Q159" s="32" t="str">
        <f aca="false">_xlfn.CONCAT(H159,I159,J159)</f>
        <v>DPRINV</v>
      </c>
    </row>
    <row r="160" customFormat="false" ht="28.35" hidden="false" customHeight="false" outlineLevel="0" collapsed="false">
      <c r="B160" s="32" t="s">
        <v>18</v>
      </c>
      <c r="C160" s="32" t="s">
        <v>394</v>
      </c>
      <c r="D160" s="33" t="n">
        <v>46028.625</v>
      </c>
      <c r="E160" s="33" t="n">
        <v>46028.625</v>
      </c>
      <c r="F160" s="33" t="n">
        <v>46028.6673611111</v>
      </c>
      <c r="G160" s="34" t="n">
        <f aca="false">F160-E160</f>
        <v>0.0423611111111111</v>
      </c>
      <c r="H160" s="39" t="s">
        <v>384</v>
      </c>
      <c r="J160" s="39" t="s">
        <v>333</v>
      </c>
      <c r="K160" s="32" t="e">
        <f aca="false">_xlfn.xlookup(J160,[1]REF!$D$2:$D$12,[1]REF!$E$2:$E$12)</f>
        <v>#NAME?</v>
      </c>
      <c r="L160" s="32" t="s">
        <v>390</v>
      </c>
      <c r="M160" s="39" t="s">
        <v>386</v>
      </c>
      <c r="N160" s="39" t="s">
        <v>387</v>
      </c>
      <c r="O160" s="47" t="s">
        <v>391</v>
      </c>
      <c r="P160" s="40" t="str">
        <f aca="false">_xlfn.CONCAT(B160,C160,D160,E160,F160)</f>
        <v>BC Aracu2araçu 2.2 inversor 146028.62546028.62546028.6673611111</v>
      </c>
      <c r="Q160" s="32" t="str">
        <f aca="false">_xlfn.CONCAT(H160,I160,J160)</f>
        <v>DPRINV</v>
      </c>
    </row>
    <row r="161" customFormat="false" ht="28.35" hidden="false" customHeight="false" outlineLevel="0" collapsed="false">
      <c r="B161" s="32" t="s">
        <v>18</v>
      </c>
      <c r="C161" s="32" t="s">
        <v>395</v>
      </c>
      <c r="D161" s="33" t="n">
        <v>46028.625</v>
      </c>
      <c r="E161" s="33" t="n">
        <v>46028.625</v>
      </c>
      <c r="F161" s="33" t="n">
        <v>46028.6673611111</v>
      </c>
      <c r="G161" s="34" t="n">
        <f aca="false">F161-E161</f>
        <v>0.0423611111111111</v>
      </c>
      <c r="H161" s="39" t="s">
        <v>384</v>
      </c>
      <c r="J161" s="39" t="s">
        <v>333</v>
      </c>
      <c r="K161" s="32" t="e">
        <f aca="false">_xlfn.xlookup(J161,[1]REF!$D$2:$D$12,[1]REF!$E$2:$E$12)</f>
        <v>#NAME?</v>
      </c>
      <c r="L161" s="32" t="s">
        <v>390</v>
      </c>
      <c r="M161" s="39" t="s">
        <v>386</v>
      </c>
      <c r="N161" s="39" t="s">
        <v>387</v>
      </c>
      <c r="O161" s="47" t="s">
        <v>391</v>
      </c>
      <c r="P161" s="40" t="str">
        <f aca="false">_xlfn.CONCAT(B161,C161,D161,E161,F161)</f>
        <v>BC Aracu2araçu 2.2 inversor 246028.62546028.62546028.6673611111</v>
      </c>
      <c r="Q161" s="32" t="str">
        <f aca="false">_xlfn.CONCAT(H161,I161,J161)</f>
        <v>DPRINV</v>
      </c>
    </row>
    <row r="162" customFormat="false" ht="28.35" hidden="false" customHeight="false" outlineLevel="0" collapsed="false">
      <c r="B162" s="32" t="s">
        <v>18</v>
      </c>
      <c r="C162" s="32" t="s">
        <v>396</v>
      </c>
      <c r="D162" s="33" t="n">
        <v>46028.625</v>
      </c>
      <c r="E162" s="33" t="n">
        <v>46028.625</v>
      </c>
      <c r="F162" s="33" t="n">
        <v>46028.6673611111</v>
      </c>
      <c r="G162" s="34" t="n">
        <f aca="false">F162-E162</f>
        <v>0.0423611111111111</v>
      </c>
      <c r="H162" s="39" t="s">
        <v>384</v>
      </c>
      <c r="J162" s="39" t="s">
        <v>333</v>
      </c>
      <c r="K162" s="32" t="e">
        <f aca="false">_xlfn.xlookup(J162,[1]REF!$D$2:$D$12,[1]REF!$E$2:$E$12)</f>
        <v>#NAME?</v>
      </c>
      <c r="L162" s="32" t="s">
        <v>390</v>
      </c>
      <c r="M162" s="39" t="s">
        <v>386</v>
      </c>
      <c r="N162" s="39" t="s">
        <v>387</v>
      </c>
      <c r="O162" s="47" t="s">
        <v>391</v>
      </c>
      <c r="P162" s="40" t="str">
        <f aca="false">_xlfn.CONCAT(B162,C162,D162,E162,F162)</f>
        <v>BC Aracu2araçu 2.2 inversor 346028.62546028.62546028.6673611111</v>
      </c>
      <c r="Q162" s="32" t="str">
        <f aca="false">_xlfn.CONCAT(H162,I162,J162)</f>
        <v>DPRINV</v>
      </c>
    </row>
    <row r="163" customFormat="false" ht="28.35" hidden="false" customHeight="false" outlineLevel="0" collapsed="false">
      <c r="B163" s="32" t="s">
        <v>18</v>
      </c>
      <c r="C163" s="32" t="s">
        <v>397</v>
      </c>
      <c r="D163" s="33" t="n">
        <v>46028.625</v>
      </c>
      <c r="E163" s="33" t="n">
        <v>46028.625</v>
      </c>
      <c r="F163" s="33" t="n">
        <v>46028.6673611111</v>
      </c>
      <c r="G163" s="34" t="n">
        <f aca="false">F163-E163</f>
        <v>0.0423611111111111</v>
      </c>
      <c r="H163" s="39" t="s">
        <v>384</v>
      </c>
      <c r="J163" s="39" t="s">
        <v>333</v>
      </c>
      <c r="K163" s="32" t="e">
        <f aca="false">_xlfn.xlookup(J163,[1]REF!$D$2:$D$12,[1]REF!$E$2:$E$12)</f>
        <v>#NAME?</v>
      </c>
      <c r="L163" s="32" t="s">
        <v>390</v>
      </c>
      <c r="M163" s="39" t="s">
        <v>386</v>
      </c>
      <c r="N163" s="39" t="s">
        <v>387</v>
      </c>
      <c r="O163" s="47" t="s">
        <v>391</v>
      </c>
      <c r="P163" s="40" t="str">
        <f aca="false">_xlfn.CONCAT(B163,C163,D163,E163,F163)</f>
        <v>BC Aracu2Inverter8346028.62546028.62546028.6673611111</v>
      </c>
      <c r="Q163" s="32" t="str">
        <f aca="false">_xlfn.CONCAT(H163,I163,J163)</f>
        <v>DPRINV</v>
      </c>
    </row>
    <row r="164" customFormat="false" ht="28.35" hidden="false" customHeight="false" outlineLevel="0" collapsed="false">
      <c r="B164" s="32" t="s">
        <v>18</v>
      </c>
      <c r="C164" s="32" t="s">
        <v>398</v>
      </c>
      <c r="D164" s="33" t="n">
        <v>46028.625</v>
      </c>
      <c r="E164" s="33" t="n">
        <v>46028.625</v>
      </c>
      <c r="F164" s="33" t="n">
        <v>46028.6673611111</v>
      </c>
      <c r="G164" s="34" t="n">
        <f aca="false">F164-E164</f>
        <v>0.0423611111111111</v>
      </c>
      <c r="H164" s="39" t="s">
        <v>384</v>
      </c>
      <c r="J164" s="39" t="s">
        <v>333</v>
      </c>
      <c r="K164" s="32" t="e">
        <f aca="false">_xlfn.xlookup(J164,[1]REF!$D$2:$D$12,[1]REF!$E$2:$E$12)</f>
        <v>#NAME?</v>
      </c>
      <c r="L164" s="32" t="s">
        <v>390</v>
      </c>
      <c r="M164" s="39" t="s">
        <v>386</v>
      </c>
      <c r="N164" s="39" t="s">
        <v>387</v>
      </c>
      <c r="O164" s="47" t="s">
        <v>391</v>
      </c>
      <c r="P164" s="40" t="str">
        <f aca="false">_xlfn.CONCAT(B164,C164,D164,E164,F164)</f>
        <v>BC Aracu2araçu 2.3 inversor 546028.62546028.62546028.6673611111</v>
      </c>
      <c r="Q164" s="32" t="str">
        <f aca="false">_xlfn.CONCAT(H164,I164,J164)</f>
        <v>DPRINV</v>
      </c>
    </row>
    <row r="165" customFormat="false" ht="28.35" hidden="false" customHeight="false" outlineLevel="0" collapsed="false">
      <c r="B165" s="32" t="s">
        <v>18</v>
      </c>
      <c r="C165" s="32" t="s">
        <v>399</v>
      </c>
      <c r="D165" s="33" t="n">
        <v>46028.625</v>
      </c>
      <c r="E165" s="33" t="n">
        <v>46028.625</v>
      </c>
      <c r="F165" s="33" t="n">
        <v>46028.6673611111</v>
      </c>
      <c r="G165" s="34" t="n">
        <f aca="false">F165-E165</f>
        <v>0.0423611111111111</v>
      </c>
      <c r="H165" s="39" t="s">
        <v>384</v>
      </c>
      <c r="J165" s="39" t="s">
        <v>333</v>
      </c>
      <c r="K165" s="32" t="e">
        <f aca="false">_xlfn.xlookup(J165,[1]REF!$D$2:$D$12,[1]REF!$E$2:$E$12)</f>
        <v>#NAME?</v>
      </c>
      <c r="L165" s="32" t="s">
        <v>390</v>
      </c>
      <c r="M165" s="39" t="s">
        <v>386</v>
      </c>
      <c r="N165" s="39" t="s">
        <v>387</v>
      </c>
      <c r="O165" s="47" t="s">
        <v>391</v>
      </c>
      <c r="P165" s="40" t="str">
        <f aca="false">_xlfn.CONCAT(B165,C165,D165,E165,F165)</f>
        <v>BC Aracu2araçu 2.3 inversor 146028.62546028.62546028.6673611111</v>
      </c>
      <c r="Q165" s="32" t="str">
        <f aca="false">_xlfn.CONCAT(H165,I165,J165)</f>
        <v>DPRINV</v>
      </c>
    </row>
    <row r="166" customFormat="false" ht="28.35" hidden="false" customHeight="false" outlineLevel="0" collapsed="false">
      <c r="B166" s="32" t="s">
        <v>18</v>
      </c>
      <c r="C166" s="32" t="s">
        <v>389</v>
      </c>
      <c r="D166" s="33" t="n">
        <v>46028.625</v>
      </c>
      <c r="E166" s="33" t="n">
        <v>46028.625</v>
      </c>
      <c r="F166" s="33" t="n">
        <v>46028.6673611111</v>
      </c>
      <c r="G166" s="34" t="n">
        <f aca="false">F166-E166</f>
        <v>0.0423611111111111</v>
      </c>
      <c r="H166" s="39" t="s">
        <v>384</v>
      </c>
      <c r="J166" s="39" t="s">
        <v>333</v>
      </c>
      <c r="K166" s="32" t="e">
        <f aca="false">_xlfn.xlookup(J166,[1]REF!$D$2:$D$12,[1]REF!$E$2:$E$12)</f>
        <v>#NAME?</v>
      </c>
      <c r="L166" s="32" t="s">
        <v>390</v>
      </c>
      <c r="M166" s="39" t="s">
        <v>386</v>
      </c>
      <c r="N166" s="39" t="s">
        <v>387</v>
      </c>
      <c r="O166" s="47" t="s">
        <v>391</v>
      </c>
      <c r="P166" s="40" t="str">
        <f aca="false">_xlfn.CONCAT(B166,C166,D166,E166,F166)</f>
        <v>BC Aracu2araçu 2.3 inversor 246028.62546028.62546028.6673611111</v>
      </c>
      <c r="Q166" s="32" t="str">
        <f aca="false">_xlfn.CONCAT(H166,I166,J166)</f>
        <v>DPRINV</v>
      </c>
    </row>
    <row r="167" customFormat="false" ht="28.35" hidden="false" customHeight="false" outlineLevel="0" collapsed="false">
      <c r="B167" s="32" t="s">
        <v>18</v>
      </c>
      <c r="C167" s="32" t="s">
        <v>400</v>
      </c>
      <c r="D167" s="33" t="n">
        <v>46028.625</v>
      </c>
      <c r="E167" s="33" t="n">
        <v>46028.625</v>
      </c>
      <c r="F167" s="33" t="n">
        <v>46028.6673611111</v>
      </c>
      <c r="G167" s="34" t="n">
        <f aca="false">F167-E167</f>
        <v>0.0423611111111111</v>
      </c>
      <c r="H167" s="39" t="s">
        <v>384</v>
      </c>
      <c r="J167" s="39" t="s">
        <v>333</v>
      </c>
      <c r="K167" s="32" t="e">
        <f aca="false">_xlfn.xlookup(J167,[1]REF!$D$2:$D$12,[1]REF!$E$2:$E$12)</f>
        <v>#NAME?</v>
      </c>
      <c r="L167" s="32" t="s">
        <v>390</v>
      </c>
      <c r="M167" s="39" t="s">
        <v>386</v>
      </c>
      <c r="N167" s="39" t="s">
        <v>387</v>
      </c>
      <c r="O167" s="47" t="s">
        <v>391</v>
      </c>
      <c r="P167" s="40" t="str">
        <f aca="false">_xlfn.CONCAT(B167,C167,D167,E167,F167)</f>
        <v>BC Aracu2araçu 2.3 inversor 446028.62546028.62546028.6673611111</v>
      </c>
      <c r="Q167" s="32" t="str">
        <f aca="false">_xlfn.CONCAT(H167,I167,J167)</f>
        <v>DPRINV</v>
      </c>
    </row>
    <row r="168" customFormat="false" ht="28.35" hidden="false" customHeight="false" outlineLevel="0" collapsed="false">
      <c r="B168" s="32" t="s">
        <v>18</v>
      </c>
      <c r="C168" s="32" t="s">
        <v>401</v>
      </c>
      <c r="D168" s="33" t="n">
        <v>46028.625</v>
      </c>
      <c r="E168" s="33" t="n">
        <v>46028.625</v>
      </c>
      <c r="F168" s="33" t="n">
        <v>46028.6673611111</v>
      </c>
      <c r="G168" s="34" t="n">
        <f aca="false">F168-E168</f>
        <v>0.0423611111111111</v>
      </c>
      <c r="H168" s="39" t="s">
        <v>384</v>
      </c>
      <c r="J168" s="39" t="s">
        <v>333</v>
      </c>
      <c r="K168" s="32" t="e">
        <f aca="false">_xlfn.xlookup(J168,[1]REF!$D$2:$D$12,[1]REF!$E$2:$E$12)</f>
        <v>#NAME?</v>
      </c>
      <c r="L168" s="32" t="s">
        <v>390</v>
      </c>
      <c r="M168" s="39" t="s">
        <v>386</v>
      </c>
      <c r="N168" s="39" t="s">
        <v>387</v>
      </c>
      <c r="O168" s="47" t="s">
        <v>391</v>
      </c>
      <c r="P168" s="40" t="str">
        <f aca="false">_xlfn.CONCAT(B168,C168,D168,E168,F168)</f>
        <v>BC Aracu2araçu 2.3 inversor 346028.62546028.62546028.6673611111</v>
      </c>
      <c r="Q168" s="32" t="str">
        <f aca="false">_xlfn.CONCAT(H168,I168,J168)</f>
        <v>DPRINV</v>
      </c>
    </row>
    <row r="169" customFormat="false" ht="28.35" hidden="false" customHeight="false" outlineLevel="0" collapsed="false">
      <c r="B169" s="32" t="s">
        <v>18</v>
      </c>
      <c r="C169" s="32" t="s">
        <v>402</v>
      </c>
      <c r="D169" s="33" t="n">
        <v>46028.625</v>
      </c>
      <c r="E169" s="33" t="n">
        <v>46028.625</v>
      </c>
      <c r="F169" s="33" t="n">
        <v>46028.6673611111</v>
      </c>
      <c r="G169" s="34" t="n">
        <f aca="false">F169-E169</f>
        <v>0.0423611111111111</v>
      </c>
      <c r="H169" s="39" t="s">
        <v>384</v>
      </c>
      <c r="J169" s="39" t="s">
        <v>333</v>
      </c>
      <c r="K169" s="32" t="e">
        <f aca="false">_xlfn.xlookup(J169,[1]REF!$D$2:$D$12,[1]REF!$E$2:$E$12)</f>
        <v>#NAME?</v>
      </c>
      <c r="L169" s="32" t="s">
        <v>390</v>
      </c>
      <c r="M169" s="39" t="s">
        <v>386</v>
      </c>
      <c r="N169" s="39" t="s">
        <v>387</v>
      </c>
      <c r="O169" s="47" t="s">
        <v>391</v>
      </c>
      <c r="P169" s="40" t="str">
        <f aca="false">_xlfn.CONCAT(B169,C169,D169,E169,F169)</f>
        <v>BC Aracu2araçu 2.4 inversor 346028.62546028.62546028.6673611111</v>
      </c>
      <c r="Q169" s="32" t="str">
        <f aca="false">_xlfn.CONCAT(H169,I169,J169)</f>
        <v>DPRINV</v>
      </c>
    </row>
    <row r="170" customFormat="false" ht="28.35" hidden="false" customHeight="false" outlineLevel="0" collapsed="false">
      <c r="B170" s="32" t="s">
        <v>18</v>
      </c>
      <c r="C170" s="32" t="s">
        <v>403</v>
      </c>
      <c r="D170" s="33" t="n">
        <v>46028.625</v>
      </c>
      <c r="E170" s="33" t="n">
        <v>46028.625</v>
      </c>
      <c r="F170" s="33" t="n">
        <v>46028.6673611111</v>
      </c>
      <c r="G170" s="34" t="n">
        <f aca="false">F170-E170</f>
        <v>0.0423611111111111</v>
      </c>
      <c r="H170" s="39" t="s">
        <v>384</v>
      </c>
      <c r="J170" s="39" t="s">
        <v>333</v>
      </c>
      <c r="K170" s="32" t="e">
        <f aca="false">_xlfn.xlookup(J170,[1]REF!$D$2:$D$12,[1]REF!$E$2:$E$12)</f>
        <v>#NAME?</v>
      </c>
      <c r="L170" s="32" t="s">
        <v>390</v>
      </c>
      <c r="M170" s="39" t="s">
        <v>386</v>
      </c>
      <c r="N170" s="39" t="s">
        <v>387</v>
      </c>
      <c r="O170" s="47" t="s">
        <v>391</v>
      </c>
      <c r="P170" s="40" t="str">
        <f aca="false">_xlfn.CONCAT(B170,C170,D170,E170,F170)</f>
        <v>BC Aracu2araçu 2.4 inversor 146028.62546028.62546028.6673611111</v>
      </c>
      <c r="Q170" s="32" t="str">
        <f aca="false">_xlfn.CONCAT(H170,I170,J170)</f>
        <v>DPRINV</v>
      </c>
    </row>
    <row r="171" customFormat="false" ht="28.35" hidden="false" customHeight="false" outlineLevel="0" collapsed="false">
      <c r="B171" s="32" t="s">
        <v>18</v>
      </c>
      <c r="C171" s="32" t="s">
        <v>404</v>
      </c>
      <c r="D171" s="33" t="n">
        <v>46028.625</v>
      </c>
      <c r="E171" s="33" t="n">
        <v>46028.625</v>
      </c>
      <c r="F171" s="33" t="n">
        <v>46028.6673611111</v>
      </c>
      <c r="G171" s="34" t="n">
        <f aca="false">F171-E171</f>
        <v>0.0423611111111111</v>
      </c>
      <c r="H171" s="39" t="s">
        <v>384</v>
      </c>
      <c r="J171" s="39" t="s">
        <v>333</v>
      </c>
      <c r="K171" s="32" t="e">
        <f aca="false">_xlfn.xlookup(J171,[1]REF!$D$2:$D$12,[1]REF!$E$2:$E$12)</f>
        <v>#NAME?</v>
      </c>
      <c r="L171" s="32" t="s">
        <v>390</v>
      </c>
      <c r="M171" s="39" t="s">
        <v>386</v>
      </c>
      <c r="N171" s="39" t="s">
        <v>387</v>
      </c>
      <c r="O171" s="47" t="s">
        <v>391</v>
      </c>
      <c r="P171" s="40" t="str">
        <f aca="false">_xlfn.CONCAT(B171,C171,D171,E171,F171)</f>
        <v>BC Aracu2araçu 2.4 inversor 646028.62546028.62546028.6673611111</v>
      </c>
      <c r="Q171" s="32" t="str">
        <f aca="false">_xlfn.CONCAT(H171,I171,J171)</f>
        <v>DPRINV</v>
      </c>
    </row>
    <row r="172" customFormat="false" ht="28.35" hidden="false" customHeight="false" outlineLevel="0" collapsed="false">
      <c r="B172" s="32" t="s">
        <v>18</v>
      </c>
      <c r="C172" s="32" t="s">
        <v>405</v>
      </c>
      <c r="D172" s="33" t="n">
        <v>46028.625</v>
      </c>
      <c r="E172" s="33" t="n">
        <v>46028.625</v>
      </c>
      <c r="F172" s="33" t="n">
        <v>46028.6673611111</v>
      </c>
      <c r="G172" s="34" t="n">
        <f aca="false">F172-E172</f>
        <v>0.0423611111111111</v>
      </c>
      <c r="H172" s="39" t="s">
        <v>384</v>
      </c>
      <c r="J172" s="39" t="s">
        <v>333</v>
      </c>
      <c r="K172" s="32" t="e">
        <f aca="false">_xlfn.xlookup(J172,[1]REF!$D$2:$D$12,[1]REF!$E$2:$E$12)</f>
        <v>#NAME?</v>
      </c>
      <c r="L172" s="32" t="s">
        <v>390</v>
      </c>
      <c r="M172" s="39" t="s">
        <v>386</v>
      </c>
      <c r="N172" s="39" t="s">
        <v>387</v>
      </c>
      <c r="O172" s="47" t="s">
        <v>391</v>
      </c>
      <c r="P172" s="40" t="str">
        <f aca="false">_xlfn.CONCAT(B172,C172,D172,E172,F172)</f>
        <v>BC Aracu2araçu 2.4 inversor 446028.62546028.62546028.6673611111</v>
      </c>
      <c r="Q172" s="32" t="str">
        <f aca="false">_xlfn.CONCAT(H172,I172,J172)</f>
        <v>DPRINV</v>
      </c>
    </row>
    <row r="173" customFormat="false" ht="28.35" hidden="false" customHeight="false" outlineLevel="0" collapsed="false">
      <c r="B173" s="32" t="s">
        <v>18</v>
      </c>
      <c r="C173" s="32" t="s">
        <v>406</v>
      </c>
      <c r="D173" s="33" t="n">
        <v>46028.625</v>
      </c>
      <c r="E173" s="33" t="n">
        <v>46028.625</v>
      </c>
      <c r="F173" s="33" t="n">
        <v>46028.6673611111</v>
      </c>
      <c r="G173" s="34" t="n">
        <f aca="false">F173-E173</f>
        <v>0.0423611111111111</v>
      </c>
      <c r="H173" s="39" t="s">
        <v>384</v>
      </c>
      <c r="J173" s="39" t="s">
        <v>333</v>
      </c>
      <c r="K173" s="32" t="e">
        <f aca="false">_xlfn.xlookup(J173,[1]REF!$D$2:$D$12,[1]REF!$E$2:$E$12)</f>
        <v>#NAME?</v>
      </c>
      <c r="L173" s="32" t="s">
        <v>390</v>
      </c>
      <c r="M173" s="39" t="s">
        <v>386</v>
      </c>
      <c r="N173" s="39" t="s">
        <v>387</v>
      </c>
      <c r="O173" s="47" t="s">
        <v>391</v>
      </c>
      <c r="P173" s="40" t="str">
        <f aca="false">_xlfn.CONCAT(B173,C173,D173,E173,F173)</f>
        <v>BC Aracu2araçu 2.4 inversor 246028.62546028.62546028.6673611111</v>
      </c>
      <c r="Q173" s="32" t="str">
        <f aca="false">_xlfn.CONCAT(H173,I173,J173)</f>
        <v>DPRINV</v>
      </c>
    </row>
    <row r="174" customFormat="false" ht="28.35" hidden="false" customHeight="false" outlineLevel="0" collapsed="false">
      <c r="B174" s="32" t="s">
        <v>18</v>
      </c>
      <c r="C174" s="32" t="s">
        <v>407</v>
      </c>
      <c r="D174" s="33" t="n">
        <v>46028.625</v>
      </c>
      <c r="E174" s="33" t="n">
        <v>46028.625</v>
      </c>
      <c r="F174" s="33" t="n">
        <v>46028.6673611111</v>
      </c>
      <c r="G174" s="34" t="n">
        <f aca="false">F174-E174</f>
        <v>0.0423611111111111</v>
      </c>
      <c r="H174" s="39" t="s">
        <v>384</v>
      </c>
      <c r="J174" s="39" t="s">
        <v>333</v>
      </c>
      <c r="K174" s="32" t="e">
        <f aca="false">_xlfn.xlookup(J174,[1]REF!$D$2:$D$12,[1]REF!$E$2:$E$12)</f>
        <v>#NAME?</v>
      </c>
      <c r="L174" s="32" t="s">
        <v>390</v>
      </c>
      <c r="M174" s="39" t="s">
        <v>386</v>
      </c>
      <c r="N174" s="39" t="s">
        <v>387</v>
      </c>
      <c r="O174" s="47" t="s">
        <v>391</v>
      </c>
      <c r="P174" s="40" t="str">
        <f aca="false">_xlfn.CONCAT(B174,C174,D174,E174,F174)</f>
        <v>BC Aracu2araçu 2.4 inversor 546028.62546028.62546028.6673611111</v>
      </c>
      <c r="Q174" s="32" t="str">
        <f aca="false">_xlfn.CONCAT(H174,I174,J174)</f>
        <v>DPRINV</v>
      </c>
    </row>
    <row r="175" customFormat="false" ht="15" hidden="false" customHeight="false" outlineLevel="0" collapsed="false">
      <c r="B175" s="32" t="s">
        <v>264</v>
      </c>
      <c r="C175" s="32" t="s">
        <v>265</v>
      </c>
      <c r="D175" s="33" t="n">
        <v>46029.4270833333</v>
      </c>
      <c r="E175" s="33" t="n">
        <v>46029.4270833333</v>
      </c>
      <c r="F175" s="33" t="n">
        <v>46029.4361111111</v>
      </c>
      <c r="G175" s="34" t="n">
        <f aca="false">F175-E175</f>
        <v>0.00902777777777778</v>
      </c>
      <c r="H175" s="39" t="s">
        <v>252</v>
      </c>
      <c r="J175" s="39" t="s">
        <v>253</v>
      </c>
      <c r="K175" s="32" t="e">
        <f aca="false">_xlfn.xlookup(J175,[1]REF!$D$2:$D$12,[1]REF!$E$2:$E$12)</f>
        <v>#NAME?</v>
      </c>
      <c r="L175" s="32" t="s">
        <v>267</v>
      </c>
      <c r="M175" s="39" t="s">
        <v>255</v>
      </c>
      <c r="N175" s="39" t="s">
        <v>268</v>
      </c>
      <c r="O175" s="32" t="s">
        <v>269</v>
      </c>
      <c r="P175" s="40" t="str">
        <f aca="false">_xlfn.CONCAT(B175,C175,D175,E175,F175)</f>
        <v>BC Aracu5.1Inverter(MBUS-1)46029.427083333346029.427083333346029.4361111111</v>
      </c>
      <c r="Q175" s="32" t="str">
        <f aca="false">_xlfn.CONCAT(H175,I175,J175)</f>
        <v>DAURDE</v>
      </c>
    </row>
    <row r="176" customFormat="false" ht="15" hidden="false" customHeight="false" outlineLevel="0" collapsed="false">
      <c r="B176" s="32" t="s">
        <v>270</v>
      </c>
      <c r="C176" s="32" t="s">
        <v>265</v>
      </c>
      <c r="D176" s="33" t="n">
        <v>46029.4270833333</v>
      </c>
      <c r="E176" s="33" t="n">
        <v>46029.4270833333</v>
      </c>
      <c r="F176" s="33" t="n">
        <v>46029.4361111111</v>
      </c>
      <c r="G176" s="34" t="n">
        <f aca="false">F176-E176</f>
        <v>0.00902777777777778</v>
      </c>
      <c r="H176" s="39" t="s">
        <v>252</v>
      </c>
      <c r="J176" s="39" t="s">
        <v>253</v>
      </c>
      <c r="K176" s="32" t="e">
        <f aca="false">_xlfn.xlookup(J176,[1]REF!$D$2:$D$12,[1]REF!$E$2:$E$12)</f>
        <v>#NAME?</v>
      </c>
      <c r="L176" s="32" t="s">
        <v>267</v>
      </c>
      <c r="M176" s="39" t="s">
        <v>255</v>
      </c>
      <c r="N176" s="39" t="s">
        <v>268</v>
      </c>
      <c r="O176" s="32" t="s">
        <v>269</v>
      </c>
      <c r="P176" s="40" t="str">
        <f aca="false">_xlfn.CONCAT(B176,C176,D176,E176,F176)</f>
        <v>BC Aracu5.2Inverter(MBUS-1)46029.427083333346029.427083333346029.4361111111</v>
      </c>
      <c r="Q176" s="32" t="str">
        <f aca="false">_xlfn.CONCAT(H176,I176,J176)</f>
        <v>DAURDE</v>
      </c>
    </row>
    <row r="177" customFormat="false" ht="15" hidden="false" customHeight="false" outlineLevel="0" collapsed="false">
      <c r="B177" s="32" t="s">
        <v>271</v>
      </c>
      <c r="C177" s="32" t="s">
        <v>265</v>
      </c>
      <c r="D177" s="33" t="n">
        <v>46029.4270833333</v>
      </c>
      <c r="E177" s="33" t="n">
        <v>46029.4270833333</v>
      </c>
      <c r="F177" s="33" t="n">
        <v>46029.4361111111</v>
      </c>
      <c r="G177" s="34" t="n">
        <f aca="false">F177-E177</f>
        <v>0.00902777777777778</v>
      </c>
      <c r="H177" s="39" t="s">
        <v>252</v>
      </c>
      <c r="J177" s="39" t="s">
        <v>253</v>
      </c>
      <c r="K177" s="32" t="e">
        <f aca="false">_xlfn.xlookup(J177,[1]REF!$D$2:$D$12,[1]REF!$E$2:$E$12)</f>
        <v>#NAME?</v>
      </c>
      <c r="L177" s="32" t="s">
        <v>267</v>
      </c>
      <c r="M177" s="39" t="s">
        <v>255</v>
      </c>
      <c r="N177" s="39" t="s">
        <v>268</v>
      </c>
      <c r="O177" s="32" t="s">
        <v>269</v>
      </c>
      <c r="P177" s="40" t="str">
        <f aca="false">_xlfn.CONCAT(B177,C177,D177,E177,F177)</f>
        <v>BC Aracu5.3Inverter(MBUS-1)46029.427083333346029.427083333346029.4361111111</v>
      </c>
      <c r="Q177" s="32" t="str">
        <f aca="false">_xlfn.CONCAT(H177,I177,J177)</f>
        <v>DAURDE</v>
      </c>
    </row>
    <row r="178" customFormat="false" ht="15" hidden="false" customHeight="false" outlineLevel="0" collapsed="false">
      <c r="B178" s="32" t="s">
        <v>272</v>
      </c>
      <c r="C178" s="32" t="s">
        <v>265</v>
      </c>
      <c r="D178" s="33" t="n">
        <v>46029.4270833333</v>
      </c>
      <c r="E178" s="33" t="n">
        <v>46029.4270833333</v>
      </c>
      <c r="F178" s="33" t="n">
        <v>46029.4361111111</v>
      </c>
      <c r="G178" s="34" t="n">
        <f aca="false">F178-E178</f>
        <v>0.00902777777777778</v>
      </c>
      <c r="H178" s="39" t="s">
        <v>252</v>
      </c>
      <c r="J178" s="39" t="s">
        <v>253</v>
      </c>
      <c r="K178" s="32" t="e">
        <f aca="false">_xlfn.xlookup(J178,[1]REF!$D$2:$D$12,[1]REF!$E$2:$E$12)</f>
        <v>#NAME?</v>
      </c>
      <c r="L178" s="32" t="s">
        <v>267</v>
      </c>
      <c r="M178" s="39" t="s">
        <v>255</v>
      </c>
      <c r="N178" s="39" t="s">
        <v>268</v>
      </c>
      <c r="O178" s="32" t="s">
        <v>269</v>
      </c>
      <c r="P178" s="40" t="str">
        <f aca="false">_xlfn.CONCAT(B178,C178,D178,E178,F178)</f>
        <v>BC Aracu5.4Inverter(MBUS-1)46029.427083333346029.427083333346029.4361111111</v>
      </c>
      <c r="Q178" s="32" t="str">
        <f aca="false">_xlfn.CONCAT(H178,I178,J178)</f>
        <v>DAURDE</v>
      </c>
    </row>
    <row r="179" customFormat="false" ht="15" hidden="false" customHeight="false" outlineLevel="0" collapsed="false">
      <c r="B179" s="32" t="s">
        <v>273</v>
      </c>
      <c r="C179" s="32" t="s">
        <v>265</v>
      </c>
      <c r="D179" s="33" t="n">
        <v>46029.4270833333</v>
      </c>
      <c r="E179" s="33" t="n">
        <v>46029.4270833333</v>
      </c>
      <c r="F179" s="33" t="n">
        <v>46029.4361111111</v>
      </c>
      <c r="G179" s="34" t="n">
        <f aca="false">F179-E179</f>
        <v>0.00902777777777778</v>
      </c>
      <c r="H179" s="39" t="s">
        <v>252</v>
      </c>
      <c r="J179" s="39" t="s">
        <v>253</v>
      </c>
      <c r="K179" s="32" t="e">
        <f aca="false">_xlfn.xlookup(J179,[1]REF!$D$2:$D$12,[1]REF!$E$2:$E$12)</f>
        <v>#NAME?</v>
      </c>
      <c r="L179" s="32" t="s">
        <v>267</v>
      </c>
      <c r="M179" s="39" t="s">
        <v>255</v>
      </c>
      <c r="N179" s="39" t="s">
        <v>268</v>
      </c>
      <c r="O179" s="32" t="s">
        <v>269</v>
      </c>
      <c r="P179" s="40" t="str">
        <f aca="false">_xlfn.CONCAT(B179,C179,D179,E179,F179)</f>
        <v>BC Aracu5.5Inverter(MBUS-1)46029.427083333346029.427083333346029.4361111111</v>
      </c>
      <c r="Q179" s="32" t="str">
        <f aca="false">_xlfn.CONCAT(H179,I179,J179)</f>
        <v>DAURDE</v>
      </c>
    </row>
    <row r="180" customFormat="false" ht="15" hidden="false" customHeight="false" outlineLevel="0" collapsed="false">
      <c r="B180" s="32" t="s">
        <v>323</v>
      </c>
      <c r="C180" s="32" t="s">
        <v>324</v>
      </c>
      <c r="D180" s="33" t="n">
        <v>46029.6736111111</v>
      </c>
      <c r="E180" s="33" t="n">
        <v>46029.6736111111</v>
      </c>
      <c r="F180" s="33" t="n">
        <v>46030.4166666667</v>
      </c>
      <c r="G180" s="34" t="n">
        <f aca="false">F180-E180</f>
        <v>0.743055555555556</v>
      </c>
      <c r="H180" s="39" t="s">
        <v>252</v>
      </c>
      <c r="J180" s="39" t="s">
        <v>253</v>
      </c>
      <c r="K180" s="32" t="s">
        <v>266</v>
      </c>
      <c r="L180" s="32" t="s">
        <v>408</v>
      </c>
      <c r="M180" s="39" t="s">
        <v>255</v>
      </c>
      <c r="N180" s="39" t="s">
        <v>268</v>
      </c>
      <c r="O180" s="32" t="s">
        <v>269</v>
      </c>
      <c r="P180" s="40" t="str">
        <f aca="false">_xlfn.CONCAT(B180,C180,D180,E180,F180)</f>
        <v>BC Ibiuna 1.1Inverter(MBUS-12)46029.673611111146029.673611111146030.4166666667</v>
      </c>
      <c r="Q180" s="32" t="str">
        <f aca="false">_xlfn.CONCAT(H180,I180,J180)</f>
        <v>DAURDE</v>
      </c>
    </row>
    <row r="181" customFormat="false" ht="15" hidden="false" customHeight="false" outlineLevel="0" collapsed="false">
      <c r="B181" s="32" t="s">
        <v>323</v>
      </c>
      <c r="C181" s="32" t="s">
        <v>326</v>
      </c>
      <c r="D181" s="33" t="n">
        <v>46029.6736111111</v>
      </c>
      <c r="E181" s="33" t="n">
        <v>46029.6736111111</v>
      </c>
      <c r="F181" s="33" t="n">
        <v>46030.4166666667</v>
      </c>
      <c r="G181" s="34" t="n">
        <f aca="false">F181-E181</f>
        <v>0.743055555555556</v>
      </c>
      <c r="H181" s="39" t="s">
        <v>252</v>
      </c>
      <c r="J181" s="39" t="s">
        <v>253</v>
      </c>
      <c r="K181" s="32" t="s">
        <v>266</v>
      </c>
      <c r="L181" s="32" t="s">
        <v>408</v>
      </c>
      <c r="M181" s="39" t="s">
        <v>255</v>
      </c>
      <c r="N181" s="39" t="s">
        <v>268</v>
      </c>
      <c r="O181" s="32" t="s">
        <v>269</v>
      </c>
      <c r="P181" s="40" t="str">
        <f aca="false">_xlfn.CONCAT(B181,C181,D181,E181,F181)</f>
        <v>BC Ibiuna 1.1Inverter(MBUS-13)46029.673611111146029.673611111146030.4166666667</v>
      </c>
      <c r="Q181" s="32" t="str">
        <f aca="false">_xlfn.CONCAT(H181,I181,J181)</f>
        <v>DAURDE</v>
      </c>
    </row>
    <row r="182" customFormat="false" ht="15" hidden="false" customHeight="false" outlineLevel="0" collapsed="false">
      <c r="B182" s="32" t="s">
        <v>323</v>
      </c>
      <c r="C182" s="32" t="s">
        <v>327</v>
      </c>
      <c r="D182" s="33" t="n">
        <v>46029.6736111111</v>
      </c>
      <c r="E182" s="33" t="n">
        <v>46029.6736111111</v>
      </c>
      <c r="F182" s="33" t="n">
        <v>46030.4166666667</v>
      </c>
      <c r="G182" s="34" t="n">
        <f aca="false">F182-E182</f>
        <v>0.743055555555556</v>
      </c>
      <c r="H182" s="39" t="s">
        <v>252</v>
      </c>
      <c r="J182" s="39" t="s">
        <v>253</v>
      </c>
      <c r="K182" s="32" t="s">
        <v>266</v>
      </c>
      <c r="L182" s="32" t="s">
        <v>408</v>
      </c>
      <c r="M182" s="39" t="s">
        <v>255</v>
      </c>
      <c r="N182" s="39" t="s">
        <v>268</v>
      </c>
      <c r="O182" s="32" t="s">
        <v>269</v>
      </c>
      <c r="P182" s="40" t="str">
        <f aca="false">_xlfn.CONCAT(B182,C182,D182,E182,F182)</f>
        <v>BC Ibiuna 1.1Inverter(MBUS-14)46029.673611111146029.673611111146030.4166666667</v>
      </c>
      <c r="Q182" s="32" t="str">
        <f aca="false">_xlfn.CONCAT(H182,I182,J182)</f>
        <v>DAURDE</v>
      </c>
    </row>
    <row r="183" customFormat="false" ht="15" hidden="false" customHeight="false" outlineLevel="0" collapsed="false">
      <c r="B183" s="32" t="s">
        <v>323</v>
      </c>
      <c r="C183" s="32" t="s">
        <v>328</v>
      </c>
      <c r="D183" s="33" t="n">
        <v>46029.6736111111</v>
      </c>
      <c r="E183" s="33" t="n">
        <v>46029.6736111111</v>
      </c>
      <c r="F183" s="33" t="n">
        <v>46030.4166666667</v>
      </c>
      <c r="G183" s="34" t="n">
        <f aca="false">F183-E183</f>
        <v>0.743055555555556</v>
      </c>
      <c r="H183" s="39" t="s">
        <v>252</v>
      </c>
      <c r="J183" s="39" t="s">
        <v>253</v>
      </c>
      <c r="K183" s="32" t="s">
        <v>266</v>
      </c>
      <c r="L183" s="32" t="s">
        <v>408</v>
      </c>
      <c r="M183" s="39" t="s">
        <v>255</v>
      </c>
      <c r="N183" s="39" t="s">
        <v>268</v>
      </c>
      <c r="O183" s="32" t="s">
        <v>269</v>
      </c>
      <c r="P183" s="40" t="str">
        <f aca="false">_xlfn.CONCAT(B183,C183,D183,E183,F183)</f>
        <v>BC Ibiuna 1.1Inverter(MBUS-15)46029.673611111146029.673611111146030.4166666667</v>
      </c>
      <c r="Q183" s="32" t="str">
        <f aca="false">_xlfn.CONCAT(H183,I183,J183)</f>
        <v>DAURDE</v>
      </c>
    </row>
    <row r="184" customFormat="false" ht="15" hidden="false" customHeight="false" outlineLevel="0" collapsed="false">
      <c r="B184" s="32" t="s">
        <v>329</v>
      </c>
      <c r="C184" s="32" t="s">
        <v>324</v>
      </c>
      <c r="D184" s="33" t="n">
        <v>46029.6736111111</v>
      </c>
      <c r="E184" s="33" t="n">
        <v>46029.6736111111</v>
      </c>
      <c r="F184" s="33" t="n">
        <v>46030.4166666667</v>
      </c>
      <c r="G184" s="34" t="n">
        <f aca="false">F184-E184</f>
        <v>0.743055555555556</v>
      </c>
      <c r="H184" s="39" t="s">
        <v>252</v>
      </c>
      <c r="J184" s="39" t="s">
        <v>253</v>
      </c>
      <c r="K184" s="32" t="s">
        <v>266</v>
      </c>
      <c r="L184" s="32" t="s">
        <v>409</v>
      </c>
      <c r="M184" s="39" t="s">
        <v>255</v>
      </c>
      <c r="N184" s="39" t="s">
        <v>268</v>
      </c>
      <c r="O184" s="32" t="s">
        <v>269</v>
      </c>
      <c r="P184" s="40" t="str">
        <f aca="false">_xlfn.CONCAT(B184,C184,D184,E184,F184)</f>
        <v>BC Ibiuna 1.2Inverter(MBUS-12)46029.673611111146029.673611111146030.4166666667</v>
      </c>
      <c r="Q184" s="32" t="str">
        <f aca="false">_xlfn.CONCAT(H184,I184,J184)</f>
        <v>DAURDE</v>
      </c>
    </row>
    <row r="185" customFormat="false" ht="15" hidden="false" customHeight="false" outlineLevel="0" collapsed="false">
      <c r="B185" s="32" t="s">
        <v>329</v>
      </c>
      <c r="C185" s="32" t="s">
        <v>326</v>
      </c>
      <c r="D185" s="33" t="n">
        <v>46029.6736111111</v>
      </c>
      <c r="E185" s="33" t="n">
        <v>46029.6736111111</v>
      </c>
      <c r="F185" s="33" t="n">
        <v>46030.4166666667</v>
      </c>
      <c r="G185" s="34" t="n">
        <f aca="false">F185-E185</f>
        <v>0.743055555555556</v>
      </c>
      <c r="H185" s="39" t="s">
        <v>252</v>
      </c>
      <c r="J185" s="39" t="s">
        <v>253</v>
      </c>
      <c r="K185" s="32" t="s">
        <v>266</v>
      </c>
      <c r="L185" s="32" t="s">
        <v>409</v>
      </c>
      <c r="M185" s="39" t="s">
        <v>255</v>
      </c>
      <c r="N185" s="39" t="s">
        <v>268</v>
      </c>
      <c r="O185" s="32" t="s">
        <v>269</v>
      </c>
      <c r="P185" s="40" t="str">
        <f aca="false">_xlfn.CONCAT(B185,C185,D185,E185,F185)</f>
        <v>BC Ibiuna 1.2Inverter(MBUS-13)46029.673611111146029.673611111146030.4166666667</v>
      </c>
      <c r="Q185" s="32" t="str">
        <f aca="false">_xlfn.CONCAT(H185,I185,J185)</f>
        <v>DAURDE</v>
      </c>
    </row>
    <row r="186" customFormat="false" ht="15" hidden="false" customHeight="false" outlineLevel="0" collapsed="false">
      <c r="B186" s="32" t="s">
        <v>329</v>
      </c>
      <c r="C186" s="32" t="s">
        <v>327</v>
      </c>
      <c r="D186" s="33" t="n">
        <v>46029.6736111111</v>
      </c>
      <c r="E186" s="33" t="n">
        <v>46029.6736111111</v>
      </c>
      <c r="F186" s="33" t="n">
        <v>46030.4166666667</v>
      </c>
      <c r="G186" s="34" t="n">
        <f aca="false">F186-E186</f>
        <v>0.743055555555556</v>
      </c>
      <c r="H186" s="39" t="s">
        <v>252</v>
      </c>
      <c r="J186" s="39" t="s">
        <v>253</v>
      </c>
      <c r="K186" s="32" t="s">
        <v>266</v>
      </c>
      <c r="L186" s="32" t="s">
        <v>409</v>
      </c>
      <c r="M186" s="39" t="s">
        <v>255</v>
      </c>
      <c r="N186" s="39" t="s">
        <v>268</v>
      </c>
      <c r="O186" s="32" t="s">
        <v>269</v>
      </c>
      <c r="P186" s="40" t="str">
        <f aca="false">_xlfn.CONCAT(B186,C186,D186,E186,F186)</f>
        <v>BC Ibiuna 1.2Inverter(MBUS-14)46029.673611111146029.673611111146030.4166666667</v>
      </c>
      <c r="Q186" s="32" t="str">
        <f aca="false">_xlfn.CONCAT(H186,I186,J186)</f>
        <v>DAURDE</v>
      </c>
    </row>
    <row r="187" customFormat="false" ht="15" hidden="false" customHeight="false" outlineLevel="0" collapsed="false">
      <c r="B187" s="32" t="s">
        <v>329</v>
      </c>
      <c r="C187" s="32" t="s">
        <v>328</v>
      </c>
      <c r="D187" s="33" t="n">
        <v>46029.6736111111</v>
      </c>
      <c r="E187" s="33" t="n">
        <v>46029.6736111111</v>
      </c>
      <c r="F187" s="33" t="n">
        <v>46030.4166666667</v>
      </c>
      <c r="G187" s="34" t="n">
        <f aca="false">F187-E187</f>
        <v>0.743055555555556</v>
      </c>
      <c r="H187" s="39" t="s">
        <v>252</v>
      </c>
      <c r="J187" s="39" t="s">
        <v>253</v>
      </c>
      <c r="K187" s="32" t="s">
        <v>266</v>
      </c>
      <c r="L187" s="32" t="s">
        <v>409</v>
      </c>
      <c r="M187" s="39" t="s">
        <v>255</v>
      </c>
      <c r="N187" s="39" t="s">
        <v>268</v>
      </c>
      <c r="O187" s="32" t="s">
        <v>269</v>
      </c>
      <c r="P187" s="40" t="str">
        <f aca="false">_xlfn.CONCAT(B187,C187,D187,E187,F187)</f>
        <v>BC Ibiuna 1.2Inverter(MBUS-15)46029.673611111146029.673611111146030.4166666667</v>
      </c>
      <c r="Q187" s="32" t="str">
        <f aca="false">_xlfn.CONCAT(H187,I187,J187)</f>
        <v>DAURDE</v>
      </c>
    </row>
    <row r="188" customFormat="false" ht="15" hidden="false" customHeight="false" outlineLevel="0" collapsed="false">
      <c r="B188" s="32" t="s">
        <v>410</v>
      </c>
      <c r="C188" s="32" t="s">
        <v>411</v>
      </c>
      <c r="D188" s="33" t="n">
        <v>46029.7090277778</v>
      </c>
      <c r="E188" s="33" t="n">
        <v>46029.7090277778</v>
      </c>
      <c r="F188" s="33" t="n">
        <v>46029.7708333333</v>
      </c>
      <c r="G188" s="34" t="n">
        <f aca="false">F188-E188</f>
        <v>0.0618055555555556</v>
      </c>
      <c r="H188" s="39" t="s">
        <v>283</v>
      </c>
      <c r="I188" s="32" t="s">
        <v>284</v>
      </c>
      <c r="J188" s="39" t="s">
        <v>285</v>
      </c>
      <c r="K188" s="32" t="e">
        <f aca="false">_xlfn.xlookup(J188,[1]REF!$D$2:$D$12,[1]REF!$E$2:$E$12)</f>
        <v>#NAME?</v>
      </c>
      <c r="L188" s="32" t="s">
        <v>412</v>
      </c>
      <c r="M188" s="39" t="s">
        <v>386</v>
      </c>
      <c r="N188" s="39" t="s">
        <v>289</v>
      </c>
      <c r="O188" s="32" t="s">
        <v>413</v>
      </c>
      <c r="P188" s="40" t="str">
        <f aca="false">_xlfn.CONCAT(B188,C188,D189,E188,F188)</f>
        <v>BC Varjao2.1215KTL-H0(MBUS-12)46029.709027777846029.709027777846029.7708333333</v>
      </c>
      <c r="Q188" s="32" t="str">
        <f aca="false">_xlfn.CONCAT(H188,I188,J188)</f>
        <v>LIGRFOCOM</v>
      </c>
    </row>
    <row r="189" customFormat="false" ht="15" hidden="false" customHeight="false" outlineLevel="0" collapsed="false">
      <c r="B189" s="32" t="s">
        <v>410</v>
      </c>
      <c r="C189" s="32" t="s">
        <v>414</v>
      </c>
      <c r="D189" s="33" t="n">
        <v>46029.7090277778</v>
      </c>
      <c r="E189" s="33" t="n">
        <v>46029.7090277778</v>
      </c>
      <c r="F189" s="33" t="n">
        <v>46029.7708333333</v>
      </c>
      <c r="G189" s="34" t="n">
        <f aca="false">F189-E189</f>
        <v>0.0618055555555556</v>
      </c>
      <c r="H189" s="39" t="s">
        <v>283</v>
      </c>
      <c r="I189" s="32" t="s">
        <v>284</v>
      </c>
      <c r="J189" s="39" t="s">
        <v>285</v>
      </c>
      <c r="K189" s="32" t="e">
        <f aca="false">_xlfn.xlookup(J189,[1]REF!$D$2:$D$12,[1]REF!$E$2:$E$12)</f>
        <v>#NAME?</v>
      </c>
      <c r="L189" s="32" t="s">
        <v>412</v>
      </c>
      <c r="M189" s="39" t="s">
        <v>386</v>
      </c>
      <c r="N189" s="39" t="s">
        <v>289</v>
      </c>
      <c r="O189" s="32" t="s">
        <v>413</v>
      </c>
      <c r="P189" s="40" t="str">
        <f aca="false">_xlfn.CONCAT(B189,C189,D190,E189,F189)</f>
        <v>BC Varjao2.1215KTL-H0(MBUS-13)46029.709027777846029.709027777846029.7708333333</v>
      </c>
      <c r="Q189" s="32" t="str">
        <f aca="false">_xlfn.CONCAT(H189,I189,J189)</f>
        <v>LIGRFOCOM</v>
      </c>
    </row>
    <row r="190" customFormat="false" ht="15" hidden="false" customHeight="false" outlineLevel="0" collapsed="false">
      <c r="B190" s="32" t="s">
        <v>410</v>
      </c>
      <c r="C190" s="32" t="s">
        <v>415</v>
      </c>
      <c r="D190" s="33" t="n">
        <v>46029.7090277778</v>
      </c>
      <c r="E190" s="33" t="n">
        <v>46029.7090277778</v>
      </c>
      <c r="F190" s="33" t="n">
        <v>46029.7708333333</v>
      </c>
      <c r="G190" s="34" t="n">
        <f aca="false">F190-E190</f>
        <v>0.0618055555555556</v>
      </c>
      <c r="H190" s="39" t="s">
        <v>283</v>
      </c>
      <c r="I190" s="32" t="s">
        <v>284</v>
      </c>
      <c r="J190" s="39" t="s">
        <v>285</v>
      </c>
      <c r="K190" s="32" t="e">
        <f aca="false">_xlfn.xlookup(J190,[1]REF!$D$2:$D$12,[1]REF!$E$2:$E$12)</f>
        <v>#NAME?</v>
      </c>
      <c r="L190" s="32" t="s">
        <v>412</v>
      </c>
      <c r="M190" s="39" t="s">
        <v>386</v>
      </c>
      <c r="N190" s="39" t="s">
        <v>289</v>
      </c>
      <c r="O190" s="32" t="s">
        <v>413</v>
      </c>
      <c r="P190" s="40" t="str">
        <f aca="false">_xlfn.CONCAT(B190,C190,D191,E190,F190)</f>
        <v>BC Varjao2.1215KTL-H0(MBUS-14)46029.709027777846029.709027777846029.7708333333</v>
      </c>
      <c r="Q190" s="32" t="str">
        <f aca="false">_xlfn.CONCAT(H190,I190,J190)</f>
        <v>LIGRFOCOM</v>
      </c>
    </row>
    <row r="191" customFormat="false" ht="15" hidden="false" customHeight="false" outlineLevel="0" collapsed="false">
      <c r="B191" s="32" t="s">
        <v>410</v>
      </c>
      <c r="C191" s="32" t="s">
        <v>416</v>
      </c>
      <c r="D191" s="33" t="n">
        <v>46029.7090277778</v>
      </c>
      <c r="E191" s="33" t="n">
        <v>46029.7090277778</v>
      </c>
      <c r="F191" s="33" t="n">
        <v>46029.7708333333</v>
      </c>
      <c r="G191" s="34" t="n">
        <f aca="false">F191-E191</f>
        <v>0.0618055555555556</v>
      </c>
      <c r="H191" s="39" t="s">
        <v>283</v>
      </c>
      <c r="I191" s="32" t="s">
        <v>284</v>
      </c>
      <c r="J191" s="39" t="s">
        <v>285</v>
      </c>
      <c r="K191" s="32" t="e">
        <f aca="false">_xlfn.xlookup(J191,[1]REF!$D$2:$D$12,[1]REF!$E$2:$E$12)</f>
        <v>#NAME?</v>
      </c>
      <c r="L191" s="32" t="s">
        <v>412</v>
      </c>
      <c r="M191" s="39" t="s">
        <v>386</v>
      </c>
      <c r="N191" s="39" t="s">
        <v>289</v>
      </c>
      <c r="O191" s="32" t="s">
        <v>413</v>
      </c>
      <c r="P191" s="40" t="str">
        <f aca="false">_xlfn.CONCAT(B191,C191,D192,E191,F191)</f>
        <v>BC Varjao2.1215KTL-H0(MBUS-15)46029.709027777846029.709027777846029.7708333333</v>
      </c>
      <c r="Q191" s="32" t="str">
        <f aca="false">_xlfn.CONCAT(H191,I191,J191)</f>
        <v>LIGRFOCOM</v>
      </c>
    </row>
    <row r="192" customFormat="false" ht="15" hidden="false" customHeight="false" outlineLevel="0" collapsed="false">
      <c r="B192" s="32" t="s">
        <v>410</v>
      </c>
      <c r="C192" s="32" t="s">
        <v>417</v>
      </c>
      <c r="D192" s="33" t="n">
        <v>46029.7090277778</v>
      </c>
      <c r="E192" s="33" t="n">
        <v>46029.7090277778</v>
      </c>
      <c r="F192" s="33" t="n">
        <v>46029.7708333333</v>
      </c>
      <c r="G192" s="34" t="n">
        <f aca="false">F192-E192</f>
        <v>0.0618055555555556</v>
      </c>
      <c r="H192" s="39" t="s">
        <v>283</v>
      </c>
      <c r="I192" s="32" t="s">
        <v>284</v>
      </c>
      <c r="J192" s="39" t="s">
        <v>285</v>
      </c>
      <c r="K192" s="32" t="e">
        <f aca="false">_xlfn.xlookup(J192,[1]REF!$D$2:$D$12,[1]REF!$E$2:$E$12)</f>
        <v>#NAME?</v>
      </c>
      <c r="L192" s="32" t="s">
        <v>412</v>
      </c>
      <c r="M192" s="39" t="s">
        <v>386</v>
      </c>
      <c r="N192" s="39" t="s">
        <v>289</v>
      </c>
      <c r="O192" s="32" t="s">
        <v>413</v>
      </c>
      <c r="P192" s="40" t="str">
        <f aca="false">_xlfn.CONCAT(B192,C192,D193,E192,F192)</f>
        <v>BC Varjao2.1215KTL-H0(MBUS-16)46029.709027777846029.709027777846029.7708333333</v>
      </c>
      <c r="Q192" s="32" t="str">
        <f aca="false">_xlfn.CONCAT(H192,I192,J192)</f>
        <v>LIGRFOCOM</v>
      </c>
    </row>
    <row r="193" customFormat="false" ht="15" hidden="false" customHeight="false" outlineLevel="0" collapsed="false">
      <c r="B193" s="32" t="s">
        <v>418</v>
      </c>
      <c r="C193" s="32" t="s">
        <v>414</v>
      </c>
      <c r="D193" s="33" t="n">
        <v>46029.7090277778</v>
      </c>
      <c r="E193" s="33" t="n">
        <v>46029.7090277778</v>
      </c>
      <c r="F193" s="33" t="n">
        <v>46029.7708333333</v>
      </c>
      <c r="G193" s="34" t="n">
        <f aca="false">F193-E193</f>
        <v>0.0618055555555556</v>
      </c>
      <c r="H193" s="39" t="s">
        <v>283</v>
      </c>
      <c r="I193" s="32" t="s">
        <v>284</v>
      </c>
      <c r="J193" s="39" t="s">
        <v>285</v>
      </c>
      <c r="K193" s="32" t="e">
        <f aca="false">_xlfn.xlookup(J193,[1]REF!$D$2:$D$12,[1]REF!$E$2:$E$12)</f>
        <v>#NAME?</v>
      </c>
      <c r="L193" s="32" t="s">
        <v>412</v>
      </c>
      <c r="M193" s="39" t="s">
        <v>386</v>
      </c>
      <c r="N193" s="39" t="s">
        <v>289</v>
      </c>
      <c r="O193" s="32" t="s">
        <v>413</v>
      </c>
      <c r="P193" s="40" t="str">
        <f aca="false">_xlfn.CONCAT(B193,C193,D194,E193,F193)</f>
        <v>BC Varjao2.2215KTL-H0(MBUS-13)46029.709027777846029.709027777846029.7708333333</v>
      </c>
      <c r="Q193" s="32" t="str">
        <f aca="false">_xlfn.CONCAT(H193,I193,J193)</f>
        <v>LIGRFOCOM</v>
      </c>
    </row>
    <row r="194" customFormat="false" ht="15" hidden="false" customHeight="false" outlineLevel="0" collapsed="false">
      <c r="B194" s="32" t="s">
        <v>418</v>
      </c>
      <c r="C194" s="32" t="s">
        <v>415</v>
      </c>
      <c r="D194" s="33" t="n">
        <v>46029.7090277778</v>
      </c>
      <c r="E194" s="33" t="n">
        <v>46029.7090277778</v>
      </c>
      <c r="F194" s="33" t="n">
        <v>46029.7708333333</v>
      </c>
      <c r="G194" s="34" t="n">
        <f aca="false">F194-E194</f>
        <v>0.0618055555555556</v>
      </c>
      <c r="H194" s="39" t="s">
        <v>283</v>
      </c>
      <c r="I194" s="32" t="s">
        <v>284</v>
      </c>
      <c r="J194" s="39" t="s">
        <v>285</v>
      </c>
      <c r="K194" s="32" t="e">
        <f aca="false">_xlfn.xlookup(J194,[1]REF!$D$2:$D$12,[1]REF!$E$2:$E$12)</f>
        <v>#NAME?</v>
      </c>
      <c r="L194" s="32" t="s">
        <v>412</v>
      </c>
      <c r="M194" s="39" t="s">
        <v>386</v>
      </c>
      <c r="N194" s="39" t="s">
        <v>289</v>
      </c>
      <c r="O194" s="32" t="s">
        <v>413</v>
      </c>
      <c r="P194" s="40" t="str">
        <f aca="false">_xlfn.CONCAT(B194,C194,D195,E194,F194)</f>
        <v>BC Varjao2.2215KTL-H0(MBUS-14)46029.709027777846029.709027777846029.7708333333</v>
      </c>
      <c r="Q194" s="32" t="str">
        <f aca="false">_xlfn.CONCAT(H194,I194,J194)</f>
        <v>LIGRFOCOM</v>
      </c>
    </row>
    <row r="195" customFormat="false" ht="15" hidden="false" customHeight="false" outlineLevel="0" collapsed="false">
      <c r="B195" s="32" t="s">
        <v>418</v>
      </c>
      <c r="C195" s="32" t="s">
        <v>416</v>
      </c>
      <c r="D195" s="33" t="n">
        <v>46029.7090277778</v>
      </c>
      <c r="E195" s="33" t="n">
        <v>46029.7090277778</v>
      </c>
      <c r="F195" s="33" t="n">
        <v>46029.7708333333</v>
      </c>
      <c r="G195" s="34" t="n">
        <f aca="false">F195-E195</f>
        <v>0.0618055555555556</v>
      </c>
      <c r="H195" s="39" t="s">
        <v>283</v>
      </c>
      <c r="I195" s="32" t="s">
        <v>284</v>
      </c>
      <c r="J195" s="39" t="s">
        <v>285</v>
      </c>
      <c r="K195" s="32" t="e">
        <f aca="false">_xlfn.xlookup(J195,[1]REF!$D$2:$D$12,[1]REF!$E$2:$E$12)</f>
        <v>#NAME?</v>
      </c>
      <c r="L195" s="32" t="s">
        <v>412</v>
      </c>
      <c r="M195" s="39" t="s">
        <v>386</v>
      </c>
      <c r="N195" s="39" t="s">
        <v>289</v>
      </c>
      <c r="O195" s="32" t="s">
        <v>413</v>
      </c>
      <c r="P195" s="40" t="str">
        <f aca="false">_xlfn.CONCAT(B195,C195,D196,E195,F195)</f>
        <v>BC Varjao2.2215KTL-H0(MBUS-15)46029.709027777846029.709027777846029.7708333333</v>
      </c>
      <c r="Q195" s="32" t="str">
        <f aca="false">_xlfn.CONCAT(H195,I195,J195)</f>
        <v>LIGRFOCOM</v>
      </c>
    </row>
    <row r="196" customFormat="false" ht="15" hidden="false" customHeight="false" outlineLevel="0" collapsed="false">
      <c r="B196" s="32" t="s">
        <v>418</v>
      </c>
      <c r="C196" s="32" t="s">
        <v>417</v>
      </c>
      <c r="D196" s="33" t="n">
        <v>46029.7090277778</v>
      </c>
      <c r="E196" s="33" t="n">
        <v>46029.7090277778</v>
      </c>
      <c r="F196" s="33" t="n">
        <v>46029.7708333333</v>
      </c>
      <c r="G196" s="34" t="n">
        <f aca="false">F196-E196</f>
        <v>0.0618055555555556</v>
      </c>
      <c r="H196" s="39" t="s">
        <v>283</v>
      </c>
      <c r="I196" s="32" t="s">
        <v>284</v>
      </c>
      <c r="J196" s="39" t="s">
        <v>285</v>
      </c>
      <c r="K196" s="32" t="e">
        <f aca="false">_xlfn.xlookup(J196,[1]REF!$D$2:$D$12,[1]REF!$E$2:$E$12)</f>
        <v>#NAME?</v>
      </c>
      <c r="L196" s="32" t="s">
        <v>412</v>
      </c>
      <c r="M196" s="39" t="s">
        <v>386</v>
      </c>
      <c r="N196" s="39" t="s">
        <v>289</v>
      </c>
      <c r="O196" s="32" t="s">
        <v>413</v>
      </c>
      <c r="P196" s="40" t="str">
        <f aca="false">_xlfn.CONCAT(B196,C196,D197,E196,F196)</f>
        <v>BC Varjao2.2215KTL-H0(MBUS-16)46029.709027777846029.709027777846029.7708333333</v>
      </c>
      <c r="Q196" s="32" t="str">
        <f aca="false">_xlfn.CONCAT(H196,I196,J196)</f>
        <v>LIGRFOCOM</v>
      </c>
    </row>
    <row r="197" customFormat="false" ht="15" hidden="false" customHeight="false" outlineLevel="0" collapsed="false">
      <c r="B197" s="32" t="s">
        <v>418</v>
      </c>
      <c r="C197" s="32" t="s">
        <v>411</v>
      </c>
      <c r="D197" s="33" t="n">
        <v>46029.7090277778</v>
      </c>
      <c r="E197" s="33" t="n">
        <v>46029.7090277778</v>
      </c>
      <c r="F197" s="33" t="n">
        <v>46029.7708333333</v>
      </c>
      <c r="G197" s="34" t="n">
        <f aca="false">F197-E197</f>
        <v>0.0618055555555556</v>
      </c>
      <c r="H197" s="39" t="s">
        <v>283</v>
      </c>
      <c r="I197" s="32" t="s">
        <v>284</v>
      </c>
      <c r="J197" s="39" t="s">
        <v>285</v>
      </c>
      <c r="K197" s="32" t="e">
        <f aca="false">_xlfn.xlookup(J197,[1]REF!$D$2:$D$12,[1]REF!$E$2:$E$12)</f>
        <v>#NAME?</v>
      </c>
      <c r="L197" s="32" t="s">
        <v>412</v>
      </c>
      <c r="M197" s="39" t="s">
        <v>386</v>
      </c>
      <c r="N197" s="39" t="s">
        <v>289</v>
      </c>
      <c r="O197" s="32" t="s">
        <v>413</v>
      </c>
      <c r="P197" s="40" t="str">
        <f aca="false">_xlfn.CONCAT(B197,C197,D198,E197,F197)</f>
        <v>BC Varjao2.2215KTL-H0(MBUS-12)46029.709027777846029.709027777846029.7708333333</v>
      </c>
      <c r="Q197" s="32" t="str">
        <f aca="false">_xlfn.CONCAT(H197,I197,J197)</f>
        <v>LIGRFOCOM</v>
      </c>
    </row>
    <row r="198" customFormat="false" ht="15" hidden="false" customHeight="false" outlineLevel="0" collapsed="false">
      <c r="B198" s="32" t="s">
        <v>419</v>
      </c>
      <c r="C198" s="32" t="s">
        <v>420</v>
      </c>
      <c r="D198" s="33" t="n">
        <v>46029.7090277778</v>
      </c>
      <c r="E198" s="33" t="n">
        <v>46029.7090277778</v>
      </c>
      <c r="F198" s="33" t="n">
        <v>46029.7708333333</v>
      </c>
      <c r="G198" s="34" t="n">
        <f aca="false">F198-E198</f>
        <v>0.0618055555555556</v>
      </c>
      <c r="H198" s="39" t="s">
        <v>283</v>
      </c>
      <c r="I198" s="32" t="s">
        <v>284</v>
      </c>
      <c r="J198" s="39" t="s">
        <v>285</v>
      </c>
      <c r="K198" s="32" t="e">
        <f aca="false">_xlfn.xlookup(J198,[1]REF!$D$2:$D$12,[1]REF!$E$2:$E$12)</f>
        <v>#NAME?</v>
      </c>
      <c r="L198" s="32" t="s">
        <v>412</v>
      </c>
      <c r="M198" s="39" t="s">
        <v>386</v>
      </c>
      <c r="N198" s="39" t="s">
        <v>289</v>
      </c>
      <c r="O198" s="32" t="s">
        <v>413</v>
      </c>
      <c r="P198" s="40" t="str">
        <f aca="false">_xlfn.CONCAT(B198,C198,D199,E198,F198)</f>
        <v>BC Varjao2.3100KTL-H1(MBUS-1)46029.709027777846029.709027777846029.7708333333</v>
      </c>
      <c r="Q198" s="32" t="str">
        <f aca="false">_xlfn.CONCAT(H198,I198,J198)</f>
        <v>LIGRFOCOM</v>
      </c>
    </row>
    <row r="199" customFormat="false" ht="15" hidden="false" customHeight="false" outlineLevel="0" collapsed="false">
      <c r="B199" s="32" t="s">
        <v>419</v>
      </c>
      <c r="C199" s="32" t="s">
        <v>414</v>
      </c>
      <c r="D199" s="33" t="n">
        <v>46029.7090277778</v>
      </c>
      <c r="E199" s="33" t="n">
        <v>46029.7090277778</v>
      </c>
      <c r="F199" s="33" t="n">
        <v>46029.7708333333</v>
      </c>
      <c r="G199" s="34" t="n">
        <f aca="false">F199-E199</f>
        <v>0.0618055555555556</v>
      </c>
      <c r="H199" s="39" t="s">
        <v>283</v>
      </c>
      <c r="I199" s="32" t="s">
        <v>284</v>
      </c>
      <c r="J199" s="39" t="s">
        <v>285</v>
      </c>
      <c r="K199" s="32" t="e">
        <f aca="false">_xlfn.xlookup(J199,[1]REF!$D$2:$D$12,[1]REF!$E$2:$E$12)</f>
        <v>#NAME?</v>
      </c>
      <c r="L199" s="32" t="s">
        <v>412</v>
      </c>
      <c r="M199" s="39" t="s">
        <v>386</v>
      </c>
      <c r="N199" s="39" t="s">
        <v>289</v>
      </c>
      <c r="O199" s="32" t="s">
        <v>413</v>
      </c>
      <c r="P199" s="40" t="str">
        <f aca="false">_xlfn.CONCAT(B199,C199,D200,E199,F199)</f>
        <v>BC Varjao2.3215KTL-H0(MBUS-13)46029.709027777846029.709027777846029.7708333333</v>
      </c>
      <c r="Q199" s="32" t="str">
        <f aca="false">_xlfn.CONCAT(H199,I199,J199)</f>
        <v>LIGRFOCOM</v>
      </c>
    </row>
    <row r="200" customFormat="false" ht="15" hidden="false" customHeight="false" outlineLevel="0" collapsed="false">
      <c r="B200" s="32" t="s">
        <v>419</v>
      </c>
      <c r="C200" s="32" t="s">
        <v>411</v>
      </c>
      <c r="D200" s="33" t="n">
        <v>46029.7090277778</v>
      </c>
      <c r="E200" s="33" t="n">
        <v>46029.7090277778</v>
      </c>
      <c r="F200" s="33" t="n">
        <v>46029.7708333333</v>
      </c>
      <c r="G200" s="34" t="n">
        <f aca="false">F200-E200</f>
        <v>0.0618055555555556</v>
      </c>
      <c r="H200" s="39" t="s">
        <v>283</v>
      </c>
      <c r="I200" s="32" t="s">
        <v>284</v>
      </c>
      <c r="J200" s="39" t="s">
        <v>285</v>
      </c>
      <c r="K200" s="32" t="e">
        <f aca="false">_xlfn.xlookup(J200,[1]REF!$D$2:$D$12,[1]REF!$E$2:$E$12)</f>
        <v>#NAME?</v>
      </c>
      <c r="L200" s="32" t="s">
        <v>412</v>
      </c>
      <c r="M200" s="39" t="s">
        <v>386</v>
      </c>
      <c r="N200" s="39" t="s">
        <v>289</v>
      </c>
      <c r="O200" s="32" t="s">
        <v>413</v>
      </c>
      <c r="P200" s="40" t="str">
        <f aca="false">_xlfn.CONCAT(B200,C200,D201,E200,F200)</f>
        <v>BC Varjao2.3215KTL-H0(MBUS-12)46030.017361111146029.709027777846029.7708333333</v>
      </c>
      <c r="Q200" s="32" t="str">
        <f aca="false">_xlfn.CONCAT(H200,I200,J200)</f>
        <v>LIGRFOCOM</v>
      </c>
    </row>
    <row r="201" customFormat="false" ht="15" hidden="false" customHeight="false" outlineLevel="0" collapsed="false">
      <c r="B201" s="32" t="s">
        <v>367</v>
      </c>
      <c r="C201" s="32" t="s">
        <v>324</v>
      </c>
      <c r="D201" s="33" t="n">
        <v>46030.0173611111</v>
      </c>
      <c r="E201" s="33" t="n">
        <v>46030.0173611111</v>
      </c>
      <c r="F201" s="33" t="n">
        <v>46030.3166666667</v>
      </c>
      <c r="G201" s="34" t="n">
        <f aca="false">F201-E201</f>
        <v>0.299305555555556</v>
      </c>
      <c r="H201" s="39" t="s">
        <v>252</v>
      </c>
      <c r="J201" s="39" t="s">
        <v>253</v>
      </c>
      <c r="K201" s="32" t="s">
        <v>266</v>
      </c>
      <c r="L201" s="32" t="s">
        <v>421</v>
      </c>
      <c r="M201" s="39" t="s">
        <v>255</v>
      </c>
      <c r="N201" s="39" t="s">
        <v>268</v>
      </c>
      <c r="O201" s="32" t="s">
        <v>269</v>
      </c>
      <c r="P201" s="40" t="str">
        <f aca="false">_xlfn.CONCAT(B201,C201,D201,E201,F201)</f>
        <v>ARAGUATINS 2.1Inverter(MBUS-12)46030.017361111146030.017361111146030.3166666667</v>
      </c>
      <c r="Q201" s="32" t="str">
        <f aca="false">_xlfn.CONCAT(H201,I201,J201)</f>
        <v>DAURDE</v>
      </c>
    </row>
    <row r="202" customFormat="false" ht="15" hidden="false" customHeight="false" outlineLevel="0" collapsed="false">
      <c r="B202" s="32" t="s">
        <v>367</v>
      </c>
      <c r="C202" s="32" t="s">
        <v>328</v>
      </c>
      <c r="D202" s="33" t="n">
        <v>46030.0173611111</v>
      </c>
      <c r="E202" s="33" t="n">
        <v>46030.0173611111</v>
      </c>
      <c r="F202" s="33" t="n">
        <v>46030.3166666667</v>
      </c>
      <c r="G202" s="34" t="n">
        <f aca="false">F202-E202</f>
        <v>0.299305555555556</v>
      </c>
      <c r="H202" s="39" t="s">
        <v>252</v>
      </c>
      <c r="J202" s="39" t="s">
        <v>253</v>
      </c>
      <c r="K202" s="32" t="s">
        <v>266</v>
      </c>
      <c r="L202" s="32" t="s">
        <v>421</v>
      </c>
      <c r="M202" s="39" t="s">
        <v>255</v>
      </c>
      <c r="N202" s="39" t="s">
        <v>268</v>
      </c>
      <c r="O202" s="32" t="s">
        <v>269</v>
      </c>
      <c r="P202" s="40" t="str">
        <f aca="false">_xlfn.CONCAT(B202,C202,D202,E202,F202)</f>
        <v>ARAGUATINS 2.1Inverter(MBUS-15)46030.017361111146030.017361111146030.3166666667</v>
      </c>
      <c r="Q202" s="32" t="str">
        <f aca="false">_xlfn.CONCAT(H202,I202,J202)</f>
        <v>DAURDE</v>
      </c>
    </row>
    <row r="203" customFormat="false" ht="15" hidden="false" customHeight="false" outlineLevel="0" collapsed="false">
      <c r="B203" s="32" t="s">
        <v>367</v>
      </c>
      <c r="C203" s="32" t="s">
        <v>327</v>
      </c>
      <c r="D203" s="33" t="n">
        <v>46030.0173611111</v>
      </c>
      <c r="E203" s="33" t="n">
        <v>46030.0173611111</v>
      </c>
      <c r="F203" s="33" t="n">
        <v>46030.3166666667</v>
      </c>
      <c r="G203" s="34" t="n">
        <f aca="false">F203-E203</f>
        <v>0.299305555555556</v>
      </c>
      <c r="H203" s="39" t="s">
        <v>252</v>
      </c>
      <c r="J203" s="39" t="s">
        <v>253</v>
      </c>
      <c r="K203" s="32" t="s">
        <v>266</v>
      </c>
      <c r="L203" s="32" t="s">
        <v>421</v>
      </c>
      <c r="M203" s="39" t="s">
        <v>255</v>
      </c>
      <c r="N203" s="39" t="s">
        <v>268</v>
      </c>
      <c r="O203" s="32" t="s">
        <v>269</v>
      </c>
      <c r="P203" s="40" t="str">
        <f aca="false">_xlfn.CONCAT(B203,C203,D203,E203,F203)</f>
        <v>ARAGUATINS 2.1Inverter(MBUS-14)46030.017361111146030.017361111146030.3166666667</v>
      </c>
      <c r="Q203" s="32" t="str">
        <f aca="false">_xlfn.CONCAT(H203,I203,J203)</f>
        <v>DAURDE</v>
      </c>
    </row>
    <row r="204" customFormat="false" ht="15" hidden="false" customHeight="false" outlineLevel="0" collapsed="false">
      <c r="B204" s="32" t="s">
        <v>367</v>
      </c>
      <c r="C204" s="32" t="s">
        <v>265</v>
      </c>
      <c r="D204" s="33" t="n">
        <v>46030.0173611111</v>
      </c>
      <c r="E204" s="33" t="n">
        <v>46030.0173611111</v>
      </c>
      <c r="F204" s="33" t="n">
        <v>46030.3166666667</v>
      </c>
      <c r="G204" s="34" t="n">
        <f aca="false">F204-E204</f>
        <v>0.299305555555556</v>
      </c>
      <c r="H204" s="39" t="s">
        <v>252</v>
      </c>
      <c r="J204" s="39" t="s">
        <v>253</v>
      </c>
      <c r="K204" s="32" t="s">
        <v>266</v>
      </c>
      <c r="L204" s="32" t="s">
        <v>421</v>
      </c>
      <c r="M204" s="39" t="s">
        <v>255</v>
      </c>
      <c r="N204" s="39" t="s">
        <v>268</v>
      </c>
      <c r="O204" s="32" t="s">
        <v>269</v>
      </c>
      <c r="P204" s="40" t="str">
        <f aca="false">_xlfn.CONCAT(B204,C204,D204,E204,F204)</f>
        <v>ARAGUATINS 2.1Inverter(MBUS-1)46030.017361111146030.017361111146030.3166666667</v>
      </c>
      <c r="Q204" s="32" t="str">
        <f aca="false">_xlfn.CONCAT(H204,I204,J204)</f>
        <v>DAURDE</v>
      </c>
    </row>
    <row r="205" customFormat="false" ht="15" hidden="false" customHeight="false" outlineLevel="0" collapsed="false">
      <c r="B205" s="32" t="s">
        <v>337</v>
      </c>
      <c r="C205" s="32" t="s">
        <v>326</v>
      </c>
      <c r="D205" s="33" t="n">
        <v>46030.0277777778</v>
      </c>
      <c r="E205" s="33" t="n">
        <v>46030.0277777778</v>
      </c>
      <c r="F205" s="33" t="n">
        <v>46030.3034722222</v>
      </c>
      <c r="G205" s="34" t="n">
        <f aca="false">F205-E205</f>
        <v>0.275694444444444</v>
      </c>
      <c r="H205" s="39" t="s">
        <v>252</v>
      </c>
      <c r="J205" s="39" t="s">
        <v>253</v>
      </c>
      <c r="K205" s="32" t="s">
        <v>266</v>
      </c>
      <c r="L205" s="32" t="s">
        <v>366</v>
      </c>
      <c r="M205" s="39" t="s">
        <v>255</v>
      </c>
      <c r="N205" s="39" t="s">
        <v>268</v>
      </c>
      <c r="O205" s="32" t="s">
        <v>269</v>
      </c>
      <c r="P205" s="40" t="str">
        <f aca="false">_xlfn.CONCAT(B205,C205,D205,E205,F205)</f>
        <v>BC Formoso1.2Inverter(MBUS-13)46030.027777777846030.027777777846030.3034722222</v>
      </c>
      <c r="Q205" s="32" t="str">
        <f aca="false">_xlfn.CONCAT(H205,I205,J205)</f>
        <v>DAURDE</v>
      </c>
    </row>
    <row r="206" customFormat="false" ht="15" hidden="false" customHeight="false" outlineLevel="0" collapsed="false">
      <c r="B206" s="32" t="s">
        <v>337</v>
      </c>
      <c r="C206" s="32" t="s">
        <v>324</v>
      </c>
      <c r="D206" s="33" t="n">
        <v>46030.0277777778</v>
      </c>
      <c r="E206" s="33" t="n">
        <v>46030.0277777778</v>
      </c>
      <c r="F206" s="33" t="n">
        <v>46030.3034722222</v>
      </c>
      <c r="G206" s="34" t="n">
        <f aca="false">F206-E206</f>
        <v>0.275694444444444</v>
      </c>
      <c r="H206" s="39" t="s">
        <v>252</v>
      </c>
      <c r="J206" s="39" t="s">
        <v>253</v>
      </c>
      <c r="K206" s="32" t="s">
        <v>266</v>
      </c>
      <c r="L206" s="32" t="s">
        <v>366</v>
      </c>
      <c r="M206" s="39" t="s">
        <v>255</v>
      </c>
      <c r="N206" s="39" t="s">
        <v>268</v>
      </c>
      <c r="O206" s="32" t="s">
        <v>269</v>
      </c>
      <c r="P206" s="40" t="str">
        <f aca="false">_xlfn.CONCAT(B206,C206,D206,E206,F206)</f>
        <v>BC Formoso1.2Inverter(MBUS-12)46030.027777777846030.027777777846030.3034722222</v>
      </c>
      <c r="Q206" s="32" t="str">
        <f aca="false">_xlfn.CONCAT(H206,I206,J206)</f>
        <v>DAURDE</v>
      </c>
    </row>
    <row r="207" customFormat="false" ht="15" hidden="false" customHeight="false" outlineLevel="0" collapsed="false">
      <c r="B207" s="32" t="s">
        <v>337</v>
      </c>
      <c r="C207" s="32" t="s">
        <v>328</v>
      </c>
      <c r="D207" s="33" t="n">
        <v>46030.0277777778</v>
      </c>
      <c r="E207" s="33" t="n">
        <v>46030.0277777778</v>
      </c>
      <c r="F207" s="33" t="n">
        <v>46030.3034722222</v>
      </c>
      <c r="G207" s="34" t="n">
        <f aca="false">F207-E207</f>
        <v>0.275694444444444</v>
      </c>
      <c r="H207" s="39" t="s">
        <v>252</v>
      </c>
      <c r="J207" s="39" t="s">
        <v>253</v>
      </c>
      <c r="K207" s="32" t="s">
        <v>266</v>
      </c>
      <c r="L207" s="32" t="s">
        <v>366</v>
      </c>
      <c r="M207" s="39" t="s">
        <v>255</v>
      </c>
      <c r="N207" s="39" t="s">
        <v>268</v>
      </c>
      <c r="O207" s="32" t="s">
        <v>269</v>
      </c>
      <c r="P207" s="40" t="str">
        <f aca="false">_xlfn.CONCAT(B207,C207,D207,E207,F207)</f>
        <v>BC Formoso1.2Inverter(MBUS-15)46030.027777777846030.027777777846030.3034722222</v>
      </c>
      <c r="Q207" s="32" t="str">
        <f aca="false">_xlfn.CONCAT(H207,I207,J207)</f>
        <v>DAURDE</v>
      </c>
    </row>
    <row r="208" customFormat="false" ht="15" hidden="false" customHeight="false" outlineLevel="0" collapsed="false">
      <c r="B208" s="32" t="s">
        <v>337</v>
      </c>
      <c r="C208" s="32" t="s">
        <v>327</v>
      </c>
      <c r="D208" s="33" t="n">
        <v>46030.0277777778</v>
      </c>
      <c r="E208" s="33" t="n">
        <v>46030.0277777778</v>
      </c>
      <c r="F208" s="33" t="n">
        <v>46030.3034722222</v>
      </c>
      <c r="G208" s="34" t="n">
        <f aca="false">F208-E208</f>
        <v>0.275694444444444</v>
      </c>
      <c r="H208" s="39" t="s">
        <v>252</v>
      </c>
      <c r="J208" s="39" t="s">
        <v>253</v>
      </c>
      <c r="K208" s="32" t="s">
        <v>266</v>
      </c>
      <c r="L208" s="32" t="s">
        <v>366</v>
      </c>
      <c r="M208" s="39" t="s">
        <v>255</v>
      </c>
      <c r="N208" s="39" t="s">
        <v>268</v>
      </c>
      <c r="O208" s="32" t="s">
        <v>269</v>
      </c>
      <c r="P208" s="40" t="str">
        <f aca="false">_xlfn.CONCAT(B208,C208,D208,E208,F208)</f>
        <v>BC Formoso1.2Inverter(MBUS-14)46030.027777777846030.027777777846030.3034722222</v>
      </c>
      <c r="Q208" s="32" t="str">
        <f aca="false">_xlfn.CONCAT(H208,I208,J208)</f>
        <v>DAURDE</v>
      </c>
    </row>
    <row r="209" customFormat="false" ht="15" hidden="false" customHeight="false" outlineLevel="0" collapsed="false">
      <c r="B209" s="32" t="s">
        <v>18</v>
      </c>
      <c r="C209" s="32" t="s">
        <v>397</v>
      </c>
      <c r="D209" s="33" t="n">
        <v>46030.4583333333</v>
      </c>
      <c r="E209" s="33" t="n">
        <v>46030.4583333333</v>
      </c>
      <c r="F209" s="33" t="n">
        <v>46030.4722222222</v>
      </c>
      <c r="G209" s="34" t="n">
        <f aca="false">F209-E209</f>
        <v>0.0138888888888889</v>
      </c>
      <c r="H209" s="39" t="s">
        <v>252</v>
      </c>
      <c r="J209" s="39" t="s">
        <v>333</v>
      </c>
      <c r="K209" s="32" t="s">
        <v>334</v>
      </c>
      <c r="L209" s="32" t="s">
        <v>422</v>
      </c>
      <c r="M209" s="39" t="s">
        <v>336</v>
      </c>
      <c r="N209" s="39" t="s">
        <v>289</v>
      </c>
      <c r="O209" s="32" t="s">
        <v>375</v>
      </c>
      <c r="P209" s="40" t="str">
        <f aca="false">_xlfn.CONCAT(B209,C209,D209,E209,F209)</f>
        <v>BC Aracu2Inverter8346030.458333333346030.458333333346030.4722222222</v>
      </c>
      <c r="Q209" s="32" t="str">
        <f aca="false">_xlfn.CONCAT(H209,I209,J209)</f>
        <v>DAUINV</v>
      </c>
    </row>
    <row r="210" customFormat="false" ht="15" hidden="false" customHeight="false" outlineLevel="0" collapsed="false">
      <c r="B210" s="32" t="s">
        <v>329</v>
      </c>
      <c r="C210" s="32" t="s">
        <v>324</v>
      </c>
      <c r="D210" s="33" t="n">
        <v>46030.5416666667</v>
      </c>
      <c r="E210" s="33" t="n">
        <v>46030.5416666667</v>
      </c>
      <c r="F210" s="33" t="n">
        <v>46030.5486111111</v>
      </c>
      <c r="G210" s="34" t="n">
        <f aca="false">F210-E210</f>
        <v>0.00694444444444444</v>
      </c>
      <c r="H210" s="39" t="s">
        <v>252</v>
      </c>
      <c r="J210" s="39" t="s">
        <v>253</v>
      </c>
      <c r="K210" s="32" t="s">
        <v>266</v>
      </c>
      <c r="L210" s="32" t="s">
        <v>409</v>
      </c>
      <c r="M210" s="39" t="s">
        <v>255</v>
      </c>
      <c r="N210" s="39" t="s">
        <v>268</v>
      </c>
      <c r="O210" s="32" t="s">
        <v>269</v>
      </c>
      <c r="P210" s="40" t="str">
        <f aca="false">_xlfn.CONCAT(B210,C210,D210,E210,F210)</f>
        <v>BC Ibiuna 1.2Inverter(MBUS-12)46030.541666666746030.541666666746030.5486111111</v>
      </c>
      <c r="Q210" s="32" t="str">
        <f aca="false">_xlfn.CONCAT(H210,I210,J210)</f>
        <v>DAURDE</v>
      </c>
    </row>
    <row r="211" customFormat="false" ht="15" hidden="false" customHeight="false" outlineLevel="0" collapsed="false">
      <c r="B211" s="32" t="s">
        <v>329</v>
      </c>
      <c r="C211" s="32" t="s">
        <v>326</v>
      </c>
      <c r="D211" s="33" t="n">
        <v>46030.5416666667</v>
      </c>
      <c r="E211" s="33" t="n">
        <v>46030.5416666667</v>
      </c>
      <c r="F211" s="33" t="n">
        <v>46030.5486111111</v>
      </c>
      <c r="G211" s="34" t="n">
        <f aca="false">F211-E211</f>
        <v>0.00694444444444444</v>
      </c>
      <c r="H211" s="39" t="s">
        <v>252</v>
      </c>
      <c r="J211" s="39" t="s">
        <v>253</v>
      </c>
      <c r="K211" s="32" t="s">
        <v>266</v>
      </c>
      <c r="L211" s="32" t="s">
        <v>409</v>
      </c>
      <c r="M211" s="39" t="s">
        <v>255</v>
      </c>
      <c r="N211" s="39" t="s">
        <v>268</v>
      </c>
      <c r="O211" s="32" t="s">
        <v>269</v>
      </c>
      <c r="P211" s="40" t="str">
        <f aca="false">_xlfn.CONCAT(B211,C211,D211,E211,F211)</f>
        <v>BC Ibiuna 1.2Inverter(MBUS-13)46030.541666666746030.541666666746030.5486111111</v>
      </c>
      <c r="Q211" s="32" t="str">
        <f aca="false">_xlfn.CONCAT(H211,I211,J211)</f>
        <v>DAURDE</v>
      </c>
    </row>
    <row r="212" customFormat="false" ht="15" hidden="false" customHeight="false" outlineLevel="0" collapsed="false">
      <c r="B212" s="32" t="s">
        <v>329</v>
      </c>
      <c r="C212" s="32" t="s">
        <v>327</v>
      </c>
      <c r="D212" s="33" t="n">
        <v>46030.5416666667</v>
      </c>
      <c r="E212" s="33" t="n">
        <v>46030.5416666667</v>
      </c>
      <c r="F212" s="33" t="n">
        <v>46030.5486111111</v>
      </c>
      <c r="G212" s="34" t="n">
        <f aca="false">F212-E212</f>
        <v>0.00694444444444444</v>
      </c>
      <c r="H212" s="39" t="s">
        <v>252</v>
      </c>
      <c r="J212" s="39" t="s">
        <v>253</v>
      </c>
      <c r="K212" s="32" t="s">
        <v>266</v>
      </c>
      <c r="L212" s="32" t="s">
        <v>409</v>
      </c>
      <c r="M212" s="39" t="s">
        <v>255</v>
      </c>
      <c r="N212" s="39" t="s">
        <v>268</v>
      </c>
      <c r="O212" s="32" t="s">
        <v>269</v>
      </c>
      <c r="P212" s="40" t="str">
        <f aca="false">_xlfn.CONCAT(B212,C212,D212,E212,F212)</f>
        <v>BC Ibiuna 1.2Inverter(MBUS-14)46030.541666666746030.541666666746030.5486111111</v>
      </c>
      <c r="Q212" s="32" t="str">
        <f aca="false">_xlfn.CONCAT(H212,I212,J212)</f>
        <v>DAURDE</v>
      </c>
    </row>
    <row r="213" customFormat="false" ht="15" hidden="false" customHeight="false" outlineLevel="0" collapsed="false">
      <c r="B213" s="32" t="s">
        <v>329</v>
      </c>
      <c r="C213" s="32" t="s">
        <v>328</v>
      </c>
      <c r="D213" s="33" t="n">
        <v>46030.5416666667</v>
      </c>
      <c r="E213" s="33" t="n">
        <v>46030.5416666667</v>
      </c>
      <c r="F213" s="33" t="n">
        <v>46030.5486111111</v>
      </c>
      <c r="G213" s="34" t="n">
        <f aca="false">F213-E213</f>
        <v>0.00694444444444444</v>
      </c>
      <c r="H213" s="39" t="s">
        <v>252</v>
      </c>
      <c r="J213" s="39" t="s">
        <v>253</v>
      </c>
      <c r="K213" s="32" t="s">
        <v>266</v>
      </c>
      <c r="L213" s="32" t="s">
        <v>409</v>
      </c>
      <c r="M213" s="39" t="s">
        <v>255</v>
      </c>
      <c r="N213" s="39" t="s">
        <v>268</v>
      </c>
      <c r="O213" s="32" t="s">
        <v>269</v>
      </c>
      <c r="P213" s="40" t="str">
        <f aca="false">_xlfn.CONCAT(B213,C213,D213,E213,F213)</f>
        <v>BC Ibiuna 1.2Inverter(MBUS-15)46030.541666666746030.541666666746030.5486111111</v>
      </c>
      <c r="Q213" s="32" t="str">
        <f aca="false">_xlfn.CONCAT(H213,I213,J213)</f>
        <v>DAURDE</v>
      </c>
    </row>
    <row r="214" customFormat="false" ht="15" hidden="false" customHeight="false" outlineLevel="0" collapsed="false">
      <c r="B214" s="32" t="s">
        <v>329</v>
      </c>
      <c r="C214" s="32" t="s">
        <v>324</v>
      </c>
      <c r="D214" s="33" t="n">
        <v>46030.6041666667</v>
      </c>
      <c r="E214" s="33" t="n">
        <v>46030.6041666667</v>
      </c>
      <c r="F214" s="33" t="n">
        <v>46030.6666666667</v>
      </c>
      <c r="G214" s="34" t="n">
        <f aca="false">F214-E214</f>
        <v>0.0625</v>
      </c>
      <c r="H214" s="39" t="s">
        <v>252</v>
      </c>
      <c r="J214" s="39" t="s">
        <v>253</v>
      </c>
      <c r="K214" s="32" t="s">
        <v>266</v>
      </c>
      <c r="L214" s="32" t="s">
        <v>423</v>
      </c>
      <c r="M214" s="39" t="s">
        <v>255</v>
      </c>
      <c r="N214" s="39" t="s">
        <v>268</v>
      </c>
      <c r="O214" s="32" t="s">
        <v>269</v>
      </c>
      <c r="P214" s="40" t="str">
        <f aca="false">_xlfn.CONCAT(B214,C214,D214,E214,F214)</f>
        <v>BC Ibiuna 1.2Inverter(MBUS-12)46030.604166666746030.604166666746030.6666666667</v>
      </c>
      <c r="Q214" s="32" t="str">
        <f aca="false">_xlfn.CONCAT(H214,I214,J214)</f>
        <v>DAURDE</v>
      </c>
    </row>
    <row r="215" customFormat="false" ht="15" hidden="false" customHeight="false" outlineLevel="0" collapsed="false">
      <c r="B215" s="32" t="s">
        <v>329</v>
      </c>
      <c r="C215" s="32" t="s">
        <v>326</v>
      </c>
      <c r="D215" s="33" t="n">
        <v>46030.6041666667</v>
      </c>
      <c r="E215" s="33" t="n">
        <v>46030.6041666667</v>
      </c>
      <c r="F215" s="33" t="n">
        <v>46030.6666666667</v>
      </c>
      <c r="G215" s="34" t="n">
        <f aca="false">F215-E215</f>
        <v>0.0625</v>
      </c>
      <c r="H215" s="39" t="s">
        <v>252</v>
      </c>
      <c r="J215" s="39" t="s">
        <v>253</v>
      </c>
      <c r="K215" s="32" t="s">
        <v>266</v>
      </c>
      <c r="L215" s="32" t="s">
        <v>423</v>
      </c>
      <c r="M215" s="39" t="s">
        <v>255</v>
      </c>
      <c r="N215" s="39" t="s">
        <v>268</v>
      </c>
      <c r="O215" s="32" t="s">
        <v>269</v>
      </c>
      <c r="P215" s="40" t="str">
        <f aca="false">_xlfn.CONCAT(B215,C215,D215,E215,F215)</f>
        <v>BC Ibiuna 1.2Inverter(MBUS-13)46030.604166666746030.604166666746030.6666666667</v>
      </c>
      <c r="Q215" s="32" t="str">
        <f aca="false">_xlfn.CONCAT(H215,I215,J215)</f>
        <v>DAURDE</v>
      </c>
    </row>
    <row r="216" customFormat="false" ht="15" hidden="false" customHeight="false" outlineLevel="0" collapsed="false">
      <c r="B216" s="32" t="s">
        <v>329</v>
      </c>
      <c r="C216" s="32" t="s">
        <v>327</v>
      </c>
      <c r="D216" s="33" t="n">
        <v>46030.6041666667</v>
      </c>
      <c r="E216" s="33" t="n">
        <v>46030.6041666667</v>
      </c>
      <c r="F216" s="33" t="n">
        <v>46030.6666666667</v>
      </c>
      <c r="G216" s="34" t="n">
        <f aca="false">F216-E216</f>
        <v>0.0625</v>
      </c>
      <c r="H216" s="39" t="s">
        <v>252</v>
      </c>
      <c r="J216" s="39" t="s">
        <v>253</v>
      </c>
      <c r="K216" s="32" t="s">
        <v>266</v>
      </c>
      <c r="L216" s="32" t="s">
        <v>423</v>
      </c>
      <c r="M216" s="39" t="s">
        <v>255</v>
      </c>
      <c r="N216" s="39" t="s">
        <v>268</v>
      </c>
      <c r="O216" s="32" t="s">
        <v>269</v>
      </c>
      <c r="P216" s="40" t="str">
        <f aca="false">_xlfn.CONCAT(B216,C216,D216,E216,F216)</f>
        <v>BC Ibiuna 1.2Inverter(MBUS-14)46030.604166666746030.604166666746030.6666666667</v>
      </c>
      <c r="Q216" s="32" t="str">
        <f aca="false">_xlfn.CONCAT(H216,I216,J216)</f>
        <v>DAURDE</v>
      </c>
    </row>
    <row r="217" customFormat="false" ht="15" hidden="false" customHeight="false" outlineLevel="0" collapsed="false">
      <c r="B217" s="32" t="s">
        <v>329</v>
      </c>
      <c r="C217" s="32" t="s">
        <v>328</v>
      </c>
      <c r="D217" s="33" t="n">
        <v>46030.6041666667</v>
      </c>
      <c r="E217" s="33" t="n">
        <v>46030.6041666667</v>
      </c>
      <c r="F217" s="33" t="n">
        <v>46030.6666666667</v>
      </c>
      <c r="G217" s="34" t="n">
        <f aca="false">F217-E217</f>
        <v>0.0625</v>
      </c>
      <c r="H217" s="39" t="s">
        <v>252</v>
      </c>
      <c r="J217" s="39" t="s">
        <v>253</v>
      </c>
      <c r="K217" s="32" t="s">
        <v>266</v>
      </c>
      <c r="L217" s="32" t="s">
        <v>423</v>
      </c>
      <c r="M217" s="39" t="s">
        <v>255</v>
      </c>
      <c r="N217" s="39" t="s">
        <v>268</v>
      </c>
      <c r="O217" s="32" t="s">
        <v>269</v>
      </c>
      <c r="P217" s="40" t="str">
        <f aca="false">_xlfn.CONCAT(B217,C217,D217,E217,F217)</f>
        <v>BC Ibiuna 1.2Inverter(MBUS-15)46030.604166666746030.604166666746030.6666666667</v>
      </c>
      <c r="Q217" s="32" t="str">
        <f aca="false">_xlfn.CONCAT(H217,I217,J217)</f>
        <v>DAURDE</v>
      </c>
    </row>
    <row r="218" customFormat="false" ht="15" hidden="false" customHeight="false" outlineLevel="0" collapsed="false">
      <c r="B218" s="32" t="s">
        <v>424</v>
      </c>
      <c r="C218" s="32" t="s">
        <v>265</v>
      </c>
      <c r="D218" s="33" t="n">
        <v>46030.7152777778</v>
      </c>
      <c r="E218" s="33" t="n">
        <v>46030.7152777778</v>
      </c>
      <c r="F218" s="33" t="n">
        <v>46030.7854166667</v>
      </c>
      <c r="G218" s="34" t="n">
        <f aca="false">F218-E218</f>
        <v>0.0701388888888889</v>
      </c>
      <c r="H218" s="39" t="s">
        <v>252</v>
      </c>
      <c r="J218" s="39" t="s">
        <v>253</v>
      </c>
      <c r="K218" s="32" t="s">
        <v>266</v>
      </c>
      <c r="L218" s="32" t="s">
        <v>366</v>
      </c>
      <c r="M218" s="39" t="s">
        <v>255</v>
      </c>
      <c r="N218" s="39" t="s">
        <v>268</v>
      </c>
      <c r="O218" s="32" t="s">
        <v>269</v>
      </c>
      <c r="P218" s="40" t="str">
        <f aca="false">_xlfn.CONCAT(B218,C218,D218,E218,F218)</f>
        <v>BC Camarao1.1Inverter(MBUS-1)46030.715277777846030.715277777846030.7854166667</v>
      </c>
      <c r="Q218" s="32" t="str">
        <f aca="false">_xlfn.CONCAT(H218,I218,J218)</f>
        <v>DAURDE</v>
      </c>
    </row>
    <row r="219" customFormat="false" ht="15" hidden="false" customHeight="false" outlineLevel="0" collapsed="false">
      <c r="B219" s="32" t="s">
        <v>424</v>
      </c>
      <c r="C219" s="32" t="s">
        <v>251</v>
      </c>
      <c r="D219" s="33" t="n">
        <v>46030.7152777778</v>
      </c>
      <c r="E219" s="33" t="n">
        <v>46030.7152777778</v>
      </c>
      <c r="F219" s="33" t="n">
        <v>46030.7854166667</v>
      </c>
      <c r="G219" s="34" t="n">
        <f aca="false">F219-E219</f>
        <v>0.0701388888888889</v>
      </c>
      <c r="H219" s="39" t="s">
        <v>252</v>
      </c>
      <c r="J219" s="39" t="s">
        <v>253</v>
      </c>
      <c r="K219" s="32" t="s">
        <v>266</v>
      </c>
      <c r="L219" s="32" t="s">
        <v>366</v>
      </c>
      <c r="M219" s="39" t="s">
        <v>255</v>
      </c>
      <c r="N219" s="39" t="s">
        <v>268</v>
      </c>
      <c r="O219" s="32" t="s">
        <v>269</v>
      </c>
      <c r="P219" s="40" t="str">
        <f aca="false">_xlfn.CONCAT(B219,C219,D219,E219,F219)</f>
        <v>BC Camarao1.1215KTL-H3(MBUS-12)46030.715277777846030.715277777846030.7854166667</v>
      </c>
      <c r="Q219" s="32" t="str">
        <f aca="false">_xlfn.CONCAT(H219,I219,J219)</f>
        <v>DAURDE</v>
      </c>
    </row>
    <row r="220" customFormat="false" ht="15" hidden="false" customHeight="false" outlineLevel="0" collapsed="false">
      <c r="B220" s="32" t="s">
        <v>424</v>
      </c>
      <c r="C220" s="32" t="s">
        <v>258</v>
      </c>
      <c r="D220" s="33" t="n">
        <v>46030.7152777778</v>
      </c>
      <c r="E220" s="33" t="n">
        <v>46030.7152777778</v>
      </c>
      <c r="F220" s="33" t="n">
        <v>46030.7854166667</v>
      </c>
      <c r="G220" s="34" t="n">
        <f aca="false">F220-E220</f>
        <v>0.0701388888888889</v>
      </c>
      <c r="H220" s="39" t="s">
        <v>252</v>
      </c>
      <c r="J220" s="39" t="s">
        <v>253</v>
      </c>
      <c r="K220" s="32" t="s">
        <v>266</v>
      </c>
      <c r="L220" s="32" t="s">
        <v>366</v>
      </c>
      <c r="M220" s="39" t="s">
        <v>255</v>
      </c>
      <c r="N220" s="39" t="s">
        <v>268</v>
      </c>
      <c r="O220" s="32" t="s">
        <v>269</v>
      </c>
      <c r="P220" s="40" t="str">
        <f aca="false">_xlfn.CONCAT(B220,C220,D220,E220,F220)</f>
        <v>BC Camarao1.1215KTL-H3(MBUS-13)46030.715277777846030.715277777846030.7854166667</v>
      </c>
      <c r="Q220" s="32" t="str">
        <f aca="false">_xlfn.CONCAT(H220,I220,J220)</f>
        <v>DAURDE</v>
      </c>
    </row>
    <row r="221" customFormat="false" ht="15" hidden="false" customHeight="false" outlineLevel="0" collapsed="false">
      <c r="B221" s="32" t="s">
        <v>424</v>
      </c>
      <c r="C221" s="32" t="s">
        <v>261</v>
      </c>
      <c r="D221" s="33" t="n">
        <v>46030.7152777778</v>
      </c>
      <c r="E221" s="33" t="n">
        <v>46030.7152777778</v>
      </c>
      <c r="F221" s="33" t="n">
        <v>46030.7854166667</v>
      </c>
      <c r="G221" s="34" t="n">
        <f aca="false">F221-E221</f>
        <v>0.0701388888888889</v>
      </c>
      <c r="H221" s="39" t="s">
        <v>252</v>
      </c>
      <c r="J221" s="39" t="s">
        <v>253</v>
      </c>
      <c r="K221" s="32" t="s">
        <v>266</v>
      </c>
      <c r="L221" s="32" t="s">
        <v>366</v>
      </c>
      <c r="M221" s="39" t="s">
        <v>255</v>
      </c>
      <c r="N221" s="39" t="s">
        <v>268</v>
      </c>
      <c r="O221" s="32" t="s">
        <v>269</v>
      </c>
      <c r="P221" s="40" t="str">
        <f aca="false">_xlfn.CONCAT(B221,C221,D221,E221,F221)</f>
        <v>BC Camarao1.1215KTL-H3(MBUS-16)46030.715277777846030.715277777846030.7854166667</v>
      </c>
      <c r="Q221" s="32" t="str">
        <f aca="false">_xlfn.CONCAT(H221,I221,J221)</f>
        <v>DAURDE</v>
      </c>
    </row>
    <row r="222" customFormat="false" ht="15" hidden="false" customHeight="false" outlineLevel="0" collapsed="false">
      <c r="B222" s="32" t="s">
        <v>424</v>
      </c>
      <c r="C222" s="32" t="s">
        <v>260</v>
      </c>
      <c r="D222" s="33" t="n">
        <v>46030.7152777778</v>
      </c>
      <c r="E222" s="33" t="n">
        <v>46030.7152777778</v>
      </c>
      <c r="F222" s="33" t="n">
        <v>46030.7854166667</v>
      </c>
      <c r="G222" s="34" t="n">
        <f aca="false">F222-E222</f>
        <v>0.0701388888888889</v>
      </c>
      <c r="H222" s="39" t="s">
        <v>252</v>
      </c>
      <c r="J222" s="39" t="s">
        <v>253</v>
      </c>
      <c r="K222" s="32" t="s">
        <v>266</v>
      </c>
      <c r="L222" s="32" t="s">
        <v>366</v>
      </c>
      <c r="M222" s="39" t="s">
        <v>255</v>
      </c>
      <c r="N222" s="39" t="s">
        <v>268</v>
      </c>
      <c r="O222" s="32" t="s">
        <v>269</v>
      </c>
      <c r="P222" s="40" t="str">
        <f aca="false">_xlfn.CONCAT(B222,C222,D222,E222,F222)</f>
        <v>BC Camarao1.1215KTL-H3(MBUS-15)46030.715277777846030.715277777846030.7854166667</v>
      </c>
      <c r="Q222" s="32" t="str">
        <f aca="false">_xlfn.CONCAT(H222,I222,J222)</f>
        <v>DAURDE</v>
      </c>
    </row>
    <row r="223" customFormat="false" ht="15" hidden="false" customHeight="false" outlineLevel="0" collapsed="false">
      <c r="B223" s="32" t="s">
        <v>425</v>
      </c>
      <c r="C223" s="32" t="s">
        <v>265</v>
      </c>
      <c r="D223" s="33" t="n">
        <v>46030.7152777778</v>
      </c>
      <c r="E223" s="33" t="n">
        <v>46030.7152777778</v>
      </c>
      <c r="F223" s="33" t="n">
        <v>46030.7854166667</v>
      </c>
      <c r="G223" s="34" t="n">
        <f aca="false">F223-E223</f>
        <v>0.0701388888888889</v>
      </c>
      <c r="H223" s="39" t="s">
        <v>252</v>
      </c>
      <c r="J223" s="39" t="s">
        <v>253</v>
      </c>
      <c r="K223" s="32" t="s">
        <v>266</v>
      </c>
      <c r="L223" s="32" t="s">
        <v>366</v>
      </c>
      <c r="M223" s="39" t="s">
        <v>255</v>
      </c>
      <c r="N223" s="39" t="s">
        <v>268</v>
      </c>
      <c r="O223" s="32" t="s">
        <v>269</v>
      </c>
      <c r="P223" s="40" t="str">
        <f aca="false">_xlfn.CONCAT(B223,C223,D223,E223,F223)</f>
        <v>BC Camarao1.2Inverter(MBUS-1)46030.715277777846030.715277777846030.7854166667</v>
      </c>
      <c r="Q223" s="32" t="str">
        <f aca="false">_xlfn.CONCAT(H223,I223,J223)</f>
        <v>DAURDE</v>
      </c>
    </row>
    <row r="224" customFormat="false" ht="15" hidden="false" customHeight="false" outlineLevel="0" collapsed="false">
      <c r="B224" s="32" t="s">
        <v>425</v>
      </c>
      <c r="C224" s="32" t="s">
        <v>426</v>
      </c>
      <c r="D224" s="33" t="n">
        <v>46030.7152777778</v>
      </c>
      <c r="E224" s="33" t="n">
        <v>46030.7152777778</v>
      </c>
      <c r="F224" s="33" t="n">
        <v>46030.7854166667</v>
      </c>
      <c r="G224" s="34" t="n">
        <f aca="false">F224-E224</f>
        <v>0.0701388888888889</v>
      </c>
      <c r="H224" s="39" t="s">
        <v>252</v>
      </c>
      <c r="J224" s="39" t="s">
        <v>253</v>
      </c>
      <c r="K224" s="32" t="s">
        <v>266</v>
      </c>
      <c r="L224" s="32" t="s">
        <v>366</v>
      </c>
      <c r="M224" s="39" t="s">
        <v>255</v>
      </c>
      <c r="N224" s="39" t="s">
        <v>268</v>
      </c>
      <c r="O224" s="32" t="s">
        <v>269</v>
      </c>
      <c r="P224" s="40" t="str">
        <f aca="false">_xlfn.CONCAT(B224,C224,D224,E224,F224)</f>
        <v>BC Camarao1.2Inv. 346030.715277777846030.715277777846030.7854166667</v>
      </c>
      <c r="Q224" s="32" t="str">
        <f aca="false">_xlfn.CONCAT(H224,I224,J224)</f>
        <v>DAURDE</v>
      </c>
    </row>
    <row r="225" customFormat="false" ht="15" hidden="false" customHeight="false" outlineLevel="0" collapsed="false">
      <c r="B225" s="32" t="s">
        <v>425</v>
      </c>
      <c r="C225" s="32" t="s">
        <v>427</v>
      </c>
      <c r="D225" s="33" t="n">
        <v>46030.7152777778</v>
      </c>
      <c r="E225" s="33" t="n">
        <v>46030.7152777778</v>
      </c>
      <c r="F225" s="33" t="n">
        <v>46030.7854166667</v>
      </c>
      <c r="G225" s="34" t="n">
        <f aca="false">F225-E225</f>
        <v>0.0701388888888889</v>
      </c>
      <c r="H225" s="39" t="s">
        <v>252</v>
      </c>
      <c r="J225" s="39" t="s">
        <v>253</v>
      </c>
      <c r="K225" s="32" t="s">
        <v>266</v>
      </c>
      <c r="L225" s="32" t="s">
        <v>366</v>
      </c>
      <c r="M225" s="39" t="s">
        <v>255</v>
      </c>
      <c r="N225" s="39" t="s">
        <v>268</v>
      </c>
      <c r="O225" s="32" t="s">
        <v>269</v>
      </c>
      <c r="P225" s="40" t="str">
        <f aca="false">_xlfn.CONCAT(B225,C225,D225,E225,F225)</f>
        <v>BC Camarao1.2Inv. 446030.715277777846030.715277777846030.7854166667</v>
      </c>
      <c r="Q225" s="32" t="str">
        <f aca="false">_xlfn.CONCAT(H225,I225,J225)</f>
        <v>DAURDE</v>
      </c>
    </row>
    <row r="226" customFormat="false" ht="15" hidden="false" customHeight="false" outlineLevel="0" collapsed="false">
      <c r="B226" s="32" t="s">
        <v>425</v>
      </c>
      <c r="C226" s="32" t="s">
        <v>428</v>
      </c>
      <c r="D226" s="33" t="n">
        <v>46030.7152777778</v>
      </c>
      <c r="E226" s="33" t="n">
        <v>46030.7152777778</v>
      </c>
      <c r="F226" s="33" t="n">
        <v>46030.7854166667</v>
      </c>
      <c r="G226" s="34" t="n">
        <f aca="false">F226-E226</f>
        <v>0.0701388888888889</v>
      </c>
      <c r="H226" s="39" t="s">
        <v>252</v>
      </c>
      <c r="J226" s="39" t="s">
        <v>253</v>
      </c>
      <c r="K226" s="32" t="s">
        <v>266</v>
      </c>
      <c r="L226" s="32" t="s">
        <v>366</v>
      </c>
      <c r="M226" s="39" t="s">
        <v>255</v>
      </c>
      <c r="N226" s="39" t="s">
        <v>268</v>
      </c>
      <c r="O226" s="32" t="s">
        <v>269</v>
      </c>
      <c r="P226" s="40" t="str">
        <f aca="false">_xlfn.CONCAT(B226,C226,D226,E226,F226)</f>
        <v>BC Camarao1.2Inverter(MBUS-16)46030.715277777846030.715277777846030.7854166667</v>
      </c>
      <c r="Q226" s="32" t="str">
        <f aca="false">_xlfn.CONCAT(H226,I226,J226)</f>
        <v>DAURDE</v>
      </c>
    </row>
    <row r="227" customFormat="false" ht="15" hidden="false" customHeight="false" outlineLevel="0" collapsed="false">
      <c r="B227" s="32" t="s">
        <v>425</v>
      </c>
      <c r="C227" s="32" t="s">
        <v>324</v>
      </c>
      <c r="D227" s="33" t="n">
        <v>46030.7152777778</v>
      </c>
      <c r="E227" s="33" t="n">
        <v>46030.7152777778</v>
      </c>
      <c r="F227" s="33" t="n">
        <v>46030.7854166667</v>
      </c>
      <c r="G227" s="34" t="n">
        <f aca="false">F227-E227</f>
        <v>0.0701388888888889</v>
      </c>
      <c r="H227" s="39" t="s">
        <v>252</v>
      </c>
      <c r="J227" s="39" t="s">
        <v>253</v>
      </c>
      <c r="K227" s="32" t="s">
        <v>266</v>
      </c>
      <c r="L227" s="32" t="s">
        <v>366</v>
      </c>
      <c r="M227" s="39" t="s">
        <v>255</v>
      </c>
      <c r="N227" s="39" t="s">
        <v>268</v>
      </c>
      <c r="O227" s="32" t="s">
        <v>269</v>
      </c>
      <c r="P227" s="40" t="str">
        <f aca="false">_xlfn.CONCAT(B227,C227,D227,E227,F227)</f>
        <v>BC Camarao1.2Inverter(MBUS-12)46030.715277777846030.715277777846030.7854166667</v>
      </c>
      <c r="Q227" s="32" t="str">
        <f aca="false">_xlfn.CONCAT(H227,I227,J227)</f>
        <v>DAURDE</v>
      </c>
    </row>
    <row r="228" customFormat="false" ht="15" hidden="false" customHeight="false" outlineLevel="0" collapsed="false">
      <c r="B228" s="32" t="s">
        <v>429</v>
      </c>
      <c r="C228" s="32" t="s">
        <v>261</v>
      </c>
      <c r="D228" s="33" t="n">
        <v>46030.7152777778</v>
      </c>
      <c r="E228" s="33" t="n">
        <v>46030.7152777778</v>
      </c>
      <c r="F228" s="33" t="n">
        <v>46030.7854166667</v>
      </c>
      <c r="G228" s="34" t="n">
        <f aca="false">F228-E228</f>
        <v>0.0701388888888889</v>
      </c>
      <c r="H228" s="39" t="s">
        <v>252</v>
      </c>
      <c r="J228" s="39" t="s">
        <v>253</v>
      </c>
      <c r="K228" s="32" t="s">
        <v>266</v>
      </c>
      <c r="L228" s="32" t="s">
        <v>366</v>
      </c>
      <c r="M228" s="39" t="s">
        <v>255</v>
      </c>
      <c r="N228" s="39" t="s">
        <v>268</v>
      </c>
      <c r="O228" s="32" t="s">
        <v>269</v>
      </c>
      <c r="P228" s="40" t="str">
        <f aca="false">_xlfn.CONCAT(B228,C228,D228,E228,F228)</f>
        <v>BC Camarao1.3215KTL-H3(MBUS-16)46030.715277777846030.715277777846030.7854166667</v>
      </c>
      <c r="Q228" s="32" t="str">
        <f aca="false">_xlfn.CONCAT(H228,I228,J228)</f>
        <v>DAURDE</v>
      </c>
    </row>
    <row r="229" customFormat="false" ht="15" hidden="false" customHeight="false" outlineLevel="0" collapsed="false">
      <c r="B229" s="32" t="s">
        <v>429</v>
      </c>
      <c r="C229" s="32" t="s">
        <v>259</v>
      </c>
      <c r="D229" s="33" t="n">
        <v>46030.7152777778</v>
      </c>
      <c r="E229" s="33" t="n">
        <v>46030.7152777778</v>
      </c>
      <c r="F229" s="33" t="n">
        <v>46030.7854166667</v>
      </c>
      <c r="G229" s="34" t="n">
        <f aca="false">F229-E229</f>
        <v>0.0701388888888889</v>
      </c>
      <c r="H229" s="39" t="s">
        <v>252</v>
      </c>
      <c r="J229" s="39" t="s">
        <v>253</v>
      </c>
      <c r="K229" s="32" t="s">
        <v>266</v>
      </c>
      <c r="L229" s="32" t="s">
        <v>366</v>
      </c>
      <c r="M229" s="39" t="s">
        <v>255</v>
      </c>
      <c r="N229" s="39" t="s">
        <v>268</v>
      </c>
      <c r="O229" s="32" t="s">
        <v>269</v>
      </c>
      <c r="P229" s="40" t="str">
        <f aca="false">_xlfn.CONCAT(B229,C229,D229,E229,F229)</f>
        <v>BC Camarao1.3215KTL-H3(MBUS-14)46030.715277777846030.715277777846030.7854166667</v>
      </c>
      <c r="Q229" s="32" t="str">
        <f aca="false">_xlfn.CONCAT(H229,I229,J229)</f>
        <v>DAURDE</v>
      </c>
    </row>
    <row r="230" customFormat="false" ht="15" hidden="false" customHeight="false" outlineLevel="0" collapsed="false">
      <c r="B230" s="32" t="s">
        <v>429</v>
      </c>
      <c r="C230" s="32" t="s">
        <v>260</v>
      </c>
      <c r="D230" s="33" t="n">
        <v>46030.7152777778</v>
      </c>
      <c r="E230" s="33" t="n">
        <v>46030.7152777778</v>
      </c>
      <c r="F230" s="33" t="n">
        <v>46030.7854166667</v>
      </c>
      <c r="G230" s="34" t="n">
        <f aca="false">F230-E230</f>
        <v>0.0701388888888889</v>
      </c>
      <c r="H230" s="39" t="s">
        <v>252</v>
      </c>
      <c r="J230" s="39" t="s">
        <v>253</v>
      </c>
      <c r="K230" s="32" t="s">
        <v>266</v>
      </c>
      <c r="L230" s="32" t="s">
        <v>366</v>
      </c>
      <c r="M230" s="39" t="s">
        <v>255</v>
      </c>
      <c r="N230" s="39" t="s">
        <v>268</v>
      </c>
      <c r="O230" s="32" t="s">
        <v>269</v>
      </c>
      <c r="P230" s="40" t="str">
        <f aca="false">_xlfn.CONCAT(B230,C230,D230,E230,F230)</f>
        <v>BC Camarao1.3215KTL-H3(MBUS-15)46030.715277777846030.715277777846030.7854166667</v>
      </c>
      <c r="Q230" s="32" t="str">
        <f aca="false">_xlfn.CONCAT(H230,I230,J230)</f>
        <v>DAURDE</v>
      </c>
    </row>
    <row r="231" customFormat="false" ht="15" hidden="false" customHeight="false" outlineLevel="0" collapsed="false">
      <c r="B231" s="32" t="s">
        <v>429</v>
      </c>
      <c r="C231" s="32" t="s">
        <v>251</v>
      </c>
      <c r="D231" s="33" t="n">
        <v>46030.7152777778</v>
      </c>
      <c r="E231" s="33" t="n">
        <v>46030.7152777778</v>
      </c>
      <c r="F231" s="33" t="n">
        <v>46030.7854166667</v>
      </c>
      <c r="G231" s="34" t="n">
        <f aca="false">F231-E231</f>
        <v>0.0701388888888889</v>
      </c>
      <c r="H231" s="39" t="s">
        <v>252</v>
      </c>
      <c r="J231" s="39" t="s">
        <v>253</v>
      </c>
      <c r="K231" s="32" t="s">
        <v>266</v>
      </c>
      <c r="L231" s="32" t="s">
        <v>366</v>
      </c>
      <c r="M231" s="39" t="s">
        <v>255</v>
      </c>
      <c r="N231" s="39" t="s">
        <v>268</v>
      </c>
      <c r="O231" s="32" t="s">
        <v>269</v>
      </c>
      <c r="P231" s="40" t="str">
        <f aca="false">_xlfn.CONCAT(B231,C231,D231,E231,F231)</f>
        <v>BC Camarao1.3215KTL-H3(MBUS-12)46030.715277777846030.715277777846030.7854166667</v>
      </c>
      <c r="Q231" s="32" t="str">
        <f aca="false">_xlfn.CONCAT(H231,I231,J231)</f>
        <v>DAURDE</v>
      </c>
    </row>
    <row r="232" customFormat="false" ht="15" hidden="false" customHeight="false" outlineLevel="0" collapsed="false">
      <c r="B232" s="32" t="s">
        <v>429</v>
      </c>
      <c r="C232" s="32" t="s">
        <v>258</v>
      </c>
      <c r="D232" s="33" t="n">
        <v>46030.7152777778</v>
      </c>
      <c r="E232" s="33" t="n">
        <v>46030.7152777778</v>
      </c>
      <c r="F232" s="33" t="n">
        <v>46030.7854166667</v>
      </c>
      <c r="G232" s="34" t="n">
        <f aca="false">F232-E232</f>
        <v>0.0701388888888889</v>
      </c>
      <c r="H232" s="39" t="s">
        <v>252</v>
      </c>
      <c r="J232" s="39" t="s">
        <v>253</v>
      </c>
      <c r="K232" s="32" t="s">
        <v>266</v>
      </c>
      <c r="L232" s="32" t="s">
        <v>366</v>
      </c>
      <c r="M232" s="39" t="s">
        <v>255</v>
      </c>
      <c r="N232" s="39" t="s">
        <v>268</v>
      </c>
      <c r="O232" s="32" t="s">
        <v>269</v>
      </c>
      <c r="P232" s="40" t="str">
        <f aca="false">_xlfn.CONCAT(B232,C232,D232,E232,F232)</f>
        <v>BC Camarao1.3215KTL-H3(MBUS-13)46030.715277777846030.715277777846030.7854166667</v>
      </c>
      <c r="Q232" s="32" t="str">
        <f aca="false">_xlfn.CONCAT(H232,I232,J232)</f>
        <v>DAURDE</v>
      </c>
    </row>
    <row r="233" customFormat="false" ht="15" hidden="false" customHeight="false" outlineLevel="0" collapsed="false">
      <c r="B233" s="32" t="s">
        <v>364</v>
      </c>
      <c r="C233" s="32" t="s">
        <v>365</v>
      </c>
      <c r="D233" s="33" t="n">
        <v>46030.7152777778</v>
      </c>
      <c r="E233" s="33" t="n">
        <v>46030.7152777778</v>
      </c>
      <c r="F233" s="33" t="n">
        <v>46030.7854166667</v>
      </c>
      <c r="G233" s="34" t="n">
        <f aca="false">F233-E233</f>
        <v>0.0701388888888889</v>
      </c>
      <c r="H233" s="39" t="s">
        <v>252</v>
      </c>
      <c r="J233" s="39" t="s">
        <v>253</v>
      </c>
      <c r="K233" s="32" t="s">
        <v>266</v>
      </c>
      <c r="L233" s="32" t="s">
        <v>366</v>
      </c>
      <c r="M233" s="39" t="s">
        <v>255</v>
      </c>
      <c r="N233" s="39" t="s">
        <v>268</v>
      </c>
      <c r="O233" s="32" t="s">
        <v>269</v>
      </c>
      <c r="P233" s="40" t="str">
        <f aca="false">_xlfn.CONCAT(B233,C233,D233,E233,F233)</f>
        <v>BC Camarao1.4INV-6T22A904138146030.715277777846030.715277777846030.7854166667</v>
      </c>
      <c r="Q233" s="32" t="str">
        <f aca="false">_xlfn.CONCAT(H233,I233,J233)</f>
        <v>DAURDE</v>
      </c>
    </row>
    <row r="234" customFormat="false" ht="15" hidden="false" customHeight="false" outlineLevel="0" collapsed="false">
      <c r="B234" s="32" t="s">
        <v>364</v>
      </c>
      <c r="C234" s="32" t="s">
        <v>259</v>
      </c>
      <c r="D234" s="33" t="n">
        <v>46030.7152777778</v>
      </c>
      <c r="E234" s="33" t="n">
        <v>46030.7152777778</v>
      </c>
      <c r="F234" s="33" t="n">
        <v>46030.7854166667</v>
      </c>
      <c r="G234" s="34" t="n">
        <f aca="false">F234-E234</f>
        <v>0.0701388888888889</v>
      </c>
      <c r="H234" s="39" t="s">
        <v>252</v>
      </c>
      <c r="J234" s="39" t="s">
        <v>253</v>
      </c>
      <c r="K234" s="32" t="s">
        <v>266</v>
      </c>
      <c r="L234" s="32" t="s">
        <v>366</v>
      </c>
      <c r="M234" s="39" t="s">
        <v>255</v>
      </c>
      <c r="N234" s="39" t="s">
        <v>268</v>
      </c>
      <c r="O234" s="32" t="s">
        <v>269</v>
      </c>
      <c r="P234" s="40" t="str">
        <f aca="false">_xlfn.CONCAT(B234,C234,D234,E234,F234)</f>
        <v>BC Camarao1.4215KTL-H3(MBUS-14)46030.715277777846030.715277777846030.7854166667</v>
      </c>
      <c r="Q234" s="32" t="str">
        <f aca="false">_xlfn.CONCAT(H234,I234,J234)</f>
        <v>DAURDE</v>
      </c>
    </row>
    <row r="235" customFormat="false" ht="15" hidden="false" customHeight="false" outlineLevel="0" collapsed="false">
      <c r="B235" s="32" t="s">
        <v>364</v>
      </c>
      <c r="C235" s="32" t="s">
        <v>258</v>
      </c>
      <c r="D235" s="33" t="n">
        <v>46030.7152777778</v>
      </c>
      <c r="E235" s="33" t="n">
        <v>46030.7152777778</v>
      </c>
      <c r="F235" s="33" t="n">
        <v>46030.7854166667</v>
      </c>
      <c r="G235" s="34" t="n">
        <f aca="false">F235-E235</f>
        <v>0.0701388888888889</v>
      </c>
      <c r="H235" s="39" t="s">
        <v>252</v>
      </c>
      <c r="J235" s="39" t="s">
        <v>253</v>
      </c>
      <c r="K235" s="32" t="s">
        <v>266</v>
      </c>
      <c r="L235" s="32" t="s">
        <v>366</v>
      </c>
      <c r="M235" s="39" t="s">
        <v>255</v>
      </c>
      <c r="N235" s="39" t="s">
        <v>268</v>
      </c>
      <c r="O235" s="32" t="s">
        <v>269</v>
      </c>
      <c r="P235" s="40" t="str">
        <f aca="false">_xlfn.CONCAT(B235,C235,D235,E235,F235)</f>
        <v>BC Camarao1.4215KTL-H3(MBUS-13)46030.715277777846030.715277777846030.7854166667</v>
      </c>
      <c r="Q235" s="32" t="str">
        <f aca="false">_xlfn.CONCAT(H235,I235,J235)</f>
        <v>DAURDE</v>
      </c>
    </row>
    <row r="236" customFormat="false" ht="15" hidden="false" customHeight="false" outlineLevel="0" collapsed="false">
      <c r="B236" s="32" t="s">
        <v>364</v>
      </c>
      <c r="C236" s="32" t="s">
        <v>261</v>
      </c>
      <c r="D236" s="33" t="n">
        <v>46030.7152777778</v>
      </c>
      <c r="E236" s="33" t="n">
        <v>46030.7152777778</v>
      </c>
      <c r="F236" s="33" t="n">
        <v>46030.7854166667</v>
      </c>
      <c r="G236" s="34" t="n">
        <f aca="false">F236-E236</f>
        <v>0.0701388888888889</v>
      </c>
      <c r="H236" s="39" t="s">
        <v>252</v>
      </c>
      <c r="J236" s="39" t="s">
        <v>253</v>
      </c>
      <c r="K236" s="32" t="s">
        <v>266</v>
      </c>
      <c r="L236" s="32" t="s">
        <v>366</v>
      </c>
      <c r="M236" s="39" t="s">
        <v>255</v>
      </c>
      <c r="N236" s="39" t="s">
        <v>268</v>
      </c>
      <c r="O236" s="32" t="s">
        <v>269</v>
      </c>
      <c r="P236" s="40" t="str">
        <f aca="false">_xlfn.CONCAT(B236,C236,D236,E236,F236)</f>
        <v>BC Camarao1.4215KTL-H3(MBUS-16)46030.715277777846030.715277777846030.7854166667</v>
      </c>
      <c r="Q236" s="32" t="str">
        <f aca="false">_xlfn.CONCAT(H236,I236,J236)</f>
        <v>DAURDE</v>
      </c>
    </row>
    <row r="237" customFormat="false" ht="15" hidden="false" customHeight="false" outlineLevel="0" collapsed="false">
      <c r="B237" s="32" t="s">
        <v>364</v>
      </c>
      <c r="C237" s="32" t="s">
        <v>260</v>
      </c>
      <c r="D237" s="33" t="n">
        <v>46030.7152777778</v>
      </c>
      <c r="E237" s="33" t="n">
        <v>46030.7152777778</v>
      </c>
      <c r="F237" s="33" t="n">
        <v>46030.7854166667</v>
      </c>
      <c r="G237" s="34" t="n">
        <f aca="false">F237-E237</f>
        <v>0.0701388888888889</v>
      </c>
      <c r="H237" s="39" t="s">
        <v>252</v>
      </c>
      <c r="J237" s="39" t="s">
        <v>253</v>
      </c>
      <c r="K237" s="32" t="s">
        <v>266</v>
      </c>
      <c r="L237" s="32" t="s">
        <v>366</v>
      </c>
      <c r="M237" s="39" t="s">
        <v>255</v>
      </c>
      <c r="N237" s="39" t="s">
        <v>268</v>
      </c>
      <c r="O237" s="32" t="s">
        <v>269</v>
      </c>
      <c r="P237" s="40" t="str">
        <f aca="false">_xlfn.CONCAT(B237,C237,D237,E237,F237)</f>
        <v>BC Camarao1.4215KTL-H3(MBUS-15)46030.715277777846030.715277777846030.7854166667</v>
      </c>
      <c r="Q237" s="32" t="str">
        <f aca="false">_xlfn.CONCAT(H237,I237,J237)</f>
        <v>DAURDE</v>
      </c>
    </row>
    <row r="238" customFormat="false" ht="15" hidden="false" customHeight="false" outlineLevel="0" collapsed="false">
      <c r="B238" s="32" t="s">
        <v>430</v>
      </c>
      <c r="C238" s="32" t="s">
        <v>260</v>
      </c>
      <c r="D238" s="33" t="n">
        <v>46030.7152777778</v>
      </c>
      <c r="E238" s="33" t="n">
        <v>46030.7152777778</v>
      </c>
      <c r="F238" s="33" t="n">
        <v>46030.7854166667</v>
      </c>
      <c r="G238" s="34" t="n">
        <f aca="false">F238-E238</f>
        <v>0.0701388888888889</v>
      </c>
      <c r="H238" s="39" t="s">
        <v>252</v>
      </c>
      <c r="J238" s="39" t="s">
        <v>253</v>
      </c>
      <c r="K238" s="32" t="s">
        <v>266</v>
      </c>
      <c r="L238" s="32" t="s">
        <v>366</v>
      </c>
      <c r="M238" s="39" t="s">
        <v>255</v>
      </c>
      <c r="N238" s="39" t="s">
        <v>268</v>
      </c>
      <c r="O238" s="32" t="s">
        <v>269</v>
      </c>
      <c r="P238" s="40" t="str">
        <f aca="false">_xlfn.CONCAT(B238,C238,D238,E238,F238)</f>
        <v>BC Camarao1.5215KTL-H3(MBUS-15)46030.715277777846030.715277777846030.7854166667</v>
      </c>
      <c r="Q238" s="32" t="str">
        <f aca="false">_xlfn.CONCAT(H238,I238,J238)</f>
        <v>DAURDE</v>
      </c>
    </row>
    <row r="239" customFormat="false" ht="15" hidden="false" customHeight="false" outlineLevel="0" collapsed="false">
      <c r="B239" s="32" t="s">
        <v>430</v>
      </c>
      <c r="C239" s="32" t="s">
        <v>258</v>
      </c>
      <c r="D239" s="33" t="n">
        <v>46030.7152777778</v>
      </c>
      <c r="E239" s="33" t="n">
        <v>46030.7152777778</v>
      </c>
      <c r="F239" s="33" t="n">
        <v>46030.7854166667</v>
      </c>
      <c r="G239" s="34" t="n">
        <f aca="false">F239-E239</f>
        <v>0.0701388888888889</v>
      </c>
      <c r="H239" s="39" t="s">
        <v>252</v>
      </c>
      <c r="J239" s="39" t="s">
        <v>253</v>
      </c>
      <c r="K239" s="32" t="s">
        <v>266</v>
      </c>
      <c r="L239" s="32" t="s">
        <v>366</v>
      </c>
      <c r="M239" s="39" t="s">
        <v>255</v>
      </c>
      <c r="N239" s="39" t="s">
        <v>268</v>
      </c>
      <c r="O239" s="32" t="s">
        <v>269</v>
      </c>
      <c r="P239" s="40" t="str">
        <f aca="false">_xlfn.CONCAT(B239,C239,D239,E239,F239)</f>
        <v>BC Camarao1.5215KTL-H3(MBUS-13)46030.715277777846030.715277777846030.7854166667</v>
      </c>
      <c r="Q239" s="32" t="str">
        <f aca="false">_xlfn.CONCAT(H239,I239,J239)</f>
        <v>DAURDE</v>
      </c>
    </row>
    <row r="240" customFormat="false" ht="15" hidden="false" customHeight="false" outlineLevel="0" collapsed="false">
      <c r="B240" s="32" t="s">
        <v>430</v>
      </c>
      <c r="C240" s="32" t="s">
        <v>251</v>
      </c>
      <c r="D240" s="33" t="n">
        <v>46030.7152777778</v>
      </c>
      <c r="E240" s="33" t="n">
        <v>46030.7152777778</v>
      </c>
      <c r="F240" s="33" t="n">
        <v>46030.7854166667</v>
      </c>
      <c r="G240" s="34" t="n">
        <f aca="false">F240-E240</f>
        <v>0.0701388888888889</v>
      </c>
      <c r="H240" s="39" t="s">
        <v>252</v>
      </c>
      <c r="J240" s="39" t="s">
        <v>253</v>
      </c>
      <c r="K240" s="32" t="s">
        <v>266</v>
      </c>
      <c r="L240" s="32" t="s">
        <v>366</v>
      </c>
      <c r="M240" s="39" t="s">
        <v>255</v>
      </c>
      <c r="N240" s="39" t="s">
        <v>268</v>
      </c>
      <c r="O240" s="32" t="s">
        <v>269</v>
      </c>
      <c r="P240" s="40" t="str">
        <f aca="false">_xlfn.CONCAT(B240,C240,D240,E240,F240)</f>
        <v>BC Camarao1.5215KTL-H3(MBUS-12)46030.715277777846030.715277777846030.7854166667</v>
      </c>
      <c r="Q240" s="32" t="str">
        <f aca="false">_xlfn.CONCAT(H240,I240,J240)</f>
        <v>DAURDE</v>
      </c>
    </row>
    <row r="241" customFormat="false" ht="15" hidden="false" customHeight="false" outlineLevel="0" collapsed="false">
      <c r="B241" s="32" t="s">
        <v>430</v>
      </c>
      <c r="C241" s="32" t="s">
        <v>431</v>
      </c>
      <c r="D241" s="33" t="n">
        <v>46030.7152777778</v>
      </c>
      <c r="E241" s="33" t="n">
        <v>46030.7152777778</v>
      </c>
      <c r="F241" s="33" t="n">
        <v>46030.7854166667</v>
      </c>
      <c r="G241" s="34" t="n">
        <f aca="false">F241-E241</f>
        <v>0.0701388888888889</v>
      </c>
      <c r="H241" s="39" t="s">
        <v>252</v>
      </c>
      <c r="J241" s="39" t="s">
        <v>253</v>
      </c>
      <c r="K241" s="32" t="s">
        <v>266</v>
      </c>
      <c r="L241" s="32" t="s">
        <v>366</v>
      </c>
      <c r="M241" s="39" t="s">
        <v>255</v>
      </c>
      <c r="N241" s="39" t="s">
        <v>268</v>
      </c>
      <c r="O241" s="32" t="s">
        <v>269</v>
      </c>
      <c r="P241" s="40" t="str">
        <f aca="false">_xlfn.CONCAT(B241,C241,D241,E241,F241)</f>
        <v>BC Camarao1.5215KTL-H3(MBUS-1)46030.715277777846030.715277777846030.7854166667</v>
      </c>
      <c r="Q241" s="32" t="str">
        <f aca="false">_xlfn.CONCAT(H241,I241,J241)</f>
        <v>DAURDE</v>
      </c>
    </row>
    <row r="242" customFormat="false" ht="15" hidden="false" customHeight="false" outlineLevel="0" collapsed="false">
      <c r="B242" s="32" t="s">
        <v>430</v>
      </c>
      <c r="C242" s="32" t="s">
        <v>259</v>
      </c>
      <c r="D242" s="33" t="n">
        <v>46030.7152777778</v>
      </c>
      <c r="E242" s="33" t="n">
        <v>46030.7152777778</v>
      </c>
      <c r="F242" s="33" t="n">
        <v>46030.7854166667</v>
      </c>
      <c r="G242" s="34" t="n">
        <f aca="false">F242-E242</f>
        <v>0.0701388888888889</v>
      </c>
      <c r="H242" s="39" t="s">
        <v>252</v>
      </c>
      <c r="J242" s="39" t="s">
        <v>253</v>
      </c>
      <c r="K242" s="32" t="s">
        <v>266</v>
      </c>
      <c r="L242" s="32" t="s">
        <v>366</v>
      </c>
      <c r="M242" s="39" t="s">
        <v>255</v>
      </c>
      <c r="N242" s="39" t="s">
        <v>268</v>
      </c>
      <c r="O242" s="32" t="s">
        <v>269</v>
      </c>
      <c r="P242" s="40" t="str">
        <f aca="false">_xlfn.CONCAT(B242,C242,D242,E242,F242)</f>
        <v>BC Camarao1.5215KTL-H3(MBUS-14)46030.715277777846030.715277777846030.7854166667</v>
      </c>
      <c r="Q242" s="32" t="str">
        <f aca="false">_xlfn.CONCAT(H242,I242,J242)</f>
        <v>DAURDE</v>
      </c>
    </row>
    <row r="243" customFormat="false" ht="15" hidden="false" customHeight="false" outlineLevel="0" collapsed="false">
      <c r="B243" s="32" t="s">
        <v>337</v>
      </c>
      <c r="C243" s="32" t="s">
        <v>326</v>
      </c>
      <c r="D243" s="33" t="n">
        <v>46030.7256944444</v>
      </c>
      <c r="E243" s="33" t="n">
        <v>46030.7256944444</v>
      </c>
      <c r="F243" s="33" t="n">
        <v>46031.3194444444</v>
      </c>
      <c r="G243" s="34" t="n">
        <f aca="false">F243-E243</f>
        <v>0.59375</v>
      </c>
      <c r="H243" s="39" t="s">
        <v>252</v>
      </c>
      <c r="J243" s="39" t="s">
        <v>253</v>
      </c>
      <c r="K243" s="32" t="s">
        <v>266</v>
      </c>
      <c r="L243" s="32" t="s">
        <v>432</v>
      </c>
      <c r="M243" s="39" t="s">
        <v>255</v>
      </c>
      <c r="N243" s="39" t="s">
        <v>268</v>
      </c>
      <c r="O243" s="32" t="s">
        <v>433</v>
      </c>
      <c r="P243" s="40" t="str">
        <f aca="false">_xlfn.CONCAT(B243,C243,D243,E243,F243)</f>
        <v>BC Formoso1.2Inverter(MBUS-13)46030.725694444446030.725694444446031.3194444444</v>
      </c>
      <c r="Q243" s="32" t="str">
        <f aca="false">_xlfn.CONCAT(H243,I243,J243)</f>
        <v>DAURDE</v>
      </c>
    </row>
    <row r="244" customFormat="false" ht="15" hidden="false" customHeight="false" outlineLevel="0" collapsed="false">
      <c r="B244" s="32" t="s">
        <v>337</v>
      </c>
      <c r="C244" s="32" t="s">
        <v>324</v>
      </c>
      <c r="D244" s="33" t="n">
        <v>46030.7256944444</v>
      </c>
      <c r="E244" s="33" t="n">
        <v>46030.7256944444</v>
      </c>
      <c r="F244" s="33" t="n">
        <v>46031.3194444444</v>
      </c>
      <c r="G244" s="34" t="n">
        <f aca="false">F244-E244</f>
        <v>0.59375</v>
      </c>
      <c r="H244" s="39" t="s">
        <v>252</v>
      </c>
      <c r="J244" s="39" t="s">
        <v>253</v>
      </c>
      <c r="K244" s="32" t="s">
        <v>266</v>
      </c>
      <c r="L244" s="32" t="s">
        <v>432</v>
      </c>
      <c r="M244" s="39" t="s">
        <v>255</v>
      </c>
      <c r="N244" s="39" t="s">
        <v>268</v>
      </c>
      <c r="O244" s="32" t="s">
        <v>433</v>
      </c>
      <c r="P244" s="40" t="str">
        <f aca="false">_xlfn.CONCAT(B244,C244,D244,E244,F244)</f>
        <v>BC Formoso1.2Inverter(MBUS-12)46030.725694444446030.725694444446031.3194444444</v>
      </c>
      <c r="Q244" s="32" t="str">
        <f aca="false">_xlfn.CONCAT(H244,I244,J244)</f>
        <v>DAURDE</v>
      </c>
    </row>
    <row r="245" customFormat="false" ht="15" hidden="false" customHeight="false" outlineLevel="0" collapsed="false">
      <c r="B245" s="32" t="s">
        <v>337</v>
      </c>
      <c r="C245" s="32" t="s">
        <v>328</v>
      </c>
      <c r="D245" s="33" t="n">
        <v>46030.7256944444</v>
      </c>
      <c r="E245" s="33" t="n">
        <v>46030.7256944444</v>
      </c>
      <c r="F245" s="33" t="n">
        <v>46031.3194444444</v>
      </c>
      <c r="G245" s="34" t="n">
        <f aca="false">F245-E245</f>
        <v>0.59375</v>
      </c>
      <c r="H245" s="39" t="s">
        <v>252</v>
      </c>
      <c r="J245" s="39" t="s">
        <v>253</v>
      </c>
      <c r="K245" s="32" t="s">
        <v>266</v>
      </c>
      <c r="L245" s="32" t="s">
        <v>432</v>
      </c>
      <c r="M245" s="39" t="s">
        <v>255</v>
      </c>
      <c r="N245" s="39" t="s">
        <v>268</v>
      </c>
      <c r="O245" s="32" t="s">
        <v>433</v>
      </c>
      <c r="P245" s="40" t="str">
        <f aca="false">_xlfn.CONCAT(B245,C245,D245,E245,F245)</f>
        <v>BC Formoso1.2Inverter(MBUS-15)46030.725694444446030.725694444446031.3194444444</v>
      </c>
      <c r="Q245" s="32" t="str">
        <f aca="false">_xlfn.CONCAT(H245,I245,J245)</f>
        <v>DAURDE</v>
      </c>
    </row>
    <row r="246" customFormat="false" ht="15" hidden="false" customHeight="false" outlineLevel="0" collapsed="false">
      <c r="B246" s="32" t="s">
        <v>337</v>
      </c>
      <c r="C246" s="32" t="s">
        <v>327</v>
      </c>
      <c r="D246" s="33" t="n">
        <v>46030.7256944444</v>
      </c>
      <c r="E246" s="33" t="n">
        <v>46030.7256944444</v>
      </c>
      <c r="F246" s="33" t="n">
        <v>46031.3194444444</v>
      </c>
      <c r="G246" s="34" t="n">
        <f aca="false">F246-E246</f>
        <v>0.59375</v>
      </c>
      <c r="H246" s="39" t="s">
        <v>252</v>
      </c>
      <c r="J246" s="39" t="s">
        <v>253</v>
      </c>
      <c r="K246" s="32" t="s">
        <v>266</v>
      </c>
      <c r="L246" s="32" t="s">
        <v>432</v>
      </c>
      <c r="M246" s="39" t="s">
        <v>255</v>
      </c>
      <c r="N246" s="39" t="s">
        <v>268</v>
      </c>
      <c r="O246" s="32" t="s">
        <v>433</v>
      </c>
      <c r="P246" s="40" t="str">
        <f aca="false">_xlfn.CONCAT(B246,C246,D246,E246,F246)</f>
        <v>BC Formoso1.2Inverter(MBUS-14)46030.725694444446030.725694444446031.3194444444</v>
      </c>
      <c r="Q246" s="32" t="str">
        <f aca="false">_xlfn.CONCAT(H246,I246,J246)</f>
        <v>DAURDE</v>
      </c>
    </row>
    <row r="247" customFormat="false" ht="15" hidden="false" customHeight="false" outlineLevel="0" collapsed="false">
      <c r="B247" s="32" t="s">
        <v>340</v>
      </c>
      <c r="C247" s="32" t="s">
        <v>327</v>
      </c>
      <c r="D247" s="33" t="n">
        <v>46030.7256944444</v>
      </c>
      <c r="E247" s="33" t="n">
        <v>46030.7256944444</v>
      </c>
      <c r="F247" s="33" t="n">
        <v>46031.3194444444</v>
      </c>
      <c r="G247" s="34" t="n">
        <f aca="false">F247-E247</f>
        <v>0.59375</v>
      </c>
      <c r="H247" s="39" t="s">
        <v>252</v>
      </c>
      <c r="J247" s="39" t="s">
        <v>253</v>
      </c>
      <c r="K247" s="32" t="s">
        <v>266</v>
      </c>
      <c r="L247" s="32" t="s">
        <v>432</v>
      </c>
      <c r="M247" s="39" t="s">
        <v>255</v>
      </c>
      <c r="N247" s="39" t="s">
        <v>268</v>
      </c>
      <c r="O247" s="32" t="s">
        <v>433</v>
      </c>
      <c r="P247" s="40" t="str">
        <f aca="false">_xlfn.CONCAT(B247,C247,D247,E247,F247)</f>
        <v>BC Formoso2.2Inverter(MBUS-14)46030.725694444446030.725694444446031.3194444444</v>
      </c>
      <c r="Q247" s="32" t="str">
        <f aca="false">_xlfn.CONCAT(H247,I247,J247)</f>
        <v>DAURDE</v>
      </c>
    </row>
    <row r="248" customFormat="false" ht="15" hidden="false" customHeight="false" outlineLevel="0" collapsed="false">
      <c r="B248" s="32" t="s">
        <v>340</v>
      </c>
      <c r="C248" s="32" t="s">
        <v>326</v>
      </c>
      <c r="D248" s="33" t="n">
        <v>46030.7256944444</v>
      </c>
      <c r="E248" s="33" t="n">
        <v>46030.7256944444</v>
      </c>
      <c r="F248" s="33" t="n">
        <v>46031.3194444444</v>
      </c>
      <c r="G248" s="34" t="n">
        <f aca="false">F248-E248</f>
        <v>0.59375</v>
      </c>
      <c r="H248" s="39" t="s">
        <v>252</v>
      </c>
      <c r="J248" s="39" t="s">
        <v>253</v>
      </c>
      <c r="K248" s="32" t="s">
        <v>266</v>
      </c>
      <c r="L248" s="32" t="s">
        <v>432</v>
      </c>
      <c r="M248" s="39" t="s">
        <v>255</v>
      </c>
      <c r="N248" s="39" t="s">
        <v>268</v>
      </c>
      <c r="O248" s="32" t="s">
        <v>433</v>
      </c>
      <c r="P248" s="40" t="str">
        <f aca="false">_xlfn.CONCAT(B248,C248,D248,E248,F248)</f>
        <v>BC Formoso2.2Inverter(MBUS-13)46030.725694444446030.725694444446031.3194444444</v>
      </c>
      <c r="Q248" s="32" t="str">
        <f aca="false">_xlfn.CONCAT(H248,I248,J248)</f>
        <v>DAURDE</v>
      </c>
    </row>
    <row r="249" customFormat="false" ht="15" hidden="false" customHeight="false" outlineLevel="0" collapsed="false">
      <c r="B249" s="32" t="s">
        <v>340</v>
      </c>
      <c r="C249" s="32" t="s">
        <v>324</v>
      </c>
      <c r="D249" s="33" t="n">
        <v>46030.7256944444</v>
      </c>
      <c r="E249" s="33" t="n">
        <v>46030.7256944444</v>
      </c>
      <c r="F249" s="33" t="n">
        <v>46031.3194444444</v>
      </c>
      <c r="G249" s="34" t="n">
        <f aca="false">F249-E249</f>
        <v>0.59375</v>
      </c>
      <c r="H249" s="39" t="s">
        <v>252</v>
      </c>
      <c r="J249" s="39" t="s">
        <v>253</v>
      </c>
      <c r="K249" s="32" t="s">
        <v>266</v>
      </c>
      <c r="L249" s="32" t="s">
        <v>432</v>
      </c>
      <c r="M249" s="39" t="s">
        <v>255</v>
      </c>
      <c r="N249" s="39" t="s">
        <v>268</v>
      </c>
      <c r="O249" s="32" t="s">
        <v>433</v>
      </c>
      <c r="P249" s="40" t="str">
        <f aca="false">_xlfn.CONCAT(B249,C249,D249,E249,F249)</f>
        <v>BC Formoso2.2Inverter(MBUS-12)46030.725694444446030.725694444446031.3194444444</v>
      </c>
      <c r="Q249" s="32" t="str">
        <f aca="false">_xlfn.CONCAT(H249,I249,J249)</f>
        <v>DAURDE</v>
      </c>
    </row>
    <row r="250" customFormat="false" ht="15" hidden="false" customHeight="false" outlineLevel="0" collapsed="false">
      <c r="B250" s="32" t="s">
        <v>340</v>
      </c>
      <c r="C250" s="32" t="s">
        <v>265</v>
      </c>
      <c r="D250" s="33" t="n">
        <v>46030.7256944444</v>
      </c>
      <c r="E250" s="33" t="n">
        <v>46030.7256944444</v>
      </c>
      <c r="F250" s="33" t="n">
        <v>46031.3194444444</v>
      </c>
      <c r="G250" s="34" t="n">
        <f aca="false">F250-E250</f>
        <v>0.59375</v>
      </c>
      <c r="H250" s="39" t="s">
        <v>252</v>
      </c>
      <c r="J250" s="39" t="s">
        <v>253</v>
      </c>
      <c r="K250" s="32" t="s">
        <v>266</v>
      </c>
      <c r="L250" s="32" t="s">
        <v>432</v>
      </c>
      <c r="M250" s="39" t="s">
        <v>255</v>
      </c>
      <c r="N250" s="39" t="s">
        <v>268</v>
      </c>
      <c r="O250" s="32" t="s">
        <v>433</v>
      </c>
      <c r="P250" s="40" t="str">
        <f aca="false">_xlfn.CONCAT(B250,C250,D250,E250,F250)</f>
        <v>BC Formoso2.2Inverter(MBUS-1)46030.725694444446030.725694444446031.3194444444</v>
      </c>
      <c r="Q250" s="32" t="str">
        <f aca="false">_xlfn.CONCAT(H250,I250,J250)</f>
        <v>DAURDE</v>
      </c>
    </row>
    <row r="251" customFormat="false" ht="15" hidden="false" customHeight="false" outlineLevel="0" collapsed="false">
      <c r="B251" s="41" t="s">
        <v>323</v>
      </c>
      <c r="C251" s="32" t="s">
        <v>324</v>
      </c>
      <c r="D251" s="33" t="n">
        <v>46030.7430555556</v>
      </c>
      <c r="E251" s="33" t="n">
        <v>46030.7430555556</v>
      </c>
      <c r="F251" s="33" t="n">
        <v>46031.3541666667</v>
      </c>
      <c r="G251" s="34" t="n">
        <f aca="false">F251-E251</f>
        <v>0.611111111111111</v>
      </c>
      <c r="H251" s="39" t="s">
        <v>252</v>
      </c>
      <c r="J251" s="39" t="s">
        <v>253</v>
      </c>
      <c r="K251" s="32" t="s">
        <v>266</v>
      </c>
      <c r="L251" s="32" t="s">
        <v>434</v>
      </c>
      <c r="M251" s="39" t="s">
        <v>255</v>
      </c>
      <c r="N251" s="39" t="s">
        <v>268</v>
      </c>
      <c r="O251" s="41" t="s">
        <v>257</v>
      </c>
      <c r="P251" s="40" t="str">
        <f aca="false">_xlfn.CONCAT(B251,C251,D251,E251,F251)</f>
        <v>BC Ibiuna 1.1Inverter(MBUS-12)46030.743055555646030.743055555646031.3541666667</v>
      </c>
      <c r="Q251" s="32" t="str">
        <f aca="false">_xlfn.CONCAT(H251,I251,J251)</f>
        <v>DAURDE</v>
      </c>
    </row>
    <row r="252" customFormat="false" ht="15" hidden="false" customHeight="false" outlineLevel="0" collapsed="false">
      <c r="B252" s="41" t="s">
        <v>323</v>
      </c>
      <c r="C252" s="32" t="s">
        <v>326</v>
      </c>
      <c r="D252" s="33" t="n">
        <v>46030.7430555556</v>
      </c>
      <c r="E252" s="33" t="n">
        <v>46030.7430555556</v>
      </c>
      <c r="F252" s="33" t="n">
        <v>46031.3541666667</v>
      </c>
      <c r="G252" s="34" t="n">
        <f aca="false">F252-E252</f>
        <v>0.611111111111111</v>
      </c>
      <c r="H252" s="39" t="s">
        <v>252</v>
      </c>
      <c r="J252" s="39" t="s">
        <v>253</v>
      </c>
      <c r="K252" s="32" t="s">
        <v>266</v>
      </c>
      <c r="L252" s="32" t="s">
        <v>434</v>
      </c>
      <c r="M252" s="39" t="s">
        <v>255</v>
      </c>
      <c r="N252" s="39" t="s">
        <v>268</v>
      </c>
      <c r="O252" s="41" t="s">
        <v>257</v>
      </c>
      <c r="P252" s="40" t="str">
        <f aca="false">_xlfn.CONCAT(B252,C252,D253,E252,F252)</f>
        <v>BC Ibiuna 1.1Inverter(MBUS-13)46030.743055555646030.743055555646031.3541666667</v>
      </c>
      <c r="Q252" s="32" t="str">
        <f aca="false">_xlfn.CONCAT(H252,I252,J252)</f>
        <v>DAURDE</v>
      </c>
    </row>
    <row r="253" customFormat="false" ht="15" hidden="false" customHeight="false" outlineLevel="0" collapsed="false">
      <c r="B253" s="41" t="s">
        <v>323</v>
      </c>
      <c r="C253" s="32" t="s">
        <v>327</v>
      </c>
      <c r="D253" s="33" t="n">
        <v>46030.7430555556</v>
      </c>
      <c r="E253" s="33" t="n">
        <v>46030.7430555556</v>
      </c>
      <c r="F253" s="33" t="n">
        <v>46031.3541666667</v>
      </c>
      <c r="G253" s="34" t="n">
        <f aca="false">F253-E253</f>
        <v>0.611111111111111</v>
      </c>
      <c r="H253" s="39" t="s">
        <v>252</v>
      </c>
      <c r="J253" s="39" t="s">
        <v>253</v>
      </c>
      <c r="K253" s="32" t="s">
        <v>266</v>
      </c>
      <c r="L253" s="32" t="s">
        <v>434</v>
      </c>
      <c r="M253" s="39" t="s">
        <v>255</v>
      </c>
      <c r="N253" s="39" t="s">
        <v>268</v>
      </c>
      <c r="O253" s="41" t="s">
        <v>257</v>
      </c>
      <c r="P253" s="40" t="str">
        <f aca="false">_xlfn.CONCAT(B253,C253,D254,E253,F253)</f>
        <v>BC Ibiuna 1.1Inverter(MBUS-14)46030.743055555646030.743055555646031.3541666667</v>
      </c>
      <c r="Q253" s="32" t="str">
        <f aca="false">_xlfn.CONCAT(H253,I253,J253)</f>
        <v>DAURDE</v>
      </c>
    </row>
    <row r="254" customFormat="false" ht="15" hidden="false" customHeight="false" outlineLevel="0" collapsed="false">
      <c r="B254" s="41" t="s">
        <v>323</v>
      </c>
      <c r="C254" s="32" t="s">
        <v>328</v>
      </c>
      <c r="D254" s="33" t="n">
        <v>46030.7430555556</v>
      </c>
      <c r="E254" s="33" t="n">
        <v>46030.7430555556</v>
      </c>
      <c r="F254" s="33" t="n">
        <v>46031.3541666667</v>
      </c>
      <c r="G254" s="34" t="n">
        <f aca="false">F254-E254</f>
        <v>0.611111111111111</v>
      </c>
      <c r="H254" s="39" t="s">
        <v>252</v>
      </c>
      <c r="J254" s="39" t="s">
        <v>253</v>
      </c>
      <c r="K254" s="32" t="s">
        <v>266</v>
      </c>
      <c r="L254" s="32" t="s">
        <v>434</v>
      </c>
      <c r="M254" s="39" t="s">
        <v>255</v>
      </c>
      <c r="N254" s="39" t="s">
        <v>268</v>
      </c>
      <c r="O254" s="41" t="s">
        <v>257</v>
      </c>
      <c r="P254" s="40" t="str">
        <f aca="false">_xlfn.CONCAT(B254,C254,D255,E254,F254)</f>
        <v>BC Ibiuna 1.1Inverter(MBUS-15)46030.743055555646030.743055555646031.3541666667</v>
      </c>
      <c r="Q254" s="32" t="str">
        <f aca="false">_xlfn.CONCAT(H254,I254,J254)</f>
        <v>DAURDE</v>
      </c>
    </row>
    <row r="255" customFormat="false" ht="15" hidden="false" customHeight="false" outlineLevel="0" collapsed="false">
      <c r="B255" s="41" t="s">
        <v>329</v>
      </c>
      <c r="C255" s="32" t="s">
        <v>324</v>
      </c>
      <c r="D255" s="33" t="n">
        <v>46030.7430555556</v>
      </c>
      <c r="E255" s="33" t="n">
        <v>46030.7430555556</v>
      </c>
      <c r="F255" s="33" t="n">
        <v>46031.3541666667</v>
      </c>
      <c r="G255" s="34" t="n">
        <f aca="false">F255-E255</f>
        <v>0.611111111111111</v>
      </c>
      <c r="H255" s="39" t="s">
        <v>252</v>
      </c>
      <c r="J255" s="39" t="s">
        <v>253</v>
      </c>
      <c r="K255" s="32" t="s">
        <v>266</v>
      </c>
      <c r="L255" s="32" t="s">
        <v>434</v>
      </c>
      <c r="M255" s="39" t="s">
        <v>255</v>
      </c>
      <c r="N255" s="39" t="s">
        <v>268</v>
      </c>
      <c r="O255" s="41" t="s">
        <v>257</v>
      </c>
      <c r="P255" s="40" t="str">
        <f aca="false">_xlfn.CONCAT(B255,C255,D256,E255,F255)</f>
        <v>BC Ibiuna 1.2Inverter(MBUS-12)46030.743055555646030.743055555646031.3541666667</v>
      </c>
      <c r="Q255" s="32" t="str">
        <f aca="false">_xlfn.CONCAT(H255,I255,J255)</f>
        <v>DAURDE</v>
      </c>
    </row>
    <row r="256" customFormat="false" ht="15" hidden="false" customHeight="false" outlineLevel="0" collapsed="false">
      <c r="B256" s="41" t="s">
        <v>329</v>
      </c>
      <c r="C256" s="32" t="s">
        <v>326</v>
      </c>
      <c r="D256" s="33" t="n">
        <v>46030.7430555556</v>
      </c>
      <c r="E256" s="33" t="n">
        <v>46030.7430555556</v>
      </c>
      <c r="F256" s="33" t="n">
        <v>46031.3541666667</v>
      </c>
      <c r="G256" s="34" t="n">
        <f aca="false">F256-E256</f>
        <v>0.611111111111111</v>
      </c>
      <c r="H256" s="39" t="s">
        <v>252</v>
      </c>
      <c r="J256" s="39" t="s">
        <v>253</v>
      </c>
      <c r="K256" s="32" t="s">
        <v>266</v>
      </c>
      <c r="L256" s="32" t="s">
        <v>434</v>
      </c>
      <c r="M256" s="39" t="s">
        <v>255</v>
      </c>
      <c r="N256" s="39" t="s">
        <v>268</v>
      </c>
      <c r="O256" s="41" t="s">
        <v>257</v>
      </c>
      <c r="P256" s="40" t="str">
        <f aca="false">_xlfn.CONCAT(B256,C256,D257,E256,F256)</f>
        <v>BC Ibiuna 1.2Inverter(MBUS-13)46030.743055555646030.743055555646031.3541666667</v>
      </c>
      <c r="Q256" s="32" t="str">
        <f aca="false">_xlfn.CONCAT(H256,I256,J256)</f>
        <v>DAURDE</v>
      </c>
    </row>
    <row r="257" customFormat="false" ht="15" hidden="false" customHeight="false" outlineLevel="0" collapsed="false">
      <c r="B257" s="41" t="s">
        <v>329</v>
      </c>
      <c r="C257" s="32" t="s">
        <v>327</v>
      </c>
      <c r="D257" s="33" t="n">
        <v>46030.7430555556</v>
      </c>
      <c r="E257" s="33" t="n">
        <v>46030.7430555556</v>
      </c>
      <c r="F257" s="33" t="n">
        <v>46031.3541666667</v>
      </c>
      <c r="G257" s="34" t="n">
        <f aca="false">F257-E257</f>
        <v>0.611111111111111</v>
      </c>
      <c r="H257" s="39" t="s">
        <v>252</v>
      </c>
      <c r="J257" s="39" t="s">
        <v>253</v>
      </c>
      <c r="K257" s="32" t="s">
        <v>266</v>
      </c>
      <c r="L257" s="32" t="s">
        <v>434</v>
      </c>
      <c r="M257" s="39" t="s">
        <v>255</v>
      </c>
      <c r="N257" s="39" t="s">
        <v>268</v>
      </c>
      <c r="O257" s="41" t="s">
        <v>257</v>
      </c>
      <c r="P257" s="40" t="str">
        <f aca="false">_xlfn.CONCAT(B257,C257,D258,E257,F257)</f>
        <v>BC Ibiuna 1.2Inverter(MBUS-14)46030.743055555646030.743055555646031.3541666667</v>
      </c>
      <c r="Q257" s="32" t="str">
        <f aca="false">_xlfn.CONCAT(H257,I257,J257)</f>
        <v>DAURDE</v>
      </c>
    </row>
    <row r="258" customFormat="false" ht="15" hidden="false" customHeight="false" outlineLevel="0" collapsed="false">
      <c r="B258" s="41" t="s">
        <v>329</v>
      </c>
      <c r="C258" s="32" t="s">
        <v>328</v>
      </c>
      <c r="D258" s="33" t="n">
        <v>46030.7430555556</v>
      </c>
      <c r="E258" s="33" t="n">
        <v>46030.7430555556</v>
      </c>
      <c r="F258" s="33" t="n">
        <v>46031.3541666667</v>
      </c>
      <c r="G258" s="34" t="n">
        <f aca="false">F258-E258</f>
        <v>0.611111111111111</v>
      </c>
      <c r="H258" s="39" t="s">
        <v>252</v>
      </c>
      <c r="J258" s="39" t="s">
        <v>253</v>
      </c>
      <c r="K258" s="32" t="s">
        <v>266</v>
      </c>
      <c r="L258" s="32" t="s">
        <v>434</v>
      </c>
      <c r="M258" s="39" t="s">
        <v>255</v>
      </c>
      <c r="N258" s="39" t="s">
        <v>268</v>
      </c>
      <c r="O258" s="41" t="s">
        <v>257</v>
      </c>
      <c r="P258" s="40" t="str">
        <f aca="false">_xlfn.CONCAT(B258,C258,D259,E258,F258)</f>
        <v>BC Ibiuna 1.2Inverter(MBUS-15)46031.184722222246030.743055555646031.3541666667</v>
      </c>
      <c r="Q258" s="32" t="str">
        <f aca="false">_xlfn.CONCAT(H258,I258,J258)</f>
        <v>DAURDE</v>
      </c>
    </row>
    <row r="259" customFormat="false" ht="15" hidden="false" customHeight="false" outlineLevel="0" collapsed="false">
      <c r="B259" s="32" t="s">
        <v>424</v>
      </c>
      <c r="C259" s="32" t="s">
        <v>265</v>
      </c>
      <c r="D259" s="33" t="n">
        <v>46031.1847222222</v>
      </c>
      <c r="E259" s="33" t="n">
        <v>46031.1847222222</v>
      </c>
      <c r="F259" s="33" t="n">
        <v>46031.3402777778</v>
      </c>
      <c r="G259" s="34" t="n">
        <f aca="false">F259-E259</f>
        <v>0.155555555555556</v>
      </c>
      <c r="H259" s="39" t="s">
        <v>252</v>
      </c>
      <c r="J259" s="39" t="s">
        <v>253</v>
      </c>
      <c r="K259" s="32" t="s">
        <v>266</v>
      </c>
      <c r="L259" s="32" t="s">
        <v>366</v>
      </c>
      <c r="M259" s="39" t="s">
        <v>255</v>
      </c>
      <c r="N259" s="39" t="s">
        <v>268</v>
      </c>
      <c r="O259" s="32" t="s">
        <v>269</v>
      </c>
      <c r="P259" s="40" t="str">
        <f aca="false">_xlfn.CONCAT(B259,C259,D259,E259,F259)</f>
        <v>BC Camarao1.1Inverter(MBUS-1)46031.184722222246031.184722222246031.3402777778</v>
      </c>
      <c r="Q259" s="32" t="str">
        <f aca="false">_xlfn.CONCAT(H259,I259,J259)</f>
        <v>DAURDE</v>
      </c>
    </row>
    <row r="260" customFormat="false" ht="15" hidden="false" customHeight="false" outlineLevel="0" collapsed="false">
      <c r="B260" s="32" t="s">
        <v>424</v>
      </c>
      <c r="C260" s="32" t="s">
        <v>251</v>
      </c>
      <c r="D260" s="33" t="n">
        <v>46031.1847222222</v>
      </c>
      <c r="E260" s="33" t="n">
        <v>46031.1847222222</v>
      </c>
      <c r="F260" s="33" t="n">
        <v>46031.3402777778</v>
      </c>
      <c r="G260" s="34" t="n">
        <f aca="false">F260-E260</f>
        <v>0.155555555555556</v>
      </c>
      <c r="H260" s="39" t="s">
        <v>252</v>
      </c>
      <c r="J260" s="39" t="s">
        <v>253</v>
      </c>
      <c r="K260" s="32" t="s">
        <v>266</v>
      </c>
      <c r="L260" s="32" t="s">
        <v>366</v>
      </c>
      <c r="M260" s="39" t="s">
        <v>255</v>
      </c>
      <c r="N260" s="39" t="s">
        <v>268</v>
      </c>
      <c r="O260" s="32" t="s">
        <v>269</v>
      </c>
      <c r="P260" s="40" t="str">
        <f aca="false">_xlfn.CONCAT(B260,C260,D260,E260,F260)</f>
        <v>BC Camarao1.1215KTL-H3(MBUS-12)46031.184722222246031.184722222246031.3402777778</v>
      </c>
      <c r="Q260" s="32" t="str">
        <f aca="false">_xlfn.CONCAT(H260,I260,J260)</f>
        <v>DAURDE</v>
      </c>
    </row>
    <row r="261" customFormat="false" ht="15" hidden="false" customHeight="false" outlineLevel="0" collapsed="false">
      <c r="B261" s="32" t="s">
        <v>424</v>
      </c>
      <c r="C261" s="32" t="s">
        <v>258</v>
      </c>
      <c r="D261" s="33" t="n">
        <v>46031.1847222222</v>
      </c>
      <c r="E261" s="33" t="n">
        <v>46031.1847222222</v>
      </c>
      <c r="F261" s="33" t="n">
        <v>46031.3402777778</v>
      </c>
      <c r="G261" s="34" t="n">
        <f aca="false">F261-E261</f>
        <v>0.155555555555556</v>
      </c>
      <c r="H261" s="39" t="s">
        <v>252</v>
      </c>
      <c r="J261" s="39" t="s">
        <v>253</v>
      </c>
      <c r="K261" s="32" t="s">
        <v>266</v>
      </c>
      <c r="L261" s="32" t="s">
        <v>366</v>
      </c>
      <c r="M261" s="39" t="s">
        <v>255</v>
      </c>
      <c r="N261" s="39" t="s">
        <v>268</v>
      </c>
      <c r="O261" s="32" t="s">
        <v>269</v>
      </c>
      <c r="P261" s="40" t="str">
        <f aca="false">_xlfn.CONCAT(B261,C261,D261,E261,F261)</f>
        <v>BC Camarao1.1215KTL-H3(MBUS-13)46031.184722222246031.184722222246031.3402777778</v>
      </c>
      <c r="Q261" s="32" t="str">
        <f aca="false">_xlfn.CONCAT(H261,I261,J261)</f>
        <v>DAURDE</v>
      </c>
    </row>
    <row r="262" customFormat="false" ht="15" hidden="false" customHeight="false" outlineLevel="0" collapsed="false">
      <c r="B262" s="32" t="s">
        <v>424</v>
      </c>
      <c r="C262" s="32" t="s">
        <v>261</v>
      </c>
      <c r="D262" s="33" t="n">
        <v>46031.1847222222</v>
      </c>
      <c r="E262" s="33" t="n">
        <v>46031.1847222222</v>
      </c>
      <c r="F262" s="33" t="n">
        <v>46031.3402777778</v>
      </c>
      <c r="G262" s="34" t="n">
        <f aca="false">F262-E262</f>
        <v>0.155555555555556</v>
      </c>
      <c r="H262" s="39" t="s">
        <v>252</v>
      </c>
      <c r="J262" s="39" t="s">
        <v>253</v>
      </c>
      <c r="K262" s="32" t="s">
        <v>266</v>
      </c>
      <c r="L262" s="32" t="s">
        <v>366</v>
      </c>
      <c r="M262" s="39" t="s">
        <v>255</v>
      </c>
      <c r="N262" s="39" t="s">
        <v>268</v>
      </c>
      <c r="O262" s="32" t="s">
        <v>269</v>
      </c>
      <c r="P262" s="40" t="str">
        <f aca="false">_xlfn.CONCAT(B262,C262,D262,E262,F262)</f>
        <v>BC Camarao1.1215KTL-H3(MBUS-16)46031.184722222246031.184722222246031.3402777778</v>
      </c>
      <c r="Q262" s="32" t="str">
        <f aca="false">_xlfn.CONCAT(H262,I262,J262)</f>
        <v>DAURDE</v>
      </c>
    </row>
    <row r="263" customFormat="false" ht="15" hidden="false" customHeight="false" outlineLevel="0" collapsed="false">
      <c r="B263" s="32" t="s">
        <v>424</v>
      </c>
      <c r="C263" s="32" t="s">
        <v>260</v>
      </c>
      <c r="D263" s="33" t="n">
        <v>46031.1847222222</v>
      </c>
      <c r="E263" s="33" t="n">
        <v>46031.1847222222</v>
      </c>
      <c r="F263" s="33" t="n">
        <v>46031.3402777778</v>
      </c>
      <c r="G263" s="34" t="n">
        <f aca="false">F263-E263</f>
        <v>0.155555555555556</v>
      </c>
      <c r="H263" s="39" t="s">
        <v>252</v>
      </c>
      <c r="J263" s="39" t="s">
        <v>253</v>
      </c>
      <c r="K263" s="32" t="s">
        <v>266</v>
      </c>
      <c r="L263" s="32" t="s">
        <v>366</v>
      </c>
      <c r="M263" s="39" t="s">
        <v>255</v>
      </c>
      <c r="N263" s="39" t="s">
        <v>268</v>
      </c>
      <c r="O263" s="32" t="s">
        <v>269</v>
      </c>
      <c r="P263" s="40" t="str">
        <f aca="false">_xlfn.CONCAT(B263,C263,D263,E263,F263)</f>
        <v>BC Camarao1.1215KTL-H3(MBUS-15)46031.184722222246031.184722222246031.3402777778</v>
      </c>
      <c r="Q263" s="32" t="str">
        <f aca="false">_xlfn.CONCAT(H263,I263,J263)</f>
        <v>DAURDE</v>
      </c>
    </row>
    <row r="264" customFormat="false" ht="15" hidden="false" customHeight="false" outlineLevel="0" collapsed="false">
      <c r="B264" s="32" t="s">
        <v>425</v>
      </c>
      <c r="C264" s="32" t="s">
        <v>265</v>
      </c>
      <c r="D264" s="33" t="n">
        <v>46031.1847222222</v>
      </c>
      <c r="E264" s="33" t="n">
        <v>46031.1847222222</v>
      </c>
      <c r="F264" s="33" t="n">
        <v>46031.3402777778</v>
      </c>
      <c r="G264" s="34" t="n">
        <f aca="false">F264-E264</f>
        <v>0.155555555555556</v>
      </c>
      <c r="H264" s="39" t="s">
        <v>252</v>
      </c>
      <c r="J264" s="39" t="s">
        <v>253</v>
      </c>
      <c r="K264" s="32" t="s">
        <v>266</v>
      </c>
      <c r="L264" s="32" t="s">
        <v>366</v>
      </c>
      <c r="M264" s="39" t="s">
        <v>255</v>
      </c>
      <c r="N264" s="39" t="s">
        <v>268</v>
      </c>
      <c r="O264" s="32" t="s">
        <v>269</v>
      </c>
      <c r="P264" s="40" t="str">
        <f aca="false">_xlfn.CONCAT(B264,C264,D264,E264,F264)</f>
        <v>BC Camarao1.2Inverter(MBUS-1)46031.184722222246031.184722222246031.3402777778</v>
      </c>
      <c r="Q264" s="32" t="str">
        <f aca="false">_xlfn.CONCAT(H264,I264,J264)</f>
        <v>DAURDE</v>
      </c>
    </row>
    <row r="265" customFormat="false" ht="15" hidden="false" customHeight="false" outlineLevel="0" collapsed="false">
      <c r="B265" s="32" t="s">
        <v>425</v>
      </c>
      <c r="C265" s="32" t="s">
        <v>426</v>
      </c>
      <c r="D265" s="33" t="n">
        <v>46031.1847222222</v>
      </c>
      <c r="E265" s="33" t="n">
        <v>46031.1847222222</v>
      </c>
      <c r="F265" s="33" t="n">
        <v>46031.3402777778</v>
      </c>
      <c r="G265" s="34" t="n">
        <f aca="false">F265-E265</f>
        <v>0.155555555555556</v>
      </c>
      <c r="H265" s="39" t="s">
        <v>252</v>
      </c>
      <c r="J265" s="39" t="s">
        <v>253</v>
      </c>
      <c r="K265" s="32" t="s">
        <v>266</v>
      </c>
      <c r="L265" s="32" t="s">
        <v>366</v>
      </c>
      <c r="M265" s="39" t="s">
        <v>255</v>
      </c>
      <c r="N265" s="39" t="s">
        <v>268</v>
      </c>
      <c r="O265" s="32" t="s">
        <v>269</v>
      </c>
      <c r="P265" s="40" t="str">
        <f aca="false">_xlfn.CONCAT(B265,C265,D265,E265,F265)</f>
        <v>BC Camarao1.2Inv. 346031.184722222246031.184722222246031.3402777778</v>
      </c>
      <c r="Q265" s="32" t="str">
        <f aca="false">_xlfn.CONCAT(H265,I265,J265)</f>
        <v>DAURDE</v>
      </c>
    </row>
    <row r="266" customFormat="false" ht="15" hidden="false" customHeight="false" outlineLevel="0" collapsed="false">
      <c r="B266" s="32" t="s">
        <v>425</v>
      </c>
      <c r="C266" s="32" t="s">
        <v>427</v>
      </c>
      <c r="D266" s="33" t="n">
        <v>46031.1847222222</v>
      </c>
      <c r="E266" s="33" t="n">
        <v>46031.1847222222</v>
      </c>
      <c r="F266" s="33" t="n">
        <v>46031.3402777778</v>
      </c>
      <c r="G266" s="34" t="n">
        <f aca="false">F266-E266</f>
        <v>0.155555555555556</v>
      </c>
      <c r="H266" s="39" t="s">
        <v>252</v>
      </c>
      <c r="J266" s="39" t="s">
        <v>253</v>
      </c>
      <c r="K266" s="32" t="s">
        <v>266</v>
      </c>
      <c r="L266" s="32" t="s">
        <v>366</v>
      </c>
      <c r="M266" s="39" t="s">
        <v>255</v>
      </c>
      <c r="N266" s="39" t="s">
        <v>268</v>
      </c>
      <c r="O266" s="32" t="s">
        <v>269</v>
      </c>
      <c r="P266" s="40" t="str">
        <f aca="false">_xlfn.CONCAT(B266,C266,D266,E266,F266)</f>
        <v>BC Camarao1.2Inv. 446031.184722222246031.184722222246031.3402777778</v>
      </c>
      <c r="Q266" s="32" t="str">
        <f aca="false">_xlfn.CONCAT(H266,I266,J266)</f>
        <v>DAURDE</v>
      </c>
    </row>
    <row r="267" customFormat="false" ht="15" hidden="false" customHeight="false" outlineLevel="0" collapsed="false">
      <c r="B267" s="32" t="s">
        <v>425</v>
      </c>
      <c r="C267" s="32" t="s">
        <v>428</v>
      </c>
      <c r="D267" s="33" t="n">
        <v>46031.1847222222</v>
      </c>
      <c r="E267" s="33" t="n">
        <v>46031.1847222222</v>
      </c>
      <c r="F267" s="33" t="n">
        <v>46031.3402777778</v>
      </c>
      <c r="G267" s="34" t="n">
        <f aca="false">F267-E267</f>
        <v>0.155555555555556</v>
      </c>
      <c r="H267" s="39" t="s">
        <v>252</v>
      </c>
      <c r="J267" s="39" t="s">
        <v>253</v>
      </c>
      <c r="K267" s="32" t="s">
        <v>266</v>
      </c>
      <c r="L267" s="32" t="s">
        <v>366</v>
      </c>
      <c r="M267" s="39" t="s">
        <v>255</v>
      </c>
      <c r="N267" s="39" t="s">
        <v>268</v>
      </c>
      <c r="O267" s="32" t="s">
        <v>269</v>
      </c>
      <c r="P267" s="40" t="str">
        <f aca="false">_xlfn.CONCAT(B267,C267,D267,E267,F267)</f>
        <v>BC Camarao1.2Inverter(MBUS-16)46031.184722222246031.184722222246031.3402777778</v>
      </c>
      <c r="Q267" s="32" t="str">
        <f aca="false">_xlfn.CONCAT(H267,I267,J267)</f>
        <v>DAURDE</v>
      </c>
    </row>
    <row r="268" customFormat="false" ht="15" hidden="false" customHeight="false" outlineLevel="0" collapsed="false">
      <c r="B268" s="32" t="s">
        <v>425</v>
      </c>
      <c r="C268" s="32" t="s">
        <v>324</v>
      </c>
      <c r="D268" s="33" t="n">
        <v>46031.1847222222</v>
      </c>
      <c r="E268" s="33" t="n">
        <v>46031.1847222222</v>
      </c>
      <c r="F268" s="33" t="n">
        <v>46031.3402777778</v>
      </c>
      <c r="G268" s="34" t="n">
        <f aca="false">F268-E268</f>
        <v>0.155555555555556</v>
      </c>
      <c r="H268" s="39" t="s">
        <v>252</v>
      </c>
      <c r="J268" s="39" t="s">
        <v>253</v>
      </c>
      <c r="K268" s="32" t="s">
        <v>266</v>
      </c>
      <c r="L268" s="32" t="s">
        <v>366</v>
      </c>
      <c r="M268" s="39" t="s">
        <v>255</v>
      </c>
      <c r="N268" s="39" t="s">
        <v>268</v>
      </c>
      <c r="O268" s="32" t="s">
        <v>269</v>
      </c>
      <c r="P268" s="40" t="str">
        <f aca="false">_xlfn.CONCAT(B268,C268,D268,E268,F268)</f>
        <v>BC Camarao1.2Inverter(MBUS-12)46031.184722222246031.184722222246031.3402777778</v>
      </c>
      <c r="Q268" s="32" t="str">
        <f aca="false">_xlfn.CONCAT(H268,I268,J268)</f>
        <v>DAURDE</v>
      </c>
    </row>
    <row r="269" customFormat="false" ht="15" hidden="false" customHeight="false" outlineLevel="0" collapsed="false">
      <c r="B269" s="32" t="s">
        <v>429</v>
      </c>
      <c r="C269" s="32" t="s">
        <v>261</v>
      </c>
      <c r="D269" s="33" t="n">
        <v>46031.1847222222</v>
      </c>
      <c r="E269" s="33" t="n">
        <v>46031.1847222222</v>
      </c>
      <c r="F269" s="33" t="n">
        <v>46031.3402777778</v>
      </c>
      <c r="G269" s="34" t="n">
        <f aca="false">F269-E269</f>
        <v>0.155555555555556</v>
      </c>
      <c r="H269" s="39" t="s">
        <v>252</v>
      </c>
      <c r="J269" s="39" t="s">
        <v>253</v>
      </c>
      <c r="K269" s="32" t="s">
        <v>266</v>
      </c>
      <c r="L269" s="32" t="s">
        <v>366</v>
      </c>
      <c r="M269" s="39" t="s">
        <v>255</v>
      </c>
      <c r="N269" s="39" t="s">
        <v>268</v>
      </c>
      <c r="O269" s="32" t="s">
        <v>269</v>
      </c>
      <c r="P269" s="40" t="str">
        <f aca="false">_xlfn.CONCAT(B269,C269,D269,E269,F269)</f>
        <v>BC Camarao1.3215KTL-H3(MBUS-16)46031.184722222246031.184722222246031.3402777778</v>
      </c>
      <c r="Q269" s="32" t="str">
        <f aca="false">_xlfn.CONCAT(H269,I269,J269)</f>
        <v>DAURDE</v>
      </c>
    </row>
    <row r="270" customFormat="false" ht="15" hidden="false" customHeight="false" outlineLevel="0" collapsed="false">
      <c r="B270" s="32" t="s">
        <v>429</v>
      </c>
      <c r="C270" s="32" t="s">
        <v>259</v>
      </c>
      <c r="D270" s="33" t="n">
        <v>46031.1847222222</v>
      </c>
      <c r="E270" s="33" t="n">
        <v>46031.1847222222</v>
      </c>
      <c r="F270" s="33" t="n">
        <v>46031.3402777778</v>
      </c>
      <c r="G270" s="34" t="n">
        <f aca="false">F270-E270</f>
        <v>0.155555555555556</v>
      </c>
      <c r="H270" s="39" t="s">
        <v>252</v>
      </c>
      <c r="J270" s="39" t="s">
        <v>253</v>
      </c>
      <c r="K270" s="32" t="s">
        <v>266</v>
      </c>
      <c r="L270" s="32" t="s">
        <v>366</v>
      </c>
      <c r="M270" s="39" t="s">
        <v>255</v>
      </c>
      <c r="N270" s="39" t="s">
        <v>268</v>
      </c>
      <c r="O270" s="32" t="s">
        <v>269</v>
      </c>
      <c r="P270" s="40" t="str">
        <f aca="false">_xlfn.CONCAT(B270,C270,D270,E270,F270)</f>
        <v>BC Camarao1.3215KTL-H3(MBUS-14)46031.184722222246031.184722222246031.3402777778</v>
      </c>
      <c r="Q270" s="32" t="str">
        <f aca="false">_xlfn.CONCAT(H270,I270,J270)</f>
        <v>DAURDE</v>
      </c>
    </row>
    <row r="271" customFormat="false" ht="15" hidden="false" customHeight="false" outlineLevel="0" collapsed="false">
      <c r="B271" s="32" t="s">
        <v>429</v>
      </c>
      <c r="C271" s="32" t="s">
        <v>260</v>
      </c>
      <c r="D271" s="33" t="n">
        <v>46031.1847222222</v>
      </c>
      <c r="E271" s="33" t="n">
        <v>46031.1847222222</v>
      </c>
      <c r="F271" s="33" t="n">
        <v>46031.3402777778</v>
      </c>
      <c r="G271" s="34" t="n">
        <f aca="false">F271-E271</f>
        <v>0.155555555555556</v>
      </c>
      <c r="H271" s="39" t="s">
        <v>252</v>
      </c>
      <c r="J271" s="39" t="s">
        <v>253</v>
      </c>
      <c r="K271" s="32" t="s">
        <v>266</v>
      </c>
      <c r="L271" s="32" t="s">
        <v>366</v>
      </c>
      <c r="M271" s="39" t="s">
        <v>255</v>
      </c>
      <c r="N271" s="39" t="s">
        <v>268</v>
      </c>
      <c r="O271" s="32" t="s">
        <v>269</v>
      </c>
      <c r="P271" s="40" t="str">
        <f aca="false">_xlfn.CONCAT(B271,C271,D271,E271,F271)</f>
        <v>BC Camarao1.3215KTL-H3(MBUS-15)46031.184722222246031.184722222246031.3402777778</v>
      </c>
      <c r="Q271" s="32" t="str">
        <f aca="false">_xlfn.CONCAT(H271,I271,J271)</f>
        <v>DAURDE</v>
      </c>
    </row>
    <row r="272" customFormat="false" ht="15" hidden="false" customHeight="false" outlineLevel="0" collapsed="false">
      <c r="B272" s="32" t="s">
        <v>429</v>
      </c>
      <c r="C272" s="32" t="s">
        <v>251</v>
      </c>
      <c r="D272" s="33" t="n">
        <v>46031.1847222222</v>
      </c>
      <c r="E272" s="33" t="n">
        <v>46031.1847222222</v>
      </c>
      <c r="F272" s="33" t="n">
        <v>46031.3402777778</v>
      </c>
      <c r="G272" s="34" t="n">
        <f aca="false">F272-E272</f>
        <v>0.155555555555556</v>
      </c>
      <c r="H272" s="39" t="s">
        <v>252</v>
      </c>
      <c r="J272" s="39" t="s">
        <v>253</v>
      </c>
      <c r="K272" s="32" t="s">
        <v>266</v>
      </c>
      <c r="L272" s="32" t="s">
        <v>366</v>
      </c>
      <c r="M272" s="39" t="s">
        <v>255</v>
      </c>
      <c r="N272" s="39" t="s">
        <v>268</v>
      </c>
      <c r="O272" s="32" t="s">
        <v>269</v>
      </c>
      <c r="P272" s="40" t="str">
        <f aca="false">_xlfn.CONCAT(B272,C272,D272,E272,F272)</f>
        <v>BC Camarao1.3215KTL-H3(MBUS-12)46031.184722222246031.184722222246031.3402777778</v>
      </c>
      <c r="Q272" s="32" t="str">
        <f aca="false">_xlfn.CONCAT(H272,I272,J272)</f>
        <v>DAURDE</v>
      </c>
    </row>
    <row r="273" customFormat="false" ht="15" hidden="false" customHeight="false" outlineLevel="0" collapsed="false">
      <c r="B273" s="32" t="s">
        <v>429</v>
      </c>
      <c r="C273" s="32" t="s">
        <v>258</v>
      </c>
      <c r="D273" s="33" t="n">
        <v>46031.1847222222</v>
      </c>
      <c r="E273" s="33" t="n">
        <v>46031.1847222222</v>
      </c>
      <c r="F273" s="33" t="n">
        <v>46031.3402777778</v>
      </c>
      <c r="G273" s="34" t="n">
        <f aca="false">F273-E273</f>
        <v>0.155555555555556</v>
      </c>
      <c r="H273" s="39" t="s">
        <v>252</v>
      </c>
      <c r="J273" s="39" t="s">
        <v>253</v>
      </c>
      <c r="K273" s="32" t="s">
        <v>266</v>
      </c>
      <c r="L273" s="32" t="s">
        <v>366</v>
      </c>
      <c r="M273" s="39" t="s">
        <v>255</v>
      </c>
      <c r="N273" s="39" t="s">
        <v>268</v>
      </c>
      <c r="O273" s="32" t="s">
        <v>269</v>
      </c>
      <c r="P273" s="40" t="str">
        <f aca="false">_xlfn.CONCAT(B273,C273,D273,E273,F273)</f>
        <v>BC Camarao1.3215KTL-H3(MBUS-13)46031.184722222246031.184722222246031.3402777778</v>
      </c>
      <c r="Q273" s="32" t="str">
        <f aca="false">_xlfn.CONCAT(H273,I273,J273)</f>
        <v>DAURDE</v>
      </c>
    </row>
    <row r="274" customFormat="false" ht="15" hidden="false" customHeight="false" outlineLevel="0" collapsed="false">
      <c r="B274" s="32" t="s">
        <v>430</v>
      </c>
      <c r="C274" s="32" t="s">
        <v>260</v>
      </c>
      <c r="D274" s="33" t="n">
        <v>46031.1847222222</v>
      </c>
      <c r="E274" s="33" t="n">
        <v>46031.1847222222</v>
      </c>
      <c r="F274" s="33" t="n">
        <v>46031.3402777778</v>
      </c>
      <c r="G274" s="34" t="n">
        <f aca="false">F274-E274</f>
        <v>0.155555555555556</v>
      </c>
      <c r="H274" s="39" t="s">
        <v>252</v>
      </c>
      <c r="J274" s="39" t="s">
        <v>253</v>
      </c>
      <c r="K274" s="32" t="s">
        <v>266</v>
      </c>
      <c r="L274" s="32" t="s">
        <v>366</v>
      </c>
      <c r="M274" s="39" t="s">
        <v>255</v>
      </c>
      <c r="N274" s="39" t="s">
        <v>268</v>
      </c>
      <c r="O274" s="32" t="s">
        <v>269</v>
      </c>
      <c r="P274" s="40" t="str">
        <f aca="false">_xlfn.CONCAT(B274,C274,D274,E274,F274)</f>
        <v>BC Camarao1.5215KTL-H3(MBUS-15)46031.184722222246031.184722222246031.3402777778</v>
      </c>
      <c r="Q274" s="32" t="str">
        <f aca="false">_xlfn.CONCAT(H274,I274,J274)</f>
        <v>DAURDE</v>
      </c>
    </row>
    <row r="275" customFormat="false" ht="15" hidden="false" customHeight="false" outlineLevel="0" collapsed="false">
      <c r="B275" s="32" t="s">
        <v>430</v>
      </c>
      <c r="C275" s="32" t="s">
        <v>258</v>
      </c>
      <c r="D275" s="33" t="n">
        <v>46031.1847222222</v>
      </c>
      <c r="E275" s="33" t="n">
        <v>46031.1847222222</v>
      </c>
      <c r="F275" s="33" t="n">
        <v>46031.3402777778</v>
      </c>
      <c r="G275" s="34" t="n">
        <f aca="false">F275-E275</f>
        <v>0.155555555555556</v>
      </c>
      <c r="H275" s="39" t="s">
        <v>252</v>
      </c>
      <c r="J275" s="39" t="s">
        <v>253</v>
      </c>
      <c r="K275" s="32" t="s">
        <v>266</v>
      </c>
      <c r="L275" s="32" t="s">
        <v>366</v>
      </c>
      <c r="M275" s="39" t="s">
        <v>255</v>
      </c>
      <c r="N275" s="39" t="s">
        <v>268</v>
      </c>
      <c r="O275" s="32" t="s">
        <v>269</v>
      </c>
      <c r="P275" s="40" t="str">
        <f aca="false">_xlfn.CONCAT(B275,C275,D275,E275,F275)</f>
        <v>BC Camarao1.5215KTL-H3(MBUS-13)46031.184722222246031.184722222246031.3402777778</v>
      </c>
      <c r="Q275" s="32" t="str">
        <f aca="false">_xlfn.CONCAT(H275,I275,J275)</f>
        <v>DAURDE</v>
      </c>
    </row>
    <row r="276" customFormat="false" ht="15" hidden="false" customHeight="false" outlineLevel="0" collapsed="false">
      <c r="B276" s="32" t="s">
        <v>430</v>
      </c>
      <c r="C276" s="32" t="s">
        <v>251</v>
      </c>
      <c r="D276" s="33" t="n">
        <v>46031.1847222222</v>
      </c>
      <c r="E276" s="33" t="n">
        <v>46031.1847222222</v>
      </c>
      <c r="F276" s="33" t="n">
        <v>46031.3402777778</v>
      </c>
      <c r="G276" s="34" t="n">
        <f aca="false">F276-E276</f>
        <v>0.155555555555556</v>
      </c>
      <c r="H276" s="39" t="s">
        <v>252</v>
      </c>
      <c r="J276" s="39" t="s">
        <v>253</v>
      </c>
      <c r="K276" s="32" t="s">
        <v>266</v>
      </c>
      <c r="L276" s="32" t="s">
        <v>366</v>
      </c>
      <c r="M276" s="39" t="s">
        <v>255</v>
      </c>
      <c r="N276" s="39" t="s">
        <v>268</v>
      </c>
      <c r="O276" s="32" t="s">
        <v>269</v>
      </c>
      <c r="P276" s="40" t="str">
        <f aca="false">_xlfn.CONCAT(B276,C276,D276,E276,F276)</f>
        <v>BC Camarao1.5215KTL-H3(MBUS-12)46031.184722222246031.184722222246031.3402777778</v>
      </c>
      <c r="Q276" s="32" t="str">
        <f aca="false">_xlfn.CONCAT(H276,I276,J276)</f>
        <v>DAURDE</v>
      </c>
    </row>
    <row r="277" customFormat="false" ht="15" hidden="false" customHeight="false" outlineLevel="0" collapsed="false">
      <c r="B277" s="32" t="s">
        <v>430</v>
      </c>
      <c r="C277" s="32" t="s">
        <v>431</v>
      </c>
      <c r="D277" s="33" t="n">
        <v>46031.1847222222</v>
      </c>
      <c r="E277" s="33" t="n">
        <v>46031.1847222222</v>
      </c>
      <c r="F277" s="33" t="n">
        <v>46031.3402777778</v>
      </c>
      <c r="G277" s="34" t="n">
        <f aca="false">F277-E277</f>
        <v>0.155555555555556</v>
      </c>
      <c r="H277" s="39" t="s">
        <v>252</v>
      </c>
      <c r="J277" s="39" t="s">
        <v>253</v>
      </c>
      <c r="K277" s="32" t="s">
        <v>266</v>
      </c>
      <c r="L277" s="32" t="s">
        <v>366</v>
      </c>
      <c r="M277" s="39" t="s">
        <v>255</v>
      </c>
      <c r="N277" s="39" t="s">
        <v>268</v>
      </c>
      <c r="O277" s="32" t="s">
        <v>269</v>
      </c>
      <c r="P277" s="40" t="str">
        <f aca="false">_xlfn.CONCAT(B277,C277,D277,E277,F277)</f>
        <v>BC Camarao1.5215KTL-H3(MBUS-1)46031.184722222246031.184722222246031.3402777778</v>
      </c>
      <c r="Q277" s="32" t="str">
        <f aca="false">_xlfn.CONCAT(H277,I277,J277)</f>
        <v>DAURDE</v>
      </c>
    </row>
    <row r="278" customFormat="false" ht="15" hidden="false" customHeight="false" outlineLevel="0" collapsed="false">
      <c r="B278" s="32" t="s">
        <v>430</v>
      </c>
      <c r="C278" s="32" t="s">
        <v>259</v>
      </c>
      <c r="D278" s="33" t="n">
        <v>46031.1847222222</v>
      </c>
      <c r="E278" s="33" t="n">
        <v>46031.1847222222</v>
      </c>
      <c r="F278" s="33" t="n">
        <v>46031.3402777778</v>
      </c>
      <c r="G278" s="34" t="n">
        <f aca="false">F278-E278</f>
        <v>0.155555555555556</v>
      </c>
      <c r="H278" s="39" t="s">
        <v>252</v>
      </c>
      <c r="J278" s="39" t="s">
        <v>253</v>
      </c>
      <c r="K278" s="32" t="s">
        <v>266</v>
      </c>
      <c r="L278" s="32" t="s">
        <v>366</v>
      </c>
      <c r="M278" s="39" t="s">
        <v>255</v>
      </c>
      <c r="N278" s="39" t="s">
        <v>268</v>
      </c>
      <c r="O278" s="32" t="s">
        <v>269</v>
      </c>
      <c r="P278" s="40" t="str">
        <f aca="false">_xlfn.CONCAT(B278,C278,D278,E278,F278)</f>
        <v>BC Camarao1.5215KTL-H3(MBUS-14)46031.184722222246031.184722222246031.3402777778</v>
      </c>
      <c r="Q278" s="32" t="str">
        <f aca="false">_xlfn.CONCAT(H278,I278,J278)</f>
        <v>DAURDE</v>
      </c>
    </row>
    <row r="279" customFormat="false" ht="15" hidden="false" customHeight="false" outlineLevel="0" collapsed="false">
      <c r="B279" s="32" t="s">
        <v>435</v>
      </c>
      <c r="C279" s="32" t="s">
        <v>436</v>
      </c>
      <c r="D279" s="33" t="n">
        <v>46031.4479166667</v>
      </c>
      <c r="E279" s="33" t="n">
        <v>46031.4479166667</v>
      </c>
      <c r="F279" s="33" t="n">
        <v>46032.4236111111</v>
      </c>
      <c r="G279" s="34" t="n">
        <f aca="false">F279-E279</f>
        <v>0.975694444444444</v>
      </c>
      <c r="H279" s="39" t="s">
        <v>252</v>
      </c>
      <c r="J279" s="39" t="s">
        <v>437</v>
      </c>
      <c r="K279" s="32" t="s">
        <v>438</v>
      </c>
      <c r="L279" s="32" t="s">
        <v>439</v>
      </c>
      <c r="M279" s="39" t="s">
        <v>386</v>
      </c>
      <c r="N279" s="39" t="s">
        <v>440</v>
      </c>
      <c r="O279" s="32" t="s">
        <v>441</v>
      </c>
      <c r="P279" s="40" t="str">
        <f aca="false">_xlfn.CONCAT(B279,C279,D279,E279,F279)</f>
        <v>BC Corumba1.1U01.I0146031.447916666746031.447916666746032.4236111111</v>
      </c>
      <c r="Q279" s="32" t="str">
        <f aca="false">_xlfn.CONCAT(H279,I279,J279)</f>
        <v>DAUPRT</v>
      </c>
    </row>
    <row r="280" customFormat="false" ht="15" hidden="false" customHeight="false" outlineLevel="0" collapsed="false">
      <c r="B280" s="32" t="s">
        <v>435</v>
      </c>
      <c r="C280" s="32" t="s">
        <v>442</v>
      </c>
      <c r="D280" s="33" t="n">
        <v>46031.4479166667</v>
      </c>
      <c r="E280" s="33" t="n">
        <v>46031.4479166667</v>
      </c>
      <c r="F280" s="33" t="n">
        <v>46032.4236111111</v>
      </c>
      <c r="G280" s="34" t="n">
        <f aca="false">F280-E280</f>
        <v>0.975694444444444</v>
      </c>
      <c r="H280" s="39" t="s">
        <v>252</v>
      </c>
      <c r="J280" s="39" t="s">
        <v>437</v>
      </c>
      <c r="K280" s="32" t="s">
        <v>438</v>
      </c>
      <c r="L280" s="32" t="s">
        <v>439</v>
      </c>
      <c r="M280" s="39" t="s">
        <v>386</v>
      </c>
      <c r="N280" s="39" t="s">
        <v>440</v>
      </c>
      <c r="O280" s="32" t="s">
        <v>441</v>
      </c>
      <c r="P280" s="40" t="str">
        <f aca="false">_xlfn.CONCAT(B280,C280,D280,E280,F280)</f>
        <v>BC Corumba1.1U01.I0246031.447916666746031.447916666746032.4236111111</v>
      </c>
      <c r="Q280" s="32" t="str">
        <f aca="false">_xlfn.CONCAT(H280,I280,J280)</f>
        <v>DAUPRT</v>
      </c>
    </row>
    <row r="281" customFormat="false" ht="15" hidden="false" customHeight="false" outlineLevel="0" collapsed="false">
      <c r="B281" s="32" t="s">
        <v>435</v>
      </c>
      <c r="C281" s="32" t="s">
        <v>443</v>
      </c>
      <c r="D281" s="33" t="n">
        <v>46031.4479166667</v>
      </c>
      <c r="E281" s="33" t="n">
        <v>46031.4479166667</v>
      </c>
      <c r="F281" s="33" t="n">
        <v>46032.4236111111</v>
      </c>
      <c r="G281" s="34" t="n">
        <f aca="false">F281-E281</f>
        <v>0.975694444444444</v>
      </c>
      <c r="H281" s="39" t="s">
        <v>252</v>
      </c>
      <c r="J281" s="39" t="s">
        <v>437</v>
      </c>
      <c r="K281" s="32" t="s">
        <v>438</v>
      </c>
      <c r="L281" s="32" t="s">
        <v>439</v>
      </c>
      <c r="M281" s="39" t="s">
        <v>386</v>
      </c>
      <c r="N281" s="39" t="s">
        <v>440</v>
      </c>
      <c r="O281" s="32" t="s">
        <v>441</v>
      </c>
      <c r="P281" s="40" t="str">
        <f aca="false">_xlfn.CONCAT(B281,C281,D281,E281,F281)</f>
        <v>BC Corumba1.1U01.I0346031.447916666746031.447916666746032.4236111111</v>
      </c>
      <c r="Q281" s="32" t="str">
        <f aca="false">_xlfn.CONCAT(H281,I281,J281)</f>
        <v>DAUPRT</v>
      </c>
    </row>
    <row r="282" customFormat="false" ht="15" hidden="false" customHeight="false" outlineLevel="0" collapsed="false">
      <c r="B282" s="32" t="s">
        <v>435</v>
      </c>
      <c r="C282" s="32" t="s">
        <v>444</v>
      </c>
      <c r="D282" s="33" t="n">
        <v>46031.4479166667</v>
      </c>
      <c r="E282" s="33" t="n">
        <v>46031.4479166667</v>
      </c>
      <c r="F282" s="33" t="n">
        <v>46032.4236111111</v>
      </c>
      <c r="G282" s="34" t="n">
        <f aca="false">F282-E282</f>
        <v>0.975694444444444</v>
      </c>
      <c r="H282" s="39" t="s">
        <v>252</v>
      </c>
      <c r="J282" s="39" t="s">
        <v>437</v>
      </c>
      <c r="K282" s="32" t="s">
        <v>438</v>
      </c>
      <c r="L282" s="32" t="s">
        <v>439</v>
      </c>
      <c r="M282" s="39" t="s">
        <v>386</v>
      </c>
      <c r="N282" s="39" t="s">
        <v>440</v>
      </c>
      <c r="O282" s="32" t="s">
        <v>441</v>
      </c>
      <c r="P282" s="40" t="str">
        <f aca="false">_xlfn.CONCAT(B282,C282,D282,E282,F282)</f>
        <v>BC Corumba1.1U01.I0446031.447916666746031.447916666746032.4236111111</v>
      </c>
      <c r="Q282" s="32" t="str">
        <f aca="false">_xlfn.CONCAT(H282,I282,J282)</f>
        <v>DAUPRT</v>
      </c>
    </row>
    <row r="283" customFormat="false" ht="15" hidden="false" customHeight="false" outlineLevel="0" collapsed="false">
      <c r="B283" s="32" t="s">
        <v>435</v>
      </c>
      <c r="C283" s="32" t="s">
        <v>445</v>
      </c>
      <c r="D283" s="33" t="n">
        <v>46031.4479166667</v>
      </c>
      <c r="E283" s="33" t="n">
        <v>46031.4479166667</v>
      </c>
      <c r="F283" s="33" t="n">
        <v>46032.4236111111</v>
      </c>
      <c r="G283" s="34" t="n">
        <f aca="false">F283-E283</f>
        <v>0.975694444444444</v>
      </c>
      <c r="H283" s="39" t="s">
        <v>252</v>
      </c>
      <c r="J283" s="39" t="s">
        <v>437</v>
      </c>
      <c r="K283" s="32" t="s">
        <v>438</v>
      </c>
      <c r="L283" s="32" t="s">
        <v>439</v>
      </c>
      <c r="M283" s="39" t="s">
        <v>386</v>
      </c>
      <c r="N283" s="39" t="s">
        <v>440</v>
      </c>
      <c r="O283" s="32" t="s">
        <v>441</v>
      </c>
      <c r="P283" s="40" t="str">
        <f aca="false">_xlfn.CONCAT(B283,C283,D283,E283,F283)</f>
        <v>BC Corumba1.1U01.I0546031.447916666746031.447916666746032.4236111111</v>
      </c>
      <c r="Q283" s="32" t="str">
        <f aca="false">_xlfn.CONCAT(H283,I283,J283)</f>
        <v>DAUPRT</v>
      </c>
    </row>
    <row r="284" customFormat="false" ht="15" hidden="false" customHeight="false" outlineLevel="0" collapsed="false">
      <c r="B284" s="32" t="s">
        <v>367</v>
      </c>
      <c r="C284" s="32" t="s">
        <v>324</v>
      </c>
      <c r="D284" s="33" t="n">
        <v>46031.4652777778</v>
      </c>
      <c r="E284" s="33" t="n">
        <v>46031.4652777778</v>
      </c>
      <c r="F284" s="33" t="n">
        <v>46032.3326388889</v>
      </c>
      <c r="G284" s="34" t="n">
        <f aca="false">F284-E284</f>
        <v>0.867361111111111</v>
      </c>
      <c r="H284" s="39" t="s">
        <v>252</v>
      </c>
      <c r="J284" s="39" t="s">
        <v>253</v>
      </c>
      <c r="K284" s="32" t="s">
        <v>266</v>
      </c>
      <c r="L284" s="32" t="s">
        <v>446</v>
      </c>
      <c r="M284" s="39" t="s">
        <v>255</v>
      </c>
      <c r="N284" s="39" t="s">
        <v>268</v>
      </c>
      <c r="O284" s="32" t="s">
        <v>269</v>
      </c>
      <c r="P284" s="40" t="str">
        <f aca="false">_xlfn.CONCAT(B284,C284,D284,E284,F284)</f>
        <v>ARAGUATINS 2.1Inverter(MBUS-12)46031.465277777846031.465277777846032.3326388889</v>
      </c>
      <c r="Q284" s="32" t="str">
        <f aca="false">_xlfn.CONCAT(H284,I284,J284)</f>
        <v>DAURDE</v>
      </c>
    </row>
    <row r="285" customFormat="false" ht="15" hidden="false" customHeight="false" outlineLevel="0" collapsed="false">
      <c r="B285" s="32" t="s">
        <v>367</v>
      </c>
      <c r="C285" s="32" t="s">
        <v>328</v>
      </c>
      <c r="D285" s="33" t="n">
        <v>46031.4652777778</v>
      </c>
      <c r="E285" s="33" t="n">
        <v>46031.4652777778</v>
      </c>
      <c r="F285" s="33" t="n">
        <v>46032.3326388889</v>
      </c>
      <c r="G285" s="34" t="n">
        <f aca="false">F285-E285</f>
        <v>0.867361111111111</v>
      </c>
      <c r="H285" s="39" t="s">
        <v>252</v>
      </c>
      <c r="J285" s="39" t="s">
        <v>253</v>
      </c>
      <c r="K285" s="32" t="s">
        <v>266</v>
      </c>
      <c r="L285" s="32" t="s">
        <v>446</v>
      </c>
      <c r="M285" s="39" t="s">
        <v>255</v>
      </c>
      <c r="N285" s="39" t="s">
        <v>268</v>
      </c>
      <c r="O285" s="32" t="s">
        <v>269</v>
      </c>
      <c r="P285" s="40" t="str">
        <f aca="false">_xlfn.CONCAT(B285,C285,D285,E285,F285)</f>
        <v>ARAGUATINS 2.1Inverter(MBUS-15)46031.465277777846031.465277777846032.3326388889</v>
      </c>
      <c r="Q285" s="32" t="str">
        <f aca="false">_xlfn.CONCAT(H285,I285,J285)</f>
        <v>DAURDE</v>
      </c>
    </row>
    <row r="286" customFormat="false" ht="15" hidden="false" customHeight="false" outlineLevel="0" collapsed="false">
      <c r="B286" s="32" t="s">
        <v>367</v>
      </c>
      <c r="C286" s="32" t="s">
        <v>327</v>
      </c>
      <c r="D286" s="33" t="n">
        <v>46031.4652777778</v>
      </c>
      <c r="E286" s="33" t="n">
        <v>46031.4652777778</v>
      </c>
      <c r="F286" s="33" t="n">
        <v>46032.3326388889</v>
      </c>
      <c r="G286" s="34" t="n">
        <f aca="false">F286-E286</f>
        <v>0.867361111111111</v>
      </c>
      <c r="H286" s="39" t="s">
        <v>252</v>
      </c>
      <c r="J286" s="39" t="s">
        <v>253</v>
      </c>
      <c r="K286" s="32" t="s">
        <v>266</v>
      </c>
      <c r="L286" s="32" t="s">
        <v>446</v>
      </c>
      <c r="M286" s="39" t="s">
        <v>255</v>
      </c>
      <c r="N286" s="39" t="s">
        <v>268</v>
      </c>
      <c r="O286" s="32" t="s">
        <v>269</v>
      </c>
      <c r="P286" s="40" t="str">
        <f aca="false">_xlfn.CONCAT(B286,C286,D286,E286,F286)</f>
        <v>ARAGUATINS 2.1Inverter(MBUS-14)46031.465277777846031.465277777846032.3326388889</v>
      </c>
      <c r="Q286" s="32" t="str">
        <f aca="false">_xlfn.CONCAT(H286,I286,J286)</f>
        <v>DAURDE</v>
      </c>
    </row>
    <row r="287" customFormat="false" ht="15" hidden="false" customHeight="false" outlineLevel="0" collapsed="false">
      <c r="B287" s="32" t="s">
        <v>367</v>
      </c>
      <c r="C287" s="32" t="s">
        <v>265</v>
      </c>
      <c r="D287" s="33" t="n">
        <v>46031.4652777778</v>
      </c>
      <c r="E287" s="33" t="n">
        <v>46031.4652777778</v>
      </c>
      <c r="F287" s="33" t="n">
        <v>46032.3326388889</v>
      </c>
      <c r="G287" s="34" t="n">
        <f aca="false">F287-E287</f>
        <v>0.867361111111111</v>
      </c>
      <c r="H287" s="39" t="s">
        <v>252</v>
      </c>
      <c r="J287" s="39" t="s">
        <v>253</v>
      </c>
      <c r="K287" s="32" t="s">
        <v>266</v>
      </c>
      <c r="L287" s="32" t="s">
        <v>446</v>
      </c>
      <c r="M287" s="39" t="s">
        <v>255</v>
      </c>
      <c r="N287" s="39" t="s">
        <v>268</v>
      </c>
      <c r="O287" s="32" t="s">
        <v>269</v>
      </c>
      <c r="P287" s="40" t="str">
        <f aca="false">_xlfn.CONCAT(B287,C287,D287,E287,F287)</f>
        <v>ARAGUATINS 2.1Inverter(MBUS-1)46031.465277777846031.465277777846032.3326388889</v>
      </c>
      <c r="Q287" s="32" t="str">
        <f aca="false">_xlfn.CONCAT(H287,I287,J287)</f>
        <v>DAURDE</v>
      </c>
    </row>
    <row r="288" customFormat="false" ht="15" hidden="false" customHeight="false" outlineLevel="0" collapsed="false">
      <c r="B288" s="32" t="s">
        <v>18</v>
      </c>
      <c r="C288" s="32" t="s">
        <v>447</v>
      </c>
      <c r="D288" s="33" t="n">
        <v>46031.4979166667</v>
      </c>
      <c r="E288" s="33" t="n">
        <v>46031.4979166667</v>
      </c>
      <c r="F288" s="33" t="n">
        <v>46031.5069444444</v>
      </c>
      <c r="G288" s="34" t="n">
        <f aca="false">F288-E288</f>
        <v>0.00902777777777778</v>
      </c>
      <c r="H288" s="39" t="s">
        <v>252</v>
      </c>
      <c r="J288" s="39" t="s">
        <v>333</v>
      </c>
      <c r="K288" s="32" t="e">
        <f aca="false">_xlfn.xlookup(J288,[1]REF!$D$2:$D$12,[1]REF!$E$2:$E$12)</f>
        <v>#NAME?</v>
      </c>
      <c r="L288" s="32" t="s">
        <v>374</v>
      </c>
      <c r="M288" s="39" t="s">
        <v>336</v>
      </c>
      <c r="N288" s="39" t="s">
        <v>289</v>
      </c>
      <c r="O288" s="32" t="s">
        <v>375</v>
      </c>
      <c r="P288" s="40" t="str">
        <f aca="false">_xlfn.CONCAT(B288,C288,D288,E288,F288)</f>
        <v>BC Aracu2SG60KTL46031.497916666746031.497916666746031.5069444444</v>
      </c>
      <c r="Q288" s="32" t="str">
        <f aca="false">_xlfn.CONCAT(H288,I288,J288)</f>
        <v>DAUINV</v>
      </c>
    </row>
    <row r="289" customFormat="false" ht="15" hidden="false" customHeight="false" outlineLevel="0" collapsed="false">
      <c r="B289" s="32" t="s">
        <v>18</v>
      </c>
      <c r="C289" s="32" t="s">
        <v>447</v>
      </c>
      <c r="D289" s="33" t="n">
        <v>46031.5486111111</v>
      </c>
      <c r="E289" s="33" t="n">
        <v>46031.5486111111</v>
      </c>
      <c r="F289" s="33" t="n">
        <v>46031.5798611111</v>
      </c>
      <c r="G289" s="34" t="n">
        <f aca="false">F289-E289</f>
        <v>0.03125</v>
      </c>
      <c r="H289" s="39" t="s">
        <v>252</v>
      </c>
      <c r="J289" s="39" t="s">
        <v>333</v>
      </c>
      <c r="K289" s="32" t="e">
        <f aca="false">_xlfn.xlookup(J289,[1]REF!$D$2:$D$12,[1]REF!$E$2:$E$12)</f>
        <v>#NAME?</v>
      </c>
      <c r="L289" s="32" t="s">
        <v>374</v>
      </c>
      <c r="M289" s="39" t="s">
        <v>336</v>
      </c>
      <c r="N289" s="39" t="s">
        <v>289</v>
      </c>
      <c r="O289" s="32" t="s">
        <v>375</v>
      </c>
      <c r="P289" s="40" t="str">
        <f aca="false">_xlfn.CONCAT(B289,C289,D289,E289,F289)</f>
        <v>BC Aracu2SG60KTL46031.548611111146031.548611111146031.5798611111</v>
      </c>
      <c r="Q289" s="32" t="str">
        <f aca="false">_xlfn.CONCAT(H289,I289,J289)</f>
        <v>DAUINV</v>
      </c>
    </row>
    <row r="290" customFormat="false" ht="15" hidden="false" customHeight="false" outlineLevel="0" collapsed="false">
      <c r="B290" s="32" t="s">
        <v>264</v>
      </c>
      <c r="C290" s="32" t="s">
        <v>265</v>
      </c>
      <c r="D290" s="33" t="n">
        <v>46031.7416666667</v>
      </c>
      <c r="E290" s="33" t="n">
        <v>46031.7416666667</v>
      </c>
      <c r="F290" s="33" t="n">
        <v>46031.7527777778</v>
      </c>
      <c r="G290" s="34" t="n">
        <f aca="false">F290-E290</f>
        <v>0.0111111111111111</v>
      </c>
      <c r="H290" s="39" t="s">
        <v>252</v>
      </c>
      <c r="J290" s="39" t="s">
        <v>253</v>
      </c>
      <c r="K290" s="32" t="e">
        <f aca="false">_xlfn.xlookup(J290,[1]REF!$D$2:$D$12,[1]REF!$E$2:$E$12)</f>
        <v>#NAME?</v>
      </c>
      <c r="L290" s="32" t="s">
        <v>267</v>
      </c>
      <c r="M290" s="39" t="s">
        <v>255</v>
      </c>
      <c r="N290" s="39" t="s">
        <v>268</v>
      </c>
      <c r="O290" s="32" t="s">
        <v>269</v>
      </c>
      <c r="P290" s="40" t="str">
        <f aca="false">_xlfn.CONCAT(B290,C290,D290,E290,F290)</f>
        <v>BC Aracu5.1Inverter(MBUS-1)46031.741666666746031.741666666746031.7527777778</v>
      </c>
      <c r="Q290" s="32" t="str">
        <f aca="false">_xlfn.CONCAT(H290,I290,J290)</f>
        <v>DAURDE</v>
      </c>
    </row>
    <row r="291" customFormat="false" ht="15" hidden="false" customHeight="false" outlineLevel="0" collapsed="false">
      <c r="B291" s="32" t="s">
        <v>270</v>
      </c>
      <c r="C291" s="32" t="s">
        <v>265</v>
      </c>
      <c r="D291" s="33" t="n">
        <v>46031.7416666667</v>
      </c>
      <c r="E291" s="33" t="n">
        <v>46031.7416666667</v>
      </c>
      <c r="F291" s="33" t="n">
        <v>46031.7527777778</v>
      </c>
      <c r="G291" s="34" t="n">
        <f aca="false">F291-E291</f>
        <v>0.0111111111111111</v>
      </c>
      <c r="H291" s="39" t="s">
        <v>252</v>
      </c>
      <c r="J291" s="39" t="s">
        <v>253</v>
      </c>
      <c r="K291" s="32" t="e">
        <f aca="false">_xlfn.xlookup(J291,[1]REF!$D$2:$D$12,[1]REF!$E$2:$E$12)</f>
        <v>#NAME?</v>
      </c>
      <c r="L291" s="32" t="s">
        <v>267</v>
      </c>
      <c r="M291" s="39" t="s">
        <v>255</v>
      </c>
      <c r="N291" s="39" t="s">
        <v>268</v>
      </c>
      <c r="O291" s="32" t="s">
        <v>269</v>
      </c>
      <c r="P291" s="40" t="str">
        <f aca="false">_xlfn.CONCAT(B291,C291,D291,E291,F291)</f>
        <v>BC Aracu5.2Inverter(MBUS-1)46031.741666666746031.741666666746031.7527777778</v>
      </c>
      <c r="Q291" s="32" t="str">
        <f aca="false">_xlfn.CONCAT(H291,I291,J291)</f>
        <v>DAURDE</v>
      </c>
    </row>
    <row r="292" customFormat="false" ht="15" hidden="false" customHeight="false" outlineLevel="0" collapsed="false">
      <c r="B292" s="32" t="s">
        <v>271</v>
      </c>
      <c r="C292" s="32" t="s">
        <v>265</v>
      </c>
      <c r="D292" s="33" t="n">
        <v>46031.7416666667</v>
      </c>
      <c r="E292" s="33" t="n">
        <v>46031.7416666667</v>
      </c>
      <c r="F292" s="33" t="n">
        <v>46031.7527777778</v>
      </c>
      <c r="G292" s="34" t="n">
        <f aca="false">F292-E292</f>
        <v>0.0111111111111111</v>
      </c>
      <c r="H292" s="39" t="s">
        <v>252</v>
      </c>
      <c r="J292" s="39" t="s">
        <v>253</v>
      </c>
      <c r="K292" s="32" t="e">
        <f aca="false">_xlfn.xlookup(J292,[1]REF!$D$2:$D$12,[1]REF!$E$2:$E$12)</f>
        <v>#NAME?</v>
      </c>
      <c r="L292" s="32" t="s">
        <v>267</v>
      </c>
      <c r="M292" s="39" t="s">
        <v>255</v>
      </c>
      <c r="N292" s="39" t="s">
        <v>268</v>
      </c>
      <c r="O292" s="32" t="s">
        <v>269</v>
      </c>
      <c r="P292" s="40" t="str">
        <f aca="false">_xlfn.CONCAT(B292,C292,D292,E292,F292)</f>
        <v>BC Aracu5.3Inverter(MBUS-1)46031.741666666746031.741666666746031.7527777778</v>
      </c>
      <c r="Q292" s="32" t="str">
        <f aca="false">_xlfn.CONCAT(H292,I292,J292)</f>
        <v>DAURDE</v>
      </c>
    </row>
    <row r="293" customFormat="false" ht="15" hidden="false" customHeight="false" outlineLevel="0" collapsed="false">
      <c r="B293" s="32" t="s">
        <v>272</v>
      </c>
      <c r="C293" s="32" t="s">
        <v>265</v>
      </c>
      <c r="D293" s="33" t="n">
        <v>46031.7416666667</v>
      </c>
      <c r="E293" s="33" t="n">
        <v>46031.7416666667</v>
      </c>
      <c r="F293" s="33" t="n">
        <v>46031.7527777778</v>
      </c>
      <c r="G293" s="34" t="n">
        <f aca="false">F293-E293</f>
        <v>0.0111111111111111</v>
      </c>
      <c r="H293" s="39" t="s">
        <v>252</v>
      </c>
      <c r="J293" s="39" t="s">
        <v>253</v>
      </c>
      <c r="K293" s="32" t="e">
        <f aca="false">_xlfn.xlookup(J293,[1]REF!$D$2:$D$12,[1]REF!$E$2:$E$12)</f>
        <v>#NAME?</v>
      </c>
      <c r="L293" s="32" t="s">
        <v>267</v>
      </c>
      <c r="M293" s="39" t="s">
        <v>255</v>
      </c>
      <c r="N293" s="39" t="s">
        <v>268</v>
      </c>
      <c r="O293" s="32" t="s">
        <v>269</v>
      </c>
      <c r="P293" s="40" t="str">
        <f aca="false">_xlfn.CONCAT(B293,C293,D293,E293,F293)</f>
        <v>BC Aracu5.4Inverter(MBUS-1)46031.741666666746031.741666666746031.7527777778</v>
      </c>
      <c r="Q293" s="32" t="str">
        <f aca="false">_xlfn.CONCAT(H293,I293,J293)</f>
        <v>DAURDE</v>
      </c>
    </row>
    <row r="294" customFormat="false" ht="15" hidden="false" customHeight="false" outlineLevel="0" collapsed="false">
      <c r="B294" s="32" t="s">
        <v>273</v>
      </c>
      <c r="C294" s="32" t="s">
        <v>265</v>
      </c>
      <c r="D294" s="33" t="n">
        <v>46031.7416666667</v>
      </c>
      <c r="E294" s="33" t="n">
        <v>46031.7416666667</v>
      </c>
      <c r="F294" s="33" t="n">
        <v>46031.7527777778</v>
      </c>
      <c r="G294" s="34" t="n">
        <f aca="false">F294-E294</f>
        <v>0.0111111111111111</v>
      </c>
      <c r="H294" s="39" t="s">
        <v>252</v>
      </c>
      <c r="J294" s="39" t="s">
        <v>253</v>
      </c>
      <c r="K294" s="32" t="e">
        <f aca="false">_xlfn.xlookup(J294,[1]REF!$D$2:$D$12,[1]REF!$E$2:$E$12)</f>
        <v>#NAME?</v>
      </c>
      <c r="L294" s="32" t="s">
        <v>267</v>
      </c>
      <c r="M294" s="39" t="s">
        <v>255</v>
      </c>
      <c r="N294" s="39" t="s">
        <v>268</v>
      </c>
      <c r="O294" s="32" t="s">
        <v>269</v>
      </c>
      <c r="P294" s="40" t="str">
        <f aca="false">_xlfn.CONCAT(B294,C294,D294,E294,F294)</f>
        <v>BC Aracu5.5Inverter(MBUS-1)46031.741666666746031.741666666746031.7527777778</v>
      </c>
      <c r="Q294" s="32" t="str">
        <f aca="false">_xlfn.CONCAT(H294,I294,J294)</f>
        <v>DAURDE</v>
      </c>
    </row>
    <row r="295" customFormat="false" ht="15" hidden="false" customHeight="false" outlineLevel="0" collapsed="false">
      <c r="B295" s="32" t="s">
        <v>358</v>
      </c>
      <c r="C295" s="32" t="s">
        <v>324</v>
      </c>
      <c r="D295" s="33" t="n">
        <v>46031.875</v>
      </c>
      <c r="E295" s="33" t="n">
        <v>46031.875</v>
      </c>
      <c r="F295" s="33" t="n">
        <v>46031.9270833333</v>
      </c>
      <c r="G295" s="34" t="n">
        <f aca="false">F295-E295</f>
        <v>0.0520833333333333</v>
      </c>
      <c r="H295" s="39" t="s">
        <v>252</v>
      </c>
      <c r="J295" s="39" t="s">
        <v>253</v>
      </c>
      <c r="K295" s="32" t="s">
        <v>266</v>
      </c>
      <c r="L295" s="32" t="s">
        <v>448</v>
      </c>
      <c r="M295" s="39" t="s">
        <v>255</v>
      </c>
      <c r="N295" s="39" t="s">
        <v>268</v>
      </c>
      <c r="O295" s="32" t="s">
        <v>269</v>
      </c>
      <c r="P295" s="40" t="str">
        <f aca="false">_xlfn.CONCAT(B295,C295,D295,E295,F295)</f>
        <v>ARAGUATINS 1.1Inverter(MBUS-12)46031.87546031.87546031.9270833333</v>
      </c>
      <c r="Q295" s="32" t="str">
        <f aca="false">_xlfn.CONCAT(H295,I295,J295)</f>
        <v>DAURDE</v>
      </c>
    </row>
    <row r="296" customFormat="false" ht="15" hidden="false" customHeight="false" outlineLevel="0" collapsed="false">
      <c r="B296" s="32" t="s">
        <v>358</v>
      </c>
      <c r="C296" s="32" t="s">
        <v>326</v>
      </c>
      <c r="D296" s="33" t="n">
        <v>46031.875</v>
      </c>
      <c r="E296" s="33" t="n">
        <v>46031.875</v>
      </c>
      <c r="F296" s="33" t="n">
        <v>46031.9270833333</v>
      </c>
      <c r="G296" s="34" t="n">
        <f aca="false">F296-E296</f>
        <v>0.0520833333333333</v>
      </c>
      <c r="H296" s="39" t="s">
        <v>252</v>
      </c>
      <c r="J296" s="39" t="s">
        <v>253</v>
      </c>
      <c r="K296" s="32" t="s">
        <v>266</v>
      </c>
      <c r="L296" s="32" t="s">
        <v>448</v>
      </c>
      <c r="M296" s="39" t="s">
        <v>255</v>
      </c>
      <c r="N296" s="39" t="s">
        <v>268</v>
      </c>
      <c r="O296" s="32" t="s">
        <v>269</v>
      </c>
      <c r="P296" s="40" t="str">
        <f aca="false">_xlfn.CONCAT(B296,C296,D296,E296,F296)</f>
        <v>ARAGUATINS 1.1Inverter(MBUS-13)46031.87546031.87546031.9270833333</v>
      </c>
      <c r="Q296" s="32" t="str">
        <f aca="false">_xlfn.CONCAT(H296,I296,J296)</f>
        <v>DAURDE</v>
      </c>
    </row>
    <row r="297" customFormat="false" ht="15" hidden="false" customHeight="false" outlineLevel="0" collapsed="false">
      <c r="B297" s="32" t="s">
        <v>358</v>
      </c>
      <c r="C297" s="32" t="s">
        <v>327</v>
      </c>
      <c r="D297" s="33" t="n">
        <v>46031.875</v>
      </c>
      <c r="E297" s="33" t="n">
        <v>46031.875</v>
      </c>
      <c r="F297" s="33" t="n">
        <v>46031.9270833333</v>
      </c>
      <c r="G297" s="34" t="n">
        <f aca="false">F297-E297</f>
        <v>0.0520833333333333</v>
      </c>
      <c r="H297" s="39" t="s">
        <v>252</v>
      </c>
      <c r="J297" s="39" t="s">
        <v>253</v>
      </c>
      <c r="K297" s="32" t="s">
        <v>266</v>
      </c>
      <c r="L297" s="32" t="s">
        <v>448</v>
      </c>
      <c r="M297" s="39" t="s">
        <v>255</v>
      </c>
      <c r="N297" s="39" t="s">
        <v>268</v>
      </c>
      <c r="O297" s="32" t="s">
        <v>269</v>
      </c>
      <c r="P297" s="40" t="str">
        <f aca="false">_xlfn.CONCAT(B297,C297,D297,E297,F297)</f>
        <v>ARAGUATINS 1.1Inverter(MBUS-14)46031.87546031.87546031.9270833333</v>
      </c>
      <c r="Q297" s="32" t="str">
        <f aca="false">_xlfn.CONCAT(H297,I297,J297)</f>
        <v>DAURDE</v>
      </c>
    </row>
    <row r="298" customFormat="false" ht="15" hidden="false" customHeight="false" outlineLevel="0" collapsed="false">
      <c r="B298" s="32" t="s">
        <v>358</v>
      </c>
      <c r="C298" s="32" t="s">
        <v>328</v>
      </c>
      <c r="D298" s="33" t="n">
        <v>46031.875</v>
      </c>
      <c r="E298" s="33" t="n">
        <v>46031.875</v>
      </c>
      <c r="F298" s="33" t="n">
        <v>46031.9270833333</v>
      </c>
      <c r="G298" s="34" t="n">
        <f aca="false">F298-E298</f>
        <v>0.0520833333333333</v>
      </c>
      <c r="H298" s="39" t="s">
        <v>252</v>
      </c>
      <c r="J298" s="39" t="s">
        <v>253</v>
      </c>
      <c r="K298" s="32" t="s">
        <v>266</v>
      </c>
      <c r="L298" s="32" t="s">
        <v>448</v>
      </c>
      <c r="M298" s="39" t="s">
        <v>255</v>
      </c>
      <c r="N298" s="39" t="s">
        <v>268</v>
      </c>
      <c r="O298" s="32" t="s">
        <v>269</v>
      </c>
      <c r="P298" s="40" t="str">
        <f aca="false">_xlfn.CONCAT(B298,C298,D298,E298,F298)</f>
        <v>ARAGUATINS 1.1Inverter(MBUS-15)46031.87546031.87546031.9270833333</v>
      </c>
      <c r="Q298" s="32" t="str">
        <f aca="false">_xlfn.CONCAT(H298,I298,J298)</f>
        <v>DAURDE</v>
      </c>
    </row>
    <row r="299" customFormat="false" ht="15" hidden="false" customHeight="false" outlineLevel="0" collapsed="false">
      <c r="B299" s="32" t="s">
        <v>358</v>
      </c>
      <c r="C299" s="32" t="s">
        <v>324</v>
      </c>
      <c r="D299" s="33" t="n">
        <v>46032.0347222222</v>
      </c>
      <c r="E299" s="33" t="n">
        <v>46032.0347222222</v>
      </c>
      <c r="F299" s="33" t="n">
        <v>46032.3326388889</v>
      </c>
      <c r="G299" s="34" t="n">
        <f aca="false">F299-E299</f>
        <v>0.297916666666667</v>
      </c>
      <c r="H299" s="39" t="s">
        <v>252</v>
      </c>
      <c r="J299" s="39" t="s">
        <v>253</v>
      </c>
      <c r="K299" s="32" t="s">
        <v>266</v>
      </c>
      <c r="L299" s="32" t="s">
        <v>446</v>
      </c>
      <c r="M299" s="39" t="s">
        <v>255</v>
      </c>
      <c r="N299" s="39" t="s">
        <v>268</v>
      </c>
      <c r="O299" s="32" t="s">
        <v>269</v>
      </c>
      <c r="P299" s="40" t="str">
        <f aca="false">_xlfn.CONCAT(B299,C299,D299,E299,F299)</f>
        <v>ARAGUATINS 1.1Inverter(MBUS-12)46032.034722222246032.034722222246032.3326388889</v>
      </c>
      <c r="Q299" s="32" t="str">
        <f aca="false">_xlfn.CONCAT(H299,I299,J299)</f>
        <v>DAURDE</v>
      </c>
    </row>
    <row r="300" customFormat="false" ht="15" hidden="false" customHeight="false" outlineLevel="0" collapsed="false">
      <c r="B300" s="32" t="s">
        <v>358</v>
      </c>
      <c r="C300" s="32" t="s">
        <v>326</v>
      </c>
      <c r="D300" s="33" t="n">
        <v>46032.0347222222</v>
      </c>
      <c r="E300" s="33" t="n">
        <v>46032.0347222222</v>
      </c>
      <c r="F300" s="33" t="n">
        <v>46032.3326388889</v>
      </c>
      <c r="G300" s="34" t="n">
        <f aca="false">F300-E300</f>
        <v>0.297916666666667</v>
      </c>
      <c r="H300" s="39" t="s">
        <v>252</v>
      </c>
      <c r="J300" s="39" t="s">
        <v>253</v>
      </c>
      <c r="K300" s="32" t="s">
        <v>266</v>
      </c>
      <c r="L300" s="32" t="s">
        <v>446</v>
      </c>
      <c r="M300" s="39" t="s">
        <v>255</v>
      </c>
      <c r="N300" s="39" t="s">
        <v>268</v>
      </c>
      <c r="O300" s="32" t="s">
        <v>269</v>
      </c>
      <c r="P300" s="40" t="str">
        <f aca="false">_xlfn.CONCAT(B300,C300,D300,E300,F300)</f>
        <v>ARAGUATINS 1.1Inverter(MBUS-13)46032.034722222246032.034722222246032.3326388889</v>
      </c>
      <c r="Q300" s="32" t="str">
        <f aca="false">_xlfn.CONCAT(H300,I300,J300)</f>
        <v>DAURDE</v>
      </c>
    </row>
    <row r="301" customFormat="false" ht="15" hidden="false" customHeight="false" outlineLevel="0" collapsed="false">
      <c r="B301" s="32" t="s">
        <v>358</v>
      </c>
      <c r="C301" s="32" t="s">
        <v>327</v>
      </c>
      <c r="D301" s="33" t="n">
        <v>46032.0347222222</v>
      </c>
      <c r="E301" s="33" t="n">
        <v>46032.0347222222</v>
      </c>
      <c r="F301" s="33" t="n">
        <v>46032.3326388889</v>
      </c>
      <c r="G301" s="34" t="n">
        <f aca="false">F301-E301</f>
        <v>0.297916666666667</v>
      </c>
      <c r="H301" s="39" t="s">
        <v>252</v>
      </c>
      <c r="J301" s="39" t="s">
        <v>253</v>
      </c>
      <c r="K301" s="32" t="s">
        <v>266</v>
      </c>
      <c r="L301" s="32" t="s">
        <v>446</v>
      </c>
      <c r="M301" s="39" t="s">
        <v>255</v>
      </c>
      <c r="N301" s="39" t="s">
        <v>268</v>
      </c>
      <c r="O301" s="32" t="s">
        <v>269</v>
      </c>
      <c r="P301" s="40" t="str">
        <f aca="false">_xlfn.CONCAT(B301,C301,D301,E301,F301)</f>
        <v>ARAGUATINS 1.1Inverter(MBUS-14)46032.034722222246032.034722222246032.3326388889</v>
      </c>
      <c r="Q301" s="32" t="str">
        <f aca="false">_xlfn.CONCAT(H301,I301,J301)</f>
        <v>DAURDE</v>
      </c>
    </row>
    <row r="302" customFormat="false" ht="15" hidden="false" customHeight="false" outlineLevel="0" collapsed="false">
      <c r="B302" s="32" t="s">
        <v>358</v>
      </c>
      <c r="C302" s="32" t="s">
        <v>328</v>
      </c>
      <c r="D302" s="33" t="n">
        <v>46032.0347222222</v>
      </c>
      <c r="E302" s="33" t="n">
        <v>46032.0347222222</v>
      </c>
      <c r="F302" s="33" t="n">
        <v>46032.3326388889</v>
      </c>
      <c r="G302" s="34" t="n">
        <f aca="false">F302-E302</f>
        <v>0.297916666666667</v>
      </c>
      <c r="H302" s="39" t="s">
        <v>252</v>
      </c>
      <c r="J302" s="39" t="s">
        <v>253</v>
      </c>
      <c r="K302" s="32" t="s">
        <v>266</v>
      </c>
      <c r="L302" s="32" t="s">
        <v>446</v>
      </c>
      <c r="M302" s="39" t="s">
        <v>255</v>
      </c>
      <c r="N302" s="39" t="s">
        <v>268</v>
      </c>
      <c r="O302" s="32" t="s">
        <v>269</v>
      </c>
      <c r="P302" s="40" t="str">
        <f aca="false">_xlfn.CONCAT(B302,C302,D302,E302,F302)</f>
        <v>ARAGUATINS 1.1Inverter(MBUS-15)46032.034722222246032.034722222246032.3326388889</v>
      </c>
      <c r="Q302" s="32" t="str">
        <f aca="false">_xlfn.CONCAT(H302,I302,J302)</f>
        <v>DAURDE</v>
      </c>
    </row>
    <row r="303" customFormat="false" ht="15" hidden="false" customHeight="false" outlineLevel="0" collapsed="false">
      <c r="B303" s="32" t="s">
        <v>361</v>
      </c>
      <c r="C303" s="32" t="s">
        <v>324</v>
      </c>
      <c r="D303" s="33" t="n">
        <v>46032.0347222222</v>
      </c>
      <c r="E303" s="33" t="n">
        <v>46032.0347222222</v>
      </c>
      <c r="F303" s="33" t="n">
        <v>46032.3326388889</v>
      </c>
      <c r="G303" s="34" t="n">
        <f aca="false">F303-E303</f>
        <v>0.297916666666667</v>
      </c>
      <c r="H303" s="39" t="s">
        <v>252</v>
      </c>
      <c r="J303" s="39" t="s">
        <v>253</v>
      </c>
      <c r="K303" s="32" t="s">
        <v>266</v>
      </c>
      <c r="L303" s="32" t="s">
        <v>446</v>
      </c>
      <c r="M303" s="39" t="s">
        <v>255</v>
      </c>
      <c r="N303" s="39" t="s">
        <v>268</v>
      </c>
      <c r="O303" s="32" t="s">
        <v>269</v>
      </c>
      <c r="P303" s="40" t="str">
        <f aca="false">_xlfn.CONCAT(B303,C303,D303,E303,F303)</f>
        <v>ARAGUATINS 1.2Inverter(MBUS-12)46032.034722222246032.034722222246032.3326388889</v>
      </c>
      <c r="Q303" s="32" t="str">
        <f aca="false">_xlfn.CONCAT(H303,I303,J303)</f>
        <v>DAURDE</v>
      </c>
    </row>
    <row r="304" customFormat="false" ht="15" hidden="false" customHeight="false" outlineLevel="0" collapsed="false">
      <c r="B304" s="32" t="s">
        <v>361</v>
      </c>
      <c r="C304" s="32" t="s">
        <v>326</v>
      </c>
      <c r="D304" s="33" t="n">
        <v>46032.0347222222</v>
      </c>
      <c r="E304" s="33" t="n">
        <v>46032.0347222222</v>
      </c>
      <c r="F304" s="33" t="n">
        <v>46032.3326388889</v>
      </c>
      <c r="G304" s="34" t="n">
        <f aca="false">F304-E304</f>
        <v>0.297916666666667</v>
      </c>
      <c r="H304" s="39" t="s">
        <v>252</v>
      </c>
      <c r="J304" s="39" t="s">
        <v>253</v>
      </c>
      <c r="K304" s="32" t="s">
        <v>266</v>
      </c>
      <c r="L304" s="32" t="s">
        <v>446</v>
      </c>
      <c r="M304" s="39" t="s">
        <v>255</v>
      </c>
      <c r="N304" s="39" t="s">
        <v>268</v>
      </c>
      <c r="O304" s="32" t="s">
        <v>269</v>
      </c>
      <c r="P304" s="40" t="str">
        <f aca="false">_xlfn.CONCAT(B304,C304,D304,E304,F304)</f>
        <v>ARAGUATINS 1.2Inverter(MBUS-13)46032.034722222246032.034722222246032.3326388889</v>
      </c>
      <c r="Q304" s="32" t="str">
        <f aca="false">_xlfn.CONCAT(H304,I304,J304)</f>
        <v>DAURDE</v>
      </c>
    </row>
    <row r="305" customFormat="false" ht="15" hidden="false" customHeight="false" outlineLevel="0" collapsed="false">
      <c r="B305" s="32" t="s">
        <v>361</v>
      </c>
      <c r="C305" s="32" t="s">
        <v>327</v>
      </c>
      <c r="D305" s="33" t="n">
        <v>46032.0347222222</v>
      </c>
      <c r="E305" s="33" t="n">
        <v>46032.0347222222</v>
      </c>
      <c r="F305" s="33" t="n">
        <v>46032.3326388889</v>
      </c>
      <c r="G305" s="34" t="n">
        <f aca="false">F305-E305</f>
        <v>0.297916666666667</v>
      </c>
      <c r="H305" s="39" t="s">
        <v>252</v>
      </c>
      <c r="J305" s="39" t="s">
        <v>253</v>
      </c>
      <c r="K305" s="32" t="s">
        <v>266</v>
      </c>
      <c r="L305" s="32" t="s">
        <v>446</v>
      </c>
      <c r="M305" s="39" t="s">
        <v>255</v>
      </c>
      <c r="N305" s="39" t="s">
        <v>268</v>
      </c>
      <c r="O305" s="32" t="s">
        <v>269</v>
      </c>
      <c r="P305" s="40" t="str">
        <f aca="false">_xlfn.CONCAT(B305,C305,D305,E305,F305)</f>
        <v>ARAGUATINS 1.2Inverter(MBUS-14)46032.034722222246032.034722222246032.3326388889</v>
      </c>
      <c r="Q305" s="32" t="str">
        <f aca="false">_xlfn.CONCAT(H305,I305,J305)</f>
        <v>DAURDE</v>
      </c>
    </row>
    <row r="306" customFormat="false" ht="15" hidden="false" customHeight="false" outlineLevel="0" collapsed="false">
      <c r="B306" s="32" t="s">
        <v>361</v>
      </c>
      <c r="C306" s="32" t="s">
        <v>328</v>
      </c>
      <c r="D306" s="33" t="n">
        <v>46032.0347222222</v>
      </c>
      <c r="E306" s="33" t="n">
        <v>46032.0347222222</v>
      </c>
      <c r="F306" s="33" t="n">
        <v>46032.3326388889</v>
      </c>
      <c r="G306" s="34" t="n">
        <f aca="false">F306-E306</f>
        <v>0.297916666666667</v>
      </c>
      <c r="H306" s="39" t="s">
        <v>252</v>
      </c>
      <c r="J306" s="39" t="s">
        <v>253</v>
      </c>
      <c r="K306" s="32" t="s">
        <v>266</v>
      </c>
      <c r="L306" s="32" t="s">
        <v>446</v>
      </c>
      <c r="M306" s="39" t="s">
        <v>255</v>
      </c>
      <c r="N306" s="39" t="s">
        <v>268</v>
      </c>
      <c r="O306" s="32" t="s">
        <v>269</v>
      </c>
      <c r="P306" s="40" t="str">
        <f aca="false">_xlfn.CONCAT(B306,C306,D306,E306,F306)</f>
        <v>ARAGUATINS 1.2Inverter(MBUS-15)46032.034722222246032.034722222246032.3326388889</v>
      </c>
      <c r="Q306" s="32" t="str">
        <f aca="false">_xlfn.CONCAT(H306,I306,J306)</f>
        <v>DAURDE</v>
      </c>
    </row>
    <row r="307" customFormat="false" ht="15" hidden="false" customHeight="false" outlineLevel="0" collapsed="false">
      <c r="B307" s="32" t="s">
        <v>362</v>
      </c>
      <c r="C307" s="32" t="s">
        <v>363</v>
      </c>
      <c r="D307" s="33" t="n">
        <v>46032.0347222222</v>
      </c>
      <c r="E307" s="33" t="n">
        <v>46032.0347222222</v>
      </c>
      <c r="F307" s="33" t="n">
        <v>46032.3326388889</v>
      </c>
      <c r="G307" s="34" t="n">
        <f aca="false">F307-E307</f>
        <v>0.297916666666667</v>
      </c>
      <c r="H307" s="39" t="s">
        <v>252</v>
      </c>
      <c r="J307" s="39" t="s">
        <v>253</v>
      </c>
      <c r="K307" s="32" t="s">
        <v>266</v>
      </c>
      <c r="L307" s="32" t="s">
        <v>446</v>
      </c>
      <c r="M307" s="39" t="s">
        <v>255</v>
      </c>
      <c r="N307" s="39" t="s">
        <v>268</v>
      </c>
      <c r="O307" s="32" t="s">
        <v>269</v>
      </c>
      <c r="P307" s="40" t="str">
        <f aca="false">_xlfn.CONCAT(B307,C307,D307,E307,F307)</f>
        <v>ARAGUATINS 1.3Inverter(MBUS-20)46032.034722222246032.034722222246032.3326388889</v>
      </c>
      <c r="Q307" s="32" t="str">
        <f aca="false">_xlfn.CONCAT(H307,I307,J307)</f>
        <v>DAURDE</v>
      </c>
    </row>
    <row r="308" customFormat="false" ht="15" hidden="false" customHeight="false" outlineLevel="0" collapsed="false">
      <c r="B308" s="32" t="s">
        <v>362</v>
      </c>
      <c r="C308" s="32" t="s">
        <v>265</v>
      </c>
      <c r="D308" s="33" t="n">
        <v>46032.0347222222</v>
      </c>
      <c r="E308" s="33" t="n">
        <v>46032.0347222222</v>
      </c>
      <c r="F308" s="33" t="n">
        <v>46032.3326388889</v>
      </c>
      <c r="G308" s="34" t="n">
        <f aca="false">F308-E308</f>
        <v>0.297916666666667</v>
      </c>
      <c r="H308" s="39" t="s">
        <v>252</v>
      </c>
      <c r="J308" s="39" t="s">
        <v>253</v>
      </c>
      <c r="K308" s="32" t="s">
        <v>266</v>
      </c>
      <c r="L308" s="32" t="s">
        <v>446</v>
      </c>
      <c r="M308" s="39" t="s">
        <v>255</v>
      </c>
      <c r="N308" s="39" t="s">
        <v>268</v>
      </c>
      <c r="O308" s="32" t="s">
        <v>269</v>
      </c>
      <c r="P308" s="40" t="str">
        <f aca="false">_xlfn.CONCAT(B308,C308,D308,E308,F308)</f>
        <v>ARAGUATINS 1.3Inverter(MBUS-1)46032.034722222246032.034722222246032.3326388889</v>
      </c>
      <c r="Q308" s="32" t="str">
        <f aca="false">_xlfn.CONCAT(H308,I308,J308)</f>
        <v>DAURDE</v>
      </c>
    </row>
    <row r="309" customFormat="false" ht="15" hidden="false" customHeight="false" outlineLevel="0" collapsed="false">
      <c r="B309" s="32" t="s">
        <v>424</v>
      </c>
      <c r="C309" s="32" t="s">
        <v>265</v>
      </c>
      <c r="D309" s="33" t="n">
        <v>46032.1527777778</v>
      </c>
      <c r="E309" s="33" t="n">
        <v>46032.1527777778</v>
      </c>
      <c r="F309" s="33" t="n">
        <v>46032.3243055556</v>
      </c>
      <c r="G309" s="34" t="n">
        <f aca="false">F309-E309</f>
        <v>0.171527777777778</v>
      </c>
      <c r="H309" s="39" t="s">
        <v>283</v>
      </c>
      <c r="I309" s="32" t="s">
        <v>284</v>
      </c>
      <c r="J309" s="39" t="s">
        <v>369</v>
      </c>
      <c r="K309" s="32" t="e">
        <f aca="false">_xlfn.xlookup(J309,[1]REF!D$1:D$1048576,[1]REF!E$1:E$1048576)</f>
        <v>#NAME?</v>
      </c>
      <c r="L309" s="32" t="e">
        <f aca="false">_xlfn.xlookup(K309,[1]REF!E$1:E$1048576,[1]REF!F$1:F$1048576)</f>
        <v>#NAME?</v>
      </c>
      <c r="M309" s="39" t="s">
        <v>371</v>
      </c>
      <c r="N309" s="39" t="s">
        <v>289</v>
      </c>
      <c r="O309" s="32" t="s">
        <v>372</v>
      </c>
      <c r="P309" s="40" t="str">
        <f aca="false">_xlfn.CONCAT(B309,C309,D309,E309,F309)</f>
        <v>BC Camarao1.1Inverter(MBUS-1)46032.152777777846032.152777777846032.3243055556</v>
      </c>
      <c r="Q309" s="32" t="str">
        <f aca="false">_xlfn.CONCAT(H309,I309,J309)</f>
        <v>LIGRFOINT</v>
      </c>
    </row>
    <row r="310" customFormat="false" ht="15" hidden="false" customHeight="false" outlineLevel="0" collapsed="false">
      <c r="B310" s="32" t="s">
        <v>424</v>
      </c>
      <c r="C310" s="32" t="s">
        <v>251</v>
      </c>
      <c r="D310" s="33" t="n">
        <v>46032.1527777778</v>
      </c>
      <c r="E310" s="33" t="n">
        <v>46032.1527777778</v>
      </c>
      <c r="F310" s="33" t="n">
        <v>46032.3243055556</v>
      </c>
      <c r="G310" s="34" t="n">
        <f aca="false">F310-E310</f>
        <v>0.171527777777778</v>
      </c>
      <c r="H310" s="39" t="s">
        <v>283</v>
      </c>
      <c r="I310" s="32" t="s">
        <v>284</v>
      </c>
      <c r="J310" s="39" t="s">
        <v>369</v>
      </c>
      <c r="K310" s="32" t="e">
        <f aca="false">_xlfn.xlookup(J310,[1]REF!D$1:D$1048576,[1]REF!E$1:E$1048576)</f>
        <v>#NAME?</v>
      </c>
      <c r="L310" s="32" t="s">
        <v>449</v>
      </c>
      <c r="M310" s="39" t="s">
        <v>371</v>
      </c>
      <c r="N310" s="39" t="s">
        <v>289</v>
      </c>
      <c r="O310" s="32" t="s">
        <v>372</v>
      </c>
      <c r="P310" s="40" t="str">
        <f aca="false">_xlfn.CONCAT(B310,C310,D310,E310,F310)</f>
        <v>BC Camarao1.1215KTL-H3(MBUS-12)46032.152777777846032.152777777846032.3243055556</v>
      </c>
      <c r="Q310" s="32" t="str">
        <f aca="false">_xlfn.CONCAT(H310,I310,J310)</f>
        <v>LIGRFOINT</v>
      </c>
    </row>
    <row r="311" customFormat="false" ht="15" hidden="false" customHeight="false" outlineLevel="0" collapsed="false">
      <c r="B311" s="32" t="s">
        <v>424</v>
      </c>
      <c r="C311" s="32" t="s">
        <v>258</v>
      </c>
      <c r="D311" s="33" t="n">
        <v>46032.1527777778</v>
      </c>
      <c r="E311" s="33" t="n">
        <v>46032.1527777778</v>
      </c>
      <c r="F311" s="33" t="n">
        <v>46032.3243055556</v>
      </c>
      <c r="G311" s="34" t="n">
        <f aca="false">F311-E311</f>
        <v>0.171527777777778</v>
      </c>
      <c r="H311" s="39" t="s">
        <v>283</v>
      </c>
      <c r="I311" s="32" t="s">
        <v>284</v>
      </c>
      <c r="J311" s="39" t="s">
        <v>369</v>
      </c>
      <c r="K311" s="32" t="e">
        <f aca="false">_xlfn.xlookup(J311,[1]REF!D$1:D$1048576,[1]REF!E$1:E$1048576)</f>
        <v>#NAME?</v>
      </c>
      <c r="L311" s="32" t="s">
        <v>449</v>
      </c>
      <c r="M311" s="39" t="s">
        <v>371</v>
      </c>
      <c r="N311" s="39" t="s">
        <v>289</v>
      </c>
      <c r="O311" s="32" t="s">
        <v>372</v>
      </c>
      <c r="P311" s="40" t="str">
        <f aca="false">_xlfn.CONCAT(B311,C311,D311,E311,F311)</f>
        <v>BC Camarao1.1215KTL-H3(MBUS-13)46032.152777777846032.152777777846032.3243055556</v>
      </c>
      <c r="Q311" s="32" t="str">
        <f aca="false">_xlfn.CONCAT(H311,I311,J311)</f>
        <v>LIGRFOINT</v>
      </c>
    </row>
    <row r="312" customFormat="false" ht="15" hidden="false" customHeight="false" outlineLevel="0" collapsed="false">
      <c r="B312" s="32" t="s">
        <v>424</v>
      </c>
      <c r="C312" s="32" t="s">
        <v>261</v>
      </c>
      <c r="D312" s="33" t="n">
        <v>46032.1527777778</v>
      </c>
      <c r="E312" s="33" t="n">
        <v>46032.1527777778</v>
      </c>
      <c r="F312" s="33" t="n">
        <v>46032.3243055556</v>
      </c>
      <c r="G312" s="34" t="n">
        <f aca="false">F312-E312</f>
        <v>0.171527777777778</v>
      </c>
      <c r="H312" s="39" t="s">
        <v>283</v>
      </c>
      <c r="I312" s="32" t="s">
        <v>284</v>
      </c>
      <c r="J312" s="39" t="s">
        <v>369</v>
      </c>
      <c r="K312" s="32" t="e">
        <f aca="false">_xlfn.xlookup(J312,[1]REF!D$1:D$1048576,[1]REF!E$1:E$1048576)</f>
        <v>#NAME?</v>
      </c>
      <c r="L312" s="32" t="s">
        <v>449</v>
      </c>
      <c r="M312" s="39" t="s">
        <v>371</v>
      </c>
      <c r="N312" s="39" t="s">
        <v>289</v>
      </c>
      <c r="O312" s="32" t="s">
        <v>372</v>
      </c>
      <c r="P312" s="40" t="str">
        <f aca="false">_xlfn.CONCAT(B312,C312,D312,E312,F312)</f>
        <v>BC Camarao1.1215KTL-H3(MBUS-16)46032.152777777846032.152777777846032.3243055556</v>
      </c>
      <c r="Q312" s="32" t="str">
        <f aca="false">_xlfn.CONCAT(H312,I312,J312)</f>
        <v>LIGRFOINT</v>
      </c>
    </row>
    <row r="313" customFormat="false" ht="15" hidden="false" customHeight="false" outlineLevel="0" collapsed="false">
      <c r="B313" s="32" t="s">
        <v>424</v>
      </c>
      <c r="C313" s="32" t="s">
        <v>260</v>
      </c>
      <c r="D313" s="33" t="n">
        <v>46032.1527777778</v>
      </c>
      <c r="E313" s="33" t="n">
        <v>46032.1527777778</v>
      </c>
      <c r="F313" s="33" t="n">
        <v>46032.3243055556</v>
      </c>
      <c r="G313" s="34" t="n">
        <f aca="false">F313-E313</f>
        <v>0.171527777777778</v>
      </c>
      <c r="H313" s="39" t="s">
        <v>283</v>
      </c>
      <c r="I313" s="32" t="s">
        <v>284</v>
      </c>
      <c r="J313" s="39" t="s">
        <v>369</v>
      </c>
      <c r="K313" s="32" t="e">
        <f aca="false">_xlfn.xlookup(J313,[1]REF!D$1:D$1048576,[1]REF!E$1:E$1048576)</f>
        <v>#NAME?</v>
      </c>
      <c r="L313" s="32" t="s">
        <v>449</v>
      </c>
      <c r="M313" s="39" t="s">
        <v>371</v>
      </c>
      <c r="N313" s="39" t="s">
        <v>289</v>
      </c>
      <c r="O313" s="32" t="s">
        <v>372</v>
      </c>
      <c r="P313" s="40" t="str">
        <f aca="false">_xlfn.CONCAT(B313,C313,D313,E313,F313)</f>
        <v>BC Camarao1.1215KTL-H3(MBUS-15)46032.152777777846032.152777777846032.3243055556</v>
      </c>
      <c r="Q313" s="32" t="str">
        <f aca="false">_xlfn.CONCAT(H313,I313,J313)</f>
        <v>LIGRFOINT</v>
      </c>
    </row>
    <row r="314" customFormat="false" ht="15" hidden="false" customHeight="false" outlineLevel="0" collapsed="false">
      <c r="B314" s="32" t="s">
        <v>425</v>
      </c>
      <c r="C314" s="32" t="s">
        <v>265</v>
      </c>
      <c r="D314" s="33" t="n">
        <v>46032.1527777778</v>
      </c>
      <c r="E314" s="33" t="n">
        <v>46032.1527777778</v>
      </c>
      <c r="F314" s="33" t="n">
        <v>46032.3243055556</v>
      </c>
      <c r="G314" s="34" t="n">
        <f aca="false">F314-E314</f>
        <v>0.171527777777778</v>
      </c>
      <c r="H314" s="39" t="s">
        <v>283</v>
      </c>
      <c r="I314" s="32" t="s">
        <v>284</v>
      </c>
      <c r="J314" s="39" t="s">
        <v>369</v>
      </c>
      <c r="K314" s="32" t="e">
        <f aca="false">_xlfn.xlookup(J314,[1]REF!D$1:D$1048576,[1]REF!E$1:E$1048576)</f>
        <v>#NAME?</v>
      </c>
      <c r="L314" s="32" t="s">
        <v>449</v>
      </c>
      <c r="M314" s="39" t="s">
        <v>371</v>
      </c>
      <c r="N314" s="39" t="s">
        <v>289</v>
      </c>
      <c r="O314" s="32" t="s">
        <v>372</v>
      </c>
      <c r="P314" s="40" t="str">
        <f aca="false">_xlfn.CONCAT(B314,C314,D314,E314,F314)</f>
        <v>BC Camarao1.2Inverter(MBUS-1)46032.152777777846032.152777777846032.3243055556</v>
      </c>
      <c r="Q314" s="32" t="str">
        <f aca="false">_xlfn.CONCAT(H314,I314,J314)</f>
        <v>LIGRFOINT</v>
      </c>
    </row>
    <row r="315" customFormat="false" ht="15" hidden="false" customHeight="false" outlineLevel="0" collapsed="false">
      <c r="B315" s="32" t="s">
        <v>425</v>
      </c>
      <c r="C315" s="32" t="s">
        <v>426</v>
      </c>
      <c r="D315" s="33" t="n">
        <v>46032.1527777778</v>
      </c>
      <c r="E315" s="33" t="n">
        <v>46032.1527777778</v>
      </c>
      <c r="F315" s="33" t="n">
        <v>46032.3243055556</v>
      </c>
      <c r="G315" s="34" t="n">
        <f aca="false">F315-E315</f>
        <v>0.171527777777778</v>
      </c>
      <c r="H315" s="39" t="s">
        <v>283</v>
      </c>
      <c r="I315" s="32" t="s">
        <v>284</v>
      </c>
      <c r="J315" s="39" t="s">
        <v>369</v>
      </c>
      <c r="K315" s="32" t="e">
        <f aca="false">_xlfn.xlookup(J315,[1]REF!D$1:D$1048576,[1]REF!E$1:E$1048576)</f>
        <v>#NAME?</v>
      </c>
      <c r="L315" s="32" t="s">
        <v>449</v>
      </c>
      <c r="M315" s="39" t="s">
        <v>371</v>
      </c>
      <c r="N315" s="39" t="s">
        <v>289</v>
      </c>
      <c r="O315" s="32" t="s">
        <v>372</v>
      </c>
      <c r="P315" s="40" t="str">
        <f aca="false">_xlfn.CONCAT(B315,C315,D315,E315,F315)</f>
        <v>BC Camarao1.2Inv. 346032.152777777846032.152777777846032.3243055556</v>
      </c>
      <c r="Q315" s="32" t="str">
        <f aca="false">_xlfn.CONCAT(H315,I315,J315)</f>
        <v>LIGRFOINT</v>
      </c>
    </row>
    <row r="316" customFormat="false" ht="15" hidden="false" customHeight="false" outlineLevel="0" collapsed="false">
      <c r="B316" s="32" t="s">
        <v>425</v>
      </c>
      <c r="C316" s="32" t="s">
        <v>427</v>
      </c>
      <c r="D316" s="33" t="n">
        <v>46032.1527777778</v>
      </c>
      <c r="E316" s="33" t="n">
        <v>46032.1527777778</v>
      </c>
      <c r="F316" s="33" t="n">
        <v>46032.3243055556</v>
      </c>
      <c r="G316" s="34" t="n">
        <f aca="false">F316-E316</f>
        <v>0.171527777777778</v>
      </c>
      <c r="H316" s="39" t="s">
        <v>283</v>
      </c>
      <c r="I316" s="32" t="s">
        <v>284</v>
      </c>
      <c r="J316" s="39" t="s">
        <v>369</v>
      </c>
      <c r="K316" s="32" t="e">
        <f aca="false">_xlfn.xlookup(J316,[1]REF!D$1:D$1048576,[1]REF!E$1:E$1048576)</f>
        <v>#NAME?</v>
      </c>
      <c r="L316" s="32" t="s">
        <v>449</v>
      </c>
      <c r="M316" s="39" t="s">
        <v>371</v>
      </c>
      <c r="N316" s="39" t="s">
        <v>289</v>
      </c>
      <c r="O316" s="32" t="s">
        <v>372</v>
      </c>
      <c r="P316" s="40" t="str">
        <f aca="false">_xlfn.CONCAT(B316,C316,D316,E316,F316)</f>
        <v>BC Camarao1.2Inv. 446032.152777777846032.152777777846032.3243055556</v>
      </c>
      <c r="Q316" s="32" t="str">
        <f aca="false">_xlfn.CONCAT(H316,I316,J316)</f>
        <v>LIGRFOINT</v>
      </c>
    </row>
    <row r="317" customFormat="false" ht="15" hidden="false" customHeight="false" outlineLevel="0" collapsed="false">
      <c r="B317" s="32" t="s">
        <v>425</v>
      </c>
      <c r="C317" s="32" t="s">
        <v>428</v>
      </c>
      <c r="D317" s="33" t="n">
        <v>46032.1527777778</v>
      </c>
      <c r="E317" s="33" t="n">
        <v>46032.1527777778</v>
      </c>
      <c r="F317" s="33" t="n">
        <v>46032.3243055556</v>
      </c>
      <c r="G317" s="34" t="n">
        <f aca="false">F317-E317</f>
        <v>0.171527777777778</v>
      </c>
      <c r="H317" s="39" t="s">
        <v>283</v>
      </c>
      <c r="I317" s="32" t="s">
        <v>284</v>
      </c>
      <c r="J317" s="39" t="s">
        <v>369</v>
      </c>
      <c r="K317" s="32" t="e">
        <f aca="false">_xlfn.xlookup(J317,[1]REF!D$1:D$1048576,[1]REF!E$1:E$1048576)</f>
        <v>#NAME?</v>
      </c>
      <c r="L317" s="32" t="s">
        <v>449</v>
      </c>
      <c r="M317" s="39" t="s">
        <v>371</v>
      </c>
      <c r="N317" s="39" t="s">
        <v>289</v>
      </c>
      <c r="O317" s="32" t="s">
        <v>372</v>
      </c>
      <c r="P317" s="40" t="str">
        <f aca="false">_xlfn.CONCAT(B317,C317,D317,E317,F317)</f>
        <v>BC Camarao1.2Inverter(MBUS-16)46032.152777777846032.152777777846032.3243055556</v>
      </c>
      <c r="Q317" s="32" t="str">
        <f aca="false">_xlfn.CONCAT(H317,I317,J317)</f>
        <v>LIGRFOINT</v>
      </c>
    </row>
    <row r="318" customFormat="false" ht="15" hidden="false" customHeight="false" outlineLevel="0" collapsed="false">
      <c r="B318" s="32" t="s">
        <v>425</v>
      </c>
      <c r="C318" s="32" t="s">
        <v>324</v>
      </c>
      <c r="D318" s="33" t="n">
        <v>46032.1527777778</v>
      </c>
      <c r="E318" s="33" t="n">
        <v>46032.1527777778</v>
      </c>
      <c r="F318" s="33" t="n">
        <v>46032.3243055556</v>
      </c>
      <c r="G318" s="34" t="n">
        <f aca="false">F318-E318</f>
        <v>0.171527777777778</v>
      </c>
      <c r="H318" s="39" t="s">
        <v>283</v>
      </c>
      <c r="I318" s="32" t="s">
        <v>284</v>
      </c>
      <c r="J318" s="39" t="s">
        <v>369</v>
      </c>
      <c r="K318" s="32" t="e">
        <f aca="false">_xlfn.xlookup(J318,[1]REF!D$1:D$1048576,[1]REF!E$1:E$1048576)</f>
        <v>#NAME?</v>
      </c>
      <c r="L318" s="32" t="s">
        <v>449</v>
      </c>
      <c r="M318" s="39" t="s">
        <v>371</v>
      </c>
      <c r="N318" s="39" t="s">
        <v>289</v>
      </c>
      <c r="O318" s="32" t="s">
        <v>372</v>
      </c>
      <c r="P318" s="40" t="str">
        <f aca="false">_xlfn.CONCAT(B318,C318,D318,E318,F318)</f>
        <v>BC Camarao1.2Inverter(MBUS-12)46032.152777777846032.152777777846032.3243055556</v>
      </c>
      <c r="Q318" s="32" t="str">
        <f aca="false">_xlfn.CONCAT(H318,I318,J318)</f>
        <v>LIGRFOINT</v>
      </c>
    </row>
    <row r="319" customFormat="false" ht="15" hidden="false" customHeight="false" outlineLevel="0" collapsed="false">
      <c r="B319" s="32" t="s">
        <v>429</v>
      </c>
      <c r="C319" s="32" t="s">
        <v>261</v>
      </c>
      <c r="D319" s="33" t="n">
        <v>46032.1527777778</v>
      </c>
      <c r="E319" s="33" t="n">
        <v>46032.1527777778</v>
      </c>
      <c r="F319" s="33" t="n">
        <v>46032.3243055556</v>
      </c>
      <c r="G319" s="34" t="n">
        <f aca="false">F319-E319</f>
        <v>0.171527777777778</v>
      </c>
      <c r="H319" s="39" t="s">
        <v>283</v>
      </c>
      <c r="I319" s="32" t="s">
        <v>284</v>
      </c>
      <c r="J319" s="39" t="s">
        <v>369</v>
      </c>
      <c r="K319" s="32" t="e">
        <f aca="false">_xlfn.xlookup(J319,[1]REF!D$1:D$1048576,[1]REF!E$1:E$1048576)</f>
        <v>#NAME?</v>
      </c>
      <c r="L319" s="32" t="s">
        <v>449</v>
      </c>
      <c r="M319" s="39" t="s">
        <v>371</v>
      </c>
      <c r="N319" s="39" t="s">
        <v>289</v>
      </c>
      <c r="O319" s="32" t="s">
        <v>372</v>
      </c>
      <c r="P319" s="40" t="str">
        <f aca="false">_xlfn.CONCAT(B319,C319,D319,E319,F319)</f>
        <v>BC Camarao1.3215KTL-H3(MBUS-16)46032.152777777846032.152777777846032.3243055556</v>
      </c>
      <c r="Q319" s="32" t="str">
        <f aca="false">_xlfn.CONCAT(H319,I319,J319)</f>
        <v>LIGRFOINT</v>
      </c>
    </row>
    <row r="320" customFormat="false" ht="15" hidden="false" customHeight="false" outlineLevel="0" collapsed="false">
      <c r="B320" s="32" t="s">
        <v>429</v>
      </c>
      <c r="C320" s="32" t="s">
        <v>259</v>
      </c>
      <c r="D320" s="33" t="n">
        <v>46032.1527777778</v>
      </c>
      <c r="E320" s="33" t="n">
        <v>46032.1527777778</v>
      </c>
      <c r="F320" s="33" t="n">
        <v>46032.3243055556</v>
      </c>
      <c r="G320" s="34" t="n">
        <f aca="false">F320-E320</f>
        <v>0.171527777777778</v>
      </c>
      <c r="H320" s="39" t="s">
        <v>283</v>
      </c>
      <c r="I320" s="32" t="s">
        <v>284</v>
      </c>
      <c r="J320" s="39" t="s">
        <v>369</v>
      </c>
      <c r="K320" s="32" t="e">
        <f aca="false">_xlfn.xlookup(J320,[1]REF!D$1:D$1048576,[1]REF!E$1:E$1048576)</f>
        <v>#NAME?</v>
      </c>
      <c r="L320" s="32" t="s">
        <v>449</v>
      </c>
      <c r="M320" s="39" t="s">
        <v>371</v>
      </c>
      <c r="N320" s="39" t="s">
        <v>289</v>
      </c>
      <c r="O320" s="32" t="s">
        <v>372</v>
      </c>
      <c r="P320" s="40" t="str">
        <f aca="false">_xlfn.CONCAT(B320,C320,D320,E320,F320)</f>
        <v>BC Camarao1.3215KTL-H3(MBUS-14)46032.152777777846032.152777777846032.3243055556</v>
      </c>
      <c r="Q320" s="32" t="str">
        <f aca="false">_xlfn.CONCAT(H320,I320,J320)</f>
        <v>LIGRFOINT</v>
      </c>
    </row>
    <row r="321" customFormat="false" ht="15" hidden="false" customHeight="false" outlineLevel="0" collapsed="false">
      <c r="B321" s="32" t="s">
        <v>429</v>
      </c>
      <c r="C321" s="32" t="s">
        <v>260</v>
      </c>
      <c r="D321" s="33" t="n">
        <v>46032.1527777778</v>
      </c>
      <c r="E321" s="33" t="n">
        <v>46032.1527777778</v>
      </c>
      <c r="F321" s="33" t="n">
        <v>46032.3243055556</v>
      </c>
      <c r="G321" s="34" t="n">
        <f aca="false">F321-E321</f>
        <v>0.171527777777778</v>
      </c>
      <c r="H321" s="39" t="s">
        <v>283</v>
      </c>
      <c r="I321" s="32" t="s">
        <v>284</v>
      </c>
      <c r="J321" s="39" t="s">
        <v>369</v>
      </c>
      <c r="K321" s="32" t="e">
        <f aca="false">_xlfn.xlookup(J321,[1]REF!D$1:D$1048576,[1]REF!E$1:E$1048576)</f>
        <v>#NAME?</v>
      </c>
      <c r="L321" s="32" t="s">
        <v>449</v>
      </c>
      <c r="M321" s="39" t="s">
        <v>371</v>
      </c>
      <c r="N321" s="39" t="s">
        <v>289</v>
      </c>
      <c r="O321" s="32" t="s">
        <v>372</v>
      </c>
      <c r="P321" s="40" t="str">
        <f aca="false">_xlfn.CONCAT(B321,C321,D321,E321,F321)</f>
        <v>BC Camarao1.3215KTL-H3(MBUS-15)46032.152777777846032.152777777846032.3243055556</v>
      </c>
      <c r="Q321" s="32" t="str">
        <f aca="false">_xlfn.CONCAT(H321,I321,J321)</f>
        <v>LIGRFOINT</v>
      </c>
    </row>
    <row r="322" customFormat="false" ht="15" hidden="false" customHeight="false" outlineLevel="0" collapsed="false">
      <c r="B322" s="32" t="s">
        <v>429</v>
      </c>
      <c r="C322" s="32" t="s">
        <v>251</v>
      </c>
      <c r="D322" s="33" t="n">
        <v>46032.1527777778</v>
      </c>
      <c r="E322" s="33" t="n">
        <v>46032.1527777778</v>
      </c>
      <c r="F322" s="33" t="n">
        <v>46032.3243055556</v>
      </c>
      <c r="G322" s="34" t="n">
        <f aca="false">F322-E322</f>
        <v>0.171527777777778</v>
      </c>
      <c r="H322" s="39" t="s">
        <v>283</v>
      </c>
      <c r="I322" s="32" t="s">
        <v>284</v>
      </c>
      <c r="J322" s="39" t="s">
        <v>369</v>
      </c>
      <c r="K322" s="32" t="e">
        <f aca="false">_xlfn.xlookup(J322,[1]REF!D$1:D$1048576,[1]REF!E$1:E$1048576)</f>
        <v>#NAME?</v>
      </c>
      <c r="L322" s="32" t="s">
        <v>449</v>
      </c>
      <c r="M322" s="39" t="s">
        <v>371</v>
      </c>
      <c r="N322" s="39" t="s">
        <v>289</v>
      </c>
      <c r="O322" s="32" t="s">
        <v>372</v>
      </c>
      <c r="P322" s="40" t="str">
        <f aca="false">_xlfn.CONCAT(B322,C322,D322,E322,F322)</f>
        <v>BC Camarao1.3215KTL-H3(MBUS-12)46032.152777777846032.152777777846032.3243055556</v>
      </c>
      <c r="Q322" s="32" t="str">
        <f aca="false">_xlfn.CONCAT(H322,I322,J322)</f>
        <v>LIGRFOINT</v>
      </c>
    </row>
    <row r="323" customFormat="false" ht="15" hidden="false" customHeight="false" outlineLevel="0" collapsed="false">
      <c r="B323" s="32" t="s">
        <v>429</v>
      </c>
      <c r="C323" s="32" t="s">
        <v>258</v>
      </c>
      <c r="D323" s="33" t="n">
        <v>46032.1527777778</v>
      </c>
      <c r="E323" s="33" t="n">
        <v>46032.1527777778</v>
      </c>
      <c r="F323" s="33" t="n">
        <v>46032.3243055556</v>
      </c>
      <c r="G323" s="34" t="n">
        <f aca="false">F323-E323</f>
        <v>0.171527777777778</v>
      </c>
      <c r="H323" s="39" t="s">
        <v>283</v>
      </c>
      <c r="I323" s="32" t="s">
        <v>284</v>
      </c>
      <c r="J323" s="39" t="s">
        <v>369</v>
      </c>
      <c r="K323" s="32" t="e">
        <f aca="false">_xlfn.xlookup(J323,[1]REF!D$1:D$1048576,[1]REF!E$1:E$1048576)</f>
        <v>#NAME?</v>
      </c>
      <c r="L323" s="32" t="s">
        <v>449</v>
      </c>
      <c r="M323" s="39" t="s">
        <v>371</v>
      </c>
      <c r="N323" s="39" t="s">
        <v>289</v>
      </c>
      <c r="O323" s="32" t="s">
        <v>372</v>
      </c>
      <c r="P323" s="40" t="str">
        <f aca="false">_xlfn.CONCAT(B323,C323,D323,E323,F323)</f>
        <v>BC Camarao1.3215KTL-H3(MBUS-13)46032.152777777846032.152777777846032.3243055556</v>
      </c>
      <c r="Q323" s="32" t="str">
        <f aca="false">_xlfn.CONCAT(H323,I323,J323)</f>
        <v>LIGRFOINT</v>
      </c>
    </row>
    <row r="324" customFormat="false" ht="15" hidden="false" customHeight="false" outlineLevel="0" collapsed="false">
      <c r="B324" s="32" t="s">
        <v>364</v>
      </c>
      <c r="C324" s="32" t="s">
        <v>365</v>
      </c>
      <c r="D324" s="33" t="n">
        <v>46032.1527777778</v>
      </c>
      <c r="E324" s="33" t="n">
        <v>46032.1527777778</v>
      </c>
      <c r="F324" s="33" t="n">
        <v>46032.3243055556</v>
      </c>
      <c r="G324" s="34" t="n">
        <f aca="false">F324-E324</f>
        <v>0.171527777777778</v>
      </c>
      <c r="H324" s="39" t="s">
        <v>283</v>
      </c>
      <c r="I324" s="32" t="s">
        <v>284</v>
      </c>
      <c r="J324" s="39" t="s">
        <v>369</v>
      </c>
      <c r="K324" s="32" t="e">
        <f aca="false">_xlfn.xlookup(J324,[1]REF!D$1:D$1048576,[1]REF!E$1:E$1048576)</f>
        <v>#NAME?</v>
      </c>
      <c r="L324" s="32" t="s">
        <v>449</v>
      </c>
      <c r="M324" s="39" t="s">
        <v>371</v>
      </c>
      <c r="N324" s="39" t="s">
        <v>289</v>
      </c>
      <c r="O324" s="32" t="s">
        <v>372</v>
      </c>
      <c r="P324" s="40" t="str">
        <f aca="false">_xlfn.CONCAT(B324,C324,D324,E324,F324)</f>
        <v>BC Camarao1.4INV-6T22A904138146032.152777777846032.152777777846032.3243055556</v>
      </c>
      <c r="Q324" s="32" t="str">
        <f aca="false">_xlfn.CONCAT(H324,I324,J324)</f>
        <v>LIGRFOINT</v>
      </c>
      <c r="R324" s="32"/>
    </row>
    <row r="325" customFormat="false" ht="15" hidden="false" customHeight="false" outlineLevel="0" collapsed="false">
      <c r="B325" s="32" t="s">
        <v>364</v>
      </c>
      <c r="C325" s="32" t="s">
        <v>259</v>
      </c>
      <c r="D325" s="33" t="n">
        <v>46032.1527777778</v>
      </c>
      <c r="E325" s="33" t="n">
        <v>46032.1527777778</v>
      </c>
      <c r="F325" s="33" t="n">
        <v>46032.3243055556</v>
      </c>
      <c r="G325" s="34" t="n">
        <f aca="false">F325-E325</f>
        <v>0.171527777777778</v>
      </c>
      <c r="H325" s="39" t="s">
        <v>283</v>
      </c>
      <c r="I325" s="32" t="s">
        <v>284</v>
      </c>
      <c r="J325" s="39" t="s">
        <v>369</v>
      </c>
      <c r="K325" s="32" t="e">
        <f aca="false">_xlfn.xlookup(J325,[1]REF!D$1:D$1048576,[1]REF!E$1:E$1048576)</f>
        <v>#NAME?</v>
      </c>
      <c r="L325" s="32" t="s">
        <v>449</v>
      </c>
      <c r="M325" s="39" t="s">
        <v>371</v>
      </c>
      <c r="N325" s="39" t="s">
        <v>289</v>
      </c>
      <c r="O325" s="32" t="s">
        <v>372</v>
      </c>
      <c r="P325" s="40" t="str">
        <f aca="false">_xlfn.CONCAT(B325,C325,D325,E325,F325)</f>
        <v>BC Camarao1.4215KTL-H3(MBUS-14)46032.152777777846032.152777777846032.3243055556</v>
      </c>
      <c r="Q325" s="32" t="str">
        <f aca="false">_xlfn.CONCAT(H325,I325,J325)</f>
        <v>LIGRFOINT</v>
      </c>
    </row>
    <row r="326" customFormat="false" ht="15" hidden="false" customHeight="false" outlineLevel="0" collapsed="false">
      <c r="B326" s="32" t="s">
        <v>364</v>
      </c>
      <c r="C326" s="32" t="s">
        <v>258</v>
      </c>
      <c r="D326" s="33" t="n">
        <v>46032.1527777778</v>
      </c>
      <c r="E326" s="33" t="n">
        <v>46032.1527777778</v>
      </c>
      <c r="F326" s="33" t="n">
        <v>46032.3243055556</v>
      </c>
      <c r="G326" s="34" t="n">
        <f aca="false">F326-E326</f>
        <v>0.171527777777778</v>
      </c>
      <c r="H326" s="39" t="s">
        <v>283</v>
      </c>
      <c r="I326" s="32" t="s">
        <v>284</v>
      </c>
      <c r="J326" s="39" t="s">
        <v>369</v>
      </c>
      <c r="K326" s="32" t="e">
        <f aca="false">_xlfn.xlookup(J326,[1]REF!D$1:D$1048576,[1]REF!E$1:E$1048576)</f>
        <v>#NAME?</v>
      </c>
      <c r="L326" s="32" t="s">
        <v>449</v>
      </c>
      <c r="M326" s="39" t="s">
        <v>371</v>
      </c>
      <c r="N326" s="39" t="s">
        <v>289</v>
      </c>
      <c r="O326" s="32" t="s">
        <v>372</v>
      </c>
      <c r="P326" s="40" t="str">
        <f aca="false">_xlfn.CONCAT(B326,C326,D326,E326,F326)</f>
        <v>BC Camarao1.4215KTL-H3(MBUS-13)46032.152777777846032.152777777846032.3243055556</v>
      </c>
      <c r="Q326" s="32" t="str">
        <f aca="false">_xlfn.CONCAT(H326,I326,J326)</f>
        <v>LIGRFOINT</v>
      </c>
    </row>
    <row r="327" customFormat="false" ht="15" hidden="false" customHeight="false" outlineLevel="0" collapsed="false">
      <c r="B327" s="32" t="s">
        <v>364</v>
      </c>
      <c r="C327" s="32" t="s">
        <v>261</v>
      </c>
      <c r="D327" s="33" t="n">
        <v>46032.1527777778</v>
      </c>
      <c r="E327" s="33" t="n">
        <v>46032.1527777778</v>
      </c>
      <c r="F327" s="33" t="n">
        <v>46032.3243055556</v>
      </c>
      <c r="G327" s="34" t="n">
        <f aca="false">F327-E327</f>
        <v>0.171527777777778</v>
      </c>
      <c r="H327" s="39" t="s">
        <v>283</v>
      </c>
      <c r="I327" s="32" t="s">
        <v>284</v>
      </c>
      <c r="J327" s="39" t="s">
        <v>369</v>
      </c>
      <c r="K327" s="32" t="e">
        <f aca="false">_xlfn.xlookup(J327,[1]REF!D$1:D$1048576,[1]REF!E$1:E$1048576)</f>
        <v>#NAME?</v>
      </c>
      <c r="L327" s="32" t="s">
        <v>449</v>
      </c>
      <c r="M327" s="39" t="s">
        <v>371</v>
      </c>
      <c r="N327" s="39" t="s">
        <v>289</v>
      </c>
      <c r="O327" s="32" t="s">
        <v>372</v>
      </c>
      <c r="P327" s="40" t="str">
        <f aca="false">_xlfn.CONCAT(B327,C327,D327,E327,F327)</f>
        <v>BC Camarao1.4215KTL-H3(MBUS-16)46032.152777777846032.152777777846032.3243055556</v>
      </c>
      <c r="Q327" s="32" t="str">
        <f aca="false">_xlfn.CONCAT(H327,I327,J327)</f>
        <v>LIGRFOINT</v>
      </c>
    </row>
    <row r="328" customFormat="false" ht="15" hidden="false" customHeight="false" outlineLevel="0" collapsed="false">
      <c r="B328" s="32" t="s">
        <v>364</v>
      </c>
      <c r="C328" s="32" t="s">
        <v>260</v>
      </c>
      <c r="D328" s="33" t="n">
        <v>46032.1527777778</v>
      </c>
      <c r="E328" s="33" t="n">
        <v>46032.1527777778</v>
      </c>
      <c r="F328" s="33" t="n">
        <v>46032.3243055556</v>
      </c>
      <c r="G328" s="34" t="n">
        <f aca="false">F328-E328</f>
        <v>0.171527777777778</v>
      </c>
      <c r="H328" s="39" t="s">
        <v>283</v>
      </c>
      <c r="I328" s="32" t="s">
        <v>284</v>
      </c>
      <c r="J328" s="39" t="s">
        <v>369</v>
      </c>
      <c r="K328" s="32" t="e">
        <f aca="false">_xlfn.xlookup(J328,[1]REF!D$1:D$1048576,[1]REF!E$1:E$1048576)</f>
        <v>#NAME?</v>
      </c>
      <c r="L328" s="32" t="s">
        <v>449</v>
      </c>
      <c r="M328" s="39" t="s">
        <v>371</v>
      </c>
      <c r="N328" s="39" t="s">
        <v>289</v>
      </c>
      <c r="O328" s="32" t="s">
        <v>372</v>
      </c>
      <c r="P328" s="40" t="str">
        <f aca="false">_xlfn.CONCAT(B328,C328,D328,E328,F328)</f>
        <v>BC Camarao1.4215KTL-H3(MBUS-15)46032.152777777846032.152777777846032.3243055556</v>
      </c>
      <c r="Q328" s="32" t="str">
        <f aca="false">_xlfn.CONCAT(H328,I328,J328)</f>
        <v>LIGRFOINT</v>
      </c>
    </row>
    <row r="329" customFormat="false" ht="15" hidden="false" customHeight="false" outlineLevel="0" collapsed="false">
      <c r="B329" s="32" t="s">
        <v>430</v>
      </c>
      <c r="C329" s="32" t="s">
        <v>260</v>
      </c>
      <c r="D329" s="33" t="n">
        <v>46032.1527777778</v>
      </c>
      <c r="E329" s="33" t="n">
        <v>46032.1527777778</v>
      </c>
      <c r="F329" s="33" t="n">
        <v>46032.3243055556</v>
      </c>
      <c r="G329" s="34" t="n">
        <f aca="false">F329-E329</f>
        <v>0.171527777777778</v>
      </c>
      <c r="H329" s="39" t="s">
        <v>283</v>
      </c>
      <c r="I329" s="32" t="s">
        <v>284</v>
      </c>
      <c r="J329" s="39" t="s">
        <v>369</v>
      </c>
      <c r="K329" s="32" t="e">
        <f aca="false">_xlfn.xlookup(J329,[1]REF!D$1:D$1048576,[1]REF!E$1:E$1048576)</f>
        <v>#NAME?</v>
      </c>
      <c r="L329" s="32" t="s">
        <v>449</v>
      </c>
      <c r="M329" s="39" t="s">
        <v>371</v>
      </c>
      <c r="N329" s="39" t="s">
        <v>289</v>
      </c>
      <c r="O329" s="32" t="s">
        <v>372</v>
      </c>
      <c r="P329" s="40" t="str">
        <f aca="false">_xlfn.CONCAT(B329,C329,D329,E329,F329)</f>
        <v>BC Camarao1.5215KTL-H3(MBUS-15)46032.152777777846032.152777777846032.3243055556</v>
      </c>
      <c r="Q329" s="32" t="str">
        <f aca="false">_xlfn.CONCAT(H329,I329,J329)</f>
        <v>LIGRFOINT</v>
      </c>
    </row>
    <row r="330" customFormat="false" ht="15" hidden="false" customHeight="false" outlineLevel="0" collapsed="false">
      <c r="B330" s="32" t="s">
        <v>430</v>
      </c>
      <c r="C330" s="32" t="s">
        <v>258</v>
      </c>
      <c r="D330" s="33" t="n">
        <v>46032.1527777778</v>
      </c>
      <c r="E330" s="33" t="n">
        <v>46032.1527777778</v>
      </c>
      <c r="F330" s="33" t="n">
        <v>46032.3243055556</v>
      </c>
      <c r="G330" s="34" t="n">
        <f aca="false">F330-E330</f>
        <v>0.171527777777778</v>
      </c>
      <c r="H330" s="39" t="s">
        <v>283</v>
      </c>
      <c r="I330" s="32" t="s">
        <v>284</v>
      </c>
      <c r="J330" s="39" t="s">
        <v>369</v>
      </c>
      <c r="K330" s="32" t="e">
        <f aca="false">_xlfn.xlookup(J330,[1]REF!D$1:D$1048576,[1]REF!E$1:E$1048576)</f>
        <v>#NAME?</v>
      </c>
      <c r="L330" s="32" t="s">
        <v>449</v>
      </c>
      <c r="M330" s="39" t="s">
        <v>371</v>
      </c>
      <c r="N330" s="39" t="s">
        <v>289</v>
      </c>
      <c r="O330" s="32" t="s">
        <v>372</v>
      </c>
      <c r="P330" s="40" t="str">
        <f aca="false">_xlfn.CONCAT(B330,C330,D330,E330,F330)</f>
        <v>BC Camarao1.5215KTL-H3(MBUS-13)46032.152777777846032.152777777846032.3243055556</v>
      </c>
      <c r="Q330" s="32" t="str">
        <f aca="false">_xlfn.CONCAT(H330,I330,J330)</f>
        <v>LIGRFOINT</v>
      </c>
    </row>
    <row r="331" customFormat="false" ht="15" hidden="false" customHeight="false" outlineLevel="0" collapsed="false">
      <c r="B331" s="32" t="s">
        <v>430</v>
      </c>
      <c r="C331" s="32" t="s">
        <v>251</v>
      </c>
      <c r="D331" s="33" t="n">
        <v>46032.1527777778</v>
      </c>
      <c r="E331" s="33" t="n">
        <v>46032.1527777778</v>
      </c>
      <c r="F331" s="33" t="n">
        <v>46032.3243055556</v>
      </c>
      <c r="G331" s="34" t="n">
        <f aca="false">F331-E331</f>
        <v>0.171527777777778</v>
      </c>
      <c r="H331" s="39" t="s">
        <v>283</v>
      </c>
      <c r="I331" s="32" t="s">
        <v>284</v>
      </c>
      <c r="J331" s="39" t="s">
        <v>369</v>
      </c>
      <c r="K331" s="32" t="e">
        <f aca="false">_xlfn.xlookup(J331,[1]REF!D$1:D$1048576,[1]REF!E$1:E$1048576)</f>
        <v>#NAME?</v>
      </c>
      <c r="L331" s="32" t="s">
        <v>449</v>
      </c>
      <c r="M331" s="39" t="s">
        <v>371</v>
      </c>
      <c r="N331" s="39" t="s">
        <v>289</v>
      </c>
      <c r="O331" s="32" t="s">
        <v>372</v>
      </c>
      <c r="P331" s="40" t="str">
        <f aca="false">_xlfn.CONCAT(B331,C331,D331,E331,F331)</f>
        <v>BC Camarao1.5215KTL-H3(MBUS-12)46032.152777777846032.152777777846032.3243055556</v>
      </c>
      <c r="Q331" s="32" t="str">
        <f aca="false">_xlfn.CONCAT(H331,I331,J331)</f>
        <v>LIGRFOINT</v>
      </c>
    </row>
    <row r="332" customFormat="false" ht="15" hidden="false" customHeight="false" outlineLevel="0" collapsed="false">
      <c r="B332" s="32" t="s">
        <v>430</v>
      </c>
      <c r="C332" s="32" t="s">
        <v>431</v>
      </c>
      <c r="D332" s="33" t="n">
        <v>46032.1527777778</v>
      </c>
      <c r="E332" s="33" t="n">
        <v>46032.1527777778</v>
      </c>
      <c r="F332" s="33" t="n">
        <v>46032.3243055556</v>
      </c>
      <c r="G332" s="34" t="n">
        <f aca="false">F332-E332</f>
        <v>0.171527777777778</v>
      </c>
      <c r="H332" s="39" t="s">
        <v>283</v>
      </c>
      <c r="I332" s="32" t="s">
        <v>284</v>
      </c>
      <c r="J332" s="39" t="s">
        <v>369</v>
      </c>
      <c r="K332" s="32" t="e">
        <f aca="false">_xlfn.xlookup(J332,[1]REF!D$1:D$1048576,[1]REF!E$1:E$1048576)</f>
        <v>#NAME?</v>
      </c>
      <c r="L332" s="32" t="s">
        <v>449</v>
      </c>
      <c r="M332" s="39" t="s">
        <v>371</v>
      </c>
      <c r="N332" s="39" t="s">
        <v>289</v>
      </c>
      <c r="O332" s="32" t="s">
        <v>372</v>
      </c>
      <c r="P332" s="40" t="str">
        <f aca="false">_xlfn.CONCAT(B332,C332,D332,E332,F332)</f>
        <v>BC Camarao1.5215KTL-H3(MBUS-1)46032.152777777846032.152777777846032.3243055556</v>
      </c>
      <c r="Q332" s="32" t="str">
        <f aca="false">_xlfn.CONCAT(H332,I332,J332)</f>
        <v>LIGRFOINT</v>
      </c>
    </row>
    <row r="333" customFormat="false" ht="15" hidden="false" customHeight="false" outlineLevel="0" collapsed="false">
      <c r="B333" s="32" t="s">
        <v>430</v>
      </c>
      <c r="C333" s="32" t="s">
        <v>259</v>
      </c>
      <c r="D333" s="33" t="n">
        <v>46032.1527777778</v>
      </c>
      <c r="E333" s="33" t="n">
        <v>46032.1527777778</v>
      </c>
      <c r="F333" s="33" t="n">
        <v>46032.3243055556</v>
      </c>
      <c r="G333" s="34" t="n">
        <f aca="false">F333-E333</f>
        <v>0.171527777777778</v>
      </c>
      <c r="H333" s="39" t="s">
        <v>283</v>
      </c>
      <c r="I333" s="32" t="s">
        <v>284</v>
      </c>
      <c r="J333" s="39" t="s">
        <v>369</v>
      </c>
      <c r="K333" s="32" t="e">
        <f aca="false">_xlfn.xlookup(J333,[1]REF!D$1:D$1048576,[1]REF!E$1:E$1048576)</f>
        <v>#NAME?</v>
      </c>
      <c r="L333" s="32" t="s">
        <v>449</v>
      </c>
      <c r="M333" s="39" t="s">
        <v>371</v>
      </c>
      <c r="N333" s="39" t="s">
        <v>289</v>
      </c>
      <c r="O333" s="32" t="s">
        <v>372</v>
      </c>
      <c r="P333" s="40" t="str">
        <f aca="false">_xlfn.CONCAT(B333,C333,D333,E333,F333)</f>
        <v>BC Camarao1.5215KTL-H3(MBUS-14)46032.152777777846032.152777777846032.3243055556</v>
      </c>
      <c r="Q333" s="32" t="str">
        <f aca="false">_xlfn.CONCAT(H333,I333,J333)</f>
        <v>LIGRFOINT</v>
      </c>
    </row>
    <row r="334" customFormat="false" ht="15" hidden="false" customHeight="false" outlineLevel="0" collapsed="false">
      <c r="B334" s="32" t="s">
        <v>450</v>
      </c>
      <c r="C334" s="32" t="s">
        <v>326</v>
      </c>
      <c r="D334" s="33" t="n">
        <v>46032.1527777778</v>
      </c>
      <c r="E334" s="33" t="n">
        <v>46032.1527777778</v>
      </c>
      <c r="F334" s="33" t="n">
        <v>46034.4138888889</v>
      </c>
      <c r="G334" s="34" t="n">
        <f aca="false">F334-E334</f>
        <v>2.26111111111111</v>
      </c>
      <c r="H334" s="39" t="s">
        <v>252</v>
      </c>
      <c r="J334" s="39" t="s">
        <v>253</v>
      </c>
      <c r="K334" s="32" t="s">
        <v>266</v>
      </c>
      <c r="L334" s="32" t="s">
        <v>432</v>
      </c>
      <c r="M334" s="39" t="s">
        <v>255</v>
      </c>
      <c r="N334" s="39" t="s">
        <v>268</v>
      </c>
      <c r="O334" s="32" t="s">
        <v>433</v>
      </c>
      <c r="P334" s="40" t="str">
        <f aca="false">_xlfn.CONCAT(B334,C334,D334,E334,F334)</f>
        <v>BC Formoso1.1Inverter(MBUS-13)46032.152777777846032.152777777846034.4138888889</v>
      </c>
      <c r="Q334" s="32" t="str">
        <f aca="false">_xlfn.CONCAT(H334,I334,J334)</f>
        <v>DAURDE</v>
      </c>
    </row>
    <row r="335" customFormat="false" ht="15" hidden="false" customHeight="false" outlineLevel="0" collapsed="false">
      <c r="B335" s="32" t="s">
        <v>450</v>
      </c>
      <c r="C335" s="32" t="s">
        <v>324</v>
      </c>
      <c r="D335" s="33" t="n">
        <v>46032.1527777778</v>
      </c>
      <c r="E335" s="33" t="n">
        <v>46032.1527777778</v>
      </c>
      <c r="F335" s="33" t="n">
        <v>46034.4138888889</v>
      </c>
      <c r="G335" s="34" t="n">
        <f aca="false">F335-E335</f>
        <v>2.26111111111111</v>
      </c>
      <c r="H335" s="39" t="s">
        <v>252</v>
      </c>
      <c r="J335" s="39" t="s">
        <v>253</v>
      </c>
      <c r="K335" s="32" t="s">
        <v>266</v>
      </c>
      <c r="L335" s="32" t="s">
        <v>432</v>
      </c>
      <c r="M335" s="39" t="s">
        <v>255</v>
      </c>
      <c r="N335" s="39" t="s">
        <v>268</v>
      </c>
      <c r="O335" s="32" t="s">
        <v>433</v>
      </c>
      <c r="P335" s="40" t="str">
        <f aca="false">_xlfn.CONCAT(B335,C335,D335,E335,F335)</f>
        <v>BC Formoso1.1Inverter(MBUS-12)46032.152777777846032.152777777846034.4138888889</v>
      </c>
      <c r="Q335" s="32" t="str">
        <f aca="false">_xlfn.CONCAT(H335,I335,J335)</f>
        <v>DAURDE</v>
      </c>
    </row>
    <row r="336" customFormat="false" ht="15" hidden="false" customHeight="false" outlineLevel="0" collapsed="false">
      <c r="B336" s="32" t="s">
        <v>450</v>
      </c>
      <c r="C336" s="32" t="s">
        <v>328</v>
      </c>
      <c r="D336" s="33" t="n">
        <v>46032.1527777778</v>
      </c>
      <c r="E336" s="33" t="n">
        <v>46032.1527777778</v>
      </c>
      <c r="F336" s="33" t="n">
        <v>46034.4138888889</v>
      </c>
      <c r="G336" s="34" t="n">
        <f aca="false">F336-E336</f>
        <v>2.26111111111111</v>
      </c>
      <c r="H336" s="39" t="s">
        <v>252</v>
      </c>
      <c r="J336" s="39" t="s">
        <v>253</v>
      </c>
      <c r="K336" s="32" t="s">
        <v>266</v>
      </c>
      <c r="L336" s="32" t="s">
        <v>432</v>
      </c>
      <c r="M336" s="39" t="s">
        <v>255</v>
      </c>
      <c r="N336" s="39" t="s">
        <v>268</v>
      </c>
      <c r="O336" s="32" t="s">
        <v>433</v>
      </c>
      <c r="P336" s="40" t="str">
        <f aca="false">_xlfn.CONCAT(B336,C336,D336,E336,F336)</f>
        <v>BC Formoso1.1Inverter(MBUS-15)46032.152777777846032.152777777846034.4138888889</v>
      </c>
      <c r="Q336" s="32" t="str">
        <f aca="false">_xlfn.CONCAT(H336,I336,J336)</f>
        <v>DAURDE</v>
      </c>
    </row>
    <row r="337" customFormat="false" ht="15" hidden="false" customHeight="false" outlineLevel="0" collapsed="false">
      <c r="B337" s="32" t="s">
        <v>450</v>
      </c>
      <c r="C337" s="32" t="s">
        <v>327</v>
      </c>
      <c r="D337" s="33" t="n">
        <v>46032.1527777778</v>
      </c>
      <c r="E337" s="33" t="n">
        <v>46032.1527777778</v>
      </c>
      <c r="F337" s="33" t="n">
        <v>46034.4138888889</v>
      </c>
      <c r="G337" s="34" t="n">
        <f aca="false">F337-E337</f>
        <v>2.26111111111111</v>
      </c>
      <c r="H337" s="39" t="s">
        <v>252</v>
      </c>
      <c r="J337" s="39" t="s">
        <v>253</v>
      </c>
      <c r="K337" s="32" t="s">
        <v>266</v>
      </c>
      <c r="L337" s="32" t="s">
        <v>432</v>
      </c>
      <c r="M337" s="39" t="s">
        <v>255</v>
      </c>
      <c r="N337" s="39" t="s">
        <v>268</v>
      </c>
      <c r="O337" s="32" t="s">
        <v>433</v>
      </c>
      <c r="P337" s="40" t="str">
        <f aca="false">_xlfn.CONCAT(B337,C337,D337,E337,F337)</f>
        <v>BC Formoso1.1Inverter(MBUS-14)46032.152777777846032.152777777846034.4138888889</v>
      </c>
      <c r="Q337" s="32" t="str">
        <f aca="false">_xlfn.CONCAT(H337,I337,J337)</f>
        <v>DAURDE</v>
      </c>
    </row>
    <row r="338" customFormat="false" ht="15" hidden="false" customHeight="false" outlineLevel="0" collapsed="false">
      <c r="B338" s="32" t="s">
        <v>337</v>
      </c>
      <c r="C338" s="32" t="s">
        <v>326</v>
      </c>
      <c r="D338" s="33" t="n">
        <v>46032.1527777778</v>
      </c>
      <c r="E338" s="33" t="n">
        <v>46032.1527777778</v>
      </c>
      <c r="F338" s="33" t="n">
        <v>46034.4138888889</v>
      </c>
      <c r="G338" s="34" t="n">
        <f aca="false">F338-E338</f>
        <v>2.26111111111111</v>
      </c>
      <c r="H338" s="39" t="s">
        <v>252</v>
      </c>
      <c r="J338" s="39" t="s">
        <v>253</v>
      </c>
      <c r="K338" s="32" t="s">
        <v>266</v>
      </c>
      <c r="L338" s="32" t="s">
        <v>432</v>
      </c>
      <c r="M338" s="39" t="s">
        <v>255</v>
      </c>
      <c r="N338" s="39" t="s">
        <v>268</v>
      </c>
      <c r="O338" s="32" t="s">
        <v>433</v>
      </c>
      <c r="P338" s="40" t="str">
        <f aca="false">_xlfn.CONCAT(B338,C338,D338,E338,F338)</f>
        <v>BC Formoso1.2Inverter(MBUS-13)46032.152777777846032.152777777846034.4138888889</v>
      </c>
      <c r="Q338" s="32" t="str">
        <f aca="false">_xlfn.CONCAT(H338,I338,J338)</f>
        <v>DAURDE</v>
      </c>
    </row>
    <row r="339" customFormat="false" ht="15" hidden="false" customHeight="false" outlineLevel="0" collapsed="false">
      <c r="B339" s="32" t="s">
        <v>337</v>
      </c>
      <c r="C339" s="32" t="s">
        <v>324</v>
      </c>
      <c r="D339" s="33" t="n">
        <v>46032.1527777778</v>
      </c>
      <c r="E339" s="33" t="n">
        <v>46032.1527777778</v>
      </c>
      <c r="F339" s="33" t="n">
        <v>46034.4138888889</v>
      </c>
      <c r="G339" s="34" t="n">
        <f aca="false">F339-E339</f>
        <v>2.26111111111111</v>
      </c>
      <c r="H339" s="39" t="s">
        <v>252</v>
      </c>
      <c r="J339" s="39" t="s">
        <v>253</v>
      </c>
      <c r="K339" s="32" t="s">
        <v>266</v>
      </c>
      <c r="L339" s="32" t="s">
        <v>432</v>
      </c>
      <c r="M339" s="39" t="s">
        <v>255</v>
      </c>
      <c r="N339" s="39" t="s">
        <v>268</v>
      </c>
      <c r="O339" s="32" t="s">
        <v>433</v>
      </c>
      <c r="P339" s="40" t="str">
        <f aca="false">_xlfn.CONCAT(B339,C339,D339,E339,F339)</f>
        <v>BC Formoso1.2Inverter(MBUS-12)46032.152777777846032.152777777846034.4138888889</v>
      </c>
      <c r="Q339" s="32" t="str">
        <f aca="false">_xlfn.CONCAT(H339,I339,J339)</f>
        <v>DAURDE</v>
      </c>
    </row>
    <row r="340" customFormat="false" ht="15" hidden="false" customHeight="false" outlineLevel="0" collapsed="false">
      <c r="B340" s="32" t="s">
        <v>337</v>
      </c>
      <c r="C340" s="32" t="s">
        <v>328</v>
      </c>
      <c r="D340" s="33" t="n">
        <v>46032.1527777778</v>
      </c>
      <c r="E340" s="33" t="n">
        <v>46032.1527777778</v>
      </c>
      <c r="F340" s="33" t="n">
        <v>46034.4138888889</v>
      </c>
      <c r="G340" s="34" t="n">
        <f aca="false">F340-E340</f>
        <v>2.26111111111111</v>
      </c>
      <c r="H340" s="39" t="s">
        <v>252</v>
      </c>
      <c r="J340" s="39" t="s">
        <v>253</v>
      </c>
      <c r="K340" s="32" t="s">
        <v>266</v>
      </c>
      <c r="L340" s="32" t="s">
        <v>432</v>
      </c>
      <c r="M340" s="39" t="s">
        <v>255</v>
      </c>
      <c r="N340" s="39" t="s">
        <v>268</v>
      </c>
      <c r="O340" s="32" t="s">
        <v>433</v>
      </c>
      <c r="P340" s="40" t="str">
        <f aca="false">_xlfn.CONCAT(B340,C340,D340,E340,F340)</f>
        <v>BC Formoso1.2Inverter(MBUS-15)46032.152777777846032.152777777846034.4138888889</v>
      </c>
      <c r="Q340" s="32" t="str">
        <f aca="false">_xlfn.CONCAT(H340,I340,J340)</f>
        <v>DAURDE</v>
      </c>
    </row>
    <row r="341" customFormat="false" ht="15" hidden="false" customHeight="false" outlineLevel="0" collapsed="false">
      <c r="B341" s="32" t="s">
        <v>337</v>
      </c>
      <c r="C341" s="32" t="s">
        <v>327</v>
      </c>
      <c r="D341" s="33" t="n">
        <v>46032.1527777778</v>
      </c>
      <c r="E341" s="33" t="n">
        <v>46032.1527777778</v>
      </c>
      <c r="F341" s="33" t="n">
        <v>46034.4138888889</v>
      </c>
      <c r="G341" s="34" t="n">
        <f aca="false">F341-E341</f>
        <v>2.26111111111111</v>
      </c>
      <c r="H341" s="39" t="s">
        <v>252</v>
      </c>
      <c r="J341" s="39" t="s">
        <v>253</v>
      </c>
      <c r="K341" s="32" t="s">
        <v>266</v>
      </c>
      <c r="L341" s="32" t="s">
        <v>432</v>
      </c>
      <c r="M341" s="39" t="s">
        <v>255</v>
      </c>
      <c r="N341" s="39" t="s">
        <v>268</v>
      </c>
      <c r="O341" s="32" t="s">
        <v>433</v>
      </c>
      <c r="P341" s="40" t="str">
        <f aca="false">_xlfn.CONCAT(B341,C341,D341,E341,F341)</f>
        <v>BC Formoso1.2Inverter(MBUS-14)46032.152777777846032.152777777846034.4138888889</v>
      </c>
      <c r="Q341" s="32" t="str">
        <f aca="false">_xlfn.CONCAT(H341,I341,J341)</f>
        <v>DAURDE</v>
      </c>
    </row>
    <row r="342" customFormat="false" ht="15" hidden="false" customHeight="false" outlineLevel="0" collapsed="false">
      <c r="B342" s="32" t="s">
        <v>451</v>
      </c>
      <c r="C342" s="32" t="s">
        <v>326</v>
      </c>
      <c r="D342" s="33" t="n">
        <v>46032.1527777778</v>
      </c>
      <c r="E342" s="33" t="n">
        <v>46032.1527777778</v>
      </c>
      <c r="F342" s="33" t="n">
        <v>46034.4138888889</v>
      </c>
      <c r="G342" s="34" t="n">
        <f aca="false">F342-E342</f>
        <v>2.26111111111111</v>
      </c>
      <c r="H342" s="39" t="s">
        <v>252</v>
      </c>
      <c r="J342" s="39" t="s">
        <v>253</v>
      </c>
      <c r="K342" s="32" t="s">
        <v>266</v>
      </c>
      <c r="L342" s="32" t="s">
        <v>432</v>
      </c>
      <c r="M342" s="39" t="s">
        <v>255</v>
      </c>
      <c r="N342" s="39" t="s">
        <v>268</v>
      </c>
      <c r="O342" s="32" t="s">
        <v>433</v>
      </c>
      <c r="P342" s="40" t="str">
        <f aca="false">_xlfn.CONCAT(B342,C342,D342,E342,F342)</f>
        <v>BC Formoso1.3Inverter(MBUS-13)46032.152777777846032.152777777846034.4138888889</v>
      </c>
      <c r="Q342" s="32" t="str">
        <f aca="false">_xlfn.CONCAT(H342,I342,J342)</f>
        <v>DAURDE</v>
      </c>
    </row>
    <row r="343" customFormat="false" ht="15" hidden="false" customHeight="false" outlineLevel="0" collapsed="false">
      <c r="B343" s="32" t="s">
        <v>451</v>
      </c>
      <c r="C343" s="32" t="s">
        <v>324</v>
      </c>
      <c r="D343" s="33" t="n">
        <v>46032.1527777778</v>
      </c>
      <c r="E343" s="33" t="n">
        <v>46032.1527777778</v>
      </c>
      <c r="F343" s="33" t="n">
        <v>46034.4138888889</v>
      </c>
      <c r="G343" s="34" t="n">
        <f aca="false">F343-E343</f>
        <v>2.26111111111111</v>
      </c>
      <c r="H343" s="39" t="s">
        <v>252</v>
      </c>
      <c r="J343" s="39" t="s">
        <v>253</v>
      </c>
      <c r="K343" s="32" t="s">
        <v>266</v>
      </c>
      <c r="L343" s="32" t="s">
        <v>432</v>
      </c>
      <c r="M343" s="39" t="s">
        <v>255</v>
      </c>
      <c r="N343" s="39" t="s">
        <v>268</v>
      </c>
      <c r="O343" s="32" t="s">
        <v>433</v>
      </c>
      <c r="P343" s="40" t="str">
        <f aca="false">_xlfn.CONCAT(B343,C343,D343,E343,F343)</f>
        <v>BC Formoso1.3Inverter(MBUS-12)46032.152777777846032.152777777846034.4138888889</v>
      </c>
      <c r="Q343" s="32" t="str">
        <f aca="false">_xlfn.CONCAT(H343,I343,J343)</f>
        <v>DAURDE</v>
      </c>
    </row>
    <row r="344" customFormat="false" ht="15" hidden="false" customHeight="false" outlineLevel="0" collapsed="false">
      <c r="B344" s="32" t="s">
        <v>339</v>
      </c>
      <c r="C344" s="32" t="s">
        <v>324</v>
      </c>
      <c r="D344" s="33" t="n">
        <v>46032.1527777778</v>
      </c>
      <c r="E344" s="33" t="n">
        <v>46032.1527777778</v>
      </c>
      <c r="F344" s="33" t="n">
        <v>46034.4138888889</v>
      </c>
      <c r="G344" s="34" t="n">
        <f aca="false">F344-E344</f>
        <v>2.26111111111111</v>
      </c>
      <c r="H344" s="39" t="s">
        <v>252</v>
      </c>
      <c r="J344" s="39" t="s">
        <v>253</v>
      </c>
      <c r="K344" s="32" t="s">
        <v>266</v>
      </c>
      <c r="L344" s="32" t="s">
        <v>432</v>
      </c>
      <c r="M344" s="39" t="s">
        <v>255</v>
      </c>
      <c r="N344" s="39" t="s">
        <v>268</v>
      </c>
      <c r="O344" s="32" t="s">
        <v>433</v>
      </c>
      <c r="P344" s="40" t="str">
        <f aca="false">_xlfn.CONCAT(B344,C344,D344,E344,F344)</f>
        <v>BC Formoso2.1Inverter(MBUS-12)46032.152777777846032.152777777846034.4138888889</v>
      </c>
      <c r="Q344" s="32" t="str">
        <f aca="false">_xlfn.CONCAT(H344,I344,J344)</f>
        <v>DAURDE</v>
      </c>
    </row>
    <row r="345" customFormat="false" ht="15" hidden="false" customHeight="false" outlineLevel="0" collapsed="false">
      <c r="B345" s="32" t="s">
        <v>339</v>
      </c>
      <c r="C345" s="32" t="s">
        <v>327</v>
      </c>
      <c r="D345" s="33" t="n">
        <v>46032.1527777778</v>
      </c>
      <c r="E345" s="33" t="n">
        <v>46032.1527777778</v>
      </c>
      <c r="F345" s="33" t="n">
        <v>46034.4138888889</v>
      </c>
      <c r="G345" s="34" t="n">
        <f aca="false">F345-E345</f>
        <v>2.26111111111111</v>
      </c>
      <c r="H345" s="39" t="s">
        <v>252</v>
      </c>
      <c r="J345" s="39" t="s">
        <v>253</v>
      </c>
      <c r="K345" s="32" t="s">
        <v>266</v>
      </c>
      <c r="L345" s="32" t="s">
        <v>432</v>
      </c>
      <c r="M345" s="39" t="s">
        <v>255</v>
      </c>
      <c r="N345" s="39" t="s">
        <v>268</v>
      </c>
      <c r="O345" s="32" t="s">
        <v>433</v>
      </c>
      <c r="P345" s="40" t="str">
        <f aca="false">_xlfn.CONCAT(B345,C345,D345,E345,F345)</f>
        <v>BC Formoso2.1Inverter(MBUS-14)46032.152777777846032.152777777846034.4138888889</v>
      </c>
      <c r="Q345" s="32" t="str">
        <f aca="false">_xlfn.CONCAT(H345,I345,J345)</f>
        <v>DAURDE</v>
      </c>
    </row>
    <row r="346" customFormat="false" ht="15" hidden="false" customHeight="false" outlineLevel="0" collapsed="false">
      <c r="B346" s="32" t="s">
        <v>339</v>
      </c>
      <c r="C346" s="32" t="s">
        <v>326</v>
      </c>
      <c r="D346" s="33" t="n">
        <v>46032.1527777778</v>
      </c>
      <c r="E346" s="33" t="n">
        <v>46032.1527777778</v>
      </c>
      <c r="F346" s="33" t="n">
        <v>46034.4138888889</v>
      </c>
      <c r="G346" s="34" t="n">
        <f aca="false">F346-E346</f>
        <v>2.26111111111111</v>
      </c>
      <c r="H346" s="39" t="s">
        <v>252</v>
      </c>
      <c r="J346" s="39" t="s">
        <v>253</v>
      </c>
      <c r="K346" s="32" t="s">
        <v>266</v>
      </c>
      <c r="L346" s="32" t="s">
        <v>432</v>
      </c>
      <c r="M346" s="39" t="s">
        <v>255</v>
      </c>
      <c r="N346" s="39" t="s">
        <v>268</v>
      </c>
      <c r="O346" s="32" t="s">
        <v>433</v>
      </c>
      <c r="P346" s="40" t="str">
        <f aca="false">_xlfn.CONCAT(B346,C346,D346,E346,F346)</f>
        <v>BC Formoso2.1Inverter(MBUS-13)46032.152777777846032.152777777846034.4138888889</v>
      </c>
      <c r="Q346" s="32" t="str">
        <f aca="false">_xlfn.CONCAT(H346,I346,J346)</f>
        <v>DAURDE</v>
      </c>
    </row>
    <row r="347" customFormat="false" ht="15" hidden="false" customHeight="false" outlineLevel="0" collapsed="false">
      <c r="B347" s="32" t="s">
        <v>339</v>
      </c>
      <c r="C347" s="32" t="s">
        <v>265</v>
      </c>
      <c r="D347" s="33" t="n">
        <v>46032.1527777778</v>
      </c>
      <c r="E347" s="33" t="n">
        <v>46032.1527777778</v>
      </c>
      <c r="F347" s="33" t="n">
        <v>46034.4138888889</v>
      </c>
      <c r="G347" s="34" t="n">
        <f aca="false">F347-E347</f>
        <v>2.26111111111111</v>
      </c>
      <c r="H347" s="39" t="s">
        <v>252</v>
      </c>
      <c r="J347" s="39" t="s">
        <v>253</v>
      </c>
      <c r="K347" s="32" t="s">
        <v>266</v>
      </c>
      <c r="L347" s="32" t="s">
        <v>432</v>
      </c>
      <c r="M347" s="39" t="s">
        <v>255</v>
      </c>
      <c r="N347" s="39" t="s">
        <v>268</v>
      </c>
      <c r="O347" s="32" t="s">
        <v>433</v>
      </c>
      <c r="P347" s="40" t="str">
        <f aca="false">_xlfn.CONCAT(B347,C347,D347,E347,F347)</f>
        <v>BC Formoso2.1Inverter(MBUS-1)46032.152777777846032.152777777846034.4138888889</v>
      </c>
      <c r="Q347" s="32" t="str">
        <f aca="false">_xlfn.CONCAT(H347,I347,J347)</f>
        <v>DAURDE</v>
      </c>
    </row>
    <row r="348" customFormat="false" ht="15" hidden="false" customHeight="false" outlineLevel="0" collapsed="false">
      <c r="B348" s="32" t="s">
        <v>340</v>
      </c>
      <c r="C348" s="32" t="s">
        <v>327</v>
      </c>
      <c r="D348" s="33" t="n">
        <v>46032.1527777778</v>
      </c>
      <c r="E348" s="33" t="n">
        <v>46032.1527777778</v>
      </c>
      <c r="F348" s="33" t="n">
        <v>46034.4138888889</v>
      </c>
      <c r="G348" s="34" t="n">
        <f aca="false">F348-E348</f>
        <v>2.26111111111111</v>
      </c>
      <c r="H348" s="39" t="s">
        <v>252</v>
      </c>
      <c r="J348" s="39" t="s">
        <v>253</v>
      </c>
      <c r="K348" s="32" t="s">
        <v>266</v>
      </c>
      <c r="L348" s="32" t="s">
        <v>432</v>
      </c>
      <c r="M348" s="39" t="s">
        <v>255</v>
      </c>
      <c r="N348" s="39" t="s">
        <v>268</v>
      </c>
      <c r="O348" s="32" t="s">
        <v>433</v>
      </c>
      <c r="P348" s="40" t="str">
        <f aca="false">_xlfn.CONCAT(B348,C348,D348,E348,F348)</f>
        <v>BC Formoso2.2Inverter(MBUS-14)46032.152777777846032.152777777846034.4138888889</v>
      </c>
      <c r="Q348" s="32" t="str">
        <f aca="false">_xlfn.CONCAT(H348,I348,J348)</f>
        <v>DAURDE</v>
      </c>
    </row>
    <row r="349" customFormat="false" ht="15" hidden="false" customHeight="false" outlineLevel="0" collapsed="false">
      <c r="B349" s="32" t="s">
        <v>340</v>
      </c>
      <c r="C349" s="32" t="s">
        <v>326</v>
      </c>
      <c r="D349" s="33" t="n">
        <v>46032.1527777778</v>
      </c>
      <c r="E349" s="33" t="n">
        <v>46032.1527777778</v>
      </c>
      <c r="F349" s="33" t="n">
        <v>46034.4138888889</v>
      </c>
      <c r="G349" s="34" t="n">
        <f aca="false">F349-E349</f>
        <v>2.26111111111111</v>
      </c>
      <c r="H349" s="39" t="s">
        <v>252</v>
      </c>
      <c r="J349" s="39" t="s">
        <v>253</v>
      </c>
      <c r="K349" s="32" t="s">
        <v>266</v>
      </c>
      <c r="L349" s="32" t="s">
        <v>432</v>
      </c>
      <c r="M349" s="39" t="s">
        <v>255</v>
      </c>
      <c r="N349" s="39" t="s">
        <v>268</v>
      </c>
      <c r="O349" s="32" t="s">
        <v>433</v>
      </c>
      <c r="P349" s="40" t="str">
        <f aca="false">_xlfn.CONCAT(B349,C349,D349,E349,F349)</f>
        <v>BC Formoso2.2Inverter(MBUS-13)46032.152777777846032.152777777846034.4138888889</v>
      </c>
      <c r="Q349" s="32" t="str">
        <f aca="false">_xlfn.CONCAT(H349,I349,J349)</f>
        <v>DAURDE</v>
      </c>
    </row>
    <row r="350" customFormat="false" ht="15" hidden="false" customHeight="false" outlineLevel="0" collapsed="false">
      <c r="B350" s="32" t="s">
        <v>340</v>
      </c>
      <c r="C350" s="32" t="s">
        <v>324</v>
      </c>
      <c r="D350" s="33" t="n">
        <v>46032.1527777778</v>
      </c>
      <c r="E350" s="33" t="n">
        <v>46032.1527777778</v>
      </c>
      <c r="F350" s="33" t="n">
        <v>46034.4138888889</v>
      </c>
      <c r="G350" s="34" t="n">
        <f aca="false">F350-E350</f>
        <v>2.26111111111111</v>
      </c>
      <c r="H350" s="39" t="s">
        <v>252</v>
      </c>
      <c r="J350" s="39" t="s">
        <v>253</v>
      </c>
      <c r="K350" s="32" t="s">
        <v>266</v>
      </c>
      <c r="L350" s="32" t="s">
        <v>432</v>
      </c>
      <c r="M350" s="39" t="s">
        <v>255</v>
      </c>
      <c r="N350" s="39" t="s">
        <v>268</v>
      </c>
      <c r="O350" s="32" t="s">
        <v>433</v>
      </c>
      <c r="P350" s="40" t="str">
        <f aca="false">_xlfn.CONCAT(B350,C350,D350,E350,F350)</f>
        <v>BC Formoso2.2Inverter(MBUS-12)46032.152777777846032.152777777846034.4138888889</v>
      </c>
      <c r="Q350" s="32" t="str">
        <f aca="false">_xlfn.CONCAT(H350,I350,J350)</f>
        <v>DAURDE</v>
      </c>
    </row>
    <row r="351" customFormat="false" ht="15" hidden="false" customHeight="false" outlineLevel="0" collapsed="false">
      <c r="B351" s="32" t="s">
        <v>340</v>
      </c>
      <c r="C351" s="32" t="s">
        <v>265</v>
      </c>
      <c r="D351" s="33" t="n">
        <v>46032.1527777778</v>
      </c>
      <c r="E351" s="33" t="n">
        <v>46032.1527777778</v>
      </c>
      <c r="F351" s="33" t="n">
        <v>46034.4138888889</v>
      </c>
      <c r="G351" s="34" t="n">
        <f aca="false">F351-E351</f>
        <v>2.26111111111111</v>
      </c>
      <c r="H351" s="39" t="s">
        <v>252</v>
      </c>
      <c r="J351" s="39" t="s">
        <v>253</v>
      </c>
      <c r="K351" s="32" t="s">
        <v>266</v>
      </c>
      <c r="L351" s="32" t="s">
        <v>432</v>
      </c>
      <c r="M351" s="39" t="s">
        <v>255</v>
      </c>
      <c r="N351" s="39" t="s">
        <v>268</v>
      </c>
      <c r="O351" s="32" t="s">
        <v>433</v>
      </c>
      <c r="P351" s="40" t="str">
        <f aca="false">_xlfn.CONCAT(B351,C351,D351,E351,F351)</f>
        <v>BC Formoso2.2Inverter(MBUS-1)46032.152777777846032.152777777846034.4138888889</v>
      </c>
      <c r="Q351" s="32" t="str">
        <f aca="false">_xlfn.CONCAT(H351,I351,J351)</f>
        <v>DAURDE</v>
      </c>
    </row>
    <row r="352" customFormat="false" ht="15" hidden="false" customHeight="false" outlineLevel="0" collapsed="false">
      <c r="B352" s="32" t="s">
        <v>341</v>
      </c>
      <c r="C352" s="32" t="s">
        <v>326</v>
      </c>
      <c r="D352" s="33" t="n">
        <v>46032.1527777778</v>
      </c>
      <c r="E352" s="33" t="n">
        <v>46032.1527777778</v>
      </c>
      <c r="F352" s="33" t="n">
        <v>46034.4138888889</v>
      </c>
      <c r="G352" s="34" t="n">
        <f aca="false">F352-E352</f>
        <v>2.26111111111111</v>
      </c>
      <c r="H352" s="39" t="s">
        <v>252</v>
      </c>
      <c r="J352" s="39" t="s">
        <v>253</v>
      </c>
      <c r="K352" s="32" t="s">
        <v>266</v>
      </c>
      <c r="L352" s="32" t="s">
        <v>432</v>
      </c>
      <c r="M352" s="39" t="s">
        <v>255</v>
      </c>
      <c r="N352" s="39" t="s">
        <v>268</v>
      </c>
      <c r="O352" s="32" t="s">
        <v>433</v>
      </c>
      <c r="P352" s="40" t="str">
        <f aca="false">_xlfn.CONCAT(B352,C352,D352,E352,F352)</f>
        <v>BC Formoso2.3Inverter(MBUS-13)46032.152777777846032.152777777846034.4138888889</v>
      </c>
      <c r="Q352" s="32" t="str">
        <f aca="false">_xlfn.CONCAT(H352,I352,J352)</f>
        <v>DAURDE</v>
      </c>
    </row>
    <row r="353" customFormat="false" ht="15" hidden="false" customHeight="false" outlineLevel="0" collapsed="false">
      <c r="B353" s="32" t="s">
        <v>341</v>
      </c>
      <c r="C353" s="32" t="s">
        <v>324</v>
      </c>
      <c r="D353" s="33" t="n">
        <v>46032.1527777778</v>
      </c>
      <c r="E353" s="33" t="n">
        <v>46032.1527777778</v>
      </c>
      <c r="F353" s="33" t="n">
        <v>46034.4138888889</v>
      </c>
      <c r="G353" s="34" t="n">
        <f aca="false">F353-E353</f>
        <v>2.26111111111111</v>
      </c>
      <c r="H353" s="39" t="s">
        <v>252</v>
      </c>
      <c r="J353" s="39" t="s">
        <v>253</v>
      </c>
      <c r="K353" s="32" t="s">
        <v>266</v>
      </c>
      <c r="L353" s="32" t="s">
        <v>432</v>
      </c>
      <c r="M353" s="39" t="s">
        <v>255</v>
      </c>
      <c r="N353" s="39" t="s">
        <v>268</v>
      </c>
      <c r="O353" s="32" t="s">
        <v>433</v>
      </c>
      <c r="P353" s="40" t="str">
        <f aca="false">_xlfn.CONCAT(B353,C353,D353,E353,F353)</f>
        <v>BC Formoso2.3Inverter(MBUS-12)46032.152777777846032.152777777846034.4138888889</v>
      </c>
      <c r="Q353" s="32" t="str">
        <f aca="false">_xlfn.CONCAT(H353,I353,J353)</f>
        <v>DAURDE</v>
      </c>
    </row>
    <row r="354" customFormat="false" ht="15" hidden="false" customHeight="false" outlineLevel="0" collapsed="false">
      <c r="B354" s="32" t="s">
        <v>264</v>
      </c>
      <c r="C354" s="32" t="s">
        <v>265</v>
      </c>
      <c r="D354" s="33" t="n">
        <v>46032.4083333333</v>
      </c>
      <c r="E354" s="33" t="n">
        <v>46032.4083333333</v>
      </c>
      <c r="F354" s="33" t="n">
        <v>46032.51875</v>
      </c>
      <c r="G354" s="34" t="n">
        <f aca="false">F354-E354</f>
        <v>0.110416666666667</v>
      </c>
      <c r="H354" s="39" t="s">
        <v>252</v>
      </c>
      <c r="J354" s="39" t="s">
        <v>253</v>
      </c>
      <c r="K354" s="32" t="e">
        <f aca="false">_xlfn.xlookup(J354,[1]REF!$D$2:$D$12,[1]REF!$E$2:$E$12)</f>
        <v>#NAME?</v>
      </c>
      <c r="L354" s="32" t="s">
        <v>267</v>
      </c>
      <c r="M354" s="39" t="s">
        <v>255</v>
      </c>
      <c r="N354" s="39" t="s">
        <v>268</v>
      </c>
      <c r="O354" s="32" t="s">
        <v>269</v>
      </c>
      <c r="P354" s="40" t="str">
        <f aca="false">_xlfn.CONCAT(B354,C354,D354,E354,F354)</f>
        <v>BC Aracu5.1Inverter(MBUS-1)46032.408333333346032.408333333346032.51875</v>
      </c>
      <c r="Q354" s="32" t="str">
        <f aca="false">_xlfn.CONCAT(H354,I354,J354)</f>
        <v>DAURDE</v>
      </c>
    </row>
    <row r="355" customFormat="false" ht="15" hidden="false" customHeight="false" outlineLevel="0" collapsed="false">
      <c r="B355" s="32" t="s">
        <v>270</v>
      </c>
      <c r="C355" s="32" t="s">
        <v>265</v>
      </c>
      <c r="D355" s="33" t="n">
        <v>46032.4083333333</v>
      </c>
      <c r="E355" s="33" t="n">
        <v>46032.4083333333</v>
      </c>
      <c r="F355" s="33" t="n">
        <v>46032.51875</v>
      </c>
      <c r="G355" s="34" t="n">
        <f aca="false">F355-E355</f>
        <v>0.110416666666667</v>
      </c>
      <c r="H355" s="39" t="s">
        <v>252</v>
      </c>
      <c r="J355" s="39" t="s">
        <v>253</v>
      </c>
      <c r="K355" s="32" t="e">
        <f aca="false">_xlfn.xlookup(J355,[1]REF!$D$2:$D$12,[1]REF!$E$2:$E$12)</f>
        <v>#NAME?</v>
      </c>
      <c r="L355" s="32" t="s">
        <v>267</v>
      </c>
      <c r="M355" s="39" t="s">
        <v>255</v>
      </c>
      <c r="N355" s="39" t="s">
        <v>268</v>
      </c>
      <c r="O355" s="32" t="s">
        <v>269</v>
      </c>
      <c r="P355" s="40" t="str">
        <f aca="false">_xlfn.CONCAT(B355,C355,D355,E355,F355)</f>
        <v>BC Aracu5.2Inverter(MBUS-1)46032.408333333346032.408333333346032.51875</v>
      </c>
      <c r="Q355" s="32" t="str">
        <f aca="false">_xlfn.CONCAT(H355,I355,J355)</f>
        <v>DAURDE</v>
      </c>
    </row>
    <row r="356" customFormat="false" ht="15" hidden="false" customHeight="false" outlineLevel="0" collapsed="false">
      <c r="B356" s="32" t="s">
        <v>271</v>
      </c>
      <c r="C356" s="32" t="s">
        <v>265</v>
      </c>
      <c r="D356" s="33" t="n">
        <v>46032.4083333333</v>
      </c>
      <c r="E356" s="33" t="n">
        <v>46032.4083333333</v>
      </c>
      <c r="F356" s="33" t="n">
        <v>46032.51875</v>
      </c>
      <c r="G356" s="34" t="n">
        <f aca="false">F356-E356</f>
        <v>0.110416666666667</v>
      </c>
      <c r="H356" s="39" t="s">
        <v>252</v>
      </c>
      <c r="J356" s="39" t="s">
        <v>253</v>
      </c>
      <c r="K356" s="32" t="e">
        <f aca="false">_xlfn.xlookup(J356,[1]REF!$D$2:$D$12,[1]REF!$E$2:$E$12)</f>
        <v>#NAME?</v>
      </c>
      <c r="L356" s="32" t="s">
        <v>267</v>
      </c>
      <c r="M356" s="39" t="s">
        <v>255</v>
      </c>
      <c r="N356" s="39" t="s">
        <v>268</v>
      </c>
      <c r="O356" s="32" t="s">
        <v>269</v>
      </c>
      <c r="P356" s="40" t="str">
        <f aca="false">_xlfn.CONCAT(B356,C356,D356,E356,F356)</f>
        <v>BC Aracu5.3Inverter(MBUS-1)46032.408333333346032.408333333346032.51875</v>
      </c>
      <c r="Q356" s="32" t="str">
        <f aca="false">_xlfn.CONCAT(H356,I356,J356)</f>
        <v>DAURDE</v>
      </c>
    </row>
    <row r="357" customFormat="false" ht="15" hidden="false" customHeight="false" outlineLevel="0" collapsed="false">
      <c r="B357" s="32" t="s">
        <v>272</v>
      </c>
      <c r="C357" s="32" t="s">
        <v>265</v>
      </c>
      <c r="D357" s="33" t="n">
        <v>46032.4083333333</v>
      </c>
      <c r="E357" s="33" t="n">
        <v>46032.4083333333</v>
      </c>
      <c r="F357" s="33" t="n">
        <v>46032.51875</v>
      </c>
      <c r="G357" s="34" t="n">
        <f aca="false">F357-E357</f>
        <v>0.110416666666667</v>
      </c>
      <c r="H357" s="39" t="s">
        <v>252</v>
      </c>
      <c r="J357" s="39" t="s">
        <v>253</v>
      </c>
      <c r="K357" s="32" t="e">
        <f aca="false">_xlfn.xlookup(J357,[1]REF!$D$2:$D$12,[1]REF!$E$2:$E$12)</f>
        <v>#NAME?</v>
      </c>
      <c r="L357" s="32" t="s">
        <v>267</v>
      </c>
      <c r="M357" s="39" t="s">
        <v>255</v>
      </c>
      <c r="N357" s="39" t="s">
        <v>268</v>
      </c>
      <c r="O357" s="32" t="s">
        <v>269</v>
      </c>
      <c r="P357" s="40" t="str">
        <f aca="false">_xlfn.CONCAT(B357,C357,D357,E357,F357)</f>
        <v>BC Aracu5.4Inverter(MBUS-1)46032.408333333346032.408333333346032.51875</v>
      </c>
      <c r="Q357" s="32" t="str">
        <f aca="false">_xlfn.CONCAT(H357,I357,J357)</f>
        <v>DAURDE</v>
      </c>
    </row>
    <row r="358" customFormat="false" ht="15" hidden="false" customHeight="false" outlineLevel="0" collapsed="false">
      <c r="B358" s="32" t="s">
        <v>273</v>
      </c>
      <c r="C358" s="32" t="s">
        <v>265</v>
      </c>
      <c r="D358" s="33" t="n">
        <v>46032.4083333333</v>
      </c>
      <c r="E358" s="33" t="n">
        <v>46032.4083333333</v>
      </c>
      <c r="F358" s="33" t="n">
        <v>46032.51875</v>
      </c>
      <c r="G358" s="34" t="n">
        <f aca="false">F358-E358</f>
        <v>0.110416666666667</v>
      </c>
      <c r="H358" s="39" t="s">
        <v>252</v>
      </c>
      <c r="J358" s="39" t="s">
        <v>253</v>
      </c>
      <c r="K358" s="32" t="e">
        <f aca="false">_xlfn.xlookup(J358,[1]REF!$D$2:$D$12,[1]REF!$E$2:$E$12)</f>
        <v>#NAME?</v>
      </c>
      <c r="L358" s="32" t="s">
        <v>267</v>
      </c>
      <c r="M358" s="39" t="s">
        <v>255</v>
      </c>
      <c r="N358" s="39" t="s">
        <v>268</v>
      </c>
      <c r="O358" s="32" t="s">
        <v>269</v>
      </c>
      <c r="P358" s="40" t="str">
        <f aca="false">_xlfn.CONCAT(B358,C358,D358,E358,F358)</f>
        <v>BC Aracu5.5Inverter(MBUS-1)46032.408333333346032.408333333346032.51875</v>
      </c>
      <c r="Q358" s="32" t="str">
        <f aca="false">_xlfn.CONCAT(H358,I358,J358)</f>
        <v>DAURDE</v>
      </c>
    </row>
    <row r="359" customFormat="false" ht="15" hidden="false" customHeight="false" outlineLevel="0" collapsed="false">
      <c r="B359" s="32" t="s">
        <v>48</v>
      </c>
      <c r="C359" s="32" t="s">
        <v>302</v>
      </c>
      <c r="D359" s="33" t="n">
        <v>46032.6111111111</v>
      </c>
      <c r="E359" s="33" t="n">
        <v>46032.6111111111</v>
      </c>
      <c r="F359" s="33" t="n">
        <v>46033</v>
      </c>
      <c r="G359" s="34" t="n">
        <f aca="false">F359-E359</f>
        <v>0.388888888888889</v>
      </c>
      <c r="H359" s="39" t="s">
        <v>252</v>
      </c>
      <c r="J359" s="39" t="s">
        <v>253</v>
      </c>
      <c r="K359" s="32" t="e">
        <f aca="false">_xlfn.xlookup(J359,[1]REF!$D$2:$D$12,[1]REF!$E$2:$E$12)</f>
        <v>#NAME?</v>
      </c>
      <c r="L359" s="32" t="s">
        <v>254</v>
      </c>
      <c r="M359" s="39" t="s">
        <v>255</v>
      </c>
      <c r="N359" s="39" t="s">
        <v>256</v>
      </c>
      <c r="O359" s="32" t="s">
        <v>257</v>
      </c>
      <c r="P359" s="40" t="str">
        <f aca="false">_xlfn.CONCAT(B359,C359,D359,E359,F359)</f>
        <v>BC Caiaponia1SG60KTL(COM1-009)46032.611111111146032.611111111146033</v>
      </c>
      <c r="Q359" s="32" t="str">
        <f aca="false">_xlfn.CONCAT(H359,I359,J359)</f>
        <v>DAURDE</v>
      </c>
    </row>
    <row r="360" customFormat="false" ht="15" hidden="false" customHeight="false" outlineLevel="0" collapsed="false">
      <c r="B360" s="32" t="s">
        <v>48</v>
      </c>
      <c r="C360" s="32" t="s">
        <v>303</v>
      </c>
      <c r="D360" s="33" t="n">
        <v>46032.6111111111</v>
      </c>
      <c r="E360" s="33" t="n">
        <v>46032.6111111111</v>
      </c>
      <c r="F360" s="33" t="n">
        <v>46033</v>
      </c>
      <c r="G360" s="34" t="n">
        <f aca="false">F360-E360</f>
        <v>0.388888888888889</v>
      </c>
      <c r="H360" s="39" t="s">
        <v>252</v>
      </c>
      <c r="J360" s="39" t="s">
        <v>253</v>
      </c>
      <c r="K360" s="32" t="e">
        <f aca="false">_xlfn.xlookup(J360,[1]REF!$D$2:$D$12,[1]REF!$E$2:$E$12)</f>
        <v>#NAME?</v>
      </c>
      <c r="L360" s="32" t="s">
        <v>254</v>
      </c>
      <c r="M360" s="39" t="s">
        <v>255</v>
      </c>
      <c r="N360" s="39" t="s">
        <v>256</v>
      </c>
      <c r="O360" s="32" t="s">
        <v>257</v>
      </c>
      <c r="P360" s="40" t="str">
        <f aca="false">_xlfn.CONCAT(B360,C360,D360,E360,F360)</f>
        <v>BC Caiaponia1SG60KTL(COM1-010)46032.611111111146032.611111111146033</v>
      </c>
      <c r="Q360" s="32" t="str">
        <f aca="false">_xlfn.CONCAT(H360,I360,J360)</f>
        <v>DAURDE</v>
      </c>
    </row>
    <row r="361" customFormat="false" ht="15" hidden="false" customHeight="false" outlineLevel="0" collapsed="false">
      <c r="B361" s="32" t="s">
        <v>48</v>
      </c>
      <c r="C361" s="32" t="s">
        <v>304</v>
      </c>
      <c r="D361" s="33" t="n">
        <v>46032.6111111111</v>
      </c>
      <c r="E361" s="33" t="n">
        <v>46032.6111111111</v>
      </c>
      <c r="F361" s="33" t="n">
        <v>46033</v>
      </c>
      <c r="G361" s="34" t="n">
        <f aca="false">F361-E361</f>
        <v>0.388888888888889</v>
      </c>
      <c r="H361" s="39" t="s">
        <v>252</v>
      </c>
      <c r="J361" s="39" t="s">
        <v>253</v>
      </c>
      <c r="K361" s="32" t="e">
        <f aca="false">_xlfn.xlookup(J361,[1]REF!$D$2:$D$12,[1]REF!$E$2:$E$12)</f>
        <v>#NAME?</v>
      </c>
      <c r="L361" s="32" t="s">
        <v>254</v>
      </c>
      <c r="M361" s="39" t="s">
        <v>255</v>
      </c>
      <c r="N361" s="39" t="s">
        <v>256</v>
      </c>
      <c r="O361" s="32" t="s">
        <v>257</v>
      </c>
      <c r="P361" s="40" t="str">
        <f aca="false">_xlfn.CONCAT(B361,C361,D361,E361,F361)</f>
        <v>BC Caiaponia1SG60KTL(COM1-011)46032.611111111146032.611111111146033</v>
      </c>
      <c r="Q361" s="32" t="str">
        <f aca="false">_xlfn.CONCAT(H361,I361,J361)</f>
        <v>DAURDE</v>
      </c>
    </row>
    <row r="362" customFormat="false" ht="15" hidden="false" customHeight="false" outlineLevel="0" collapsed="false">
      <c r="B362" s="32" t="s">
        <v>48</v>
      </c>
      <c r="C362" s="32" t="s">
        <v>305</v>
      </c>
      <c r="D362" s="33" t="n">
        <v>46032.6111111111</v>
      </c>
      <c r="E362" s="33" t="n">
        <v>46032.6111111111</v>
      </c>
      <c r="F362" s="33" t="n">
        <v>46033</v>
      </c>
      <c r="G362" s="34" t="n">
        <f aca="false">F362-E362</f>
        <v>0.388888888888889</v>
      </c>
      <c r="H362" s="39" t="s">
        <v>252</v>
      </c>
      <c r="J362" s="39" t="s">
        <v>253</v>
      </c>
      <c r="K362" s="32" t="e">
        <f aca="false">_xlfn.xlookup(J362,[1]REF!$D$2:$D$12,[1]REF!$E$2:$E$12)</f>
        <v>#NAME?</v>
      </c>
      <c r="L362" s="32" t="s">
        <v>254</v>
      </c>
      <c r="M362" s="39" t="s">
        <v>255</v>
      </c>
      <c r="N362" s="39" t="s">
        <v>256</v>
      </c>
      <c r="O362" s="32" t="s">
        <v>257</v>
      </c>
      <c r="P362" s="40" t="str">
        <f aca="false">_xlfn.CONCAT(B362,C362,D362,E362,F362)</f>
        <v>BC Caiaponia1SG60KTL(COM1-012)46032.611111111146032.611111111146033</v>
      </c>
      <c r="Q362" s="32" t="str">
        <f aca="false">_xlfn.CONCAT(H362,I362,J362)</f>
        <v>DAURDE</v>
      </c>
    </row>
    <row r="363" customFormat="false" ht="15" hidden="false" customHeight="false" outlineLevel="0" collapsed="false">
      <c r="B363" s="32" t="s">
        <v>48</v>
      </c>
      <c r="C363" s="32" t="s">
        <v>306</v>
      </c>
      <c r="D363" s="33" t="n">
        <v>46032.6111111111</v>
      </c>
      <c r="E363" s="33" t="n">
        <v>46032.6111111111</v>
      </c>
      <c r="F363" s="33" t="n">
        <v>46033</v>
      </c>
      <c r="G363" s="34" t="n">
        <f aca="false">F363-E363</f>
        <v>0.388888888888889</v>
      </c>
      <c r="H363" s="39" t="s">
        <v>252</v>
      </c>
      <c r="J363" s="39" t="s">
        <v>253</v>
      </c>
      <c r="K363" s="32" t="e">
        <f aca="false">_xlfn.xlookup(J363,[1]REF!$D$2:$D$12,[1]REF!$E$2:$E$12)</f>
        <v>#NAME?</v>
      </c>
      <c r="L363" s="32" t="s">
        <v>254</v>
      </c>
      <c r="M363" s="39" t="s">
        <v>255</v>
      </c>
      <c r="N363" s="39" t="s">
        <v>256</v>
      </c>
      <c r="O363" s="32" t="s">
        <v>257</v>
      </c>
      <c r="P363" s="40" t="str">
        <f aca="false">_xlfn.CONCAT(B363,C363,D363,E363,F363)</f>
        <v>BC Caiaponia1SG60KTL(COM1-013)46032.611111111146032.611111111146033</v>
      </c>
      <c r="Q363" s="32" t="str">
        <f aca="false">_xlfn.CONCAT(H363,I363,J363)</f>
        <v>DAURDE</v>
      </c>
    </row>
    <row r="364" customFormat="false" ht="15" hidden="false" customHeight="false" outlineLevel="0" collapsed="false">
      <c r="B364" s="32" t="s">
        <v>48</v>
      </c>
      <c r="C364" s="32" t="s">
        <v>307</v>
      </c>
      <c r="D364" s="33" t="n">
        <v>46032.6111111111</v>
      </c>
      <c r="E364" s="33" t="n">
        <v>46032.6111111111</v>
      </c>
      <c r="F364" s="33" t="n">
        <v>46033</v>
      </c>
      <c r="G364" s="34" t="n">
        <f aca="false">F364-E364</f>
        <v>0.388888888888889</v>
      </c>
      <c r="H364" s="39" t="s">
        <v>252</v>
      </c>
      <c r="J364" s="39" t="s">
        <v>253</v>
      </c>
      <c r="K364" s="32" t="e">
        <f aca="false">_xlfn.xlookup(J364,[1]REF!$D$2:$D$12,[1]REF!$E$2:$E$12)</f>
        <v>#NAME?</v>
      </c>
      <c r="L364" s="32" t="s">
        <v>254</v>
      </c>
      <c r="M364" s="39" t="s">
        <v>255</v>
      </c>
      <c r="N364" s="39" t="s">
        <v>256</v>
      </c>
      <c r="O364" s="32" t="s">
        <v>257</v>
      </c>
      <c r="P364" s="40" t="str">
        <f aca="false">_xlfn.CONCAT(B364,C364,D364,E364,F364)</f>
        <v>BC Caiaponia1SG60KTL(COM1-014)46032.611111111146032.611111111146033</v>
      </c>
      <c r="Q364" s="32" t="str">
        <f aca="false">_xlfn.CONCAT(H364,I364,J364)</f>
        <v>DAURDE</v>
      </c>
    </row>
    <row r="365" customFormat="false" ht="15" hidden="false" customHeight="false" outlineLevel="0" collapsed="false">
      <c r="B365" s="32" t="s">
        <v>48</v>
      </c>
      <c r="C365" s="32" t="s">
        <v>308</v>
      </c>
      <c r="D365" s="33" t="n">
        <v>46032.6111111111</v>
      </c>
      <c r="E365" s="33" t="n">
        <v>46032.6111111111</v>
      </c>
      <c r="F365" s="33" t="n">
        <v>46033</v>
      </c>
      <c r="G365" s="34" t="n">
        <f aca="false">F365-E365</f>
        <v>0.388888888888889</v>
      </c>
      <c r="H365" s="39" t="s">
        <v>252</v>
      </c>
      <c r="J365" s="39" t="s">
        <v>253</v>
      </c>
      <c r="K365" s="32" t="e">
        <f aca="false">_xlfn.xlookup(J365,[1]REF!$D$2:$D$12,[1]REF!$E$2:$E$12)</f>
        <v>#NAME?</v>
      </c>
      <c r="L365" s="32" t="s">
        <v>254</v>
      </c>
      <c r="M365" s="39" t="s">
        <v>255</v>
      </c>
      <c r="N365" s="39" t="s">
        <v>256</v>
      </c>
      <c r="O365" s="32" t="s">
        <v>257</v>
      </c>
      <c r="P365" s="40" t="str">
        <f aca="false">_xlfn.CONCAT(B365,C365,D365,E365,F365)</f>
        <v>BC Caiaponia1SG60KTL(COM1-015)46032.611111111146032.611111111146033</v>
      </c>
      <c r="Q365" s="32" t="str">
        <f aca="false">_xlfn.CONCAT(H365,I365,J365)</f>
        <v>DAURDE</v>
      </c>
    </row>
    <row r="366" customFormat="false" ht="15" hidden="false" customHeight="false" outlineLevel="0" collapsed="false">
      <c r="B366" s="32" t="s">
        <v>36</v>
      </c>
      <c r="C366" s="32" t="s">
        <v>354</v>
      </c>
      <c r="D366" s="33" t="n">
        <v>46032.7270833333</v>
      </c>
      <c r="E366" s="33" t="n">
        <v>46032.7270833333</v>
      </c>
      <c r="F366" s="33" t="n">
        <v>46033.3298611111</v>
      </c>
      <c r="G366" s="34" t="n">
        <f aca="false">F366-E366</f>
        <v>0.602777777777778</v>
      </c>
      <c r="H366" s="39" t="s">
        <v>252</v>
      </c>
      <c r="J366" s="39" t="s">
        <v>253</v>
      </c>
      <c r="K366" s="32" t="s">
        <v>266</v>
      </c>
      <c r="L366" s="32" t="s">
        <v>357</v>
      </c>
      <c r="M366" s="39" t="s">
        <v>255</v>
      </c>
      <c r="N366" s="39" t="s">
        <v>268</v>
      </c>
      <c r="O366" s="32" t="s">
        <v>269</v>
      </c>
      <c r="P366" s="40" t="str">
        <f aca="false">_xlfn.CONCAT(B366,C366,D366,E366,F366)</f>
        <v>BC Barra1Inverter__546032.727083333346032.727083333346033.3298611111</v>
      </c>
      <c r="Q366" s="32" t="str">
        <f aca="false">_xlfn.CONCAT(H366,I366,J366)</f>
        <v>DAURDE</v>
      </c>
    </row>
    <row r="367" customFormat="false" ht="15" hidden="false" customHeight="false" outlineLevel="0" collapsed="false">
      <c r="B367" s="32" t="s">
        <v>36</v>
      </c>
      <c r="C367" s="32" t="s">
        <v>452</v>
      </c>
      <c r="D367" s="33" t="n">
        <v>46032.7270833333</v>
      </c>
      <c r="E367" s="33" t="n">
        <v>46032.7270833333</v>
      </c>
      <c r="F367" s="33" t="n">
        <v>46033.3298611111</v>
      </c>
      <c r="G367" s="34" t="n">
        <f aca="false">F367-E367</f>
        <v>0.602777777777778</v>
      </c>
      <c r="H367" s="39" t="s">
        <v>252</v>
      </c>
      <c r="J367" s="39" t="s">
        <v>253</v>
      </c>
      <c r="K367" s="32" t="s">
        <v>266</v>
      </c>
      <c r="L367" s="32" t="s">
        <v>357</v>
      </c>
      <c r="M367" s="39" t="s">
        <v>255</v>
      </c>
      <c r="N367" s="39" t="s">
        <v>268</v>
      </c>
      <c r="O367" s="32" t="s">
        <v>269</v>
      </c>
      <c r="P367" s="40" t="str">
        <f aca="false">_xlfn.CONCAT(B367,C367,D367,E367,F367)</f>
        <v>BC Barra1Inverter__146032.727083333346032.727083333346033.3298611111</v>
      </c>
      <c r="Q367" s="32" t="str">
        <f aca="false">_xlfn.CONCAT(H367,I367,J367)</f>
        <v>DAURDE</v>
      </c>
    </row>
    <row r="368" customFormat="false" ht="15" hidden="false" customHeight="false" outlineLevel="0" collapsed="false">
      <c r="B368" s="41" t="s">
        <v>323</v>
      </c>
      <c r="C368" s="32" t="s">
        <v>324</v>
      </c>
      <c r="D368" s="33" t="n">
        <v>46033.40625</v>
      </c>
      <c r="E368" s="33" t="n">
        <v>46033.40625</v>
      </c>
      <c r="F368" s="33" t="n">
        <v>46035.2395833333</v>
      </c>
      <c r="G368" s="34" t="n">
        <f aca="false">F368-E368</f>
        <v>1.83333333333333</v>
      </c>
      <c r="H368" s="39" t="s">
        <v>384</v>
      </c>
      <c r="J368" s="39" t="s">
        <v>437</v>
      </c>
      <c r="K368" s="32" t="e">
        <f aca="false">_xlfn.xlookup(J368,[1]REF!$D$2:$D$12,[1]REF!$E$2:$E$12)</f>
        <v>#NAME?</v>
      </c>
      <c r="L368" s="32" t="s">
        <v>453</v>
      </c>
      <c r="M368" s="39" t="s">
        <v>386</v>
      </c>
      <c r="N368" s="39" t="s">
        <v>440</v>
      </c>
      <c r="O368" s="32" t="s">
        <v>454</v>
      </c>
      <c r="P368" s="40" t="str">
        <f aca="false">_xlfn.CONCAT(B368,C368,D369,E368,F368)</f>
        <v>BC Ibiuna 1.1Inverter(MBUS-12)46033.4062546033.4062546035.2395833333</v>
      </c>
      <c r="Q368" s="32" t="str">
        <f aca="false">_xlfn.CONCAT(H368,I368,J368)</f>
        <v>DPRPRT</v>
      </c>
    </row>
    <row r="369" customFormat="false" ht="15" hidden="false" customHeight="false" outlineLevel="0" collapsed="false">
      <c r="B369" s="41" t="s">
        <v>323</v>
      </c>
      <c r="C369" s="32" t="s">
        <v>326</v>
      </c>
      <c r="D369" s="33" t="n">
        <v>46033.40625</v>
      </c>
      <c r="E369" s="33" t="n">
        <v>46033.40625</v>
      </c>
      <c r="F369" s="33" t="n">
        <v>46035.2395833333</v>
      </c>
      <c r="G369" s="34" t="n">
        <f aca="false">F369-E369</f>
        <v>1.83333333333333</v>
      </c>
      <c r="H369" s="39" t="s">
        <v>384</v>
      </c>
      <c r="J369" s="39" t="s">
        <v>437</v>
      </c>
      <c r="K369" s="32" t="e">
        <f aca="false">_xlfn.xlookup(J369,[1]REF!$D$2:$D$12,[1]REF!$E$2:$E$12)</f>
        <v>#NAME?</v>
      </c>
      <c r="L369" s="32" t="s">
        <v>453</v>
      </c>
      <c r="M369" s="39" t="s">
        <v>386</v>
      </c>
      <c r="N369" s="39" t="s">
        <v>440</v>
      </c>
      <c r="O369" s="32" t="s">
        <v>454</v>
      </c>
      <c r="P369" s="40" t="str">
        <f aca="false">_xlfn.CONCAT(B369,C369,D370,E369,F369)</f>
        <v>BC Ibiuna 1.1Inverter(MBUS-13)46033.4062546033.4062546035.2395833333</v>
      </c>
      <c r="Q369" s="32" t="str">
        <f aca="false">_xlfn.CONCAT(H369,I369,J369)</f>
        <v>DPRPRT</v>
      </c>
    </row>
    <row r="370" customFormat="false" ht="15" hidden="false" customHeight="false" outlineLevel="0" collapsed="false">
      <c r="B370" s="41" t="s">
        <v>323</v>
      </c>
      <c r="C370" s="32" t="s">
        <v>327</v>
      </c>
      <c r="D370" s="33" t="n">
        <v>46033.40625</v>
      </c>
      <c r="E370" s="33" t="n">
        <v>46033.40625</v>
      </c>
      <c r="F370" s="33" t="n">
        <v>46035.2395833333</v>
      </c>
      <c r="G370" s="34" t="n">
        <f aca="false">F370-E370</f>
        <v>1.83333333333333</v>
      </c>
      <c r="H370" s="39" t="s">
        <v>384</v>
      </c>
      <c r="J370" s="39" t="s">
        <v>437</v>
      </c>
      <c r="K370" s="32" t="e">
        <f aca="false">_xlfn.xlookup(J370,[1]REF!$D$2:$D$12,[1]REF!$E$2:$E$12)</f>
        <v>#NAME?</v>
      </c>
      <c r="L370" s="32" t="s">
        <v>453</v>
      </c>
      <c r="M370" s="39" t="s">
        <v>386</v>
      </c>
      <c r="N370" s="39" t="s">
        <v>440</v>
      </c>
      <c r="O370" s="32" t="s">
        <v>454</v>
      </c>
      <c r="P370" s="40" t="str">
        <f aca="false">_xlfn.CONCAT(B370,C370,D371,E370,F370)</f>
        <v>BC Ibiuna 1.1Inverter(MBUS-14)46033.4062546033.4062546035.2395833333</v>
      </c>
      <c r="Q370" s="32" t="str">
        <f aca="false">_xlfn.CONCAT(H370,I370,J370)</f>
        <v>DPRPRT</v>
      </c>
    </row>
    <row r="371" customFormat="false" ht="15" hidden="false" customHeight="false" outlineLevel="0" collapsed="false">
      <c r="B371" s="41" t="s">
        <v>323</v>
      </c>
      <c r="C371" s="32" t="s">
        <v>328</v>
      </c>
      <c r="D371" s="33" t="n">
        <v>46033.40625</v>
      </c>
      <c r="E371" s="33" t="n">
        <v>46033.40625</v>
      </c>
      <c r="F371" s="33" t="n">
        <v>46035.2395833333</v>
      </c>
      <c r="G371" s="34" t="n">
        <f aca="false">F371-E371</f>
        <v>1.83333333333333</v>
      </c>
      <c r="H371" s="39" t="s">
        <v>384</v>
      </c>
      <c r="J371" s="39" t="s">
        <v>437</v>
      </c>
      <c r="K371" s="32" t="e">
        <f aca="false">_xlfn.xlookup(J371,[1]REF!$D$2:$D$12,[1]REF!$E$2:$E$12)</f>
        <v>#NAME?</v>
      </c>
      <c r="L371" s="32" t="s">
        <v>453</v>
      </c>
      <c r="M371" s="39" t="s">
        <v>386</v>
      </c>
      <c r="N371" s="39" t="s">
        <v>440</v>
      </c>
      <c r="O371" s="32" t="s">
        <v>454</v>
      </c>
      <c r="P371" s="40" t="str">
        <f aca="false">_xlfn.CONCAT(B371,C371,D372,E371,F371)</f>
        <v>BC Ibiuna 1.1Inverter(MBUS-15)46033.4062546033.4062546035.2395833333</v>
      </c>
      <c r="Q371" s="32" t="str">
        <f aca="false">_xlfn.CONCAT(H371,I371,J371)</f>
        <v>DPRPRT</v>
      </c>
    </row>
    <row r="372" customFormat="false" ht="15" hidden="false" customHeight="false" outlineLevel="0" collapsed="false">
      <c r="B372" s="41" t="s">
        <v>329</v>
      </c>
      <c r="C372" s="32" t="s">
        <v>324</v>
      </c>
      <c r="D372" s="33" t="n">
        <v>46033.40625</v>
      </c>
      <c r="E372" s="33" t="n">
        <v>46033.40625</v>
      </c>
      <c r="F372" s="33" t="n">
        <v>46035.2395833333</v>
      </c>
      <c r="G372" s="34" t="n">
        <f aca="false">F372-E372</f>
        <v>1.83333333333333</v>
      </c>
      <c r="H372" s="39" t="s">
        <v>384</v>
      </c>
      <c r="J372" s="39" t="s">
        <v>437</v>
      </c>
      <c r="K372" s="32" t="e">
        <f aca="false">_xlfn.xlookup(J372,[1]REF!$D$2:$D$12,[1]REF!$E$2:$E$12)</f>
        <v>#NAME?</v>
      </c>
      <c r="L372" s="32" t="s">
        <v>453</v>
      </c>
      <c r="M372" s="39" t="s">
        <v>386</v>
      </c>
      <c r="N372" s="39" t="s">
        <v>440</v>
      </c>
      <c r="O372" s="32" t="s">
        <v>454</v>
      </c>
      <c r="P372" s="40" t="str">
        <f aca="false">_xlfn.CONCAT(B372,C372,D373,E372,F372)</f>
        <v>BC Ibiuna 1.2Inverter(MBUS-12)46033.4062546033.4062546035.2395833333</v>
      </c>
      <c r="Q372" s="32" t="str">
        <f aca="false">_xlfn.CONCAT(H372,I372,J372)</f>
        <v>DPRPRT</v>
      </c>
    </row>
    <row r="373" customFormat="false" ht="15" hidden="false" customHeight="false" outlineLevel="0" collapsed="false">
      <c r="B373" s="41" t="s">
        <v>329</v>
      </c>
      <c r="C373" s="32" t="s">
        <v>326</v>
      </c>
      <c r="D373" s="33" t="n">
        <v>46033.40625</v>
      </c>
      <c r="E373" s="33" t="n">
        <v>46033.40625</v>
      </c>
      <c r="F373" s="33" t="n">
        <v>46035.2395833333</v>
      </c>
      <c r="G373" s="34" t="n">
        <f aca="false">F373-E373</f>
        <v>1.83333333333333</v>
      </c>
      <c r="H373" s="39" t="s">
        <v>384</v>
      </c>
      <c r="J373" s="39" t="s">
        <v>437</v>
      </c>
      <c r="K373" s="32" t="e">
        <f aca="false">_xlfn.xlookup(J373,[1]REF!$D$2:$D$12,[1]REF!$E$2:$E$12)</f>
        <v>#NAME?</v>
      </c>
      <c r="L373" s="32" t="s">
        <v>453</v>
      </c>
      <c r="M373" s="39" t="s">
        <v>386</v>
      </c>
      <c r="N373" s="39" t="s">
        <v>440</v>
      </c>
      <c r="O373" s="32" t="s">
        <v>454</v>
      </c>
      <c r="P373" s="40" t="str">
        <f aca="false">_xlfn.CONCAT(B373,C373,D374,E373,F373)</f>
        <v>BC Ibiuna 1.2Inverter(MBUS-13)46033.4062546033.4062546035.2395833333</v>
      </c>
      <c r="Q373" s="32" t="str">
        <f aca="false">_xlfn.CONCAT(H373,I373,J373)</f>
        <v>DPRPRT</v>
      </c>
    </row>
    <row r="374" customFormat="false" ht="15" hidden="false" customHeight="false" outlineLevel="0" collapsed="false">
      <c r="B374" s="41" t="s">
        <v>329</v>
      </c>
      <c r="C374" s="32" t="s">
        <v>327</v>
      </c>
      <c r="D374" s="33" t="n">
        <v>46033.40625</v>
      </c>
      <c r="E374" s="33" t="n">
        <v>46033.40625</v>
      </c>
      <c r="F374" s="33" t="n">
        <v>46035.2395833333</v>
      </c>
      <c r="G374" s="34" t="n">
        <f aca="false">F374-E374</f>
        <v>1.83333333333333</v>
      </c>
      <c r="H374" s="39" t="s">
        <v>384</v>
      </c>
      <c r="J374" s="39" t="s">
        <v>437</v>
      </c>
      <c r="K374" s="32" t="e">
        <f aca="false">_xlfn.xlookup(J374,[1]REF!$D$2:$D$12,[1]REF!$E$2:$E$12)</f>
        <v>#NAME?</v>
      </c>
      <c r="L374" s="32" t="s">
        <v>453</v>
      </c>
      <c r="M374" s="39" t="s">
        <v>386</v>
      </c>
      <c r="N374" s="39" t="s">
        <v>440</v>
      </c>
      <c r="O374" s="32" t="s">
        <v>454</v>
      </c>
      <c r="P374" s="40" t="str">
        <f aca="false">_xlfn.CONCAT(B374,C374,D375,E374,F374)</f>
        <v>BC Ibiuna 1.2Inverter(MBUS-14)46033.4062546033.4062546035.2395833333</v>
      </c>
      <c r="Q374" s="32" t="str">
        <f aca="false">_xlfn.CONCAT(H374,I374,J374)</f>
        <v>DPRPRT</v>
      </c>
    </row>
    <row r="375" customFormat="false" ht="15" hidden="false" customHeight="false" outlineLevel="0" collapsed="false">
      <c r="B375" s="41" t="s">
        <v>329</v>
      </c>
      <c r="C375" s="32" t="s">
        <v>328</v>
      </c>
      <c r="D375" s="33" t="n">
        <v>46033.40625</v>
      </c>
      <c r="E375" s="33" t="n">
        <v>46033.40625</v>
      </c>
      <c r="F375" s="33" t="n">
        <v>46035.2395833333</v>
      </c>
      <c r="G375" s="34" t="n">
        <f aca="false">F375-E375</f>
        <v>1.83333333333333</v>
      </c>
      <c r="H375" s="39" t="s">
        <v>384</v>
      </c>
      <c r="J375" s="39" t="s">
        <v>437</v>
      </c>
      <c r="K375" s="32" t="e">
        <f aca="false">_xlfn.xlookup(J375,[1]REF!$D$2:$D$12,[1]REF!$E$2:$E$12)</f>
        <v>#NAME?</v>
      </c>
      <c r="L375" s="32" t="s">
        <v>453</v>
      </c>
      <c r="M375" s="39" t="s">
        <v>386</v>
      </c>
      <c r="N375" s="39" t="s">
        <v>440</v>
      </c>
      <c r="O375" s="32" t="s">
        <v>454</v>
      </c>
      <c r="P375" s="40" t="str">
        <f aca="false">_xlfn.CONCAT(B375,C375,D376,E375,F375)</f>
        <v>BC Ibiuna 1.2Inverter(MBUS-15)46033.506944444446033.4062546035.2395833333</v>
      </c>
      <c r="Q375" s="32" t="str">
        <f aca="false">_xlfn.CONCAT(H375,I375,J375)</f>
        <v>DPRPRT</v>
      </c>
    </row>
    <row r="376" customFormat="false" ht="15" hidden="false" customHeight="false" outlineLevel="0" collapsed="false">
      <c r="B376" s="32" t="s">
        <v>271</v>
      </c>
      <c r="C376" s="32" t="s">
        <v>265</v>
      </c>
      <c r="D376" s="33" t="n">
        <v>46033.5069444444</v>
      </c>
      <c r="E376" s="33" t="n">
        <v>46033.5069444444</v>
      </c>
      <c r="F376" s="33" t="n">
        <v>46035.4965277778</v>
      </c>
      <c r="G376" s="34" t="n">
        <f aca="false">F376-E376</f>
        <v>1.98958333333333</v>
      </c>
      <c r="H376" s="39" t="s">
        <v>283</v>
      </c>
      <c r="I376" s="32" t="s">
        <v>284</v>
      </c>
      <c r="J376" s="39" t="s">
        <v>285</v>
      </c>
      <c r="K376" s="32" t="e">
        <f aca="false">_xlfn.xlookup(J376,[1]REF!$D$2:$D$12,[1]REF!$E$2:$E$12)</f>
        <v>#NAME?</v>
      </c>
      <c r="L376" s="32" t="s">
        <v>455</v>
      </c>
      <c r="M376" s="39" t="s">
        <v>288</v>
      </c>
      <c r="N376" s="39" t="s">
        <v>289</v>
      </c>
      <c r="O376" s="32" t="s">
        <v>456</v>
      </c>
      <c r="P376" s="40" t="str">
        <f aca="false">_xlfn.CONCAT(B376,C376,D376,E376,F376)</f>
        <v>BC Aracu5.3Inverter(MBUS-1)46033.506944444446033.506944444446035.4965277778</v>
      </c>
      <c r="Q376" s="32" t="str">
        <f aca="false">_xlfn.CONCAT(H376,I376,J376)</f>
        <v>LIGRFOCOM</v>
      </c>
    </row>
    <row r="377" customFormat="false" ht="15" hidden="false" customHeight="false" outlineLevel="0" collapsed="false">
      <c r="B377" s="32" t="s">
        <v>425</v>
      </c>
      <c r="C377" s="32" t="s">
        <v>265</v>
      </c>
      <c r="D377" s="33" t="n">
        <v>46033.5138888889</v>
      </c>
      <c r="E377" s="33" t="n">
        <v>46033.5138888889</v>
      </c>
      <c r="F377" s="33" t="n">
        <v>46033.5625</v>
      </c>
      <c r="G377" s="34" t="n">
        <f aca="false">F377-E377</f>
        <v>0.0486111111111111</v>
      </c>
      <c r="H377" s="39" t="s">
        <v>252</v>
      </c>
      <c r="J377" s="39" t="s">
        <v>253</v>
      </c>
      <c r="K377" s="32" t="s">
        <v>266</v>
      </c>
      <c r="L377" s="32" t="s">
        <v>457</v>
      </c>
      <c r="M377" s="39" t="s">
        <v>255</v>
      </c>
      <c r="N377" s="39" t="s">
        <v>256</v>
      </c>
      <c r="O377" s="32" t="s">
        <v>269</v>
      </c>
      <c r="P377" s="40" t="str">
        <f aca="false">_xlfn.CONCAT(B377,C377,D377,E377,F377)</f>
        <v>BC Camarao1.2Inverter(MBUS-1)46033.513888888946033.513888888946033.5625</v>
      </c>
      <c r="Q377" s="32" t="str">
        <f aca="false">_xlfn.CONCAT(H377,I377,J377)</f>
        <v>DAURDE</v>
      </c>
    </row>
    <row r="378" customFormat="false" ht="15" hidden="false" customHeight="false" outlineLevel="0" collapsed="false">
      <c r="B378" s="32" t="s">
        <v>425</v>
      </c>
      <c r="C378" s="32" t="s">
        <v>426</v>
      </c>
      <c r="D378" s="33" t="n">
        <v>46033.5138888889</v>
      </c>
      <c r="E378" s="33" t="n">
        <v>46033.5138888889</v>
      </c>
      <c r="F378" s="33" t="n">
        <v>46033.5625</v>
      </c>
      <c r="G378" s="34" t="n">
        <f aca="false">F378-E378</f>
        <v>0.0486111111111111</v>
      </c>
      <c r="H378" s="39" t="s">
        <v>252</v>
      </c>
      <c r="J378" s="39" t="s">
        <v>253</v>
      </c>
      <c r="K378" s="32" t="s">
        <v>266</v>
      </c>
      <c r="L378" s="32" t="s">
        <v>457</v>
      </c>
      <c r="M378" s="39" t="s">
        <v>255</v>
      </c>
      <c r="N378" s="39" t="s">
        <v>256</v>
      </c>
      <c r="O378" s="32" t="s">
        <v>269</v>
      </c>
      <c r="P378" s="40" t="str">
        <f aca="false">_xlfn.CONCAT(B378,C378,D378,E378,F378)</f>
        <v>BC Camarao1.2Inv. 346033.513888888946033.513888888946033.5625</v>
      </c>
      <c r="Q378" s="32" t="str">
        <f aca="false">_xlfn.CONCAT(H378,I378,J378)</f>
        <v>DAURDE</v>
      </c>
    </row>
    <row r="379" customFormat="false" ht="15" hidden="false" customHeight="false" outlineLevel="0" collapsed="false">
      <c r="B379" s="32" t="s">
        <v>425</v>
      </c>
      <c r="C379" s="32" t="s">
        <v>427</v>
      </c>
      <c r="D379" s="33" t="n">
        <v>46033.5138888889</v>
      </c>
      <c r="E379" s="33" t="n">
        <v>46033.5138888889</v>
      </c>
      <c r="F379" s="33" t="n">
        <v>46033.5625</v>
      </c>
      <c r="G379" s="34" t="n">
        <f aca="false">F379-E379</f>
        <v>0.0486111111111111</v>
      </c>
      <c r="H379" s="39" t="s">
        <v>252</v>
      </c>
      <c r="J379" s="39" t="s">
        <v>253</v>
      </c>
      <c r="K379" s="32" t="s">
        <v>266</v>
      </c>
      <c r="L379" s="32" t="s">
        <v>457</v>
      </c>
      <c r="M379" s="39" t="s">
        <v>255</v>
      </c>
      <c r="N379" s="39" t="s">
        <v>256</v>
      </c>
      <c r="O379" s="32" t="s">
        <v>269</v>
      </c>
      <c r="P379" s="40" t="str">
        <f aca="false">_xlfn.CONCAT(B379,C379,D379,E379,F379)</f>
        <v>BC Camarao1.2Inv. 446033.513888888946033.513888888946033.5625</v>
      </c>
      <c r="Q379" s="32" t="str">
        <f aca="false">_xlfn.CONCAT(H379,I379,J379)</f>
        <v>DAURDE</v>
      </c>
    </row>
    <row r="380" customFormat="false" ht="15" hidden="false" customHeight="false" outlineLevel="0" collapsed="false">
      <c r="B380" s="32" t="s">
        <v>425</v>
      </c>
      <c r="C380" s="32" t="s">
        <v>428</v>
      </c>
      <c r="D380" s="33" t="n">
        <v>46033.5138888889</v>
      </c>
      <c r="E380" s="33" t="n">
        <v>46033.5138888889</v>
      </c>
      <c r="F380" s="33" t="n">
        <v>46033.5625</v>
      </c>
      <c r="G380" s="34" t="n">
        <f aca="false">F380-E380</f>
        <v>0.0486111111111111</v>
      </c>
      <c r="H380" s="39" t="s">
        <v>252</v>
      </c>
      <c r="J380" s="39" t="s">
        <v>253</v>
      </c>
      <c r="K380" s="32" t="s">
        <v>266</v>
      </c>
      <c r="L380" s="32" t="s">
        <v>457</v>
      </c>
      <c r="M380" s="39" t="s">
        <v>255</v>
      </c>
      <c r="N380" s="39" t="s">
        <v>256</v>
      </c>
      <c r="O380" s="32" t="s">
        <v>269</v>
      </c>
      <c r="P380" s="40" t="str">
        <f aca="false">_xlfn.CONCAT(B380,C380,D380,E380,F380)</f>
        <v>BC Camarao1.2Inverter(MBUS-16)46033.513888888946033.513888888946033.5625</v>
      </c>
      <c r="Q380" s="32" t="str">
        <f aca="false">_xlfn.CONCAT(H380,I380,J380)</f>
        <v>DAURDE</v>
      </c>
    </row>
    <row r="381" customFormat="false" ht="15" hidden="false" customHeight="false" outlineLevel="0" collapsed="false">
      <c r="B381" s="32" t="s">
        <v>425</v>
      </c>
      <c r="C381" s="32" t="s">
        <v>324</v>
      </c>
      <c r="D381" s="33" t="n">
        <v>46033.5138888889</v>
      </c>
      <c r="E381" s="33" t="n">
        <v>46033.5138888889</v>
      </c>
      <c r="F381" s="33" t="n">
        <v>46033.5625</v>
      </c>
      <c r="G381" s="34" t="n">
        <f aca="false">F381-E381</f>
        <v>0.0486111111111111</v>
      </c>
      <c r="H381" s="39" t="s">
        <v>252</v>
      </c>
      <c r="J381" s="39" t="s">
        <v>253</v>
      </c>
      <c r="K381" s="32" t="s">
        <v>266</v>
      </c>
      <c r="L381" s="32" t="s">
        <v>457</v>
      </c>
      <c r="M381" s="39" t="s">
        <v>255</v>
      </c>
      <c r="N381" s="39" t="s">
        <v>256</v>
      </c>
      <c r="O381" s="32" t="s">
        <v>269</v>
      </c>
      <c r="P381" s="40" t="str">
        <f aca="false">_xlfn.CONCAT(B381,C381,D381,E381,F381)</f>
        <v>BC Camarao1.2Inverter(MBUS-12)46033.513888888946033.513888888946033.5625</v>
      </c>
      <c r="Q381" s="32" t="str">
        <f aca="false">_xlfn.CONCAT(H381,I381,J381)</f>
        <v>DAURDE</v>
      </c>
    </row>
    <row r="382" customFormat="false" ht="15" hidden="false" customHeight="false" outlineLevel="0" collapsed="false">
      <c r="B382" s="32" t="s">
        <v>18</v>
      </c>
      <c r="C382" s="32" t="s">
        <v>404</v>
      </c>
      <c r="D382" s="33" t="n">
        <v>46033.5826388889</v>
      </c>
      <c r="E382" s="33" t="n">
        <v>46033.5826388889</v>
      </c>
      <c r="F382" s="33" t="n">
        <v>46035.7958333333</v>
      </c>
      <c r="G382" s="34" t="n">
        <f aca="false">F382-E382</f>
        <v>2.21319444444444</v>
      </c>
      <c r="H382" s="39" t="s">
        <v>252</v>
      </c>
      <c r="J382" s="39" t="s">
        <v>333</v>
      </c>
      <c r="K382" s="32" t="e">
        <f aca="false">_xlfn.xlookup(J382,[1]REF!$D$2:$D$12,[1]REF!$E$2:$E$12)</f>
        <v>#NAME?</v>
      </c>
      <c r="L382" s="32" t="s">
        <v>458</v>
      </c>
      <c r="M382" s="39" t="s">
        <v>386</v>
      </c>
      <c r="N382" s="39" t="s">
        <v>440</v>
      </c>
      <c r="O382" s="32" t="s">
        <v>459</v>
      </c>
      <c r="P382" s="40" t="str">
        <f aca="false">_xlfn.CONCAT(B382,C382,D382,E382,F382)</f>
        <v>BC Aracu2araçu 2.4 inversor 646033.582638888946033.582638888946035.7958333333</v>
      </c>
      <c r="Q382" s="32" t="str">
        <f aca="false">_xlfn.CONCAT(H382,I382,J382)</f>
        <v>DAUINV</v>
      </c>
    </row>
    <row r="383" customFormat="false" ht="15" hidden="false" customHeight="false" outlineLevel="0" collapsed="false">
      <c r="B383" s="32" t="s">
        <v>358</v>
      </c>
      <c r="C383" s="32" t="s">
        <v>324</v>
      </c>
      <c r="D383" s="33" t="n">
        <v>46033.7881944444</v>
      </c>
      <c r="E383" s="33" t="n">
        <v>46033.7881944444</v>
      </c>
      <c r="F383" s="33" t="n">
        <v>46034.3472222222</v>
      </c>
      <c r="G383" s="34" t="n">
        <f aca="false">F383-E383</f>
        <v>0.559027777777778</v>
      </c>
      <c r="H383" s="39" t="s">
        <v>252</v>
      </c>
      <c r="J383" s="39" t="s">
        <v>253</v>
      </c>
      <c r="K383" s="32" t="s">
        <v>266</v>
      </c>
      <c r="L383" s="32" t="s">
        <v>368</v>
      </c>
      <c r="M383" s="39" t="s">
        <v>255</v>
      </c>
      <c r="N383" s="39" t="s">
        <v>268</v>
      </c>
      <c r="O383" s="32" t="s">
        <v>269</v>
      </c>
      <c r="P383" s="40" t="str">
        <f aca="false">_xlfn.CONCAT(B383,C383,D383,E383,F383)</f>
        <v>ARAGUATINS 1.1Inverter(MBUS-12)46033.788194444446033.788194444446034.3472222222</v>
      </c>
      <c r="Q383" s="32" t="str">
        <f aca="false">_xlfn.CONCAT(H383,I383,J383)</f>
        <v>DAURDE</v>
      </c>
    </row>
    <row r="384" customFormat="false" ht="15" hidden="false" customHeight="false" outlineLevel="0" collapsed="false">
      <c r="B384" s="32" t="s">
        <v>358</v>
      </c>
      <c r="C384" s="32" t="s">
        <v>326</v>
      </c>
      <c r="D384" s="33" t="n">
        <v>46033.7881944444</v>
      </c>
      <c r="E384" s="33" t="n">
        <v>46033.7881944444</v>
      </c>
      <c r="F384" s="33" t="n">
        <v>46034.3472222222</v>
      </c>
      <c r="G384" s="34" t="n">
        <f aca="false">F384-E384</f>
        <v>0.559027777777778</v>
      </c>
      <c r="H384" s="39" t="s">
        <v>252</v>
      </c>
      <c r="J384" s="39" t="s">
        <v>253</v>
      </c>
      <c r="K384" s="32" t="s">
        <v>266</v>
      </c>
      <c r="L384" s="32" t="s">
        <v>368</v>
      </c>
      <c r="M384" s="39" t="s">
        <v>255</v>
      </c>
      <c r="N384" s="39" t="s">
        <v>268</v>
      </c>
      <c r="O384" s="32" t="s">
        <v>269</v>
      </c>
      <c r="P384" s="40" t="str">
        <f aca="false">_xlfn.CONCAT(B384,C384,D384,E384,F384)</f>
        <v>ARAGUATINS 1.1Inverter(MBUS-13)46033.788194444446033.788194444446034.3472222222</v>
      </c>
      <c r="Q384" s="32" t="str">
        <f aca="false">_xlfn.CONCAT(H384,I384,J384)</f>
        <v>DAURDE</v>
      </c>
    </row>
    <row r="385" customFormat="false" ht="15" hidden="false" customHeight="false" outlineLevel="0" collapsed="false">
      <c r="B385" s="32" t="s">
        <v>358</v>
      </c>
      <c r="C385" s="32" t="s">
        <v>327</v>
      </c>
      <c r="D385" s="33" t="n">
        <v>46033.7881944444</v>
      </c>
      <c r="E385" s="33" t="n">
        <v>46033.7881944444</v>
      </c>
      <c r="F385" s="33" t="n">
        <v>46034.3472222222</v>
      </c>
      <c r="G385" s="34" t="n">
        <f aca="false">F385-E385</f>
        <v>0.559027777777778</v>
      </c>
      <c r="H385" s="39" t="s">
        <v>252</v>
      </c>
      <c r="J385" s="39" t="s">
        <v>253</v>
      </c>
      <c r="K385" s="32" t="s">
        <v>266</v>
      </c>
      <c r="L385" s="32" t="s">
        <v>368</v>
      </c>
      <c r="M385" s="39" t="s">
        <v>255</v>
      </c>
      <c r="N385" s="39" t="s">
        <v>268</v>
      </c>
      <c r="O385" s="32" t="s">
        <v>269</v>
      </c>
      <c r="P385" s="40" t="str">
        <f aca="false">_xlfn.CONCAT(B385,C385,D385,E385,F385)</f>
        <v>ARAGUATINS 1.1Inverter(MBUS-14)46033.788194444446033.788194444446034.3472222222</v>
      </c>
      <c r="Q385" s="32" t="str">
        <f aca="false">_xlfn.CONCAT(H385,I385,J385)</f>
        <v>DAURDE</v>
      </c>
    </row>
    <row r="386" customFormat="false" ht="15" hidden="false" customHeight="false" outlineLevel="0" collapsed="false">
      <c r="B386" s="32" t="s">
        <v>358</v>
      </c>
      <c r="C386" s="32" t="s">
        <v>328</v>
      </c>
      <c r="D386" s="33" t="n">
        <v>46033.7881944444</v>
      </c>
      <c r="E386" s="33" t="n">
        <v>46033.7881944444</v>
      </c>
      <c r="F386" s="33" t="n">
        <v>46034.3472222222</v>
      </c>
      <c r="G386" s="34" t="n">
        <f aca="false">F386-E386</f>
        <v>0.559027777777778</v>
      </c>
      <c r="H386" s="39" t="s">
        <v>252</v>
      </c>
      <c r="J386" s="39" t="s">
        <v>253</v>
      </c>
      <c r="K386" s="32" t="s">
        <v>266</v>
      </c>
      <c r="L386" s="32" t="s">
        <v>368</v>
      </c>
      <c r="M386" s="39" t="s">
        <v>255</v>
      </c>
      <c r="N386" s="39" t="s">
        <v>268</v>
      </c>
      <c r="O386" s="32" t="s">
        <v>269</v>
      </c>
      <c r="P386" s="40" t="str">
        <f aca="false">_xlfn.CONCAT(B386,C386,D386,E386,F386)</f>
        <v>ARAGUATINS 1.1Inverter(MBUS-15)46033.788194444446033.788194444446034.3472222222</v>
      </c>
      <c r="Q386" s="32" t="str">
        <f aca="false">_xlfn.CONCAT(H386,I386,J386)</f>
        <v>DAURDE</v>
      </c>
    </row>
    <row r="387" customFormat="false" ht="15" hidden="false" customHeight="false" outlineLevel="0" collapsed="false">
      <c r="B387" s="32" t="s">
        <v>361</v>
      </c>
      <c r="C387" s="32" t="s">
        <v>324</v>
      </c>
      <c r="D387" s="33" t="n">
        <v>46033.7881944444</v>
      </c>
      <c r="E387" s="33" t="n">
        <v>46033.7881944444</v>
      </c>
      <c r="F387" s="33" t="n">
        <v>46034.3472222222</v>
      </c>
      <c r="G387" s="34" t="n">
        <f aca="false">F387-E387</f>
        <v>0.559027777777778</v>
      </c>
      <c r="H387" s="39" t="s">
        <v>252</v>
      </c>
      <c r="J387" s="39" t="s">
        <v>253</v>
      </c>
      <c r="K387" s="32" t="s">
        <v>266</v>
      </c>
      <c r="L387" s="32" t="s">
        <v>368</v>
      </c>
      <c r="M387" s="39" t="s">
        <v>255</v>
      </c>
      <c r="N387" s="39" t="s">
        <v>268</v>
      </c>
      <c r="O387" s="32" t="s">
        <v>269</v>
      </c>
      <c r="P387" s="40" t="str">
        <f aca="false">_xlfn.CONCAT(B387,C387,D387,E387,F387)</f>
        <v>ARAGUATINS 1.2Inverter(MBUS-12)46033.788194444446033.788194444446034.3472222222</v>
      </c>
      <c r="Q387" s="32" t="str">
        <f aca="false">_xlfn.CONCAT(H387,I387,J387)</f>
        <v>DAURDE</v>
      </c>
    </row>
    <row r="388" customFormat="false" ht="15" hidden="false" customHeight="false" outlineLevel="0" collapsed="false">
      <c r="B388" s="32" t="s">
        <v>361</v>
      </c>
      <c r="C388" s="32" t="s">
        <v>326</v>
      </c>
      <c r="D388" s="33" t="n">
        <v>46033.7881944444</v>
      </c>
      <c r="E388" s="33" t="n">
        <v>46033.7881944444</v>
      </c>
      <c r="F388" s="33" t="n">
        <v>46034.3472222222</v>
      </c>
      <c r="G388" s="34" t="n">
        <f aca="false">F388-E388</f>
        <v>0.559027777777778</v>
      </c>
      <c r="H388" s="39" t="s">
        <v>252</v>
      </c>
      <c r="J388" s="39" t="s">
        <v>253</v>
      </c>
      <c r="K388" s="32" t="s">
        <v>266</v>
      </c>
      <c r="L388" s="32" t="s">
        <v>368</v>
      </c>
      <c r="M388" s="39" t="s">
        <v>255</v>
      </c>
      <c r="N388" s="39" t="s">
        <v>268</v>
      </c>
      <c r="O388" s="32" t="s">
        <v>269</v>
      </c>
      <c r="P388" s="40" t="str">
        <f aca="false">_xlfn.CONCAT(B388,C388,D388,E388,F388)</f>
        <v>ARAGUATINS 1.2Inverter(MBUS-13)46033.788194444446033.788194444446034.3472222222</v>
      </c>
      <c r="Q388" s="32" t="str">
        <f aca="false">_xlfn.CONCAT(H388,I388,J388)</f>
        <v>DAURDE</v>
      </c>
    </row>
    <row r="389" customFormat="false" ht="15" hidden="false" customHeight="false" outlineLevel="0" collapsed="false">
      <c r="B389" s="32" t="s">
        <v>361</v>
      </c>
      <c r="C389" s="32" t="s">
        <v>327</v>
      </c>
      <c r="D389" s="33" t="n">
        <v>46033.7881944444</v>
      </c>
      <c r="E389" s="33" t="n">
        <v>46033.7881944444</v>
      </c>
      <c r="F389" s="33" t="n">
        <v>46034.3472222222</v>
      </c>
      <c r="G389" s="34" t="n">
        <f aca="false">F389-E389</f>
        <v>0.559027777777778</v>
      </c>
      <c r="H389" s="39" t="s">
        <v>252</v>
      </c>
      <c r="J389" s="39" t="s">
        <v>253</v>
      </c>
      <c r="K389" s="32" t="s">
        <v>266</v>
      </c>
      <c r="L389" s="32" t="s">
        <v>368</v>
      </c>
      <c r="M389" s="39" t="s">
        <v>255</v>
      </c>
      <c r="N389" s="39" t="s">
        <v>268</v>
      </c>
      <c r="O389" s="32" t="s">
        <v>269</v>
      </c>
      <c r="P389" s="40" t="str">
        <f aca="false">_xlfn.CONCAT(B389,C389,D389,E389,F389)</f>
        <v>ARAGUATINS 1.2Inverter(MBUS-14)46033.788194444446033.788194444446034.3472222222</v>
      </c>
      <c r="Q389" s="32" t="str">
        <f aca="false">_xlfn.CONCAT(H389,I389,J389)</f>
        <v>DAURDE</v>
      </c>
    </row>
    <row r="390" customFormat="false" ht="15" hidden="false" customHeight="false" outlineLevel="0" collapsed="false">
      <c r="B390" s="32" t="s">
        <v>361</v>
      </c>
      <c r="C390" s="32" t="s">
        <v>328</v>
      </c>
      <c r="D390" s="33" t="n">
        <v>46033.7881944444</v>
      </c>
      <c r="E390" s="33" t="n">
        <v>46033.7881944444</v>
      </c>
      <c r="F390" s="33" t="n">
        <v>46034.3472222222</v>
      </c>
      <c r="G390" s="34" t="n">
        <f aca="false">F390-E390</f>
        <v>0.559027777777778</v>
      </c>
      <c r="H390" s="39" t="s">
        <v>252</v>
      </c>
      <c r="J390" s="39" t="s">
        <v>253</v>
      </c>
      <c r="K390" s="32" t="s">
        <v>266</v>
      </c>
      <c r="L390" s="32" t="s">
        <v>368</v>
      </c>
      <c r="M390" s="39" t="s">
        <v>255</v>
      </c>
      <c r="N390" s="39" t="s">
        <v>268</v>
      </c>
      <c r="O390" s="32" t="s">
        <v>269</v>
      </c>
      <c r="P390" s="40" t="str">
        <f aca="false">_xlfn.CONCAT(B390,C390,D390,E390,F390)</f>
        <v>ARAGUATINS 1.2Inverter(MBUS-15)46033.788194444446033.788194444446034.3472222222</v>
      </c>
      <c r="Q390" s="32" t="str">
        <f aca="false">_xlfn.CONCAT(H390,I390,J390)</f>
        <v>DAURDE</v>
      </c>
    </row>
    <row r="391" customFormat="false" ht="15" hidden="false" customHeight="false" outlineLevel="0" collapsed="false">
      <c r="B391" s="32" t="s">
        <v>362</v>
      </c>
      <c r="C391" s="32" t="s">
        <v>363</v>
      </c>
      <c r="D391" s="33" t="n">
        <v>46033.7881944444</v>
      </c>
      <c r="E391" s="33" t="n">
        <v>46033.7881944444</v>
      </c>
      <c r="F391" s="33" t="n">
        <v>46034.3472222222</v>
      </c>
      <c r="G391" s="34" t="n">
        <f aca="false">F391-E391</f>
        <v>0.559027777777778</v>
      </c>
      <c r="H391" s="39" t="s">
        <v>252</v>
      </c>
      <c r="J391" s="39" t="s">
        <v>253</v>
      </c>
      <c r="K391" s="32" t="s">
        <v>266</v>
      </c>
      <c r="L391" s="32" t="s">
        <v>368</v>
      </c>
      <c r="M391" s="39" t="s">
        <v>255</v>
      </c>
      <c r="N391" s="39" t="s">
        <v>268</v>
      </c>
      <c r="O391" s="32" t="s">
        <v>269</v>
      </c>
      <c r="P391" s="40" t="str">
        <f aca="false">_xlfn.CONCAT(B391,C391,D391,E391,F391)</f>
        <v>ARAGUATINS 1.3Inverter(MBUS-20)46033.788194444446033.788194444446034.3472222222</v>
      </c>
      <c r="Q391" s="32" t="str">
        <f aca="false">_xlfn.CONCAT(H391,I391,J391)</f>
        <v>DAURDE</v>
      </c>
    </row>
    <row r="392" customFormat="false" ht="15" hidden="false" customHeight="false" outlineLevel="0" collapsed="false">
      <c r="B392" s="32" t="s">
        <v>362</v>
      </c>
      <c r="C392" s="32" t="s">
        <v>265</v>
      </c>
      <c r="D392" s="33" t="n">
        <v>46033.7881944444</v>
      </c>
      <c r="E392" s="33" t="n">
        <v>46033.7881944444</v>
      </c>
      <c r="F392" s="33" t="n">
        <v>46034.3472222222</v>
      </c>
      <c r="G392" s="34" t="n">
        <f aca="false">F392-E392</f>
        <v>0.559027777777778</v>
      </c>
      <c r="H392" s="39" t="s">
        <v>252</v>
      </c>
      <c r="J392" s="39" t="s">
        <v>253</v>
      </c>
      <c r="K392" s="32" t="s">
        <v>266</v>
      </c>
      <c r="L392" s="32" t="s">
        <v>368</v>
      </c>
      <c r="M392" s="39" t="s">
        <v>255</v>
      </c>
      <c r="N392" s="39" t="s">
        <v>268</v>
      </c>
      <c r="O392" s="32" t="s">
        <v>269</v>
      </c>
      <c r="P392" s="40" t="str">
        <f aca="false">_xlfn.CONCAT(B392,C392,D392,E392,F392)</f>
        <v>ARAGUATINS 1.3Inverter(MBUS-1)46033.788194444446033.788194444446034.3472222222</v>
      </c>
      <c r="Q392" s="32" t="str">
        <f aca="false">_xlfn.CONCAT(H392,I392,J392)</f>
        <v>DAURDE</v>
      </c>
    </row>
    <row r="393" customFormat="false" ht="15" hidden="false" customHeight="false" outlineLevel="0" collapsed="false">
      <c r="B393" s="32" t="s">
        <v>367</v>
      </c>
      <c r="C393" s="32" t="s">
        <v>324</v>
      </c>
      <c r="D393" s="33" t="n">
        <v>46033.7881944444</v>
      </c>
      <c r="E393" s="33" t="n">
        <v>46033.7881944444</v>
      </c>
      <c r="F393" s="33" t="n">
        <v>46034.3472222222</v>
      </c>
      <c r="G393" s="34" t="n">
        <f aca="false">F393-E393</f>
        <v>0.559027777777778</v>
      </c>
      <c r="H393" s="39" t="s">
        <v>252</v>
      </c>
      <c r="J393" s="39" t="s">
        <v>253</v>
      </c>
      <c r="K393" s="32" t="s">
        <v>266</v>
      </c>
      <c r="L393" s="32" t="s">
        <v>368</v>
      </c>
      <c r="M393" s="39" t="s">
        <v>255</v>
      </c>
      <c r="N393" s="39" t="s">
        <v>268</v>
      </c>
      <c r="O393" s="32" t="s">
        <v>269</v>
      </c>
      <c r="P393" s="40" t="str">
        <f aca="false">_xlfn.CONCAT(B393,C393,D393,E393,F393)</f>
        <v>ARAGUATINS 2.1Inverter(MBUS-12)46033.788194444446033.788194444446034.3472222222</v>
      </c>
      <c r="Q393" s="32" t="str">
        <f aca="false">_xlfn.CONCAT(H393,I393,J393)</f>
        <v>DAURDE</v>
      </c>
    </row>
    <row r="394" customFormat="false" ht="15" hidden="false" customHeight="false" outlineLevel="0" collapsed="false">
      <c r="B394" s="32" t="s">
        <v>367</v>
      </c>
      <c r="C394" s="32" t="s">
        <v>328</v>
      </c>
      <c r="D394" s="33" t="n">
        <v>46033.7881944444</v>
      </c>
      <c r="E394" s="33" t="n">
        <v>46033.7881944444</v>
      </c>
      <c r="F394" s="33" t="n">
        <v>46034.3472222222</v>
      </c>
      <c r="G394" s="34" t="n">
        <f aca="false">F394-E394</f>
        <v>0.559027777777778</v>
      </c>
      <c r="H394" s="39" t="s">
        <v>252</v>
      </c>
      <c r="J394" s="39" t="s">
        <v>253</v>
      </c>
      <c r="K394" s="32" t="s">
        <v>266</v>
      </c>
      <c r="L394" s="32" t="s">
        <v>368</v>
      </c>
      <c r="M394" s="39" t="s">
        <v>255</v>
      </c>
      <c r="N394" s="39" t="s">
        <v>268</v>
      </c>
      <c r="O394" s="32" t="s">
        <v>269</v>
      </c>
      <c r="P394" s="40" t="str">
        <f aca="false">_xlfn.CONCAT(B394,C394,D394,E394,F394)</f>
        <v>ARAGUATINS 2.1Inverter(MBUS-15)46033.788194444446033.788194444446034.3472222222</v>
      </c>
      <c r="Q394" s="32" t="str">
        <f aca="false">_xlfn.CONCAT(H394,I394,J394)</f>
        <v>DAURDE</v>
      </c>
    </row>
    <row r="395" customFormat="false" ht="15" hidden="false" customHeight="false" outlineLevel="0" collapsed="false">
      <c r="B395" s="32" t="s">
        <v>367</v>
      </c>
      <c r="C395" s="32" t="s">
        <v>327</v>
      </c>
      <c r="D395" s="33" t="n">
        <v>46033.7881944444</v>
      </c>
      <c r="E395" s="33" t="n">
        <v>46033.7881944444</v>
      </c>
      <c r="F395" s="33" t="n">
        <v>46034.3472222222</v>
      </c>
      <c r="G395" s="34" t="n">
        <f aca="false">F395-E395</f>
        <v>0.559027777777778</v>
      </c>
      <c r="H395" s="39" t="s">
        <v>252</v>
      </c>
      <c r="J395" s="39" t="s">
        <v>253</v>
      </c>
      <c r="K395" s="32" t="s">
        <v>266</v>
      </c>
      <c r="L395" s="32" t="s">
        <v>368</v>
      </c>
      <c r="M395" s="39" t="s">
        <v>255</v>
      </c>
      <c r="N395" s="39" t="s">
        <v>268</v>
      </c>
      <c r="O395" s="32" t="s">
        <v>269</v>
      </c>
      <c r="P395" s="40" t="str">
        <f aca="false">_xlfn.CONCAT(B395,C395,D395,E395,F395)</f>
        <v>ARAGUATINS 2.1Inverter(MBUS-14)46033.788194444446033.788194444446034.3472222222</v>
      </c>
      <c r="Q395" s="32" t="str">
        <f aca="false">_xlfn.CONCAT(H395,I395,J395)</f>
        <v>DAURDE</v>
      </c>
    </row>
    <row r="396" customFormat="false" ht="15" hidden="false" customHeight="false" outlineLevel="0" collapsed="false">
      <c r="B396" s="32" t="s">
        <v>367</v>
      </c>
      <c r="C396" s="32" t="s">
        <v>265</v>
      </c>
      <c r="D396" s="33" t="n">
        <v>46033.7881944444</v>
      </c>
      <c r="E396" s="33" t="n">
        <v>46033.7881944444</v>
      </c>
      <c r="F396" s="33" t="n">
        <v>46034.3472222222</v>
      </c>
      <c r="G396" s="34" t="n">
        <f aca="false">F396-E396</f>
        <v>0.559027777777778</v>
      </c>
      <c r="H396" s="39" t="s">
        <v>252</v>
      </c>
      <c r="J396" s="39" t="s">
        <v>253</v>
      </c>
      <c r="K396" s="32" t="s">
        <v>266</v>
      </c>
      <c r="L396" s="32" t="s">
        <v>368</v>
      </c>
      <c r="M396" s="39" t="s">
        <v>255</v>
      </c>
      <c r="N396" s="39" t="s">
        <v>268</v>
      </c>
      <c r="O396" s="32" t="s">
        <v>269</v>
      </c>
      <c r="P396" s="40" t="str">
        <f aca="false">_xlfn.CONCAT(B396,C396,D396,E396,F396)</f>
        <v>ARAGUATINS 2.1Inverter(MBUS-1)46033.788194444446033.788194444446034.3472222222</v>
      </c>
      <c r="Q396" s="32" t="str">
        <f aca="false">_xlfn.CONCAT(H396,I396,J396)</f>
        <v>DAURDE</v>
      </c>
    </row>
    <row r="397" customFormat="false" ht="15" hidden="false" customHeight="false" outlineLevel="0" collapsed="false">
      <c r="B397" s="32" t="s">
        <v>460</v>
      </c>
      <c r="C397" s="32" t="s">
        <v>328</v>
      </c>
      <c r="D397" s="33" t="n">
        <v>46033.7881944444</v>
      </c>
      <c r="E397" s="33" t="n">
        <v>46033.7881944444</v>
      </c>
      <c r="F397" s="33" t="n">
        <v>46034.3472222222</v>
      </c>
      <c r="G397" s="34" t="n">
        <f aca="false">F397-E397</f>
        <v>0.559027777777778</v>
      </c>
      <c r="H397" s="39" t="s">
        <v>252</v>
      </c>
      <c r="J397" s="39" t="s">
        <v>253</v>
      </c>
      <c r="K397" s="32" t="s">
        <v>266</v>
      </c>
      <c r="L397" s="32" t="s">
        <v>368</v>
      </c>
      <c r="M397" s="39" t="s">
        <v>255</v>
      </c>
      <c r="N397" s="39" t="s">
        <v>268</v>
      </c>
      <c r="O397" s="32" t="s">
        <v>269</v>
      </c>
      <c r="P397" s="40" t="str">
        <f aca="false">_xlfn.CONCAT(B397,C397,D397,E397,F397)</f>
        <v>ARAGUATINS 2.2Inverter(MBUS-15)46033.788194444446033.788194444446034.3472222222</v>
      </c>
      <c r="Q397" s="32" t="str">
        <f aca="false">_xlfn.CONCAT(H397,I397,J397)</f>
        <v>DAURDE</v>
      </c>
    </row>
    <row r="398" customFormat="false" ht="15" hidden="false" customHeight="false" outlineLevel="0" collapsed="false">
      <c r="B398" s="32" t="s">
        <v>460</v>
      </c>
      <c r="C398" s="32" t="s">
        <v>326</v>
      </c>
      <c r="D398" s="33" t="n">
        <v>46033.7881944444</v>
      </c>
      <c r="E398" s="33" t="n">
        <v>46033.7881944444</v>
      </c>
      <c r="F398" s="33" t="n">
        <v>46034.3472222222</v>
      </c>
      <c r="G398" s="34" t="n">
        <f aca="false">F398-E398</f>
        <v>0.559027777777778</v>
      </c>
      <c r="H398" s="39" t="s">
        <v>252</v>
      </c>
      <c r="J398" s="39" t="s">
        <v>253</v>
      </c>
      <c r="K398" s="32" t="s">
        <v>266</v>
      </c>
      <c r="L398" s="32" t="s">
        <v>368</v>
      </c>
      <c r="M398" s="39" t="s">
        <v>255</v>
      </c>
      <c r="N398" s="39" t="s">
        <v>268</v>
      </c>
      <c r="O398" s="32" t="s">
        <v>269</v>
      </c>
      <c r="P398" s="40" t="str">
        <f aca="false">_xlfn.CONCAT(B398,C398,D398,E398,F398)</f>
        <v>ARAGUATINS 2.2Inverter(MBUS-13)46033.788194444446033.788194444446034.3472222222</v>
      </c>
      <c r="Q398" s="32" t="str">
        <f aca="false">_xlfn.CONCAT(H398,I398,J398)</f>
        <v>DAURDE</v>
      </c>
    </row>
    <row r="399" customFormat="false" ht="15" hidden="false" customHeight="false" outlineLevel="0" collapsed="false">
      <c r="B399" s="32" t="s">
        <v>460</v>
      </c>
      <c r="C399" s="32" t="s">
        <v>327</v>
      </c>
      <c r="D399" s="33" t="n">
        <v>46033.7881944444</v>
      </c>
      <c r="E399" s="33" t="n">
        <v>46033.7881944444</v>
      </c>
      <c r="F399" s="33" t="n">
        <v>46034.3472222222</v>
      </c>
      <c r="G399" s="34" t="n">
        <f aca="false">F399-E399</f>
        <v>0.559027777777778</v>
      </c>
      <c r="H399" s="39" t="s">
        <v>252</v>
      </c>
      <c r="J399" s="39" t="s">
        <v>253</v>
      </c>
      <c r="K399" s="32" t="s">
        <v>266</v>
      </c>
      <c r="L399" s="32" t="s">
        <v>368</v>
      </c>
      <c r="M399" s="39" t="s">
        <v>255</v>
      </c>
      <c r="N399" s="39" t="s">
        <v>268</v>
      </c>
      <c r="O399" s="32" t="s">
        <v>269</v>
      </c>
      <c r="P399" s="40" t="str">
        <f aca="false">_xlfn.CONCAT(B399,C399,D399,E399,F399)</f>
        <v>ARAGUATINS 2.2Inverter(MBUS-14)46033.788194444446033.788194444446034.3472222222</v>
      </c>
      <c r="Q399" s="32" t="str">
        <f aca="false">_xlfn.CONCAT(H399,I399,J399)</f>
        <v>DAURDE</v>
      </c>
    </row>
    <row r="400" customFormat="false" ht="15" hidden="false" customHeight="false" outlineLevel="0" collapsed="false">
      <c r="B400" s="32" t="s">
        <v>460</v>
      </c>
      <c r="C400" s="32" t="s">
        <v>324</v>
      </c>
      <c r="D400" s="33" t="n">
        <v>46033.7881944444</v>
      </c>
      <c r="E400" s="33" t="n">
        <v>46033.7881944444</v>
      </c>
      <c r="F400" s="33" t="n">
        <v>46034.3472222222</v>
      </c>
      <c r="G400" s="34" t="n">
        <f aca="false">F400-E400</f>
        <v>0.559027777777778</v>
      </c>
      <c r="H400" s="39" t="s">
        <v>252</v>
      </c>
      <c r="J400" s="39" t="s">
        <v>253</v>
      </c>
      <c r="K400" s="32" t="s">
        <v>266</v>
      </c>
      <c r="L400" s="32" t="s">
        <v>368</v>
      </c>
      <c r="M400" s="39" t="s">
        <v>255</v>
      </c>
      <c r="N400" s="39" t="s">
        <v>268</v>
      </c>
      <c r="O400" s="32" t="s">
        <v>269</v>
      </c>
      <c r="P400" s="40" t="str">
        <f aca="false">_xlfn.CONCAT(B400,C400,D400,E400,F400)</f>
        <v>ARAGUATINS 2.2Inverter(MBUS-12)46033.788194444446033.788194444446034.3472222222</v>
      </c>
      <c r="Q400" s="32" t="str">
        <f aca="false">_xlfn.CONCAT(H400,I400,J400)</f>
        <v>DAURDE</v>
      </c>
    </row>
    <row r="401" customFormat="false" ht="15" hidden="false" customHeight="false" outlineLevel="0" collapsed="false">
      <c r="B401" s="32" t="s">
        <v>461</v>
      </c>
      <c r="C401" s="32" t="s">
        <v>324</v>
      </c>
      <c r="D401" s="33" t="n">
        <v>46033.7881944444</v>
      </c>
      <c r="E401" s="33" t="n">
        <v>46033.7881944444</v>
      </c>
      <c r="F401" s="33" t="n">
        <v>46034.3472222222</v>
      </c>
      <c r="G401" s="34" t="n">
        <f aca="false">F401-E401</f>
        <v>0.559027777777778</v>
      </c>
      <c r="H401" s="39" t="s">
        <v>252</v>
      </c>
      <c r="J401" s="39" t="s">
        <v>253</v>
      </c>
      <c r="K401" s="32" t="s">
        <v>266</v>
      </c>
      <c r="L401" s="32" t="s">
        <v>368</v>
      </c>
      <c r="M401" s="39" t="s">
        <v>255</v>
      </c>
      <c r="N401" s="39" t="s">
        <v>268</v>
      </c>
      <c r="O401" s="32" t="s">
        <v>269</v>
      </c>
      <c r="P401" s="40" t="str">
        <f aca="false">_xlfn.CONCAT(B401,C401,D401,E401,F401)</f>
        <v>ARAGUATINS 2.3Inverter(MBUS-12)46033.788194444446033.788194444446034.3472222222</v>
      </c>
      <c r="Q401" s="32" t="str">
        <f aca="false">_xlfn.CONCAT(H401,I401,J401)</f>
        <v>DAURDE</v>
      </c>
    </row>
    <row r="402" customFormat="false" ht="15" hidden="false" customHeight="false" outlineLevel="0" collapsed="false">
      <c r="B402" s="32" t="s">
        <v>461</v>
      </c>
      <c r="C402" s="32" t="s">
        <v>326</v>
      </c>
      <c r="D402" s="33" t="n">
        <v>46033.7881944444</v>
      </c>
      <c r="E402" s="33" t="n">
        <v>46033.7881944444</v>
      </c>
      <c r="F402" s="33" t="n">
        <v>46034.3472222222</v>
      </c>
      <c r="G402" s="34" t="n">
        <f aca="false">F402-E402</f>
        <v>0.559027777777778</v>
      </c>
      <c r="H402" s="39" t="s">
        <v>252</v>
      </c>
      <c r="J402" s="39" t="s">
        <v>253</v>
      </c>
      <c r="K402" s="32" t="s">
        <v>266</v>
      </c>
      <c r="L402" s="32" t="s">
        <v>368</v>
      </c>
      <c r="M402" s="39" t="s">
        <v>255</v>
      </c>
      <c r="N402" s="39" t="s">
        <v>268</v>
      </c>
      <c r="O402" s="32" t="s">
        <v>269</v>
      </c>
      <c r="P402" s="40" t="str">
        <f aca="false">_xlfn.CONCAT(B402,C402,D402,E402,F402)</f>
        <v>ARAGUATINS 2.3Inverter(MBUS-13)46033.788194444446033.788194444446034.3472222222</v>
      </c>
      <c r="Q402" s="32" t="str">
        <f aca="false">_xlfn.CONCAT(H402,I402,J402)</f>
        <v>DAURDE</v>
      </c>
    </row>
    <row r="403" customFormat="false" ht="15" hidden="false" customHeight="false" outlineLevel="0" collapsed="false">
      <c r="B403" s="32" t="s">
        <v>264</v>
      </c>
      <c r="C403" s="32" t="s">
        <v>265</v>
      </c>
      <c r="D403" s="33" t="n">
        <v>46034.1180555556</v>
      </c>
      <c r="E403" s="33" t="n">
        <v>46034.1180555556</v>
      </c>
      <c r="F403" s="33" t="n">
        <v>46034.29375</v>
      </c>
      <c r="G403" s="34" t="n">
        <f aca="false">F403-E403</f>
        <v>0.175694444444444</v>
      </c>
      <c r="H403" s="39" t="s">
        <v>252</v>
      </c>
      <c r="J403" s="39" t="s">
        <v>253</v>
      </c>
      <c r="K403" s="32" t="s">
        <v>266</v>
      </c>
      <c r="L403" s="32" t="s">
        <v>267</v>
      </c>
      <c r="M403" s="39" t="s">
        <v>255</v>
      </c>
      <c r="N403" s="39" t="s">
        <v>268</v>
      </c>
      <c r="O403" s="32" t="s">
        <v>269</v>
      </c>
      <c r="P403" s="40" t="str">
        <f aca="false">_xlfn.CONCAT(B403,C403,D403,E403,F403)</f>
        <v>BC Aracu5.1Inverter(MBUS-1)46034.118055555646034.118055555646034.29375</v>
      </c>
      <c r="Q403" s="32" t="str">
        <f aca="false">_xlfn.CONCAT(H403,I403,J403)</f>
        <v>DAURDE</v>
      </c>
    </row>
    <row r="404" customFormat="false" ht="15" hidden="false" customHeight="false" outlineLevel="0" collapsed="false">
      <c r="B404" s="32" t="s">
        <v>270</v>
      </c>
      <c r="C404" s="32" t="s">
        <v>265</v>
      </c>
      <c r="D404" s="33" t="n">
        <v>46034.1180555556</v>
      </c>
      <c r="E404" s="33" t="n">
        <v>46034.1180555556</v>
      </c>
      <c r="F404" s="33" t="n">
        <v>46034.29375</v>
      </c>
      <c r="G404" s="34" t="n">
        <f aca="false">F404-E404</f>
        <v>0.175694444444444</v>
      </c>
      <c r="H404" s="39" t="s">
        <v>252</v>
      </c>
      <c r="J404" s="39" t="s">
        <v>253</v>
      </c>
      <c r="K404" s="32" t="s">
        <v>266</v>
      </c>
      <c r="L404" s="32" t="s">
        <v>267</v>
      </c>
      <c r="M404" s="39" t="s">
        <v>255</v>
      </c>
      <c r="N404" s="39" t="s">
        <v>268</v>
      </c>
      <c r="O404" s="32" t="s">
        <v>269</v>
      </c>
      <c r="P404" s="40" t="str">
        <f aca="false">_xlfn.CONCAT(B404,C404,D404,E404,F404)</f>
        <v>BC Aracu5.2Inverter(MBUS-1)46034.118055555646034.118055555646034.29375</v>
      </c>
      <c r="Q404" s="32" t="str">
        <f aca="false">_xlfn.CONCAT(H404,I404,J404)</f>
        <v>DAURDE</v>
      </c>
    </row>
    <row r="405" customFormat="false" ht="15" hidden="false" customHeight="false" outlineLevel="0" collapsed="false">
      <c r="B405" s="32" t="s">
        <v>271</v>
      </c>
      <c r="C405" s="32" t="s">
        <v>265</v>
      </c>
      <c r="D405" s="33" t="n">
        <v>46034.1180555556</v>
      </c>
      <c r="E405" s="33" t="n">
        <v>46034.1180555556</v>
      </c>
      <c r="F405" s="33" t="n">
        <v>46034.29375</v>
      </c>
      <c r="G405" s="34" t="n">
        <f aca="false">F405-E405</f>
        <v>0.175694444444444</v>
      </c>
      <c r="H405" s="39" t="s">
        <v>252</v>
      </c>
      <c r="J405" s="39" t="s">
        <v>253</v>
      </c>
      <c r="K405" s="32" t="s">
        <v>266</v>
      </c>
      <c r="L405" s="32" t="s">
        <v>267</v>
      </c>
      <c r="M405" s="39" t="s">
        <v>255</v>
      </c>
      <c r="N405" s="39" t="s">
        <v>268</v>
      </c>
      <c r="O405" s="32" t="s">
        <v>269</v>
      </c>
      <c r="P405" s="40" t="str">
        <f aca="false">_xlfn.CONCAT(B405,C405,D405,E405,F405)</f>
        <v>BC Aracu5.3Inverter(MBUS-1)46034.118055555646034.118055555646034.29375</v>
      </c>
      <c r="Q405" s="32" t="str">
        <f aca="false">_xlfn.CONCAT(H405,I405,J405)</f>
        <v>DAURDE</v>
      </c>
    </row>
    <row r="406" customFormat="false" ht="15" hidden="false" customHeight="false" outlineLevel="0" collapsed="false">
      <c r="B406" s="32" t="s">
        <v>272</v>
      </c>
      <c r="C406" s="32" t="s">
        <v>265</v>
      </c>
      <c r="D406" s="33" t="n">
        <v>46034.1180555556</v>
      </c>
      <c r="E406" s="33" t="n">
        <v>46034.1180555556</v>
      </c>
      <c r="F406" s="33" t="n">
        <v>46034.29375</v>
      </c>
      <c r="G406" s="34" t="n">
        <f aca="false">F406-E406</f>
        <v>0.175694444444444</v>
      </c>
      <c r="H406" s="39" t="s">
        <v>252</v>
      </c>
      <c r="J406" s="39" t="s">
        <v>253</v>
      </c>
      <c r="K406" s="32" t="s">
        <v>266</v>
      </c>
      <c r="L406" s="32" t="s">
        <v>267</v>
      </c>
      <c r="M406" s="39" t="s">
        <v>255</v>
      </c>
      <c r="N406" s="39" t="s">
        <v>268</v>
      </c>
      <c r="O406" s="32" t="s">
        <v>269</v>
      </c>
      <c r="P406" s="40" t="str">
        <f aca="false">_xlfn.CONCAT(B406,C406,D406,E406,F406)</f>
        <v>BC Aracu5.4Inverter(MBUS-1)46034.118055555646034.118055555646034.29375</v>
      </c>
      <c r="Q406" s="32" t="str">
        <f aca="false">_xlfn.CONCAT(H406,I406,J406)</f>
        <v>DAURDE</v>
      </c>
    </row>
    <row r="407" customFormat="false" ht="15" hidden="false" customHeight="false" outlineLevel="0" collapsed="false">
      <c r="B407" s="32" t="s">
        <v>273</v>
      </c>
      <c r="C407" s="32" t="s">
        <v>265</v>
      </c>
      <c r="D407" s="33" t="n">
        <v>46034.1180555556</v>
      </c>
      <c r="E407" s="33" t="n">
        <v>46034.1180555556</v>
      </c>
      <c r="F407" s="33" t="n">
        <v>46034.29375</v>
      </c>
      <c r="G407" s="34" t="n">
        <f aca="false">F407-E407</f>
        <v>0.175694444444444</v>
      </c>
      <c r="H407" s="39" t="s">
        <v>252</v>
      </c>
      <c r="J407" s="39" t="s">
        <v>253</v>
      </c>
      <c r="K407" s="32" t="s">
        <v>266</v>
      </c>
      <c r="L407" s="32" t="s">
        <v>267</v>
      </c>
      <c r="M407" s="39" t="s">
        <v>255</v>
      </c>
      <c r="N407" s="39" t="s">
        <v>268</v>
      </c>
      <c r="O407" s="32" t="s">
        <v>269</v>
      </c>
      <c r="P407" s="40" t="str">
        <f aca="false">_xlfn.CONCAT(B407,C407,D407,E407,F407)</f>
        <v>BC Aracu5.5Inverter(MBUS-1)46034.118055555646034.118055555646034.29375</v>
      </c>
      <c r="Q407" s="32" t="str">
        <f aca="false">_xlfn.CONCAT(H407,I407,J407)</f>
        <v>DAURDE</v>
      </c>
    </row>
    <row r="408" customFormat="false" ht="15" hidden="false" customHeight="false" outlineLevel="0" collapsed="false">
      <c r="B408" s="32" t="s">
        <v>358</v>
      </c>
      <c r="C408" s="32" t="s">
        <v>324</v>
      </c>
      <c r="D408" s="33" t="n">
        <v>46034.3958333333</v>
      </c>
      <c r="E408" s="33" t="n">
        <v>46034.3958333333</v>
      </c>
      <c r="F408" s="33" t="n">
        <v>46035.3402777778</v>
      </c>
      <c r="G408" s="34" t="n">
        <f aca="false">F408-E408</f>
        <v>0.944444444444444</v>
      </c>
      <c r="H408" s="39" t="s">
        <v>252</v>
      </c>
      <c r="J408" s="39" t="s">
        <v>253</v>
      </c>
      <c r="K408" s="32" t="s">
        <v>266</v>
      </c>
      <c r="L408" s="32" t="s">
        <v>462</v>
      </c>
      <c r="M408" s="39" t="s">
        <v>255</v>
      </c>
      <c r="N408" s="39" t="s">
        <v>268</v>
      </c>
      <c r="O408" s="32" t="s">
        <v>269</v>
      </c>
      <c r="P408" s="40" t="str">
        <f aca="false">_xlfn.CONCAT(B408,C408,D408,E408,F408)</f>
        <v>ARAGUATINS 1.1Inverter(MBUS-12)46034.395833333346034.395833333346035.3402777778</v>
      </c>
      <c r="Q408" s="32" t="str">
        <f aca="false">_xlfn.CONCAT(H408,I408,J408)</f>
        <v>DAURDE</v>
      </c>
    </row>
    <row r="409" customFormat="false" ht="15" hidden="false" customHeight="false" outlineLevel="0" collapsed="false">
      <c r="B409" s="32" t="s">
        <v>358</v>
      </c>
      <c r="C409" s="32" t="s">
        <v>326</v>
      </c>
      <c r="D409" s="33" t="n">
        <v>46034.3958333333</v>
      </c>
      <c r="E409" s="33" t="n">
        <v>46034.3958333333</v>
      </c>
      <c r="F409" s="33" t="n">
        <v>46035.3402777778</v>
      </c>
      <c r="G409" s="34" t="n">
        <f aca="false">F409-E409</f>
        <v>0.944444444444444</v>
      </c>
      <c r="H409" s="39" t="s">
        <v>252</v>
      </c>
      <c r="J409" s="39" t="s">
        <v>253</v>
      </c>
      <c r="K409" s="32" t="s">
        <v>266</v>
      </c>
      <c r="L409" s="32" t="s">
        <v>462</v>
      </c>
      <c r="M409" s="39" t="s">
        <v>255</v>
      </c>
      <c r="N409" s="39" t="s">
        <v>268</v>
      </c>
      <c r="O409" s="32" t="s">
        <v>269</v>
      </c>
      <c r="P409" s="40" t="str">
        <f aca="false">_xlfn.CONCAT(B409,C409,D409,E409,F409)</f>
        <v>ARAGUATINS 1.1Inverter(MBUS-13)46034.395833333346034.395833333346035.3402777778</v>
      </c>
      <c r="Q409" s="32" t="str">
        <f aca="false">_xlfn.CONCAT(H409,I409,J409)</f>
        <v>DAURDE</v>
      </c>
    </row>
    <row r="410" customFormat="false" ht="15" hidden="false" customHeight="false" outlineLevel="0" collapsed="false">
      <c r="B410" s="32" t="s">
        <v>358</v>
      </c>
      <c r="C410" s="32" t="s">
        <v>327</v>
      </c>
      <c r="D410" s="33" t="n">
        <v>46034.3958333333</v>
      </c>
      <c r="E410" s="33" t="n">
        <v>46034.3958333333</v>
      </c>
      <c r="F410" s="33" t="n">
        <v>46035.3402777778</v>
      </c>
      <c r="G410" s="34" t="n">
        <f aca="false">F410-E410</f>
        <v>0.944444444444444</v>
      </c>
      <c r="H410" s="39" t="s">
        <v>252</v>
      </c>
      <c r="J410" s="39" t="s">
        <v>253</v>
      </c>
      <c r="K410" s="32" t="s">
        <v>266</v>
      </c>
      <c r="L410" s="32" t="s">
        <v>462</v>
      </c>
      <c r="M410" s="39" t="s">
        <v>255</v>
      </c>
      <c r="N410" s="39" t="s">
        <v>268</v>
      </c>
      <c r="O410" s="32" t="s">
        <v>269</v>
      </c>
      <c r="P410" s="40" t="str">
        <f aca="false">_xlfn.CONCAT(B410,C410,D410,E410,F410)</f>
        <v>ARAGUATINS 1.1Inverter(MBUS-14)46034.395833333346034.395833333346035.3402777778</v>
      </c>
      <c r="Q410" s="32" t="str">
        <f aca="false">_xlfn.CONCAT(H410,I410,J410)</f>
        <v>DAURDE</v>
      </c>
    </row>
    <row r="411" customFormat="false" ht="15" hidden="false" customHeight="false" outlineLevel="0" collapsed="false">
      <c r="B411" s="32" t="s">
        <v>358</v>
      </c>
      <c r="C411" s="32" t="s">
        <v>328</v>
      </c>
      <c r="D411" s="33" t="n">
        <v>46034.3958333333</v>
      </c>
      <c r="E411" s="33" t="n">
        <v>46034.3958333333</v>
      </c>
      <c r="F411" s="33" t="n">
        <v>46035.3402777778</v>
      </c>
      <c r="G411" s="34" t="n">
        <f aca="false">F411-E411</f>
        <v>0.944444444444444</v>
      </c>
      <c r="H411" s="39" t="s">
        <v>252</v>
      </c>
      <c r="J411" s="39" t="s">
        <v>253</v>
      </c>
      <c r="K411" s="32" t="s">
        <v>266</v>
      </c>
      <c r="L411" s="32" t="s">
        <v>462</v>
      </c>
      <c r="M411" s="39" t="s">
        <v>255</v>
      </c>
      <c r="N411" s="39" t="s">
        <v>268</v>
      </c>
      <c r="O411" s="32" t="s">
        <v>269</v>
      </c>
      <c r="P411" s="40" t="str">
        <f aca="false">_xlfn.CONCAT(B411,C411,D411,E411,F411)</f>
        <v>ARAGUATINS 1.1Inverter(MBUS-15)46034.395833333346034.395833333346035.3402777778</v>
      </c>
      <c r="Q411" s="32" t="str">
        <f aca="false">_xlfn.CONCAT(H411,I411,J411)</f>
        <v>DAURDE</v>
      </c>
    </row>
    <row r="412" customFormat="false" ht="15" hidden="false" customHeight="false" outlineLevel="0" collapsed="false">
      <c r="B412" s="32" t="s">
        <v>361</v>
      </c>
      <c r="C412" s="32" t="s">
        <v>324</v>
      </c>
      <c r="D412" s="33" t="n">
        <v>46034.3958333333</v>
      </c>
      <c r="E412" s="33" t="n">
        <v>46034.3958333333</v>
      </c>
      <c r="F412" s="33" t="n">
        <v>46035.3402777778</v>
      </c>
      <c r="G412" s="34" t="n">
        <f aca="false">F412-E412</f>
        <v>0.944444444444444</v>
      </c>
      <c r="H412" s="39" t="s">
        <v>252</v>
      </c>
      <c r="J412" s="39" t="s">
        <v>253</v>
      </c>
      <c r="K412" s="32" t="s">
        <v>266</v>
      </c>
      <c r="L412" s="32" t="s">
        <v>462</v>
      </c>
      <c r="M412" s="39" t="s">
        <v>255</v>
      </c>
      <c r="N412" s="39" t="s">
        <v>268</v>
      </c>
      <c r="O412" s="32" t="s">
        <v>269</v>
      </c>
      <c r="P412" s="40" t="str">
        <f aca="false">_xlfn.CONCAT(B412,C412,D412,E412,F412)</f>
        <v>ARAGUATINS 1.2Inverter(MBUS-12)46034.395833333346034.395833333346035.3402777778</v>
      </c>
      <c r="Q412" s="32" t="str">
        <f aca="false">_xlfn.CONCAT(H412,I412,J412)</f>
        <v>DAURDE</v>
      </c>
    </row>
    <row r="413" customFormat="false" ht="15" hidden="false" customHeight="false" outlineLevel="0" collapsed="false">
      <c r="B413" s="32" t="s">
        <v>361</v>
      </c>
      <c r="C413" s="32" t="s">
        <v>326</v>
      </c>
      <c r="D413" s="33" t="n">
        <v>46034.3958333333</v>
      </c>
      <c r="E413" s="33" t="n">
        <v>46034.3958333333</v>
      </c>
      <c r="F413" s="33" t="n">
        <v>46035.3402777778</v>
      </c>
      <c r="G413" s="34" t="n">
        <f aca="false">F413-E413</f>
        <v>0.944444444444444</v>
      </c>
      <c r="H413" s="39" t="s">
        <v>252</v>
      </c>
      <c r="J413" s="39" t="s">
        <v>253</v>
      </c>
      <c r="K413" s="32" t="s">
        <v>266</v>
      </c>
      <c r="L413" s="32" t="s">
        <v>462</v>
      </c>
      <c r="M413" s="39" t="s">
        <v>255</v>
      </c>
      <c r="N413" s="39" t="s">
        <v>268</v>
      </c>
      <c r="O413" s="32" t="s">
        <v>269</v>
      </c>
      <c r="P413" s="40" t="str">
        <f aca="false">_xlfn.CONCAT(B413,C413,D413,E413,F413)</f>
        <v>ARAGUATINS 1.2Inverter(MBUS-13)46034.395833333346034.395833333346035.3402777778</v>
      </c>
      <c r="Q413" s="32" t="str">
        <f aca="false">_xlfn.CONCAT(H413,I413,J413)</f>
        <v>DAURDE</v>
      </c>
    </row>
    <row r="414" customFormat="false" ht="15" hidden="false" customHeight="false" outlineLevel="0" collapsed="false">
      <c r="B414" s="32" t="s">
        <v>361</v>
      </c>
      <c r="C414" s="32" t="s">
        <v>327</v>
      </c>
      <c r="D414" s="33" t="n">
        <v>46034.3958333333</v>
      </c>
      <c r="E414" s="33" t="n">
        <v>46034.3958333333</v>
      </c>
      <c r="F414" s="33" t="n">
        <v>46035.3402777778</v>
      </c>
      <c r="G414" s="34" t="n">
        <f aca="false">F414-E414</f>
        <v>0.944444444444444</v>
      </c>
      <c r="H414" s="39" t="s">
        <v>252</v>
      </c>
      <c r="J414" s="39" t="s">
        <v>253</v>
      </c>
      <c r="K414" s="32" t="s">
        <v>266</v>
      </c>
      <c r="L414" s="32" t="s">
        <v>462</v>
      </c>
      <c r="M414" s="39" t="s">
        <v>255</v>
      </c>
      <c r="N414" s="39" t="s">
        <v>268</v>
      </c>
      <c r="O414" s="32" t="s">
        <v>269</v>
      </c>
      <c r="P414" s="40" t="str">
        <f aca="false">_xlfn.CONCAT(B414,C414,D414,E414,F414)</f>
        <v>ARAGUATINS 1.2Inverter(MBUS-14)46034.395833333346034.395833333346035.3402777778</v>
      </c>
      <c r="Q414" s="32" t="str">
        <f aca="false">_xlfn.CONCAT(H414,I414,J414)</f>
        <v>DAURDE</v>
      </c>
    </row>
    <row r="415" customFormat="false" ht="15" hidden="false" customHeight="false" outlineLevel="0" collapsed="false">
      <c r="B415" s="32" t="s">
        <v>361</v>
      </c>
      <c r="C415" s="32" t="s">
        <v>328</v>
      </c>
      <c r="D415" s="33" t="n">
        <v>46034.3958333333</v>
      </c>
      <c r="E415" s="33" t="n">
        <v>46034.3958333333</v>
      </c>
      <c r="F415" s="33" t="n">
        <v>46035.3402777778</v>
      </c>
      <c r="G415" s="34" t="n">
        <f aca="false">F415-E415</f>
        <v>0.944444444444444</v>
      </c>
      <c r="H415" s="39" t="s">
        <v>252</v>
      </c>
      <c r="J415" s="39" t="s">
        <v>253</v>
      </c>
      <c r="K415" s="32" t="s">
        <v>266</v>
      </c>
      <c r="L415" s="32" t="s">
        <v>462</v>
      </c>
      <c r="M415" s="39" t="s">
        <v>255</v>
      </c>
      <c r="N415" s="39" t="s">
        <v>268</v>
      </c>
      <c r="O415" s="32" t="s">
        <v>269</v>
      </c>
      <c r="P415" s="40" t="str">
        <f aca="false">_xlfn.CONCAT(B415,C415,D415,E415,F415)</f>
        <v>ARAGUATINS 1.2Inverter(MBUS-15)46034.395833333346034.395833333346035.3402777778</v>
      </c>
      <c r="Q415" s="32" t="str">
        <f aca="false">_xlfn.CONCAT(H415,I415,J415)</f>
        <v>DAURDE</v>
      </c>
    </row>
    <row r="416" customFormat="false" ht="15" hidden="false" customHeight="false" outlineLevel="0" collapsed="false">
      <c r="B416" s="32" t="s">
        <v>362</v>
      </c>
      <c r="C416" s="32" t="s">
        <v>363</v>
      </c>
      <c r="D416" s="33" t="n">
        <v>46034.3958333333</v>
      </c>
      <c r="E416" s="33" t="n">
        <v>46034.3958333333</v>
      </c>
      <c r="F416" s="33" t="n">
        <v>46035.3402777778</v>
      </c>
      <c r="G416" s="34" t="n">
        <f aca="false">F416-E416</f>
        <v>0.944444444444444</v>
      </c>
      <c r="H416" s="39" t="s">
        <v>252</v>
      </c>
      <c r="J416" s="39" t="s">
        <v>253</v>
      </c>
      <c r="K416" s="32" t="s">
        <v>266</v>
      </c>
      <c r="L416" s="32" t="s">
        <v>462</v>
      </c>
      <c r="M416" s="39" t="s">
        <v>255</v>
      </c>
      <c r="N416" s="39" t="s">
        <v>268</v>
      </c>
      <c r="O416" s="32" t="s">
        <v>269</v>
      </c>
      <c r="P416" s="40" t="str">
        <f aca="false">_xlfn.CONCAT(B416,C416,D416,E416,F416)</f>
        <v>ARAGUATINS 1.3Inverter(MBUS-20)46034.395833333346034.395833333346035.3402777778</v>
      </c>
      <c r="Q416" s="32" t="str">
        <f aca="false">_xlfn.CONCAT(H416,I416,J416)</f>
        <v>DAURDE</v>
      </c>
    </row>
    <row r="417" customFormat="false" ht="15" hidden="false" customHeight="false" outlineLevel="0" collapsed="false">
      <c r="B417" s="32" t="s">
        <v>362</v>
      </c>
      <c r="C417" s="32" t="s">
        <v>265</v>
      </c>
      <c r="D417" s="33" t="n">
        <v>46034.3958333333</v>
      </c>
      <c r="E417" s="33" t="n">
        <v>46034.3958333333</v>
      </c>
      <c r="F417" s="33" t="n">
        <v>46035.3402777778</v>
      </c>
      <c r="G417" s="34" t="n">
        <f aca="false">F417-E417</f>
        <v>0.944444444444444</v>
      </c>
      <c r="H417" s="39" t="s">
        <v>252</v>
      </c>
      <c r="J417" s="39" t="s">
        <v>253</v>
      </c>
      <c r="K417" s="32" t="s">
        <v>266</v>
      </c>
      <c r="L417" s="32" t="s">
        <v>462</v>
      </c>
      <c r="M417" s="39" t="s">
        <v>255</v>
      </c>
      <c r="N417" s="39" t="s">
        <v>268</v>
      </c>
      <c r="O417" s="32" t="s">
        <v>269</v>
      </c>
      <c r="P417" s="40" t="str">
        <f aca="false">_xlfn.CONCAT(B417,C417,D417,E417,F417)</f>
        <v>ARAGUATINS 1.3Inverter(MBUS-1)46034.395833333346034.395833333346035.3402777778</v>
      </c>
      <c r="Q417" s="32" t="str">
        <f aca="false">_xlfn.CONCAT(H417,I417,J417)</f>
        <v>DAURDE</v>
      </c>
    </row>
    <row r="418" customFormat="false" ht="15" hidden="false" customHeight="false" outlineLevel="0" collapsed="false">
      <c r="B418" s="32" t="s">
        <v>367</v>
      </c>
      <c r="C418" s="32" t="s">
        <v>324</v>
      </c>
      <c r="D418" s="33" t="n">
        <v>46034.3958333333</v>
      </c>
      <c r="E418" s="33" t="n">
        <v>46034.3958333333</v>
      </c>
      <c r="F418" s="33" t="n">
        <v>46035.3402777778</v>
      </c>
      <c r="G418" s="34" t="n">
        <f aca="false">F418-E418</f>
        <v>0.944444444444444</v>
      </c>
      <c r="H418" s="39" t="s">
        <v>252</v>
      </c>
      <c r="J418" s="39" t="s">
        <v>253</v>
      </c>
      <c r="K418" s="32" t="s">
        <v>266</v>
      </c>
      <c r="L418" s="32" t="s">
        <v>462</v>
      </c>
      <c r="M418" s="39" t="s">
        <v>255</v>
      </c>
      <c r="N418" s="39" t="s">
        <v>268</v>
      </c>
      <c r="O418" s="32" t="s">
        <v>269</v>
      </c>
      <c r="P418" s="40" t="str">
        <f aca="false">_xlfn.CONCAT(B418,C418,D418,E418,F418)</f>
        <v>ARAGUATINS 2.1Inverter(MBUS-12)46034.395833333346034.395833333346035.3402777778</v>
      </c>
      <c r="Q418" s="32" t="str">
        <f aca="false">_xlfn.CONCAT(H418,I418,J418)</f>
        <v>DAURDE</v>
      </c>
    </row>
    <row r="419" customFormat="false" ht="15" hidden="false" customHeight="false" outlineLevel="0" collapsed="false">
      <c r="B419" s="32" t="s">
        <v>367</v>
      </c>
      <c r="C419" s="32" t="s">
        <v>328</v>
      </c>
      <c r="D419" s="33" t="n">
        <v>46034.3958333333</v>
      </c>
      <c r="E419" s="33" t="n">
        <v>46034.3958333333</v>
      </c>
      <c r="F419" s="33" t="n">
        <v>46035.3402777778</v>
      </c>
      <c r="G419" s="34" t="n">
        <f aca="false">F419-E419</f>
        <v>0.944444444444444</v>
      </c>
      <c r="H419" s="39" t="s">
        <v>252</v>
      </c>
      <c r="J419" s="39" t="s">
        <v>253</v>
      </c>
      <c r="K419" s="32" t="s">
        <v>266</v>
      </c>
      <c r="L419" s="32" t="s">
        <v>462</v>
      </c>
      <c r="M419" s="39" t="s">
        <v>255</v>
      </c>
      <c r="N419" s="39" t="s">
        <v>268</v>
      </c>
      <c r="O419" s="32" t="s">
        <v>269</v>
      </c>
      <c r="P419" s="40" t="str">
        <f aca="false">_xlfn.CONCAT(B419,C419,D419,E419,F419)</f>
        <v>ARAGUATINS 2.1Inverter(MBUS-15)46034.395833333346034.395833333346035.3402777778</v>
      </c>
      <c r="Q419" s="32" t="str">
        <f aca="false">_xlfn.CONCAT(H419,I419,J419)</f>
        <v>DAURDE</v>
      </c>
    </row>
    <row r="420" customFormat="false" ht="15" hidden="false" customHeight="false" outlineLevel="0" collapsed="false">
      <c r="B420" s="32" t="s">
        <v>367</v>
      </c>
      <c r="C420" s="32" t="s">
        <v>327</v>
      </c>
      <c r="D420" s="33" t="n">
        <v>46034.3958333333</v>
      </c>
      <c r="E420" s="33" t="n">
        <v>46034.3958333333</v>
      </c>
      <c r="F420" s="33" t="n">
        <v>46035.3402777778</v>
      </c>
      <c r="G420" s="34" t="n">
        <f aca="false">F420-E420</f>
        <v>0.944444444444444</v>
      </c>
      <c r="H420" s="39" t="s">
        <v>252</v>
      </c>
      <c r="J420" s="39" t="s">
        <v>253</v>
      </c>
      <c r="K420" s="32" t="s">
        <v>266</v>
      </c>
      <c r="L420" s="32" t="s">
        <v>462</v>
      </c>
      <c r="M420" s="39" t="s">
        <v>255</v>
      </c>
      <c r="N420" s="39" t="s">
        <v>268</v>
      </c>
      <c r="O420" s="32" t="s">
        <v>269</v>
      </c>
      <c r="P420" s="40" t="str">
        <f aca="false">_xlfn.CONCAT(B420,C420,D420,E420,F420)</f>
        <v>ARAGUATINS 2.1Inverter(MBUS-14)46034.395833333346034.395833333346035.3402777778</v>
      </c>
      <c r="Q420" s="32" t="str">
        <f aca="false">_xlfn.CONCAT(H420,I420,J420)</f>
        <v>DAURDE</v>
      </c>
    </row>
    <row r="421" customFormat="false" ht="15" hidden="false" customHeight="false" outlineLevel="0" collapsed="false">
      <c r="B421" s="32" t="s">
        <v>367</v>
      </c>
      <c r="C421" s="32" t="s">
        <v>265</v>
      </c>
      <c r="D421" s="33" t="n">
        <v>46034.3958333333</v>
      </c>
      <c r="E421" s="33" t="n">
        <v>46034.3958333333</v>
      </c>
      <c r="F421" s="33" t="n">
        <v>46035.3402777778</v>
      </c>
      <c r="G421" s="34" t="n">
        <f aca="false">F421-E421</f>
        <v>0.944444444444444</v>
      </c>
      <c r="H421" s="39" t="s">
        <v>252</v>
      </c>
      <c r="J421" s="39" t="s">
        <v>253</v>
      </c>
      <c r="K421" s="32" t="s">
        <v>266</v>
      </c>
      <c r="L421" s="32" t="s">
        <v>462</v>
      </c>
      <c r="M421" s="39" t="s">
        <v>255</v>
      </c>
      <c r="N421" s="39" t="s">
        <v>268</v>
      </c>
      <c r="O421" s="32" t="s">
        <v>269</v>
      </c>
      <c r="P421" s="40" t="str">
        <f aca="false">_xlfn.CONCAT(B421,C421,D421,E421,F421)</f>
        <v>ARAGUATINS 2.1Inverter(MBUS-1)46034.395833333346034.395833333346035.3402777778</v>
      </c>
      <c r="Q421" s="32" t="str">
        <f aca="false">_xlfn.CONCAT(H421,I421,J421)</f>
        <v>DAURDE</v>
      </c>
    </row>
    <row r="422" customFormat="false" ht="15" hidden="false" customHeight="false" outlineLevel="0" collapsed="false">
      <c r="B422" s="32" t="s">
        <v>460</v>
      </c>
      <c r="C422" s="32" t="s">
        <v>328</v>
      </c>
      <c r="D422" s="33" t="n">
        <v>46034.3958333333</v>
      </c>
      <c r="E422" s="33" t="n">
        <v>46034.3958333333</v>
      </c>
      <c r="F422" s="33" t="n">
        <v>46035.3402777778</v>
      </c>
      <c r="G422" s="34" t="n">
        <f aca="false">F422-E422</f>
        <v>0.944444444444444</v>
      </c>
      <c r="H422" s="39" t="s">
        <v>252</v>
      </c>
      <c r="J422" s="39" t="s">
        <v>253</v>
      </c>
      <c r="K422" s="32" t="s">
        <v>266</v>
      </c>
      <c r="L422" s="32" t="s">
        <v>462</v>
      </c>
      <c r="M422" s="39" t="s">
        <v>255</v>
      </c>
      <c r="N422" s="39" t="s">
        <v>268</v>
      </c>
      <c r="O422" s="32" t="s">
        <v>269</v>
      </c>
      <c r="P422" s="40" t="str">
        <f aca="false">_xlfn.CONCAT(B422,C422,D422,E422,F422)</f>
        <v>ARAGUATINS 2.2Inverter(MBUS-15)46034.395833333346034.395833333346035.3402777778</v>
      </c>
      <c r="Q422" s="32" t="str">
        <f aca="false">_xlfn.CONCAT(H422,I422,J422)</f>
        <v>DAURDE</v>
      </c>
    </row>
    <row r="423" customFormat="false" ht="15" hidden="false" customHeight="false" outlineLevel="0" collapsed="false">
      <c r="B423" s="32" t="s">
        <v>460</v>
      </c>
      <c r="C423" s="32" t="s">
        <v>326</v>
      </c>
      <c r="D423" s="33" t="n">
        <v>46034.3958333333</v>
      </c>
      <c r="E423" s="33" t="n">
        <v>46034.3958333333</v>
      </c>
      <c r="F423" s="33" t="n">
        <v>46035.3402777778</v>
      </c>
      <c r="G423" s="34" t="n">
        <f aca="false">F423-E423</f>
        <v>0.944444444444444</v>
      </c>
      <c r="H423" s="39" t="s">
        <v>252</v>
      </c>
      <c r="J423" s="39" t="s">
        <v>253</v>
      </c>
      <c r="K423" s="32" t="s">
        <v>266</v>
      </c>
      <c r="L423" s="32" t="s">
        <v>462</v>
      </c>
      <c r="M423" s="39" t="s">
        <v>255</v>
      </c>
      <c r="N423" s="39" t="s">
        <v>268</v>
      </c>
      <c r="O423" s="32" t="s">
        <v>269</v>
      </c>
      <c r="P423" s="40" t="str">
        <f aca="false">_xlfn.CONCAT(B423,C423,D423,E423,F423)</f>
        <v>ARAGUATINS 2.2Inverter(MBUS-13)46034.395833333346034.395833333346035.3402777778</v>
      </c>
      <c r="Q423" s="32" t="str">
        <f aca="false">_xlfn.CONCAT(H423,I423,J423)</f>
        <v>DAURDE</v>
      </c>
    </row>
    <row r="424" customFormat="false" ht="15" hidden="false" customHeight="false" outlineLevel="0" collapsed="false">
      <c r="B424" s="32" t="s">
        <v>460</v>
      </c>
      <c r="C424" s="32" t="s">
        <v>327</v>
      </c>
      <c r="D424" s="33" t="n">
        <v>46034.3958333333</v>
      </c>
      <c r="E424" s="33" t="n">
        <v>46034.3958333333</v>
      </c>
      <c r="F424" s="33" t="n">
        <v>46035.3402777778</v>
      </c>
      <c r="G424" s="34" t="n">
        <f aca="false">F424-E424</f>
        <v>0.944444444444444</v>
      </c>
      <c r="H424" s="39" t="s">
        <v>252</v>
      </c>
      <c r="J424" s="39" t="s">
        <v>253</v>
      </c>
      <c r="K424" s="32" t="s">
        <v>266</v>
      </c>
      <c r="L424" s="32" t="s">
        <v>462</v>
      </c>
      <c r="M424" s="39" t="s">
        <v>255</v>
      </c>
      <c r="N424" s="39" t="s">
        <v>268</v>
      </c>
      <c r="O424" s="32" t="s">
        <v>269</v>
      </c>
      <c r="P424" s="40" t="str">
        <f aca="false">_xlfn.CONCAT(B424,C424,D424,E424,F424)</f>
        <v>ARAGUATINS 2.2Inverter(MBUS-14)46034.395833333346034.395833333346035.3402777778</v>
      </c>
      <c r="Q424" s="32" t="str">
        <f aca="false">_xlfn.CONCAT(H424,I424,J424)</f>
        <v>DAURDE</v>
      </c>
    </row>
    <row r="425" customFormat="false" ht="15" hidden="false" customHeight="false" outlineLevel="0" collapsed="false">
      <c r="B425" s="32" t="s">
        <v>460</v>
      </c>
      <c r="C425" s="32" t="s">
        <v>324</v>
      </c>
      <c r="D425" s="33" t="n">
        <v>46034.3958333333</v>
      </c>
      <c r="E425" s="33" t="n">
        <v>46034.3958333333</v>
      </c>
      <c r="F425" s="33" t="n">
        <v>46035.3402777778</v>
      </c>
      <c r="G425" s="34" t="n">
        <f aca="false">F425-E425</f>
        <v>0.944444444444444</v>
      </c>
      <c r="H425" s="39" t="s">
        <v>252</v>
      </c>
      <c r="J425" s="39" t="s">
        <v>253</v>
      </c>
      <c r="K425" s="32" t="s">
        <v>266</v>
      </c>
      <c r="L425" s="32" t="s">
        <v>462</v>
      </c>
      <c r="M425" s="39" t="s">
        <v>255</v>
      </c>
      <c r="N425" s="39" t="s">
        <v>268</v>
      </c>
      <c r="O425" s="32" t="s">
        <v>269</v>
      </c>
      <c r="P425" s="40" t="str">
        <f aca="false">_xlfn.CONCAT(B425,C425,D425,E425,F425)</f>
        <v>ARAGUATINS 2.2Inverter(MBUS-12)46034.395833333346034.395833333346035.3402777778</v>
      </c>
      <c r="Q425" s="32" t="str">
        <f aca="false">_xlfn.CONCAT(H425,I425,J425)</f>
        <v>DAURDE</v>
      </c>
    </row>
    <row r="426" customFormat="false" ht="15" hidden="false" customHeight="false" outlineLevel="0" collapsed="false">
      <c r="B426" s="32" t="s">
        <v>461</v>
      </c>
      <c r="C426" s="32" t="s">
        <v>324</v>
      </c>
      <c r="D426" s="33" t="n">
        <v>46034.3958333333</v>
      </c>
      <c r="E426" s="33" t="n">
        <v>46034.3958333333</v>
      </c>
      <c r="F426" s="33" t="n">
        <v>46035.3402777778</v>
      </c>
      <c r="G426" s="34" t="n">
        <f aca="false">F426-E426</f>
        <v>0.944444444444444</v>
      </c>
      <c r="H426" s="39" t="s">
        <v>252</v>
      </c>
      <c r="J426" s="39" t="s">
        <v>253</v>
      </c>
      <c r="K426" s="32" t="s">
        <v>266</v>
      </c>
      <c r="L426" s="32" t="s">
        <v>462</v>
      </c>
      <c r="M426" s="39" t="s">
        <v>255</v>
      </c>
      <c r="N426" s="39" t="s">
        <v>268</v>
      </c>
      <c r="O426" s="32" t="s">
        <v>269</v>
      </c>
      <c r="P426" s="40" t="str">
        <f aca="false">_xlfn.CONCAT(B426,C426,D426,E426,F426)</f>
        <v>ARAGUATINS 2.3Inverter(MBUS-12)46034.395833333346034.395833333346035.3402777778</v>
      </c>
      <c r="Q426" s="32" t="str">
        <f aca="false">_xlfn.CONCAT(H426,I426,J426)</f>
        <v>DAURDE</v>
      </c>
    </row>
    <row r="427" customFormat="false" ht="15" hidden="false" customHeight="false" outlineLevel="0" collapsed="false">
      <c r="B427" s="32" t="s">
        <v>461</v>
      </c>
      <c r="C427" s="32" t="s">
        <v>326</v>
      </c>
      <c r="D427" s="33" t="n">
        <v>46034.3958333333</v>
      </c>
      <c r="E427" s="33" t="n">
        <v>46034.3958333333</v>
      </c>
      <c r="F427" s="33" t="n">
        <v>46035.3402777778</v>
      </c>
      <c r="G427" s="34" t="n">
        <f aca="false">F427-E427</f>
        <v>0.944444444444444</v>
      </c>
      <c r="H427" s="39" t="s">
        <v>252</v>
      </c>
      <c r="J427" s="39" t="s">
        <v>253</v>
      </c>
      <c r="K427" s="32" t="s">
        <v>266</v>
      </c>
      <c r="L427" s="32" t="s">
        <v>462</v>
      </c>
      <c r="M427" s="39" t="s">
        <v>255</v>
      </c>
      <c r="N427" s="39" t="s">
        <v>268</v>
      </c>
      <c r="O427" s="32" t="s">
        <v>269</v>
      </c>
      <c r="P427" s="40" t="str">
        <f aca="false">_xlfn.CONCAT(B427,C427,D427,E427,F427)</f>
        <v>ARAGUATINS 2.3Inverter(MBUS-13)46034.395833333346034.395833333346035.3402777778</v>
      </c>
      <c r="Q427" s="32" t="str">
        <f aca="false">_xlfn.CONCAT(H427,I427,J427)</f>
        <v>DAURDE</v>
      </c>
    </row>
    <row r="428" customFormat="false" ht="15" hidden="false" customHeight="false" outlineLevel="0" collapsed="false">
      <c r="B428" s="32" t="s">
        <v>177</v>
      </c>
      <c r="C428" s="32" t="s">
        <v>326</v>
      </c>
      <c r="D428" s="33" t="n">
        <v>46034.5416666667</v>
      </c>
      <c r="E428" s="33" t="n">
        <v>46034.5416666667</v>
      </c>
      <c r="F428" s="33" t="n">
        <v>46034.5729166667</v>
      </c>
      <c r="G428" s="34" t="n">
        <f aca="false">F428-E428</f>
        <v>0.03125</v>
      </c>
      <c r="H428" s="39" t="s">
        <v>283</v>
      </c>
      <c r="I428" s="32" t="s">
        <v>284</v>
      </c>
      <c r="J428" s="39" t="s">
        <v>285</v>
      </c>
      <c r="K428" s="32" t="e">
        <f aca="false">_xlfn.xlookup(J428,[1]REF!$D$2:$D$12,[1]REF!$E$2:$E$12)</f>
        <v>#NAME?</v>
      </c>
      <c r="L428" s="32" t="s">
        <v>463</v>
      </c>
      <c r="M428" s="39" t="s">
        <v>288</v>
      </c>
      <c r="N428" s="39" t="s">
        <v>289</v>
      </c>
      <c r="O428" s="32" t="s">
        <v>464</v>
      </c>
      <c r="P428" s="40" t="str">
        <f aca="false">_xlfn.CONCAT(B428,C428,D429,E428,F428)</f>
        <v>BC Lencois PaulistaInverter(MBUS-13)46034.541666666746034.541666666746034.5729166667</v>
      </c>
      <c r="Q428" s="32" t="str">
        <f aca="false">_xlfn.CONCAT(H428,I428,J428)</f>
        <v>LIGRFOCOM</v>
      </c>
    </row>
    <row r="429" customFormat="false" ht="15" hidden="false" customHeight="false" outlineLevel="0" collapsed="false">
      <c r="B429" s="32" t="s">
        <v>177</v>
      </c>
      <c r="C429" s="32" t="s">
        <v>327</v>
      </c>
      <c r="D429" s="33" t="n">
        <v>46034.5416666667</v>
      </c>
      <c r="E429" s="33" t="n">
        <v>46034.5416666667</v>
      </c>
      <c r="F429" s="33" t="n">
        <v>46034.5729166667</v>
      </c>
      <c r="G429" s="34" t="n">
        <f aca="false">F429-E429</f>
        <v>0.03125</v>
      </c>
      <c r="H429" s="39" t="s">
        <v>283</v>
      </c>
      <c r="I429" s="32" t="s">
        <v>284</v>
      </c>
      <c r="J429" s="39" t="s">
        <v>285</v>
      </c>
      <c r="K429" s="32" t="e">
        <f aca="false">_xlfn.xlookup(J429,[1]REF!$D$2:$D$12,[1]REF!$E$2:$E$12)</f>
        <v>#NAME?</v>
      </c>
      <c r="L429" s="32" t="s">
        <v>463</v>
      </c>
      <c r="M429" s="39" t="s">
        <v>288</v>
      </c>
      <c r="N429" s="39" t="s">
        <v>289</v>
      </c>
      <c r="O429" s="32" t="s">
        <v>464</v>
      </c>
      <c r="P429" s="40" t="str">
        <f aca="false">_xlfn.CONCAT(B429,C429,D430,E429,F429)</f>
        <v>BC Lencois PaulistaInverter(MBUS-14)46034.541666666746034.541666666746034.5729166667</v>
      </c>
      <c r="Q429" s="32" t="str">
        <f aca="false">_xlfn.CONCAT(H429,I429,J429)</f>
        <v>LIGRFOCOM</v>
      </c>
    </row>
    <row r="430" customFormat="false" ht="15" hidden="false" customHeight="false" outlineLevel="0" collapsed="false">
      <c r="B430" s="32" t="s">
        <v>177</v>
      </c>
      <c r="C430" s="32" t="s">
        <v>324</v>
      </c>
      <c r="D430" s="33" t="n">
        <v>46034.5416666667</v>
      </c>
      <c r="E430" s="33" t="n">
        <v>46034.5416666667</v>
      </c>
      <c r="F430" s="33" t="n">
        <v>46034.5729166667</v>
      </c>
      <c r="G430" s="34" t="n">
        <f aca="false">F430-E430</f>
        <v>0.03125</v>
      </c>
      <c r="H430" s="39" t="s">
        <v>283</v>
      </c>
      <c r="I430" s="32" t="s">
        <v>284</v>
      </c>
      <c r="J430" s="39" t="s">
        <v>285</v>
      </c>
      <c r="K430" s="32" t="e">
        <f aca="false">_xlfn.xlookup(J430,[1]REF!$D$2:$D$12,[1]REF!$E$2:$E$12)</f>
        <v>#NAME?</v>
      </c>
      <c r="L430" s="32" t="s">
        <v>463</v>
      </c>
      <c r="M430" s="39" t="s">
        <v>288</v>
      </c>
      <c r="N430" s="39" t="s">
        <v>289</v>
      </c>
      <c r="O430" s="32" t="s">
        <v>464</v>
      </c>
      <c r="P430" s="40" t="str">
        <f aca="false">_xlfn.CONCAT(B430,C430,D431,E430,F430)</f>
        <v>BC Lencois PaulistaInverter(MBUS-12)46034.541666666746034.541666666746034.5729166667</v>
      </c>
      <c r="Q430" s="32" t="str">
        <f aca="false">_xlfn.CONCAT(H430,I430,J430)</f>
        <v>LIGRFOCOM</v>
      </c>
    </row>
    <row r="431" customFormat="false" ht="15" hidden="false" customHeight="false" outlineLevel="0" collapsed="false">
      <c r="B431" s="32" t="s">
        <v>177</v>
      </c>
      <c r="C431" s="32" t="s">
        <v>328</v>
      </c>
      <c r="D431" s="33" t="n">
        <v>46034.5416666667</v>
      </c>
      <c r="E431" s="33" t="n">
        <v>46034.5416666667</v>
      </c>
      <c r="F431" s="33" t="n">
        <v>46034.5729166667</v>
      </c>
      <c r="G431" s="34" t="n">
        <f aca="false">F431-E431</f>
        <v>0.03125</v>
      </c>
      <c r="H431" s="39" t="s">
        <v>283</v>
      </c>
      <c r="I431" s="32" t="s">
        <v>284</v>
      </c>
      <c r="J431" s="39" t="s">
        <v>285</v>
      </c>
      <c r="K431" s="32" t="e">
        <f aca="false">_xlfn.xlookup(J431,[1]REF!$D$2:$D$12,[1]REF!$E$2:$E$12)</f>
        <v>#NAME?</v>
      </c>
      <c r="L431" s="32" t="s">
        <v>463</v>
      </c>
      <c r="M431" s="39" t="s">
        <v>288</v>
      </c>
      <c r="N431" s="39" t="s">
        <v>289</v>
      </c>
      <c r="O431" s="32" t="s">
        <v>464</v>
      </c>
      <c r="P431" s="40" t="str">
        <f aca="false">_xlfn.CONCAT(B431,C431,D432,E431,F431)</f>
        <v>BC Lencois PaulistaInverter(MBUS-15)46034.603472222246034.541666666746034.5729166667</v>
      </c>
      <c r="Q431" s="32" t="str">
        <f aca="false">_xlfn.CONCAT(H431,I431,J431)</f>
        <v>LIGRFOCOM</v>
      </c>
    </row>
    <row r="432" customFormat="false" ht="15" hidden="false" customHeight="false" outlineLevel="0" collapsed="false">
      <c r="B432" s="32" t="s">
        <v>18</v>
      </c>
      <c r="C432" s="32" t="s">
        <v>373</v>
      </c>
      <c r="D432" s="33" t="n">
        <v>46034.6034722222</v>
      </c>
      <c r="E432" s="33" t="n">
        <v>46034.6034722222</v>
      </c>
      <c r="F432" s="33" t="n">
        <v>46036.6701388889</v>
      </c>
      <c r="G432" s="34" t="n">
        <f aca="false">F432-E432</f>
        <v>2.06666666666667</v>
      </c>
      <c r="H432" s="39" t="s">
        <v>283</v>
      </c>
      <c r="I432" s="32" t="s">
        <v>284</v>
      </c>
      <c r="J432" s="39" t="s">
        <v>285</v>
      </c>
      <c r="K432" s="32" t="e">
        <f aca="false">_xlfn.xlookup(J432,[1]REF!$D$2:$D$12,[1]REF!$E$2:$E$12)</f>
        <v>#NAME?</v>
      </c>
      <c r="L432" s="32" t="s">
        <v>455</v>
      </c>
      <c r="M432" s="39" t="s">
        <v>288</v>
      </c>
      <c r="N432" s="39" t="s">
        <v>289</v>
      </c>
      <c r="O432" s="32" t="s">
        <v>465</v>
      </c>
      <c r="P432" s="40" t="str">
        <f aca="false">_xlfn.CONCAT(B432,C432,D432,E432,F432)</f>
        <v>BC Aracu2araçu 2.1 inversor 146034.603472222246034.603472222246036.6701388889</v>
      </c>
      <c r="Q432" s="32" t="str">
        <f aca="false">_xlfn.CONCAT(H432,I432,J432)</f>
        <v>LIGRFOCOM</v>
      </c>
    </row>
    <row r="433" customFormat="false" ht="15" hidden="false" customHeight="false" outlineLevel="0" collapsed="false">
      <c r="B433" s="32" t="s">
        <v>18</v>
      </c>
      <c r="C433" s="32" t="s">
        <v>392</v>
      </c>
      <c r="D433" s="33" t="n">
        <v>46034.6034722222</v>
      </c>
      <c r="E433" s="33" t="n">
        <v>46034.6034722222</v>
      </c>
      <c r="F433" s="33" t="n">
        <v>46036.6701388889</v>
      </c>
      <c r="G433" s="34" t="n">
        <f aca="false">F433-E433</f>
        <v>2.06666666666667</v>
      </c>
      <c r="H433" s="39" t="s">
        <v>283</v>
      </c>
      <c r="I433" s="32" t="s">
        <v>284</v>
      </c>
      <c r="J433" s="39" t="s">
        <v>285</v>
      </c>
      <c r="K433" s="32" t="e">
        <f aca="false">_xlfn.xlookup(J433,[1]REF!$D$2:$D$12,[1]REF!$E$2:$E$12)</f>
        <v>#NAME?</v>
      </c>
      <c r="L433" s="32" t="s">
        <v>455</v>
      </c>
      <c r="M433" s="39" t="s">
        <v>288</v>
      </c>
      <c r="N433" s="39" t="s">
        <v>289</v>
      </c>
      <c r="O433" s="32" t="s">
        <v>465</v>
      </c>
      <c r="P433" s="40" t="str">
        <f aca="false">_xlfn.CONCAT(B433,C433,D433,E433,F433)</f>
        <v>BC Aracu2araçu 2.1 inversor 246034.603472222246034.603472222246036.6701388889</v>
      </c>
      <c r="Q433" s="32" t="str">
        <f aca="false">_xlfn.CONCAT(H433,I433,J433)</f>
        <v>LIGRFOCOM</v>
      </c>
    </row>
    <row r="434" customFormat="false" ht="15" hidden="false" customHeight="false" outlineLevel="0" collapsed="false">
      <c r="B434" s="32" t="s">
        <v>18</v>
      </c>
      <c r="C434" s="32" t="s">
        <v>393</v>
      </c>
      <c r="D434" s="33" t="n">
        <v>46034.6034722222</v>
      </c>
      <c r="E434" s="33" t="n">
        <v>46034.6034722222</v>
      </c>
      <c r="F434" s="33" t="n">
        <v>46036.6701388889</v>
      </c>
      <c r="G434" s="34" t="n">
        <f aca="false">F434-E434</f>
        <v>2.06666666666667</v>
      </c>
      <c r="H434" s="39" t="s">
        <v>283</v>
      </c>
      <c r="I434" s="32" t="s">
        <v>284</v>
      </c>
      <c r="J434" s="39" t="s">
        <v>285</v>
      </c>
      <c r="K434" s="32" t="e">
        <f aca="false">_xlfn.xlookup(J434,[1]REF!$D$2:$D$12,[1]REF!$E$2:$E$12)</f>
        <v>#NAME?</v>
      </c>
      <c r="L434" s="32" t="s">
        <v>455</v>
      </c>
      <c r="M434" s="39" t="s">
        <v>288</v>
      </c>
      <c r="N434" s="39" t="s">
        <v>289</v>
      </c>
      <c r="O434" s="32" t="s">
        <v>465</v>
      </c>
      <c r="P434" s="40" t="str">
        <f aca="false">_xlfn.CONCAT(B434,C434,D434,E434,F434)</f>
        <v>BC Aracu2araçu 2.1 inversor 346034.603472222246034.603472222246036.6701388889</v>
      </c>
      <c r="Q434" s="32" t="str">
        <f aca="false">_xlfn.CONCAT(H434,I434,J434)</f>
        <v>LIGRFOCOM</v>
      </c>
    </row>
    <row r="435" customFormat="false" ht="15" hidden="false" customHeight="false" outlineLevel="0" collapsed="false">
      <c r="B435" s="32" t="s">
        <v>18</v>
      </c>
      <c r="C435" s="32" t="s">
        <v>394</v>
      </c>
      <c r="D435" s="33" t="n">
        <v>46034.6034722222</v>
      </c>
      <c r="E435" s="33" t="n">
        <v>46034.6034722222</v>
      </c>
      <c r="F435" s="33" t="n">
        <v>46036.6701388889</v>
      </c>
      <c r="G435" s="34" t="n">
        <f aca="false">F435-E435</f>
        <v>2.06666666666667</v>
      </c>
      <c r="H435" s="39" t="s">
        <v>283</v>
      </c>
      <c r="I435" s="32" t="s">
        <v>284</v>
      </c>
      <c r="J435" s="39" t="s">
        <v>285</v>
      </c>
      <c r="K435" s="32" t="e">
        <f aca="false">_xlfn.xlookup(J435,[1]REF!$D$2:$D$12,[1]REF!$E$2:$E$12)</f>
        <v>#NAME?</v>
      </c>
      <c r="L435" s="32" t="s">
        <v>455</v>
      </c>
      <c r="M435" s="39" t="s">
        <v>288</v>
      </c>
      <c r="N435" s="39" t="s">
        <v>289</v>
      </c>
      <c r="O435" s="32" t="s">
        <v>465</v>
      </c>
      <c r="P435" s="40" t="str">
        <f aca="false">_xlfn.CONCAT(B435,C435,D435,E435,F435)</f>
        <v>BC Aracu2araçu 2.2 inversor 146034.603472222246034.603472222246036.6701388889</v>
      </c>
      <c r="Q435" s="32" t="str">
        <f aca="false">_xlfn.CONCAT(H435,I435,J435)</f>
        <v>LIGRFOCOM</v>
      </c>
    </row>
    <row r="436" customFormat="false" ht="15" hidden="false" customHeight="false" outlineLevel="0" collapsed="false">
      <c r="B436" s="32" t="s">
        <v>18</v>
      </c>
      <c r="C436" s="32" t="s">
        <v>395</v>
      </c>
      <c r="D436" s="33" t="n">
        <v>46034.6034722222</v>
      </c>
      <c r="E436" s="33" t="n">
        <v>46034.6034722222</v>
      </c>
      <c r="F436" s="33" t="n">
        <v>46036.6701388889</v>
      </c>
      <c r="G436" s="34" t="n">
        <f aca="false">F436-E436</f>
        <v>2.06666666666667</v>
      </c>
      <c r="H436" s="39" t="s">
        <v>283</v>
      </c>
      <c r="I436" s="32" t="s">
        <v>284</v>
      </c>
      <c r="J436" s="39" t="s">
        <v>285</v>
      </c>
      <c r="K436" s="32" t="e">
        <f aca="false">_xlfn.xlookup(J436,[1]REF!$D$2:$D$12,[1]REF!$E$2:$E$12)</f>
        <v>#NAME?</v>
      </c>
      <c r="L436" s="32" t="s">
        <v>455</v>
      </c>
      <c r="M436" s="39" t="s">
        <v>288</v>
      </c>
      <c r="N436" s="39" t="s">
        <v>289</v>
      </c>
      <c r="O436" s="32" t="s">
        <v>465</v>
      </c>
      <c r="P436" s="40" t="str">
        <f aca="false">_xlfn.CONCAT(B436,C436,D436,E436,F436)</f>
        <v>BC Aracu2araçu 2.2 inversor 246034.603472222246034.603472222246036.6701388889</v>
      </c>
      <c r="Q436" s="32" t="str">
        <f aca="false">_xlfn.CONCAT(H436,I436,J436)</f>
        <v>LIGRFOCOM</v>
      </c>
    </row>
    <row r="437" customFormat="false" ht="15" hidden="false" customHeight="false" outlineLevel="0" collapsed="false">
      <c r="B437" s="32" t="s">
        <v>18</v>
      </c>
      <c r="C437" s="32" t="s">
        <v>396</v>
      </c>
      <c r="D437" s="33" t="n">
        <v>46034.6034722222</v>
      </c>
      <c r="E437" s="33" t="n">
        <v>46034.6034722222</v>
      </c>
      <c r="F437" s="33" t="n">
        <v>46036.6701388889</v>
      </c>
      <c r="G437" s="34" t="n">
        <f aca="false">F437-E437</f>
        <v>2.06666666666667</v>
      </c>
      <c r="H437" s="39" t="s">
        <v>283</v>
      </c>
      <c r="I437" s="32" t="s">
        <v>284</v>
      </c>
      <c r="J437" s="39" t="s">
        <v>285</v>
      </c>
      <c r="K437" s="32" t="e">
        <f aca="false">_xlfn.xlookup(J437,[1]REF!$D$2:$D$12,[1]REF!$E$2:$E$12)</f>
        <v>#NAME?</v>
      </c>
      <c r="L437" s="32" t="s">
        <v>455</v>
      </c>
      <c r="M437" s="39" t="s">
        <v>288</v>
      </c>
      <c r="N437" s="39" t="s">
        <v>289</v>
      </c>
      <c r="O437" s="32" t="s">
        <v>465</v>
      </c>
      <c r="P437" s="40" t="str">
        <f aca="false">_xlfn.CONCAT(B437,C437,D437,E437,F437)</f>
        <v>BC Aracu2araçu 2.2 inversor 346034.603472222246034.603472222246036.6701388889</v>
      </c>
      <c r="Q437" s="32" t="str">
        <f aca="false">_xlfn.CONCAT(H437,I437,J437)</f>
        <v>LIGRFOCOM</v>
      </c>
    </row>
    <row r="438" customFormat="false" ht="15" hidden="false" customHeight="false" outlineLevel="0" collapsed="false">
      <c r="B438" s="32" t="s">
        <v>18</v>
      </c>
      <c r="C438" s="32" t="s">
        <v>397</v>
      </c>
      <c r="D438" s="33" t="n">
        <v>46034.6034722222</v>
      </c>
      <c r="E438" s="33" t="n">
        <v>46034.6034722222</v>
      </c>
      <c r="F438" s="33" t="n">
        <v>46036.6701388889</v>
      </c>
      <c r="G438" s="34" t="n">
        <f aca="false">F438-E438</f>
        <v>2.06666666666667</v>
      </c>
      <c r="H438" s="39" t="s">
        <v>283</v>
      </c>
      <c r="I438" s="32" t="s">
        <v>284</v>
      </c>
      <c r="J438" s="39" t="s">
        <v>285</v>
      </c>
      <c r="K438" s="32" t="e">
        <f aca="false">_xlfn.xlookup(J438,[1]REF!$D$2:$D$12,[1]REF!$E$2:$E$12)</f>
        <v>#NAME?</v>
      </c>
      <c r="L438" s="32" t="s">
        <v>455</v>
      </c>
      <c r="M438" s="39" t="s">
        <v>288</v>
      </c>
      <c r="N438" s="39" t="s">
        <v>289</v>
      </c>
      <c r="O438" s="32" t="s">
        <v>465</v>
      </c>
      <c r="P438" s="40" t="str">
        <f aca="false">_xlfn.CONCAT(B438,C438,D438,E438,F438)</f>
        <v>BC Aracu2Inverter8346034.603472222246034.603472222246036.6701388889</v>
      </c>
      <c r="Q438" s="32" t="str">
        <f aca="false">_xlfn.CONCAT(H438,I438,J438)</f>
        <v>LIGRFOCOM</v>
      </c>
    </row>
    <row r="439" customFormat="false" ht="15" hidden="false" customHeight="false" outlineLevel="0" collapsed="false">
      <c r="B439" s="32" t="s">
        <v>18</v>
      </c>
      <c r="C439" s="32" t="s">
        <v>398</v>
      </c>
      <c r="D439" s="33" t="n">
        <v>46034.6034722222</v>
      </c>
      <c r="E439" s="33" t="n">
        <v>46034.6034722222</v>
      </c>
      <c r="F439" s="33" t="n">
        <v>46036.6701388889</v>
      </c>
      <c r="G439" s="34" t="n">
        <f aca="false">F439-E439</f>
        <v>2.06666666666667</v>
      </c>
      <c r="H439" s="39" t="s">
        <v>283</v>
      </c>
      <c r="I439" s="32" t="s">
        <v>284</v>
      </c>
      <c r="J439" s="39" t="s">
        <v>285</v>
      </c>
      <c r="K439" s="32" t="e">
        <f aca="false">_xlfn.xlookup(J439,[1]REF!$D$2:$D$12,[1]REF!$E$2:$E$12)</f>
        <v>#NAME?</v>
      </c>
      <c r="L439" s="32" t="s">
        <v>455</v>
      </c>
      <c r="M439" s="39" t="s">
        <v>288</v>
      </c>
      <c r="N439" s="39" t="s">
        <v>289</v>
      </c>
      <c r="O439" s="32" t="s">
        <v>465</v>
      </c>
      <c r="P439" s="40" t="str">
        <f aca="false">_xlfn.CONCAT(B439,C439,D439,E439,F439)</f>
        <v>BC Aracu2araçu 2.3 inversor 546034.603472222246034.603472222246036.6701388889</v>
      </c>
      <c r="Q439" s="32" t="str">
        <f aca="false">_xlfn.CONCAT(H439,I439,J439)</f>
        <v>LIGRFOCOM</v>
      </c>
    </row>
    <row r="440" customFormat="false" ht="15" hidden="false" customHeight="false" outlineLevel="0" collapsed="false">
      <c r="B440" s="32" t="s">
        <v>18</v>
      </c>
      <c r="C440" s="32" t="s">
        <v>399</v>
      </c>
      <c r="D440" s="33" t="n">
        <v>46034.6034722222</v>
      </c>
      <c r="E440" s="33" t="n">
        <v>46034.6034722222</v>
      </c>
      <c r="F440" s="33" t="n">
        <v>46036.6701388889</v>
      </c>
      <c r="G440" s="34" t="n">
        <f aca="false">F440-E440</f>
        <v>2.06666666666667</v>
      </c>
      <c r="H440" s="39" t="s">
        <v>283</v>
      </c>
      <c r="I440" s="32" t="s">
        <v>284</v>
      </c>
      <c r="J440" s="39" t="s">
        <v>285</v>
      </c>
      <c r="K440" s="32" t="e">
        <f aca="false">_xlfn.xlookup(J440,[1]REF!$D$2:$D$12,[1]REF!$E$2:$E$12)</f>
        <v>#NAME?</v>
      </c>
      <c r="L440" s="32" t="s">
        <v>455</v>
      </c>
      <c r="M440" s="39" t="s">
        <v>288</v>
      </c>
      <c r="N440" s="39" t="s">
        <v>289</v>
      </c>
      <c r="O440" s="32" t="s">
        <v>465</v>
      </c>
      <c r="P440" s="40" t="str">
        <f aca="false">_xlfn.CONCAT(B440,C440,D440,E440,F440)</f>
        <v>BC Aracu2araçu 2.3 inversor 146034.603472222246034.603472222246036.6701388889</v>
      </c>
      <c r="Q440" s="32" t="str">
        <f aca="false">_xlfn.CONCAT(H440,I440,J440)</f>
        <v>LIGRFOCOM</v>
      </c>
    </row>
    <row r="441" customFormat="false" ht="15" hidden="false" customHeight="false" outlineLevel="0" collapsed="false">
      <c r="B441" s="32" t="s">
        <v>18</v>
      </c>
      <c r="C441" s="32" t="s">
        <v>389</v>
      </c>
      <c r="D441" s="33" t="n">
        <v>46034.6034722222</v>
      </c>
      <c r="E441" s="33" t="n">
        <v>46034.6034722222</v>
      </c>
      <c r="F441" s="33" t="n">
        <v>46036.6701388889</v>
      </c>
      <c r="G441" s="34" t="n">
        <f aca="false">F441-E441</f>
        <v>2.06666666666667</v>
      </c>
      <c r="H441" s="39" t="s">
        <v>283</v>
      </c>
      <c r="I441" s="32" t="s">
        <v>284</v>
      </c>
      <c r="J441" s="39" t="s">
        <v>285</v>
      </c>
      <c r="K441" s="32" t="e">
        <f aca="false">_xlfn.xlookup(J441,[1]REF!$D$2:$D$12,[1]REF!$E$2:$E$12)</f>
        <v>#NAME?</v>
      </c>
      <c r="L441" s="32" t="s">
        <v>455</v>
      </c>
      <c r="M441" s="39" t="s">
        <v>288</v>
      </c>
      <c r="N441" s="39" t="s">
        <v>289</v>
      </c>
      <c r="O441" s="32" t="s">
        <v>465</v>
      </c>
      <c r="P441" s="40" t="str">
        <f aca="false">_xlfn.CONCAT(B441,C441,D441,E441,F441)</f>
        <v>BC Aracu2araçu 2.3 inversor 246034.603472222246034.603472222246036.6701388889</v>
      </c>
      <c r="Q441" s="32" t="str">
        <f aca="false">_xlfn.CONCAT(H441,I441,J441)</f>
        <v>LIGRFOCOM</v>
      </c>
    </row>
    <row r="442" customFormat="false" ht="15" hidden="false" customHeight="false" outlineLevel="0" collapsed="false">
      <c r="B442" s="32" t="s">
        <v>18</v>
      </c>
      <c r="C442" s="32" t="s">
        <v>400</v>
      </c>
      <c r="D442" s="33" t="n">
        <v>46034.6034722222</v>
      </c>
      <c r="E442" s="33" t="n">
        <v>46034.6034722222</v>
      </c>
      <c r="F442" s="33" t="n">
        <v>46036.6701388889</v>
      </c>
      <c r="G442" s="34" t="n">
        <f aca="false">F442-E442</f>
        <v>2.06666666666667</v>
      </c>
      <c r="H442" s="39" t="s">
        <v>283</v>
      </c>
      <c r="I442" s="32" t="s">
        <v>284</v>
      </c>
      <c r="J442" s="39" t="s">
        <v>285</v>
      </c>
      <c r="K442" s="32" t="e">
        <f aca="false">_xlfn.xlookup(J442,[1]REF!$D$2:$D$12,[1]REF!$E$2:$E$12)</f>
        <v>#NAME?</v>
      </c>
      <c r="L442" s="32" t="s">
        <v>455</v>
      </c>
      <c r="M442" s="39" t="s">
        <v>288</v>
      </c>
      <c r="N442" s="39" t="s">
        <v>289</v>
      </c>
      <c r="O442" s="32" t="s">
        <v>465</v>
      </c>
      <c r="P442" s="40" t="str">
        <f aca="false">_xlfn.CONCAT(B442,C442,D442,E442,F442)</f>
        <v>BC Aracu2araçu 2.3 inversor 446034.603472222246034.603472222246036.6701388889</v>
      </c>
      <c r="Q442" s="32" t="str">
        <f aca="false">_xlfn.CONCAT(H442,I442,J442)</f>
        <v>LIGRFOCOM</v>
      </c>
    </row>
    <row r="443" customFormat="false" ht="15" hidden="false" customHeight="false" outlineLevel="0" collapsed="false">
      <c r="B443" s="32" t="s">
        <v>18</v>
      </c>
      <c r="C443" s="32" t="s">
        <v>401</v>
      </c>
      <c r="D443" s="33" t="n">
        <v>46034.6034722222</v>
      </c>
      <c r="E443" s="33" t="n">
        <v>46034.6034722222</v>
      </c>
      <c r="F443" s="33" t="n">
        <v>46036.6701388889</v>
      </c>
      <c r="G443" s="34" t="n">
        <f aca="false">F443-E443</f>
        <v>2.06666666666667</v>
      </c>
      <c r="H443" s="39" t="s">
        <v>283</v>
      </c>
      <c r="I443" s="32" t="s">
        <v>284</v>
      </c>
      <c r="J443" s="39" t="s">
        <v>285</v>
      </c>
      <c r="K443" s="32" t="e">
        <f aca="false">_xlfn.xlookup(J443,[1]REF!$D$2:$D$12,[1]REF!$E$2:$E$12)</f>
        <v>#NAME?</v>
      </c>
      <c r="L443" s="32" t="s">
        <v>455</v>
      </c>
      <c r="M443" s="39" t="s">
        <v>288</v>
      </c>
      <c r="N443" s="39" t="s">
        <v>289</v>
      </c>
      <c r="O443" s="32" t="s">
        <v>465</v>
      </c>
      <c r="P443" s="40" t="str">
        <f aca="false">_xlfn.CONCAT(B443,C443,D443,E443,F443)</f>
        <v>BC Aracu2araçu 2.3 inversor 346034.603472222246034.603472222246036.6701388889</v>
      </c>
      <c r="Q443" s="32" t="str">
        <f aca="false">_xlfn.CONCAT(H443,I443,J443)</f>
        <v>LIGRFOCOM</v>
      </c>
    </row>
    <row r="444" customFormat="false" ht="15" hidden="false" customHeight="false" outlineLevel="0" collapsed="false">
      <c r="B444" s="32" t="s">
        <v>18</v>
      </c>
      <c r="C444" s="32" t="s">
        <v>402</v>
      </c>
      <c r="D444" s="33" t="n">
        <v>46034.6034722222</v>
      </c>
      <c r="E444" s="33" t="n">
        <v>46034.6034722222</v>
      </c>
      <c r="F444" s="33" t="n">
        <v>46036.6701388889</v>
      </c>
      <c r="G444" s="34" t="n">
        <f aca="false">F444-E444</f>
        <v>2.06666666666667</v>
      </c>
      <c r="H444" s="39" t="s">
        <v>283</v>
      </c>
      <c r="I444" s="32" t="s">
        <v>284</v>
      </c>
      <c r="J444" s="39" t="s">
        <v>285</v>
      </c>
      <c r="K444" s="32" t="e">
        <f aca="false">_xlfn.xlookup(J444,[1]REF!$D$2:$D$12,[1]REF!$E$2:$E$12)</f>
        <v>#NAME?</v>
      </c>
      <c r="L444" s="32" t="s">
        <v>455</v>
      </c>
      <c r="M444" s="39" t="s">
        <v>288</v>
      </c>
      <c r="N444" s="39" t="s">
        <v>289</v>
      </c>
      <c r="O444" s="32" t="s">
        <v>465</v>
      </c>
      <c r="P444" s="40" t="str">
        <f aca="false">_xlfn.CONCAT(B444,C444,D444,E444,F444)</f>
        <v>BC Aracu2araçu 2.4 inversor 346034.603472222246034.603472222246036.6701388889</v>
      </c>
      <c r="Q444" s="32" t="str">
        <f aca="false">_xlfn.CONCAT(H444,I444,J444)</f>
        <v>LIGRFOCOM</v>
      </c>
    </row>
    <row r="445" customFormat="false" ht="15" hidden="false" customHeight="false" outlineLevel="0" collapsed="false">
      <c r="B445" s="32" t="s">
        <v>18</v>
      </c>
      <c r="C445" s="32" t="s">
        <v>403</v>
      </c>
      <c r="D445" s="33" t="n">
        <v>46034.6034722222</v>
      </c>
      <c r="E445" s="33" t="n">
        <v>46034.6034722222</v>
      </c>
      <c r="F445" s="33" t="n">
        <v>46036.6701388889</v>
      </c>
      <c r="G445" s="34" t="n">
        <f aca="false">F445-E445</f>
        <v>2.06666666666667</v>
      </c>
      <c r="H445" s="39" t="s">
        <v>283</v>
      </c>
      <c r="I445" s="32" t="s">
        <v>284</v>
      </c>
      <c r="J445" s="39" t="s">
        <v>285</v>
      </c>
      <c r="K445" s="32" t="e">
        <f aca="false">_xlfn.xlookup(J445,[1]REF!$D$2:$D$12,[1]REF!$E$2:$E$12)</f>
        <v>#NAME?</v>
      </c>
      <c r="L445" s="32" t="s">
        <v>455</v>
      </c>
      <c r="M445" s="39" t="s">
        <v>288</v>
      </c>
      <c r="N445" s="39" t="s">
        <v>289</v>
      </c>
      <c r="O445" s="32" t="s">
        <v>465</v>
      </c>
      <c r="P445" s="40" t="str">
        <f aca="false">_xlfn.CONCAT(B445,C445,D445,E445,F445)</f>
        <v>BC Aracu2araçu 2.4 inversor 146034.603472222246034.603472222246036.6701388889</v>
      </c>
      <c r="Q445" s="32" t="str">
        <f aca="false">_xlfn.CONCAT(H445,I445,J445)</f>
        <v>LIGRFOCOM</v>
      </c>
    </row>
    <row r="446" customFormat="false" ht="15" hidden="false" customHeight="false" outlineLevel="0" collapsed="false">
      <c r="B446" s="32" t="s">
        <v>18</v>
      </c>
      <c r="C446" s="32" t="s">
        <v>404</v>
      </c>
      <c r="D446" s="33" t="n">
        <v>46034.6034722222</v>
      </c>
      <c r="E446" s="33" t="n">
        <v>46034.6034722222</v>
      </c>
      <c r="F446" s="33" t="n">
        <v>46036.6701388889</v>
      </c>
      <c r="G446" s="34" t="n">
        <f aca="false">F446-E446</f>
        <v>2.06666666666667</v>
      </c>
      <c r="H446" s="39" t="s">
        <v>283</v>
      </c>
      <c r="I446" s="32" t="s">
        <v>284</v>
      </c>
      <c r="J446" s="39" t="s">
        <v>285</v>
      </c>
      <c r="K446" s="32" t="e">
        <f aca="false">_xlfn.xlookup(J446,[1]REF!$D$2:$D$12,[1]REF!$E$2:$E$12)</f>
        <v>#NAME?</v>
      </c>
      <c r="L446" s="32" t="s">
        <v>455</v>
      </c>
      <c r="M446" s="39" t="s">
        <v>288</v>
      </c>
      <c r="N446" s="39" t="s">
        <v>289</v>
      </c>
      <c r="O446" s="32" t="s">
        <v>465</v>
      </c>
      <c r="P446" s="40" t="str">
        <f aca="false">_xlfn.CONCAT(B446,C446,D446,E446,F446)</f>
        <v>BC Aracu2araçu 2.4 inversor 646034.603472222246034.603472222246036.6701388889</v>
      </c>
      <c r="Q446" s="32" t="str">
        <f aca="false">_xlfn.CONCAT(H446,I446,J446)</f>
        <v>LIGRFOCOM</v>
      </c>
    </row>
    <row r="447" customFormat="false" ht="15" hidden="false" customHeight="false" outlineLevel="0" collapsed="false">
      <c r="B447" s="32" t="s">
        <v>18</v>
      </c>
      <c r="C447" s="32" t="s">
        <v>405</v>
      </c>
      <c r="D447" s="33" t="n">
        <v>46034.6034722222</v>
      </c>
      <c r="E447" s="33" t="n">
        <v>46034.6034722222</v>
      </c>
      <c r="F447" s="33" t="n">
        <v>46036.6701388889</v>
      </c>
      <c r="G447" s="34" t="n">
        <f aca="false">F447-E447</f>
        <v>2.06666666666667</v>
      </c>
      <c r="H447" s="39" t="s">
        <v>283</v>
      </c>
      <c r="I447" s="32" t="s">
        <v>284</v>
      </c>
      <c r="J447" s="39" t="s">
        <v>285</v>
      </c>
      <c r="K447" s="32" t="e">
        <f aca="false">_xlfn.xlookup(J447,[1]REF!$D$2:$D$12,[1]REF!$E$2:$E$12)</f>
        <v>#NAME?</v>
      </c>
      <c r="L447" s="32" t="s">
        <v>455</v>
      </c>
      <c r="M447" s="39" t="s">
        <v>288</v>
      </c>
      <c r="N447" s="39" t="s">
        <v>289</v>
      </c>
      <c r="O447" s="32" t="s">
        <v>465</v>
      </c>
      <c r="P447" s="40" t="str">
        <f aca="false">_xlfn.CONCAT(B447,C447,D447,E447,F447)</f>
        <v>BC Aracu2araçu 2.4 inversor 446034.603472222246034.603472222246036.6701388889</v>
      </c>
      <c r="Q447" s="32" t="str">
        <f aca="false">_xlfn.CONCAT(H447,I447,J447)</f>
        <v>LIGRFOCOM</v>
      </c>
    </row>
    <row r="448" customFormat="false" ht="15" hidden="false" customHeight="false" outlineLevel="0" collapsed="false">
      <c r="B448" s="32" t="s">
        <v>18</v>
      </c>
      <c r="C448" s="32" t="s">
        <v>406</v>
      </c>
      <c r="D448" s="33" t="n">
        <v>46034.6034722222</v>
      </c>
      <c r="E448" s="33" t="n">
        <v>46034.6034722222</v>
      </c>
      <c r="F448" s="33" t="n">
        <v>46036.6701388889</v>
      </c>
      <c r="G448" s="34" t="n">
        <f aca="false">F448-E448</f>
        <v>2.06666666666667</v>
      </c>
      <c r="H448" s="39" t="s">
        <v>283</v>
      </c>
      <c r="I448" s="32" t="s">
        <v>284</v>
      </c>
      <c r="J448" s="39" t="s">
        <v>285</v>
      </c>
      <c r="K448" s="32" t="e">
        <f aca="false">_xlfn.xlookup(J448,[1]REF!$D$2:$D$12,[1]REF!$E$2:$E$12)</f>
        <v>#NAME?</v>
      </c>
      <c r="L448" s="32" t="s">
        <v>455</v>
      </c>
      <c r="M448" s="39" t="s">
        <v>288</v>
      </c>
      <c r="N448" s="39" t="s">
        <v>289</v>
      </c>
      <c r="O448" s="32" t="s">
        <v>465</v>
      </c>
      <c r="P448" s="40" t="str">
        <f aca="false">_xlfn.CONCAT(B448,C448,D448,E448,F448)</f>
        <v>BC Aracu2araçu 2.4 inversor 246034.603472222246034.603472222246036.6701388889</v>
      </c>
      <c r="Q448" s="32" t="str">
        <f aca="false">_xlfn.CONCAT(H448,I448,J448)</f>
        <v>LIGRFOCOM</v>
      </c>
    </row>
    <row r="449" customFormat="false" ht="15" hidden="false" customHeight="false" outlineLevel="0" collapsed="false">
      <c r="B449" s="32" t="s">
        <v>18</v>
      </c>
      <c r="C449" s="32" t="s">
        <v>407</v>
      </c>
      <c r="D449" s="33" t="n">
        <v>46034.6034722222</v>
      </c>
      <c r="E449" s="33" t="n">
        <v>46034.6034722222</v>
      </c>
      <c r="F449" s="33" t="n">
        <v>46036.6701388889</v>
      </c>
      <c r="G449" s="34" t="n">
        <f aca="false">F449-E449</f>
        <v>2.06666666666667</v>
      </c>
      <c r="H449" s="39" t="s">
        <v>283</v>
      </c>
      <c r="I449" s="32" t="s">
        <v>284</v>
      </c>
      <c r="J449" s="39" t="s">
        <v>285</v>
      </c>
      <c r="K449" s="32" t="e">
        <f aca="false">_xlfn.xlookup(J449,[1]REF!$D$2:$D$12,[1]REF!$E$2:$E$12)</f>
        <v>#NAME?</v>
      </c>
      <c r="L449" s="32" t="s">
        <v>455</v>
      </c>
      <c r="M449" s="39" t="s">
        <v>288</v>
      </c>
      <c r="N449" s="39" t="s">
        <v>289</v>
      </c>
      <c r="O449" s="32" t="s">
        <v>465</v>
      </c>
      <c r="P449" s="40" t="str">
        <f aca="false">_xlfn.CONCAT(B449,C449,D449,E449,F449)</f>
        <v>BC Aracu2araçu 2.4 inversor 546034.603472222246034.603472222246036.6701388889</v>
      </c>
      <c r="Q449" s="32" t="str">
        <f aca="false">_xlfn.CONCAT(H449,I449,J449)</f>
        <v>LIGRFOCOM</v>
      </c>
    </row>
    <row r="450" customFormat="false" ht="15" hidden="false" customHeight="false" outlineLevel="0" collapsed="false">
      <c r="B450" s="32" t="s">
        <v>177</v>
      </c>
      <c r="C450" s="32" t="s">
        <v>326</v>
      </c>
      <c r="D450" s="33" t="n">
        <v>46034.7083333333</v>
      </c>
      <c r="E450" s="33" t="n">
        <v>46034.7083333333</v>
      </c>
      <c r="F450" s="33" t="n">
        <v>46034.7291666667</v>
      </c>
      <c r="G450" s="34" t="n">
        <f aca="false">F450-E450</f>
        <v>0.0208333333333333</v>
      </c>
      <c r="H450" s="39" t="s">
        <v>252</v>
      </c>
      <c r="J450" s="39" t="s">
        <v>253</v>
      </c>
      <c r="K450" s="32" t="s">
        <v>266</v>
      </c>
      <c r="L450" s="32" t="s">
        <v>466</v>
      </c>
      <c r="M450" s="39" t="s">
        <v>255</v>
      </c>
      <c r="N450" s="39" t="s">
        <v>268</v>
      </c>
      <c r="O450" s="32" t="s">
        <v>269</v>
      </c>
      <c r="P450" s="40" t="str">
        <f aca="false">_xlfn.CONCAT(B450,C450,D451,E450,F450)</f>
        <v>BC Lencois PaulistaInverter(MBUS-13)46034.708333333346034.708333333346034.7291666667</v>
      </c>
      <c r="Q450" s="32" t="str">
        <f aca="false">_xlfn.CONCAT(H450,I450,J450)</f>
        <v>DAURDE</v>
      </c>
    </row>
    <row r="451" customFormat="false" ht="15" hidden="false" customHeight="false" outlineLevel="0" collapsed="false">
      <c r="B451" s="32" t="s">
        <v>177</v>
      </c>
      <c r="C451" s="32" t="s">
        <v>327</v>
      </c>
      <c r="D451" s="33" t="n">
        <v>46034.7083333333</v>
      </c>
      <c r="E451" s="33" t="n">
        <v>46034.7083333333</v>
      </c>
      <c r="F451" s="33" t="n">
        <v>46034.7291666667</v>
      </c>
      <c r="G451" s="34" t="n">
        <f aca="false">F451-E451</f>
        <v>0.0208333333333333</v>
      </c>
      <c r="H451" s="39" t="s">
        <v>252</v>
      </c>
      <c r="J451" s="39" t="s">
        <v>253</v>
      </c>
      <c r="K451" s="32" t="s">
        <v>266</v>
      </c>
      <c r="L451" s="32" t="s">
        <v>466</v>
      </c>
      <c r="M451" s="39" t="s">
        <v>255</v>
      </c>
      <c r="N451" s="39" t="s">
        <v>268</v>
      </c>
      <c r="O451" s="32" t="s">
        <v>269</v>
      </c>
      <c r="P451" s="40" t="str">
        <f aca="false">_xlfn.CONCAT(B451,C451,D452,E451,F451)</f>
        <v>BC Lencois PaulistaInverter(MBUS-14)46034.708333333346034.708333333346034.7291666667</v>
      </c>
      <c r="Q451" s="32" t="str">
        <f aca="false">_xlfn.CONCAT(H451,I451,J451)</f>
        <v>DAURDE</v>
      </c>
    </row>
    <row r="452" customFormat="false" ht="15" hidden="false" customHeight="false" outlineLevel="0" collapsed="false">
      <c r="B452" s="32" t="s">
        <v>177</v>
      </c>
      <c r="C452" s="32" t="s">
        <v>324</v>
      </c>
      <c r="D452" s="33" t="n">
        <v>46034.7083333333</v>
      </c>
      <c r="E452" s="33" t="n">
        <v>46034.7083333333</v>
      </c>
      <c r="F452" s="33" t="n">
        <v>46034.7291666667</v>
      </c>
      <c r="G452" s="34" t="n">
        <f aca="false">F452-E452</f>
        <v>0.0208333333333333</v>
      </c>
      <c r="H452" s="39" t="s">
        <v>252</v>
      </c>
      <c r="J452" s="39" t="s">
        <v>253</v>
      </c>
      <c r="K452" s="32" t="s">
        <v>266</v>
      </c>
      <c r="L452" s="32" t="s">
        <v>466</v>
      </c>
      <c r="M452" s="39" t="s">
        <v>255</v>
      </c>
      <c r="N452" s="39" t="s">
        <v>268</v>
      </c>
      <c r="O452" s="32" t="s">
        <v>269</v>
      </c>
      <c r="P452" s="40" t="str">
        <f aca="false">_xlfn.CONCAT(B452,C452,D453,E452,F452)</f>
        <v>BC Lencois PaulistaInverter(MBUS-12)46034.708333333346034.708333333346034.7291666667</v>
      </c>
      <c r="Q452" s="32" t="str">
        <f aca="false">_xlfn.CONCAT(H452,I452,J452)</f>
        <v>DAURDE</v>
      </c>
    </row>
    <row r="453" customFormat="false" ht="15" hidden="false" customHeight="false" outlineLevel="0" collapsed="false">
      <c r="B453" s="32" t="s">
        <v>177</v>
      </c>
      <c r="C453" s="32" t="s">
        <v>328</v>
      </c>
      <c r="D453" s="33" t="n">
        <v>46034.7083333333</v>
      </c>
      <c r="E453" s="33" t="n">
        <v>46034.7083333333</v>
      </c>
      <c r="F453" s="33" t="n">
        <v>46034.7291666667</v>
      </c>
      <c r="G453" s="34" t="n">
        <f aca="false">F453-E453</f>
        <v>0.0208333333333333</v>
      </c>
      <c r="H453" s="39" t="s">
        <v>252</v>
      </c>
      <c r="J453" s="39" t="s">
        <v>253</v>
      </c>
      <c r="K453" s="32" t="s">
        <v>266</v>
      </c>
      <c r="L453" s="32" t="s">
        <v>466</v>
      </c>
      <c r="M453" s="39" t="s">
        <v>255</v>
      </c>
      <c r="N453" s="39" t="s">
        <v>268</v>
      </c>
      <c r="O453" s="32" t="s">
        <v>269</v>
      </c>
      <c r="P453" s="40" t="str">
        <f aca="false">_xlfn.CONCAT(B453,C453,D454,E453,F453)</f>
        <v>BC Lencois PaulistaInverter(MBUS-15)46035.165277777846034.708333333346034.7291666667</v>
      </c>
      <c r="Q453" s="32" t="str">
        <f aca="false">_xlfn.CONCAT(H453,I453,J453)</f>
        <v>DAURDE</v>
      </c>
    </row>
    <row r="454" customFormat="false" ht="41.75" hidden="false" customHeight="false" outlineLevel="0" collapsed="false">
      <c r="B454" s="41" t="s">
        <v>467</v>
      </c>
      <c r="C454" s="32" t="s">
        <v>468</v>
      </c>
      <c r="D454" s="33" t="n">
        <v>46035.1652777778</v>
      </c>
      <c r="E454" s="33" t="n">
        <v>46035.1652777778</v>
      </c>
      <c r="F454" s="33" t="n">
        <v>46038.46875</v>
      </c>
      <c r="G454" s="34" t="n">
        <f aca="false">F454-E454</f>
        <v>3.30347222222222</v>
      </c>
      <c r="H454" s="39" t="s">
        <v>252</v>
      </c>
      <c r="J454" s="39" t="s">
        <v>253</v>
      </c>
      <c r="K454" s="32" t="s">
        <v>266</v>
      </c>
      <c r="L454" s="32" t="s">
        <v>275</v>
      </c>
      <c r="M454" s="39" t="s">
        <v>255</v>
      </c>
      <c r="N454" s="39" t="s">
        <v>268</v>
      </c>
      <c r="O454" s="47" t="s">
        <v>469</v>
      </c>
      <c r="P454" s="40" t="str">
        <f aca="false">_xlfn.CONCAT(B454,C454,D455,E454,F454)</f>
        <v>BC Varjao1.1UFV 1 - INV 146035.165277777846035.165277777846038.46875</v>
      </c>
      <c r="Q454" s="32" t="str">
        <f aca="false">_xlfn.CONCAT(H454,I454,J454)</f>
        <v>DAURDE</v>
      </c>
    </row>
    <row r="455" customFormat="false" ht="41.75" hidden="false" customHeight="false" outlineLevel="0" collapsed="false">
      <c r="B455" s="41" t="s">
        <v>467</v>
      </c>
      <c r="C455" s="32" t="s">
        <v>470</v>
      </c>
      <c r="D455" s="33" t="n">
        <v>46035.1652777778</v>
      </c>
      <c r="E455" s="33" t="n">
        <v>46035.1652777778</v>
      </c>
      <c r="F455" s="33" t="n">
        <v>46038.46875</v>
      </c>
      <c r="G455" s="34" t="n">
        <f aca="false">F455-E455</f>
        <v>3.30347222222222</v>
      </c>
      <c r="H455" s="39" t="s">
        <v>252</v>
      </c>
      <c r="J455" s="39" t="s">
        <v>253</v>
      </c>
      <c r="K455" s="32" t="s">
        <v>266</v>
      </c>
      <c r="L455" s="32" t="s">
        <v>275</v>
      </c>
      <c r="M455" s="39" t="s">
        <v>255</v>
      </c>
      <c r="N455" s="39" t="s">
        <v>268</v>
      </c>
      <c r="O455" s="47" t="s">
        <v>469</v>
      </c>
      <c r="P455" s="40" t="str">
        <f aca="false">_xlfn.CONCAT(B455,C455,D456,E455,F455)</f>
        <v>BC Varjao1.1UFV 1 - INV 546035.165277777846035.165277777846038.46875</v>
      </c>
      <c r="Q455" s="32" t="str">
        <f aca="false">_xlfn.CONCAT(H455,I455,J455)</f>
        <v>DAURDE</v>
      </c>
    </row>
    <row r="456" customFormat="false" ht="41.75" hidden="false" customHeight="false" outlineLevel="0" collapsed="false">
      <c r="B456" s="41" t="s">
        <v>467</v>
      </c>
      <c r="C456" s="32" t="s">
        <v>471</v>
      </c>
      <c r="D456" s="33" t="n">
        <v>46035.1652777778</v>
      </c>
      <c r="E456" s="33" t="n">
        <v>46035.1652777778</v>
      </c>
      <c r="F456" s="33" t="n">
        <v>46038.46875</v>
      </c>
      <c r="G456" s="34" t="n">
        <f aca="false">F456-E456</f>
        <v>3.30347222222222</v>
      </c>
      <c r="H456" s="39" t="s">
        <v>252</v>
      </c>
      <c r="J456" s="39" t="s">
        <v>253</v>
      </c>
      <c r="K456" s="32" t="s">
        <v>266</v>
      </c>
      <c r="L456" s="32" t="s">
        <v>275</v>
      </c>
      <c r="M456" s="39" t="s">
        <v>255</v>
      </c>
      <c r="N456" s="39" t="s">
        <v>268</v>
      </c>
      <c r="O456" s="47" t="s">
        <v>469</v>
      </c>
      <c r="P456" s="40" t="str">
        <f aca="false">_xlfn.CONCAT(B456,C456,D457,E456,F456)</f>
        <v>BC Varjao1.1UFV 1 - INV 446035.165277777846035.165277777846038.46875</v>
      </c>
      <c r="Q456" s="32" t="str">
        <f aca="false">_xlfn.CONCAT(H456,I456,J456)</f>
        <v>DAURDE</v>
      </c>
    </row>
    <row r="457" customFormat="false" ht="41.75" hidden="false" customHeight="false" outlineLevel="0" collapsed="false">
      <c r="B457" s="41" t="s">
        <v>467</v>
      </c>
      <c r="C457" s="32" t="s">
        <v>472</v>
      </c>
      <c r="D457" s="33" t="n">
        <v>46035.1652777778</v>
      </c>
      <c r="E457" s="33" t="n">
        <v>46035.1652777778</v>
      </c>
      <c r="F457" s="33" t="n">
        <v>46038.46875</v>
      </c>
      <c r="G457" s="34" t="n">
        <f aca="false">F457-E457</f>
        <v>3.30347222222222</v>
      </c>
      <c r="H457" s="39" t="s">
        <v>252</v>
      </c>
      <c r="J457" s="39" t="s">
        <v>253</v>
      </c>
      <c r="K457" s="32" t="s">
        <v>266</v>
      </c>
      <c r="L457" s="32" t="s">
        <v>275</v>
      </c>
      <c r="M457" s="39" t="s">
        <v>255</v>
      </c>
      <c r="N457" s="39" t="s">
        <v>268</v>
      </c>
      <c r="O457" s="47" t="s">
        <v>469</v>
      </c>
      <c r="P457" s="40" t="str">
        <f aca="false">_xlfn.CONCAT(B457,C457,D458,E457,F457)</f>
        <v>BC Varjao1.1UFV 1 - INV 346035.165277777846035.165277777846038.46875</v>
      </c>
      <c r="Q457" s="32" t="str">
        <f aca="false">_xlfn.CONCAT(H457,I457,J457)</f>
        <v>DAURDE</v>
      </c>
    </row>
    <row r="458" customFormat="false" ht="41.75" hidden="false" customHeight="false" outlineLevel="0" collapsed="false">
      <c r="B458" s="41" t="s">
        <v>467</v>
      </c>
      <c r="C458" s="32" t="s">
        <v>473</v>
      </c>
      <c r="D458" s="33" t="n">
        <v>46035.1652777778</v>
      </c>
      <c r="E458" s="33" t="n">
        <v>46035.1652777778</v>
      </c>
      <c r="F458" s="33" t="n">
        <v>46038.46875</v>
      </c>
      <c r="G458" s="34" t="n">
        <f aca="false">F458-E458</f>
        <v>3.30347222222222</v>
      </c>
      <c r="H458" s="39" t="s">
        <v>252</v>
      </c>
      <c r="J458" s="39" t="s">
        <v>253</v>
      </c>
      <c r="K458" s="32" t="s">
        <v>266</v>
      </c>
      <c r="L458" s="32" t="s">
        <v>275</v>
      </c>
      <c r="M458" s="39" t="s">
        <v>255</v>
      </c>
      <c r="N458" s="39" t="s">
        <v>268</v>
      </c>
      <c r="O458" s="47" t="s">
        <v>469</v>
      </c>
      <c r="P458" s="40" t="str">
        <f aca="false">_xlfn.CONCAT(B458,C458,D459,E458,F458)</f>
        <v>BC Varjao1.1UFV 1 - INV 246035.279861111146035.165277777846038.46875</v>
      </c>
      <c r="Q458" s="32" t="str">
        <f aca="false">_xlfn.CONCAT(H458,I458,J458)</f>
        <v>DAURDE</v>
      </c>
    </row>
    <row r="459" customFormat="false" ht="15" hidden="false" customHeight="false" outlineLevel="0" collapsed="false">
      <c r="B459" s="32" t="s">
        <v>474</v>
      </c>
      <c r="C459" s="32" t="s">
        <v>327</v>
      </c>
      <c r="D459" s="33" t="n">
        <v>46035.2798611111</v>
      </c>
      <c r="E459" s="33" t="n">
        <v>46035.2798611111</v>
      </c>
      <c r="F459" s="33" t="n">
        <v>46035.3770833333</v>
      </c>
      <c r="G459" s="34" t="n">
        <f aca="false">F459-E459</f>
        <v>0.0972222222222222</v>
      </c>
      <c r="H459" s="39" t="s">
        <v>252</v>
      </c>
      <c r="J459" s="39" t="s">
        <v>253</v>
      </c>
      <c r="K459" s="32" t="s">
        <v>266</v>
      </c>
      <c r="L459" s="32" t="s">
        <v>475</v>
      </c>
      <c r="M459" s="39" t="s">
        <v>255</v>
      </c>
      <c r="N459" s="39" t="s">
        <v>268</v>
      </c>
      <c r="O459" s="32" t="s">
        <v>269</v>
      </c>
      <c r="P459" s="40" t="str">
        <f aca="false">_xlfn.CONCAT(B459,C459,D459,E459,F459)</f>
        <v>BC Turvania1.1Inverter(MBUS-14)46035.279861111146035.279861111146035.3770833333</v>
      </c>
      <c r="Q459" s="32" t="str">
        <f aca="false">_xlfn.CONCAT(H459,I459,J459)</f>
        <v>DAURDE</v>
      </c>
    </row>
    <row r="460" customFormat="false" ht="15" hidden="false" customHeight="false" outlineLevel="0" collapsed="false">
      <c r="B460" s="32" t="s">
        <v>474</v>
      </c>
      <c r="C460" s="32" t="s">
        <v>328</v>
      </c>
      <c r="D460" s="33" t="n">
        <v>46035.2798611111</v>
      </c>
      <c r="E460" s="33" t="n">
        <v>46035.2798611111</v>
      </c>
      <c r="F460" s="33" t="n">
        <v>46035.3770833333</v>
      </c>
      <c r="G460" s="34" t="n">
        <f aca="false">F460-E460</f>
        <v>0.0972222222222222</v>
      </c>
      <c r="H460" s="39" t="s">
        <v>252</v>
      </c>
      <c r="J460" s="39" t="s">
        <v>253</v>
      </c>
      <c r="K460" s="32" t="s">
        <v>266</v>
      </c>
      <c r="L460" s="32" t="s">
        <v>475</v>
      </c>
      <c r="M460" s="39" t="s">
        <v>255</v>
      </c>
      <c r="N460" s="39" t="s">
        <v>268</v>
      </c>
      <c r="O460" s="32" t="s">
        <v>269</v>
      </c>
      <c r="P460" s="40" t="str">
        <f aca="false">_xlfn.CONCAT(B460,C460,D460,E460,F460)</f>
        <v>BC Turvania1.1Inverter(MBUS-15)46035.279861111146035.279861111146035.3770833333</v>
      </c>
      <c r="Q460" s="32" t="str">
        <f aca="false">_xlfn.CONCAT(H460,I460,J460)</f>
        <v>DAURDE</v>
      </c>
    </row>
    <row r="461" customFormat="false" ht="15" hidden="false" customHeight="false" outlineLevel="0" collapsed="false">
      <c r="B461" s="32" t="s">
        <v>474</v>
      </c>
      <c r="C461" s="32" t="s">
        <v>324</v>
      </c>
      <c r="D461" s="33" t="n">
        <v>46035.2798611111</v>
      </c>
      <c r="E461" s="33" t="n">
        <v>46035.2798611111</v>
      </c>
      <c r="F461" s="33" t="n">
        <v>46035.3770833333</v>
      </c>
      <c r="G461" s="34" t="n">
        <f aca="false">F461-E461</f>
        <v>0.0972222222222222</v>
      </c>
      <c r="H461" s="39" t="s">
        <v>252</v>
      </c>
      <c r="J461" s="39" t="s">
        <v>253</v>
      </c>
      <c r="K461" s="32" t="s">
        <v>266</v>
      </c>
      <c r="L461" s="32" t="s">
        <v>475</v>
      </c>
      <c r="M461" s="39" t="s">
        <v>255</v>
      </c>
      <c r="N461" s="39" t="s">
        <v>268</v>
      </c>
      <c r="O461" s="32" t="s">
        <v>269</v>
      </c>
      <c r="P461" s="40" t="str">
        <f aca="false">_xlfn.CONCAT(B461,C461,D461,E461,F461)</f>
        <v>BC Turvania1.1Inverter(MBUS-12)46035.279861111146035.279861111146035.3770833333</v>
      </c>
      <c r="Q461" s="32" t="str">
        <f aca="false">_xlfn.CONCAT(H461,I461,J461)</f>
        <v>DAURDE</v>
      </c>
    </row>
    <row r="462" customFormat="false" ht="15" hidden="false" customHeight="false" outlineLevel="0" collapsed="false">
      <c r="B462" s="32" t="s">
        <v>474</v>
      </c>
      <c r="C462" s="32" t="s">
        <v>326</v>
      </c>
      <c r="D462" s="33" t="n">
        <v>46035.2798611111</v>
      </c>
      <c r="E462" s="33" t="n">
        <v>46035.2798611111</v>
      </c>
      <c r="F462" s="33" t="n">
        <v>46035.3770833333</v>
      </c>
      <c r="G462" s="34" t="n">
        <f aca="false">F462-E462</f>
        <v>0.0972222222222222</v>
      </c>
      <c r="H462" s="39" t="s">
        <v>252</v>
      </c>
      <c r="J462" s="39" t="s">
        <v>253</v>
      </c>
      <c r="K462" s="32" t="s">
        <v>266</v>
      </c>
      <c r="L462" s="32" t="s">
        <v>475</v>
      </c>
      <c r="M462" s="39" t="s">
        <v>255</v>
      </c>
      <c r="N462" s="39" t="s">
        <v>268</v>
      </c>
      <c r="O462" s="32" t="s">
        <v>269</v>
      </c>
      <c r="P462" s="40" t="str">
        <f aca="false">_xlfn.CONCAT(B462,C462,D462,E462,F462)</f>
        <v>BC Turvania1.1Inverter(MBUS-13)46035.279861111146035.279861111146035.3770833333</v>
      </c>
      <c r="Q462" s="32" t="str">
        <f aca="false">_xlfn.CONCAT(H462,I462,J462)</f>
        <v>DAURDE</v>
      </c>
    </row>
    <row r="463" customFormat="false" ht="15" hidden="false" customHeight="false" outlineLevel="0" collapsed="false">
      <c r="B463" s="32" t="s">
        <v>476</v>
      </c>
      <c r="C463" s="32" t="s">
        <v>327</v>
      </c>
      <c r="D463" s="33" t="n">
        <v>46035.2798611111</v>
      </c>
      <c r="E463" s="33" t="n">
        <v>46035.2798611111</v>
      </c>
      <c r="F463" s="33" t="n">
        <v>46035.3770833333</v>
      </c>
      <c r="G463" s="34" t="n">
        <f aca="false">F463-E463</f>
        <v>0.0972222222222222</v>
      </c>
      <c r="H463" s="39" t="s">
        <v>252</v>
      </c>
      <c r="J463" s="39" t="s">
        <v>253</v>
      </c>
      <c r="K463" s="32" t="s">
        <v>266</v>
      </c>
      <c r="L463" s="32" t="s">
        <v>475</v>
      </c>
      <c r="M463" s="39" t="s">
        <v>255</v>
      </c>
      <c r="N463" s="39" t="s">
        <v>268</v>
      </c>
      <c r="O463" s="32" t="s">
        <v>269</v>
      </c>
      <c r="P463" s="40" t="str">
        <f aca="false">_xlfn.CONCAT(B463,C463,D463,E463,F463)</f>
        <v>BC Turvania1.2Inverter(MBUS-14)46035.279861111146035.279861111146035.3770833333</v>
      </c>
      <c r="Q463" s="32" t="str">
        <f aca="false">_xlfn.CONCAT(H463,I463,J463)</f>
        <v>DAURDE</v>
      </c>
    </row>
    <row r="464" customFormat="false" ht="15" hidden="false" customHeight="false" outlineLevel="0" collapsed="false">
      <c r="B464" s="32" t="s">
        <v>476</v>
      </c>
      <c r="C464" s="32" t="s">
        <v>326</v>
      </c>
      <c r="D464" s="33" t="n">
        <v>46035.2798611111</v>
      </c>
      <c r="E464" s="33" t="n">
        <v>46035.2798611111</v>
      </c>
      <c r="F464" s="33" t="n">
        <v>46035.3770833333</v>
      </c>
      <c r="G464" s="34" t="n">
        <f aca="false">F464-E464</f>
        <v>0.0972222222222222</v>
      </c>
      <c r="H464" s="39" t="s">
        <v>252</v>
      </c>
      <c r="J464" s="39" t="s">
        <v>253</v>
      </c>
      <c r="K464" s="32" t="s">
        <v>266</v>
      </c>
      <c r="L464" s="32" t="s">
        <v>475</v>
      </c>
      <c r="M464" s="39" t="s">
        <v>255</v>
      </c>
      <c r="N464" s="39" t="s">
        <v>268</v>
      </c>
      <c r="O464" s="32" t="s">
        <v>269</v>
      </c>
      <c r="P464" s="40" t="str">
        <f aca="false">_xlfn.CONCAT(B464,C464,D464,E464,F464)</f>
        <v>BC Turvania1.2Inverter(MBUS-13)46035.279861111146035.279861111146035.3770833333</v>
      </c>
      <c r="Q464" s="32" t="str">
        <f aca="false">_xlfn.CONCAT(H464,I464,J464)</f>
        <v>DAURDE</v>
      </c>
    </row>
    <row r="465" customFormat="false" ht="15" hidden="false" customHeight="false" outlineLevel="0" collapsed="false">
      <c r="B465" s="32" t="s">
        <v>476</v>
      </c>
      <c r="C465" s="32" t="s">
        <v>324</v>
      </c>
      <c r="D465" s="33" t="n">
        <v>46035.2798611111</v>
      </c>
      <c r="E465" s="33" t="n">
        <v>46035.2798611111</v>
      </c>
      <c r="F465" s="33" t="n">
        <v>46035.3770833333</v>
      </c>
      <c r="G465" s="34" t="n">
        <f aca="false">F465-E465</f>
        <v>0.0972222222222222</v>
      </c>
      <c r="H465" s="39" t="s">
        <v>252</v>
      </c>
      <c r="J465" s="39" t="s">
        <v>253</v>
      </c>
      <c r="K465" s="32" t="s">
        <v>266</v>
      </c>
      <c r="L465" s="32" t="s">
        <v>475</v>
      </c>
      <c r="M465" s="39" t="s">
        <v>255</v>
      </c>
      <c r="N465" s="39" t="s">
        <v>268</v>
      </c>
      <c r="O465" s="32" t="s">
        <v>269</v>
      </c>
      <c r="P465" s="40" t="str">
        <f aca="false">_xlfn.CONCAT(B465,C465,D465,E465,F465)</f>
        <v>BC Turvania1.2Inverter(MBUS-12)46035.279861111146035.279861111146035.3770833333</v>
      </c>
      <c r="Q465" s="32" t="str">
        <f aca="false">_xlfn.CONCAT(H465,I465,J465)</f>
        <v>DAURDE</v>
      </c>
    </row>
    <row r="466" customFormat="false" ht="15" hidden="false" customHeight="false" outlineLevel="0" collapsed="false">
      <c r="B466" s="32" t="s">
        <v>476</v>
      </c>
      <c r="C466" s="32" t="s">
        <v>328</v>
      </c>
      <c r="D466" s="33" t="n">
        <v>46035.2798611111</v>
      </c>
      <c r="E466" s="33" t="n">
        <v>46035.2798611111</v>
      </c>
      <c r="F466" s="33" t="n">
        <v>46035.3770833333</v>
      </c>
      <c r="G466" s="34" t="n">
        <f aca="false">F466-E466</f>
        <v>0.0972222222222222</v>
      </c>
      <c r="H466" s="39" t="s">
        <v>252</v>
      </c>
      <c r="J466" s="39" t="s">
        <v>253</v>
      </c>
      <c r="K466" s="32" t="s">
        <v>266</v>
      </c>
      <c r="L466" s="32" t="s">
        <v>475</v>
      </c>
      <c r="M466" s="39" t="s">
        <v>255</v>
      </c>
      <c r="N466" s="39" t="s">
        <v>268</v>
      </c>
      <c r="O466" s="32" t="s">
        <v>269</v>
      </c>
      <c r="P466" s="40" t="str">
        <f aca="false">_xlfn.CONCAT(B466,C466,D466,E466,F466)</f>
        <v>BC Turvania1.2Inverter(MBUS-15)46035.279861111146035.279861111146035.3770833333</v>
      </c>
      <c r="Q466" s="32" t="str">
        <f aca="false">_xlfn.CONCAT(H466,I466,J466)</f>
        <v>DAURDE</v>
      </c>
    </row>
    <row r="467" customFormat="false" ht="15" hidden="false" customHeight="false" outlineLevel="0" collapsed="false">
      <c r="B467" s="32" t="s">
        <v>477</v>
      </c>
      <c r="C467" s="32" t="s">
        <v>326</v>
      </c>
      <c r="D467" s="33" t="n">
        <v>46035.2798611111</v>
      </c>
      <c r="E467" s="33" t="n">
        <v>46035.2798611111</v>
      </c>
      <c r="F467" s="33" t="n">
        <v>46035.3770833333</v>
      </c>
      <c r="G467" s="34" t="n">
        <f aca="false">F467-E467</f>
        <v>0.0972222222222222</v>
      </c>
      <c r="H467" s="39" t="s">
        <v>252</v>
      </c>
      <c r="J467" s="39" t="s">
        <v>253</v>
      </c>
      <c r="K467" s="32" t="s">
        <v>266</v>
      </c>
      <c r="L467" s="32" t="s">
        <v>475</v>
      </c>
      <c r="M467" s="39" t="s">
        <v>255</v>
      </c>
      <c r="N467" s="39" t="s">
        <v>268</v>
      </c>
      <c r="O467" s="32" t="s">
        <v>269</v>
      </c>
      <c r="P467" s="40" t="str">
        <f aca="false">_xlfn.CONCAT(B467,C467,D467,E467,F467)</f>
        <v>BC Turvania1.3Inverter(MBUS-13)46035.279861111146035.279861111146035.3770833333</v>
      </c>
      <c r="Q467" s="32" t="str">
        <f aca="false">_xlfn.CONCAT(H467,I467,J467)</f>
        <v>DAURDE</v>
      </c>
    </row>
    <row r="468" customFormat="false" ht="15" hidden="false" customHeight="false" outlineLevel="0" collapsed="false">
      <c r="B468" s="32" t="s">
        <v>477</v>
      </c>
      <c r="C468" s="32" t="s">
        <v>327</v>
      </c>
      <c r="D468" s="33" t="n">
        <v>46035.2798611111</v>
      </c>
      <c r="E468" s="33" t="n">
        <v>46035.2798611111</v>
      </c>
      <c r="F468" s="33" t="n">
        <v>46035.3770833333</v>
      </c>
      <c r="G468" s="34" t="n">
        <f aca="false">F468-E468</f>
        <v>0.0972222222222222</v>
      </c>
      <c r="H468" s="39" t="s">
        <v>252</v>
      </c>
      <c r="J468" s="39" t="s">
        <v>253</v>
      </c>
      <c r="K468" s="32" t="s">
        <v>266</v>
      </c>
      <c r="L468" s="32" t="s">
        <v>475</v>
      </c>
      <c r="M468" s="39" t="s">
        <v>255</v>
      </c>
      <c r="N468" s="39" t="s">
        <v>268</v>
      </c>
      <c r="O468" s="32" t="s">
        <v>269</v>
      </c>
      <c r="P468" s="40" t="str">
        <f aca="false">_xlfn.CONCAT(B468,C468,D468,E468,F468)</f>
        <v>BC Turvania1.3Inverter(MBUS-14)46035.279861111146035.279861111146035.3770833333</v>
      </c>
      <c r="Q468" s="32" t="str">
        <f aca="false">_xlfn.CONCAT(H468,I468,J468)</f>
        <v>DAURDE</v>
      </c>
    </row>
    <row r="469" customFormat="false" ht="15" hidden="false" customHeight="false" outlineLevel="0" collapsed="false">
      <c r="B469" s="32" t="s">
        <v>477</v>
      </c>
      <c r="C469" s="32" t="s">
        <v>328</v>
      </c>
      <c r="D469" s="33" t="n">
        <v>46035.2798611111</v>
      </c>
      <c r="E469" s="33" t="n">
        <v>46035.2798611111</v>
      </c>
      <c r="F469" s="33" t="n">
        <v>46035.3770833333</v>
      </c>
      <c r="G469" s="34" t="n">
        <f aca="false">F469-E469</f>
        <v>0.0972222222222222</v>
      </c>
      <c r="H469" s="39" t="s">
        <v>252</v>
      </c>
      <c r="J469" s="39" t="s">
        <v>253</v>
      </c>
      <c r="K469" s="32" t="s">
        <v>266</v>
      </c>
      <c r="L469" s="32" t="s">
        <v>475</v>
      </c>
      <c r="M469" s="39" t="s">
        <v>255</v>
      </c>
      <c r="N469" s="39" t="s">
        <v>268</v>
      </c>
      <c r="O469" s="32" t="s">
        <v>269</v>
      </c>
      <c r="P469" s="40" t="str">
        <f aca="false">_xlfn.CONCAT(B469,C469,D469,E469,F469)</f>
        <v>BC Turvania1.3Inverter(MBUS-15)46035.279861111146035.279861111146035.3770833333</v>
      </c>
      <c r="Q469" s="32" t="str">
        <f aca="false">_xlfn.CONCAT(H469,I469,J469)</f>
        <v>DAURDE</v>
      </c>
    </row>
    <row r="470" customFormat="false" ht="15" hidden="false" customHeight="false" outlineLevel="0" collapsed="false">
      <c r="B470" s="32" t="s">
        <v>477</v>
      </c>
      <c r="C470" s="32" t="s">
        <v>265</v>
      </c>
      <c r="D470" s="33" t="n">
        <v>46035.2798611111</v>
      </c>
      <c r="E470" s="33" t="n">
        <v>46035.2798611111</v>
      </c>
      <c r="F470" s="33" t="n">
        <v>46035.3770833333</v>
      </c>
      <c r="G470" s="34" t="n">
        <f aca="false">F470-E470</f>
        <v>0.0972222222222222</v>
      </c>
      <c r="H470" s="39" t="s">
        <v>252</v>
      </c>
      <c r="J470" s="39" t="s">
        <v>253</v>
      </c>
      <c r="K470" s="32" t="s">
        <v>266</v>
      </c>
      <c r="L470" s="32" t="s">
        <v>475</v>
      </c>
      <c r="M470" s="39" t="s">
        <v>255</v>
      </c>
      <c r="N470" s="39" t="s">
        <v>268</v>
      </c>
      <c r="O470" s="32" t="s">
        <v>269</v>
      </c>
      <c r="P470" s="40" t="str">
        <f aca="false">_xlfn.CONCAT(B470,C470,D470,E470,F470)</f>
        <v>BC Turvania1.3Inverter(MBUS-1)46035.279861111146035.279861111146035.3770833333</v>
      </c>
      <c r="Q470" s="32" t="str">
        <f aca="false">_xlfn.CONCAT(H470,I470,J470)</f>
        <v>DAURDE</v>
      </c>
    </row>
    <row r="471" customFormat="false" ht="15" hidden="false" customHeight="false" outlineLevel="0" collapsed="false">
      <c r="B471" s="32" t="s">
        <v>478</v>
      </c>
      <c r="C471" s="32" t="s">
        <v>327</v>
      </c>
      <c r="D471" s="33" t="n">
        <v>46035.2798611111</v>
      </c>
      <c r="E471" s="33" t="n">
        <v>46035.2798611111</v>
      </c>
      <c r="F471" s="33" t="n">
        <v>46035.3770833333</v>
      </c>
      <c r="G471" s="34" t="n">
        <f aca="false">F471-E471</f>
        <v>0.0972222222222222</v>
      </c>
      <c r="H471" s="39" t="s">
        <v>252</v>
      </c>
      <c r="J471" s="39" t="s">
        <v>253</v>
      </c>
      <c r="K471" s="32" t="s">
        <v>266</v>
      </c>
      <c r="L471" s="32" t="s">
        <v>475</v>
      </c>
      <c r="M471" s="39" t="s">
        <v>255</v>
      </c>
      <c r="N471" s="39" t="s">
        <v>268</v>
      </c>
      <c r="O471" s="32" t="s">
        <v>269</v>
      </c>
      <c r="P471" s="40" t="str">
        <f aca="false">_xlfn.CONCAT(B471,C471,D471,E471,F471)</f>
        <v>BC Turvania1.4Inverter(MBUS-14)46035.279861111146035.279861111146035.3770833333</v>
      </c>
      <c r="Q471" s="32" t="str">
        <f aca="false">_xlfn.CONCAT(H471,I471,J471)</f>
        <v>DAURDE</v>
      </c>
    </row>
    <row r="472" customFormat="false" ht="15" hidden="false" customHeight="false" outlineLevel="0" collapsed="false">
      <c r="B472" s="32" t="s">
        <v>478</v>
      </c>
      <c r="C472" s="32" t="s">
        <v>328</v>
      </c>
      <c r="D472" s="33" t="n">
        <v>46035.2798611111</v>
      </c>
      <c r="E472" s="33" t="n">
        <v>46035.2798611111</v>
      </c>
      <c r="F472" s="33" t="n">
        <v>46035.3770833333</v>
      </c>
      <c r="G472" s="34" t="n">
        <f aca="false">F472-E472</f>
        <v>0.0972222222222222</v>
      </c>
      <c r="H472" s="39" t="s">
        <v>252</v>
      </c>
      <c r="J472" s="39" t="s">
        <v>253</v>
      </c>
      <c r="K472" s="32" t="s">
        <v>266</v>
      </c>
      <c r="L472" s="32" t="s">
        <v>475</v>
      </c>
      <c r="M472" s="39" t="s">
        <v>255</v>
      </c>
      <c r="N472" s="39" t="s">
        <v>268</v>
      </c>
      <c r="O472" s="32" t="s">
        <v>269</v>
      </c>
      <c r="P472" s="40" t="str">
        <f aca="false">_xlfn.CONCAT(B472,C472,D472,E472,F472)</f>
        <v>BC Turvania1.4Inverter(MBUS-15)46035.279861111146035.279861111146035.3770833333</v>
      </c>
      <c r="Q472" s="32" t="str">
        <f aca="false">_xlfn.CONCAT(H472,I472,J472)</f>
        <v>DAURDE</v>
      </c>
    </row>
    <row r="473" customFormat="false" ht="15" hidden="false" customHeight="false" outlineLevel="0" collapsed="false">
      <c r="B473" s="32" t="s">
        <v>478</v>
      </c>
      <c r="C473" s="32" t="s">
        <v>326</v>
      </c>
      <c r="D473" s="33" t="n">
        <v>46035.2798611111</v>
      </c>
      <c r="E473" s="33" t="n">
        <v>46035.2798611111</v>
      </c>
      <c r="F473" s="33" t="n">
        <v>46035.3770833333</v>
      </c>
      <c r="G473" s="34" t="n">
        <f aca="false">F473-E473</f>
        <v>0.0972222222222222</v>
      </c>
      <c r="H473" s="39" t="s">
        <v>252</v>
      </c>
      <c r="J473" s="39" t="s">
        <v>253</v>
      </c>
      <c r="K473" s="32" t="s">
        <v>266</v>
      </c>
      <c r="L473" s="32" t="s">
        <v>475</v>
      </c>
      <c r="M473" s="39" t="s">
        <v>255</v>
      </c>
      <c r="N473" s="39" t="s">
        <v>268</v>
      </c>
      <c r="O473" s="32" t="s">
        <v>269</v>
      </c>
      <c r="P473" s="40" t="str">
        <f aca="false">_xlfn.CONCAT(B473,C473,D473,E473,F473)</f>
        <v>BC Turvania1.4Inverter(MBUS-13)46035.279861111146035.279861111146035.3770833333</v>
      </c>
      <c r="Q473" s="32" t="str">
        <f aca="false">_xlfn.CONCAT(H473,I473,J473)</f>
        <v>DAURDE</v>
      </c>
    </row>
    <row r="474" customFormat="false" ht="15" hidden="false" customHeight="false" outlineLevel="0" collapsed="false">
      <c r="B474" s="32" t="s">
        <v>478</v>
      </c>
      <c r="C474" s="32" t="s">
        <v>324</v>
      </c>
      <c r="D474" s="33" t="n">
        <v>46035.2798611111</v>
      </c>
      <c r="E474" s="33" t="n">
        <v>46035.2798611111</v>
      </c>
      <c r="F474" s="33" t="n">
        <v>46035.3770833333</v>
      </c>
      <c r="G474" s="34" t="n">
        <f aca="false">F474-E474</f>
        <v>0.0972222222222222</v>
      </c>
      <c r="H474" s="39" t="s">
        <v>252</v>
      </c>
      <c r="J474" s="39" t="s">
        <v>253</v>
      </c>
      <c r="K474" s="32" t="s">
        <v>266</v>
      </c>
      <c r="L474" s="32" t="s">
        <v>475</v>
      </c>
      <c r="M474" s="39" t="s">
        <v>255</v>
      </c>
      <c r="N474" s="39" t="s">
        <v>268</v>
      </c>
      <c r="O474" s="32" t="s">
        <v>269</v>
      </c>
      <c r="P474" s="40" t="str">
        <f aca="false">_xlfn.CONCAT(B474,C474,D474,E474,F474)</f>
        <v>BC Turvania1.4Inverter(MBUS-12)46035.279861111146035.279861111146035.3770833333</v>
      </c>
      <c r="Q474" s="32" t="str">
        <f aca="false">_xlfn.CONCAT(H474,I474,J474)</f>
        <v>DAURDE</v>
      </c>
    </row>
    <row r="475" customFormat="false" ht="15" hidden="false" customHeight="false" outlineLevel="0" collapsed="false">
      <c r="B475" s="32" t="s">
        <v>479</v>
      </c>
      <c r="C475" s="32" t="s">
        <v>326</v>
      </c>
      <c r="D475" s="33" t="n">
        <v>46035.2798611111</v>
      </c>
      <c r="E475" s="33" t="n">
        <v>46035.2798611111</v>
      </c>
      <c r="F475" s="33" t="n">
        <v>46035.3770833333</v>
      </c>
      <c r="G475" s="34" t="n">
        <f aca="false">F475-E475</f>
        <v>0.0972222222222222</v>
      </c>
      <c r="H475" s="39" t="s">
        <v>252</v>
      </c>
      <c r="J475" s="39" t="s">
        <v>253</v>
      </c>
      <c r="K475" s="32" t="s">
        <v>266</v>
      </c>
      <c r="L475" s="32" t="s">
        <v>475</v>
      </c>
      <c r="M475" s="39" t="s">
        <v>255</v>
      </c>
      <c r="N475" s="39" t="s">
        <v>268</v>
      </c>
      <c r="O475" s="32" t="s">
        <v>269</v>
      </c>
      <c r="P475" s="40" t="str">
        <f aca="false">_xlfn.CONCAT(B475,C475,D475,E475,F475)</f>
        <v>BC Turvania1.5Inverter(MBUS-13)46035.279861111146035.279861111146035.3770833333</v>
      </c>
      <c r="Q475" s="32" t="str">
        <f aca="false">_xlfn.CONCAT(H475,I475,J475)</f>
        <v>DAURDE</v>
      </c>
    </row>
    <row r="476" customFormat="false" ht="15" hidden="false" customHeight="false" outlineLevel="0" collapsed="false">
      <c r="B476" s="32" t="s">
        <v>479</v>
      </c>
      <c r="C476" s="32" t="s">
        <v>324</v>
      </c>
      <c r="D476" s="33" t="n">
        <v>46035.2798611111</v>
      </c>
      <c r="E476" s="33" t="n">
        <v>46035.2798611111</v>
      </c>
      <c r="F476" s="33" t="n">
        <v>46035.3770833333</v>
      </c>
      <c r="G476" s="34" t="n">
        <f aca="false">F476-E476</f>
        <v>0.0972222222222222</v>
      </c>
      <c r="H476" s="39" t="s">
        <v>252</v>
      </c>
      <c r="J476" s="39" t="s">
        <v>253</v>
      </c>
      <c r="K476" s="32" t="s">
        <v>266</v>
      </c>
      <c r="L476" s="32" t="s">
        <v>475</v>
      </c>
      <c r="M476" s="39" t="s">
        <v>255</v>
      </c>
      <c r="N476" s="39" t="s">
        <v>268</v>
      </c>
      <c r="O476" s="32" t="s">
        <v>269</v>
      </c>
      <c r="P476" s="40" t="str">
        <f aca="false">_xlfn.CONCAT(B476,C476,D476,E476,F476)</f>
        <v>BC Turvania1.5Inverter(MBUS-12)46035.279861111146035.279861111146035.3770833333</v>
      </c>
      <c r="Q476" s="32" t="str">
        <f aca="false">_xlfn.CONCAT(H476,I476,J476)</f>
        <v>DAURDE</v>
      </c>
    </row>
    <row r="477" customFormat="false" ht="15" hidden="false" customHeight="false" outlineLevel="0" collapsed="false">
      <c r="B477" s="32" t="s">
        <v>479</v>
      </c>
      <c r="C477" s="32" t="s">
        <v>327</v>
      </c>
      <c r="D477" s="33" t="n">
        <v>46035.2798611111</v>
      </c>
      <c r="E477" s="33" t="n">
        <v>46035.2798611111</v>
      </c>
      <c r="F477" s="33" t="n">
        <v>46035.3770833333</v>
      </c>
      <c r="G477" s="34" t="n">
        <f aca="false">F477-E477</f>
        <v>0.0972222222222222</v>
      </c>
      <c r="H477" s="39" t="s">
        <v>252</v>
      </c>
      <c r="J477" s="39" t="s">
        <v>253</v>
      </c>
      <c r="K477" s="32" t="s">
        <v>266</v>
      </c>
      <c r="L477" s="32" t="s">
        <v>475</v>
      </c>
      <c r="M477" s="39" t="s">
        <v>255</v>
      </c>
      <c r="N477" s="39" t="s">
        <v>268</v>
      </c>
      <c r="O477" s="32" t="s">
        <v>269</v>
      </c>
      <c r="P477" s="40" t="str">
        <f aca="false">_xlfn.CONCAT(B477,C477,D477,E477,F477)</f>
        <v>BC Turvania1.5Inverter(MBUS-14)46035.279861111146035.279861111146035.3770833333</v>
      </c>
      <c r="Q477" s="32" t="str">
        <f aca="false">_xlfn.CONCAT(H477,I477,J477)</f>
        <v>DAURDE</v>
      </c>
    </row>
    <row r="478" customFormat="false" ht="15" hidden="false" customHeight="false" outlineLevel="0" collapsed="false">
      <c r="B478" s="32" t="s">
        <v>479</v>
      </c>
      <c r="C478" s="32" t="s">
        <v>265</v>
      </c>
      <c r="D478" s="33" t="n">
        <v>46035.2798611111</v>
      </c>
      <c r="E478" s="33" t="n">
        <v>46035.2798611111</v>
      </c>
      <c r="F478" s="33" t="n">
        <v>46035.3770833333</v>
      </c>
      <c r="G478" s="34" t="n">
        <f aca="false">F478-E478</f>
        <v>0.0972222222222222</v>
      </c>
      <c r="H478" s="39" t="s">
        <v>252</v>
      </c>
      <c r="J478" s="39" t="s">
        <v>253</v>
      </c>
      <c r="K478" s="32" t="s">
        <v>266</v>
      </c>
      <c r="L478" s="32" t="s">
        <v>475</v>
      </c>
      <c r="M478" s="39" t="s">
        <v>255</v>
      </c>
      <c r="N478" s="39" t="s">
        <v>268</v>
      </c>
      <c r="O478" s="32" t="s">
        <v>269</v>
      </c>
      <c r="P478" s="40" t="str">
        <f aca="false">_xlfn.CONCAT(B478,C478,D478,E478,F478)</f>
        <v>BC Turvania1.5Inverter(MBUS-1)46035.279861111146035.279861111146035.3770833333</v>
      </c>
      <c r="Q478" s="32" t="str">
        <f aca="false">_xlfn.CONCAT(H478,I478,J478)</f>
        <v>DAURDE</v>
      </c>
    </row>
    <row r="479" customFormat="false" ht="15" hidden="false" customHeight="false" outlineLevel="0" collapsed="false">
      <c r="B479" s="32" t="s">
        <v>424</v>
      </c>
      <c r="C479" s="32" t="s">
        <v>265</v>
      </c>
      <c r="D479" s="33" t="n">
        <v>46035.2854166667</v>
      </c>
      <c r="E479" s="33" t="n">
        <v>46035.2854166667</v>
      </c>
      <c r="F479" s="33" t="n">
        <v>46035.34375</v>
      </c>
      <c r="G479" s="34" t="n">
        <f aca="false">F479-E479</f>
        <v>0.0583333333333333</v>
      </c>
      <c r="H479" s="39" t="s">
        <v>252</v>
      </c>
      <c r="J479" s="39" t="s">
        <v>253</v>
      </c>
      <c r="K479" s="32" t="s">
        <v>266</v>
      </c>
      <c r="L479" s="32" t="s">
        <v>366</v>
      </c>
      <c r="M479" s="39" t="s">
        <v>255</v>
      </c>
      <c r="N479" s="39" t="s">
        <v>268</v>
      </c>
      <c r="O479" s="32" t="s">
        <v>269</v>
      </c>
      <c r="P479" s="40" t="str">
        <f aca="false">_xlfn.CONCAT(B479,C479,D479,E479,F479)</f>
        <v>BC Camarao1.1Inverter(MBUS-1)46035.285416666746035.285416666746035.34375</v>
      </c>
      <c r="Q479" s="32" t="str">
        <f aca="false">_xlfn.CONCAT(H479,I479,J479)</f>
        <v>DAURDE</v>
      </c>
    </row>
    <row r="480" customFormat="false" ht="15" hidden="false" customHeight="false" outlineLevel="0" collapsed="false">
      <c r="B480" s="32" t="s">
        <v>424</v>
      </c>
      <c r="C480" s="32" t="s">
        <v>251</v>
      </c>
      <c r="D480" s="33" t="n">
        <v>46035.2854166667</v>
      </c>
      <c r="E480" s="33" t="n">
        <v>46035.2854166667</v>
      </c>
      <c r="F480" s="33" t="n">
        <v>46035.34375</v>
      </c>
      <c r="G480" s="34" t="n">
        <f aca="false">F480-E480</f>
        <v>0.0583333333333333</v>
      </c>
      <c r="H480" s="39" t="s">
        <v>252</v>
      </c>
      <c r="J480" s="39" t="s">
        <v>253</v>
      </c>
      <c r="K480" s="32" t="s">
        <v>266</v>
      </c>
      <c r="L480" s="32" t="s">
        <v>366</v>
      </c>
      <c r="M480" s="39" t="s">
        <v>255</v>
      </c>
      <c r="N480" s="39" t="s">
        <v>268</v>
      </c>
      <c r="O480" s="32" t="s">
        <v>269</v>
      </c>
      <c r="P480" s="40" t="str">
        <f aca="false">_xlfn.CONCAT(B480,C480,D480,E480,F480)</f>
        <v>BC Camarao1.1215KTL-H3(MBUS-12)46035.285416666746035.285416666746035.34375</v>
      </c>
      <c r="Q480" s="32" t="str">
        <f aca="false">_xlfn.CONCAT(H480,I480,J480)</f>
        <v>DAURDE</v>
      </c>
    </row>
    <row r="481" customFormat="false" ht="15" hidden="false" customHeight="false" outlineLevel="0" collapsed="false">
      <c r="B481" s="32" t="s">
        <v>424</v>
      </c>
      <c r="C481" s="32" t="s">
        <v>258</v>
      </c>
      <c r="D481" s="33" t="n">
        <v>46035.2854166667</v>
      </c>
      <c r="E481" s="33" t="n">
        <v>46035.2854166667</v>
      </c>
      <c r="F481" s="33" t="n">
        <v>46035.34375</v>
      </c>
      <c r="G481" s="34" t="n">
        <f aca="false">F481-E481</f>
        <v>0.0583333333333333</v>
      </c>
      <c r="H481" s="39" t="s">
        <v>252</v>
      </c>
      <c r="J481" s="39" t="s">
        <v>253</v>
      </c>
      <c r="K481" s="32" t="s">
        <v>266</v>
      </c>
      <c r="L481" s="32" t="s">
        <v>366</v>
      </c>
      <c r="M481" s="39" t="s">
        <v>255</v>
      </c>
      <c r="N481" s="39" t="s">
        <v>268</v>
      </c>
      <c r="O481" s="32" t="s">
        <v>269</v>
      </c>
      <c r="P481" s="40" t="str">
        <f aca="false">_xlfn.CONCAT(B481,C481,D481,E481,F481)</f>
        <v>BC Camarao1.1215KTL-H3(MBUS-13)46035.285416666746035.285416666746035.34375</v>
      </c>
      <c r="Q481" s="32" t="str">
        <f aca="false">_xlfn.CONCAT(H481,I481,J481)</f>
        <v>DAURDE</v>
      </c>
    </row>
    <row r="482" customFormat="false" ht="15" hidden="false" customHeight="false" outlineLevel="0" collapsed="false">
      <c r="B482" s="32" t="s">
        <v>424</v>
      </c>
      <c r="C482" s="32" t="s">
        <v>261</v>
      </c>
      <c r="D482" s="33" t="n">
        <v>46035.2854166667</v>
      </c>
      <c r="E482" s="33" t="n">
        <v>46035.2854166667</v>
      </c>
      <c r="F482" s="33" t="n">
        <v>46035.34375</v>
      </c>
      <c r="G482" s="34" t="n">
        <f aca="false">F482-E482</f>
        <v>0.0583333333333333</v>
      </c>
      <c r="H482" s="39" t="s">
        <v>252</v>
      </c>
      <c r="J482" s="39" t="s">
        <v>253</v>
      </c>
      <c r="K482" s="32" t="s">
        <v>266</v>
      </c>
      <c r="L482" s="32" t="s">
        <v>366</v>
      </c>
      <c r="M482" s="39" t="s">
        <v>255</v>
      </c>
      <c r="N482" s="39" t="s">
        <v>268</v>
      </c>
      <c r="O482" s="32" t="s">
        <v>269</v>
      </c>
      <c r="P482" s="40" t="str">
        <f aca="false">_xlfn.CONCAT(B482,C482,D482,E482,F482)</f>
        <v>BC Camarao1.1215KTL-H3(MBUS-16)46035.285416666746035.285416666746035.34375</v>
      </c>
      <c r="Q482" s="32" t="str">
        <f aca="false">_xlfn.CONCAT(H482,I482,J482)</f>
        <v>DAURDE</v>
      </c>
    </row>
    <row r="483" customFormat="false" ht="15" hidden="false" customHeight="false" outlineLevel="0" collapsed="false">
      <c r="B483" s="32" t="s">
        <v>424</v>
      </c>
      <c r="C483" s="32" t="s">
        <v>260</v>
      </c>
      <c r="D483" s="33" t="n">
        <v>46035.2854166667</v>
      </c>
      <c r="E483" s="33" t="n">
        <v>46035.2854166667</v>
      </c>
      <c r="F483" s="33" t="n">
        <v>46035.34375</v>
      </c>
      <c r="G483" s="34" t="n">
        <f aca="false">F483-E483</f>
        <v>0.0583333333333333</v>
      </c>
      <c r="H483" s="39" t="s">
        <v>252</v>
      </c>
      <c r="J483" s="39" t="s">
        <v>253</v>
      </c>
      <c r="K483" s="32" t="s">
        <v>266</v>
      </c>
      <c r="L483" s="32" t="s">
        <v>366</v>
      </c>
      <c r="M483" s="39" t="s">
        <v>255</v>
      </c>
      <c r="N483" s="39" t="s">
        <v>268</v>
      </c>
      <c r="O483" s="32" t="s">
        <v>269</v>
      </c>
      <c r="P483" s="40" t="str">
        <f aca="false">_xlfn.CONCAT(B483,C483,D483,E483,F483)</f>
        <v>BC Camarao1.1215KTL-H3(MBUS-15)46035.285416666746035.285416666746035.34375</v>
      </c>
      <c r="Q483" s="32" t="str">
        <f aca="false">_xlfn.CONCAT(H483,I483,J483)</f>
        <v>DAURDE</v>
      </c>
    </row>
    <row r="484" customFormat="false" ht="15" hidden="false" customHeight="false" outlineLevel="0" collapsed="false">
      <c r="B484" s="32" t="s">
        <v>425</v>
      </c>
      <c r="C484" s="32" t="s">
        <v>265</v>
      </c>
      <c r="D484" s="33" t="n">
        <v>46035.2854166667</v>
      </c>
      <c r="E484" s="33" t="n">
        <v>46035.2854166667</v>
      </c>
      <c r="F484" s="33" t="n">
        <v>46035.34375</v>
      </c>
      <c r="G484" s="34" t="n">
        <f aca="false">F484-E484</f>
        <v>0.0583333333333333</v>
      </c>
      <c r="H484" s="39" t="s">
        <v>252</v>
      </c>
      <c r="J484" s="39" t="s">
        <v>253</v>
      </c>
      <c r="K484" s="32" t="s">
        <v>266</v>
      </c>
      <c r="L484" s="32" t="s">
        <v>366</v>
      </c>
      <c r="M484" s="39" t="s">
        <v>255</v>
      </c>
      <c r="N484" s="39" t="s">
        <v>268</v>
      </c>
      <c r="O484" s="32" t="s">
        <v>269</v>
      </c>
      <c r="P484" s="40" t="str">
        <f aca="false">_xlfn.CONCAT(B484,C484,D484,E484,F484)</f>
        <v>BC Camarao1.2Inverter(MBUS-1)46035.285416666746035.285416666746035.34375</v>
      </c>
      <c r="Q484" s="32" t="str">
        <f aca="false">_xlfn.CONCAT(H484,I484,J484)</f>
        <v>DAURDE</v>
      </c>
    </row>
    <row r="485" customFormat="false" ht="15" hidden="false" customHeight="false" outlineLevel="0" collapsed="false">
      <c r="B485" s="32" t="s">
        <v>425</v>
      </c>
      <c r="C485" s="32" t="s">
        <v>426</v>
      </c>
      <c r="D485" s="33" t="n">
        <v>46035.2854166667</v>
      </c>
      <c r="E485" s="33" t="n">
        <v>46035.2854166667</v>
      </c>
      <c r="F485" s="33" t="n">
        <v>46035.34375</v>
      </c>
      <c r="G485" s="34" t="n">
        <f aca="false">F485-E485</f>
        <v>0.0583333333333333</v>
      </c>
      <c r="H485" s="39" t="s">
        <v>252</v>
      </c>
      <c r="J485" s="39" t="s">
        <v>253</v>
      </c>
      <c r="K485" s="32" t="s">
        <v>266</v>
      </c>
      <c r="L485" s="32" t="s">
        <v>366</v>
      </c>
      <c r="M485" s="39" t="s">
        <v>255</v>
      </c>
      <c r="N485" s="39" t="s">
        <v>268</v>
      </c>
      <c r="O485" s="32" t="s">
        <v>269</v>
      </c>
      <c r="P485" s="40" t="str">
        <f aca="false">_xlfn.CONCAT(B485,C485,D485,E485,F485)</f>
        <v>BC Camarao1.2Inv. 346035.285416666746035.285416666746035.34375</v>
      </c>
      <c r="Q485" s="32" t="str">
        <f aca="false">_xlfn.CONCAT(H485,I485,J485)</f>
        <v>DAURDE</v>
      </c>
    </row>
    <row r="486" customFormat="false" ht="15" hidden="false" customHeight="false" outlineLevel="0" collapsed="false">
      <c r="B486" s="32" t="s">
        <v>425</v>
      </c>
      <c r="C486" s="32" t="s">
        <v>427</v>
      </c>
      <c r="D486" s="33" t="n">
        <v>46035.2854166667</v>
      </c>
      <c r="E486" s="33" t="n">
        <v>46035.2854166667</v>
      </c>
      <c r="F486" s="33" t="n">
        <v>46035.34375</v>
      </c>
      <c r="G486" s="34" t="n">
        <f aca="false">F486-E486</f>
        <v>0.0583333333333333</v>
      </c>
      <c r="H486" s="39" t="s">
        <v>252</v>
      </c>
      <c r="J486" s="39" t="s">
        <v>253</v>
      </c>
      <c r="K486" s="32" t="s">
        <v>266</v>
      </c>
      <c r="L486" s="32" t="s">
        <v>366</v>
      </c>
      <c r="M486" s="39" t="s">
        <v>255</v>
      </c>
      <c r="N486" s="39" t="s">
        <v>268</v>
      </c>
      <c r="O486" s="32" t="s">
        <v>269</v>
      </c>
      <c r="P486" s="40" t="str">
        <f aca="false">_xlfn.CONCAT(B486,C486,D486,E486,F486)</f>
        <v>BC Camarao1.2Inv. 446035.285416666746035.285416666746035.34375</v>
      </c>
      <c r="Q486" s="32" t="str">
        <f aca="false">_xlfn.CONCAT(H486,I486,J486)</f>
        <v>DAURDE</v>
      </c>
    </row>
    <row r="487" customFormat="false" ht="15" hidden="false" customHeight="false" outlineLevel="0" collapsed="false">
      <c r="B487" s="32" t="s">
        <v>425</v>
      </c>
      <c r="C487" s="32" t="s">
        <v>428</v>
      </c>
      <c r="D487" s="33" t="n">
        <v>46035.2854166667</v>
      </c>
      <c r="E487" s="33" t="n">
        <v>46035.2854166667</v>
      </c>
      <c r="F487" s="33" t="n">
        <v>46035.34375</v>
      </c>
      <c r="G487" s="34" t="n">
        <f aca="false">F487-E487</f>
        <v>0.0583333333333333</v>
      </c>
      <c r="H487" s="39" t="s">
        <v>252</v>
      </c>
      <c r="J487" s="39" t="s">
        <v>253</v>
      </c>
      <c r="K487" s="32" t="s">
        <v>266</v>
      </c>
      <c r="L487" s="32" t="s">
        <v>366</v>
      </c>
      <c r="M487" s="39" t="s">
        <v>255</v>
      </c>
      <c r="N487" s="39" t="s">
        <v>268</v>
      </c>
      <c r="O487" s="32" t="s">
        <v>269</v>
      </c>
      <c r="P487" s="40" t="str">
        <f aca="false">_xlfn.CONCAT(B487,C487,D487,E487,F487)</f>
        <v>BC Camarao1.2Inverter(MBUS-16)46035.285416666746035.285416666746035.34375</v>
      </c>
      <c r="Q487" s="32" t="str">
        <f aca="false">_xlfn.CONCAT(H487,I487,J487)</f>
        <v>DAURDE</v>
      </c>
    </row>
    <row r="488" customFormat="false" ht="15" hidden="false" customHeight="false" outlineLevel="0" collapsed="false">
      <c r="B488" s="32" t="s">
        <v>425</v>
      </c>
      <c r="C488" s="32" t="s">
        <v>324</v>
      </c>
      <c r="D488" s="33" t="n">
        <v>46035.2854166667</v>
      </c>
      <c r="E488" s="33" t="n">
        <v>46035.2854166667</v>
      </c>
      <c r="F488" s="33" t="n">
        <v>46035.34375</v>
      </c>
      <c r="G488" s="34" t="n">
        <f aca="false">F488-E488</f>
        <v>0.0583333333333333</v>
      </c>
      <c r="H488" s="39" t="s">
        <v>252</v>
      </c>
      <c r="J488" s="39" t="s">
        <v>253</v>
      </c>
      <c r="K488" s="32" t="s">
        <v>266</v>
      </c>
      <c r="L488" s="32" t="s">
        <v>366</v>
      </c>
      <c r="M488" s="39" t="s">
        <v>255</v>
      </c>
      <c r="N488" s="39" t="s">
        <v>268</v>
      </c>
      <c r="O488" s="32" t="s">
        <v>269</v>
      </c>
      <c r="P488" s="40" t="str">
        <f aca="false">_xlfn.CONCAT(B488,C488,D488,E488,F488)</f>
        <v>BC Camarao1.2Inverter(MBUS-12)46035.285416666746035.285416666746035.34375</v>
      </c>
      <c r="Q488" s="32" t="str">
        <f aca="false">_xlfn.CONCAT(H488,I488,J488)</f>
        <v>DAURDE</v>
      </c>
    </row>
    <row r="489" customFormat="false" ht="15" hidden="false" customHeight="false" outlineLevel="0" collapsed="false">
      <c r="B489" s="32" t="s">
        <v>429</v>
      </c>
      <c r="C489" s="32" t="s">
        <v>261</v>
      </c>
      <c r="D489" s="33" t="n">
        <v>46035.2854166667</v>
      </c>
      <c r="E489" s="33" t="n">
        <v>46035.2854166667</v>
      </c>
      <c r="F489" s="33" t="n">
        <v>46035.34375</v>
      </c>
      <c r="G489" s="34" t="n">
        <f aca="false">F489-E489</f>
        <v>0.0583333333333333</v>
      </c>
      <c r="H489" s="39" t="s">
        <v>252</v>
      </c>
      <c r="J489" s="39" t="s">
        <v>253</v>
      </c>
      <c r="K489" s="32" t="s">
        <v>266</v>
      </c>
      <c r="L489" s="32" t="s">
        <v>366</v>
      </c>
      <c r="M489" s="39" t="s">
        <v>255</v>
      </c>
      <c r="N489" s="39" t="s">
        <v>268</v>
      </c>
      <c r="O489" s="32" t="s">
        <v>269</v>
      </c>
      <c r="P489" s="40" t="str">
        <f aca="false">_xlfn.CONCAT(B489,C489,D489,E489,F489)</f>
        <v>BC Camarao1.3215KTL-H3(MBUS-16)46035.285416666746035.285416666746035.34375</v>
      </c>
      <c r="Q489" s="32" t="str">
        <f aca="false">_xlfn.CONCAT(H489,I489,J489)</f>
        <v>DAURDE</v>
      </c>
    </row>
    <row r="490" customFormat="false" ht="15" hidden="false" customHeight="false" outlineLevel="0" collapsed="false">
      <c r="B490" s="32" t="s">
        <v>429</v>
      </c>
      <c r="C490" s="32" t="s">
        <v>259</v>
      </c>
      <c r="D490" s="33" t="n">
        <v>46035.2854166667</v>
      </c>
      <c r="E490" s="33" t="n">
        <v>46035.2854166667</v>
      </c>
      <c r="F490" s="33" t="n">
        <v>46035.34375</v>
      </c>
      <c r="G490" s="34" t="n">
        <f aca="false">F490-E490</f>
        <v>0.0583333333333333</v>
      </c>
      <c r="H490" s="39" t="s">
        <v>252</v>
      </c>
      <c r="J490" s="39" t="s">
        <v>253</v>
      </c>
      <c r="K490" s="32" t="s">
        <v>266</v>
      </c>
      <c r="L490" s="32" t="s">
        <v>366</v>
      </c>
      <c r="M490" s="39" t="s">
        <v>255</v>
      </c>
      <c r="N490" s="39" t="s">
        <v>268</v>
      </c>
      <c r="O490" s="32" t="s">
        <v>269</v>
      </c>
      <c r="P490" s="40" t="str">
        <f aca="false">_xlfn.CONCAT(B490,C490,D490,E490,F490)</f>
        <v>BC Camarao1.3215KTL-H3(MBUS-14)46035.285416666746035.285416666746035.34375</v>
      </c>
      <c r="Q490" s="32" t="str">
        <f aca="false">_xlfn.CONCAT(H490,I490,J490)</f>
        <v>DAURDE</v>
      </c>
    </row>
    <row r="491" customFormat="false" ht="15" hidden="false" customHeight="false" outlineLevel="0" collapsed="false">
      <c r="B491" s="32" t="s">
        <v>429</v>
      </c>
      <c r="C491" s="32" t="s">
        <v>260</v>
      </c>
      <c r="D491" s="33" t="n">
        <v>46035.2854166667</v>
      </c>
      <c r="E491" s="33" t="n">
        <v>46035.2854166667</v>
      </c>
      <c r="F491" s="33" t="n">
        <v>46035.34375</v>
      </c>
      <c r="G491" s="34" t="n">
        <f aca="false">F491-E491</f>
        <v>0.0583333333333333</v>
      </c>
      <c r="H491" s="39" t="s">
        <v>252</v>
      </c>
      <c r="J491" s="39" t="s">
        <v>253</v>
      </c>
      <c r="K491" s="32" t="s">
        <v>266</v>
      </c>
      <c r="L491" s="32" t="s">
        <v>366</v>
      </c>
      <c r="M491" s="39" t="s">
        <v>255</v>
      </c>
      <c r="N491" s="39" t="s">
        <v>268</v>
      </c>
      <c r="O491" s="32" t="s">
        <v>269</v>
      </c>
      <c r="P491" s="40" t="str">
        <f aca="false">_xlfn.CONCAT(B491,C491,D491,E491,F491)</f>
        <v>BC Camarao1.3215KTL-H3(MBUS-15)46035.285416666746035.285416666746035.34375</v>
      </c>
      <c r="Q491" s="32" t="str">
        <f aca="false">_xlfn.CONCAT(H491,I491,J491)</f>
        <v>DAURDE</v>
      </c>
    </row>
    <row r="492" customFormat="false" ht="15" hidden="false" customHeight="false" outlineLevel="0" collapsed="false">
      <c r="B492" s="32" t="s">
        <v>429</v>
      </c>
      <c r="C492" s="32" t="s">
        <v>251</v>
      </c>
      <c r="D492" s="33" t="n">
        <v>46035.2854166667</v>
      </c>
      <c r="E492" s="33" t="n">
        <v>46035.2854166667</v>
      </c>
      <c r="F492" s="33" t="n">
        <v>46035.34375</v>
      </c>
      <c r="G492" s="34" t="n">
        <f aca="false">F492-E492</f>
        <v>0.0583333333333333</v>
      </c>
      <c r="H492" s="39" t="s">
        <v>252</v>
      </c>
      <c r="J492" s="39" t="s">
        <v>253</v>
      </c>
      <c r="K492" s="32" t="s">
        <v>266</v>
      </c>
      <c r="L492" s="32" t="s">
        <v>366</v>
      </c>
      <c r="M492" s="39" t="s">
        <v>255</v>
      </c>
      <c r="N492" s="39" t="s">
        <v>268</v>
      </c>
      <c r="O492" s="32" t="s">
        <v>269</v>
      </c>
      <c r="P492" s="40" t="str">
        <f aca="false">_xlfn.CONCAT(B492,C492,D492,E492,F492)</f>
        <v>BC Camarao1.3215KTL-H3(MBUS-12)46035.285416666746035.285416666746035.34375</v>
      </c>
      <c r="Q492" s="32" t="str">
        <f aca="false">_xlfn.CONCAT(H492,I492,J492)</f>
        <v>DAURDE</v>
      </c>
    </row>
    <row r="493" customFormat="false" ht="15" hidden="false" customHeight="false" outlineLevel="0" collapsed="false">
      <c r="B493" s="32" t="s">
        <v>429</v>
      </c>
      <c r="C493" s="32" t="s">
        <v>258</v>
      </c>
      <c r="D493" s="33" t="n">
        <v>46035.2854166667</v>
      </c>
      <c r="E493" s="33" t="n">
        <v>46035.2854166667</v>
      </c>
      <c r="F493" s="33" t="n">
        <v>46035.34375</v>
      </c>
      <c r="G493" s="34" t="n">
        <f aca="false">F493-E493</f>
        <v>0.0583333333333333</v>
      </c>
      <c r="H493" s="39" t="s">
        <v>252</v>
      </c>
      <c r="J493" s="39" t="s">
        <v>253</v>
      </c>
      <c r="K493" s="32" t="s">
        <v>266</v>
      </c>
      <c r="L493" s="32" t="s">
        <v>366</v>
      </c>
      <c r="M493" s="39" t="s">
        <v>255</v>
      </c>
      <c r="N493" s="39" t="s">
        <v>268</v>
      </c>
      <c r="O493" s="32" t="s">
        <v>269</v>
      </c>
      <c r="P493" s="40" t="str">
        <f aca="false">_xlfn.CONCAT(B493,C493,D493,E493,F493)</f>
        <v>BC Camarao1.3215KTL-H3(MBUS-13)46035.285416666746035.285416666746035.34375</v>
      </c>
      <c r="Q493" s="32" t="str">
        <f aca="false">_xlfn.CONCAT(H493,I493,J493)</f>
        <v>DAURDE</v>
      </c>
    </row>
    <row r="494" customFormat="false" ht="15" hidden="false" customHeight="false" outlineLevel="0" collapsed="false">
      <c r="B494" s="32" t="s">
        <v>364</v>
      </c>
      <c r="C494" s="32" t="s">
        <v>365</v>
      </c>
      <c r="D494" s="33" t="n">
        <v>46035.2854166667</v>
      </c>
      <c r="E494" s="33" t="n">
        <v>46035.2854166667</v>
      </c>
      <c r="F494" s="33" t="n">
        <v>46035.34375</v>
      </c>
      <c r="G494" s="34" t="n">
        <f aca="false">F494-E494</f>
        <v>0.0583333333333333</v>
      </c>
      <c r="H494" s="39" t="s">
        <v>252</v>
      </c>
      <c r="J494" s="39" t="s">
        <v>253</v>
      </c>
      <c r="K494" s="32" t="s">
        <v>266</v>
      </c>
      <c r="L494" s="32" t="s">
        <v>366</v>
      </c>
      <c r="M494" s="39" t="s">
        <v>255</v>
      </c>
      <c r="N494" s="39" t="s">
        <v>268</v>
      </c>
      <c r="O494" s="32" t="s">
        <v>269</v>
      </c>
      <c r="P494" s="40" t="str">
        <f aca="false">_xlfn.CONCAT(B494,C494,D494,E494,F494)</f>
        <v>BC Camarao1.4INV-6T22A904138146035.285416666746035.285416666746035.34375</v>
      </c>
      <c r="Q494" s="32" t="str">
        <f aca="false">_xlfn.CONCAT(H494,I494,J494)</f>
        <v>DAURDE</v>
      </c>
    </row>
    <row r="495" customFormat="false" ht="15" hidden="false" customHeight="false" outlineLevel="0" collapsed="false">
      <c r="B495" s="32" t="s">
        <v>364</v>
      </c>
      <c r="C495" s="32" t="s">
        <v>259</v>
      </c>
      <c r="D495" s="33" t="n">
        <v>46035.2854166667</v>
      </c>
      <c r="E495" s="33" t="n">
        <v>46035.2854166667</v>
      </c>
      <c r="F495" s="33" t="n">
        <v>46035.34375</v>
      </c>
      <c r="G495" s="34" t="n">
        <f aca="false">F495-E495</f>
        <v>0.0583333333333333</v>
      </c>
      <c r="H495" s="39" t="s">
        <v>252</v>
      </c>
      <c r="J495" s="39" t="s">
        <v>253</v>
      </c>
      <c r="K495" s="32" t="s">
        <v>266</v>
      </c>
      <c r="L495" s="32" t="s">
        <v>366</v>
      </c>
      <c r="M495" s="39" t="s">
        <v>255</v>
      </c>
      <c r="N495" s="39" t="s">
        <v>268</v>
      </c>
      <c r="O495" s="32" t="s">
        <v>269</v>
      </c>
      <c r="P495" s="40" t="str">
        <f aca="false">_xlfn.CONCAT(B495,C495,D495,E495,F495)</f>
        <v>BC Camarao1.4215KTL-H3(MBUS-14)46035.285416666746035.285416666746035.34375</v>
      </c>
      <c r="Q495" s="32" t="str">
        <f aca="false">_xlfn.CONCAT(H495,I495,J495)</f>
        <v>DAURDE</v>
      </c>
    </row>
    <row r="496" customFormat="false" ht="15" hidden="false" customHeight="false" outlineLevel="0" collapsed="false">
      <c r="B496" s="32" t="s">
        <v>364</v>
      </c>
      <c r="C496" s="32" t="s">
        <v>258</v>
      </c>
      <c r="D496" s="33" t="n">
        <v>46035.2854166667</v>
      </c>
      <c r="E496" s="33" t="n">
        <v>46035.2854166667</v>
      </c>
      <c r="F496" s="33" t="n">
        <v>46035.34375</v>
      </c>
      <c r="G496" s="34" t="n">
        <f aca="false">F496-E496</f>
        <v>0.0583333333333333</v>
      </c>
      <c r="H496" s="39" t="s">
        <v>252</v>
      </c>
      <c r="J496" s="39" t="s">
        <v>253</v>
      </c>
      <c r="K496" s="32" t="s">
        <v>266</v>
      </c>
      <c r="L496" s="32" t="s">
        <v>366</v>
      </c>
      <c r="M496" s="39" t="s">
        <v>255</v>
      </c>
      <c r="N496" s="39" t="s">
        <v>268</v>
      </c>
      <c r="O496" s="32" t="s">
        <v>269</v>
      </c>
      <c r="P496" s="40" t="str">
        <f aca="false">_xlfn.CONCAT(B496,C496,D496,E496,F496)</f>
        <v>BC Camarao1.4215KTL-H3(MBUS-13)46035.285416666746035.285416666746035.34375</v>
      </c>
      <c r="Q496" s="32" t="str">
        <f aca="false">_xlfn.CONCAT(H496,I496,J496)</f>
        <v>DAURDE</v>
      </c>
    </row>
    <row r="497" customFormat="false" ht="15" hidden="false" customHeight="false" outlineLevel="0" collapsed="false">
      <c r="B497" s="32" t="s">
        <v>364</v>
      </c>
      <c r="C497" s="32" t="s">
        <v>261</v>
      </c>
      <c r="D497" s="33" t="n">
        <v>46035.2854166667</v>
      </c>
      <c r="E497" s="33" t="n">
        <v>46035.2854166667</v>
      </c>
      <c r="F497" s="33" t="n">
        <v>46035.34375</v>
      </c>
      <c r="G497" s="34" t="n">
        <f aca="false">F497-E497</f>
        <v>0.0583333333333333</v>
      </c>
      <c r="H497" s="39" t="s">
        <v>252</v>
      </c>
      <c r="J497" s="39" t="s">
        <v>253</v>
      </c>
      <c r="K497" s="32" t="s">
        <v>266</v>
      </c>
      <c r="L497" s="32" t="s">
        <v>366</v>
      </c>
      <c r="M497" s="39" t="s">
        <v>255</v>
      </c>
      <c r="N497" s="39" t="s">
        <v>268</v>
      </c>
      <c r="O497" s="32" t="s">
        <v>269</v>
      </c>
      <c r="P497" s="40" t="str">
        <f aca="false">_xlfn.CONCAT(B497,C497,D497,E497,F497)</f>
        <v>BC Camarao1.4215KTL-H3(MBUS-16)46035.285416666746035.285416666746035.34375</v>
      </c>
      <c r="Q497" s="32" t="str">
        <f aca="false">_xlfn.CONCAT(H497,I497,J497)</f>
        <v>DAURDE</v>
      </c>
    </row>
    <row r="498" customFormat="false" ht="15" hidden="false" customHeight="false" outlineLevel="0" collapsed="false">
      <c r="B498" s="32" t="s">
        <v>364</v>
      </c>
      <c r="C498" s="32" t="s">
        <v>260</v>
      </c>
      <c r="D498" s="33" t="n">
        <v>46035.2854166667</v>
      </c>
      <c r="E498" s="33" t="n">
        <v>46035.2854166667</v>
      </c>
      <c r="F498" s="33" t="n">
        <v>46035.34375</v>
      </c>
      <c r="G498" s="34" t="n">
        <f aca="false">F498-E498</f>
        <v>0.0583333333333333</v>
      </c>
      <c r="H498" s="39" t="s">
        <v>252</v>
      </c>
      <c r="J498" s="39" t="s">
        <v>253</v>
      </c>
      <c r="K498" s="32" t="s">
        <v>266</v>
      </c>
      <c r="L498" s="32" t="s">
        <v>366</v>
      </c>
      <c r="M498" s="39" t="s">
        <v>255</v>
      </c>
      <c r="N498" s="39" t="s">
        <v>268</v>
      </c>
      <c r="O498" s="32" t="s">
        <v>269</v>
      </c>
      <c r="P498" s="40" t="str">
        <f aca="false">_xlfn.CONCAT(B498,C498,D498,E498,F498)</f>
        <v>BC Camarao1.4215KTL-H3(MBUS-15)46035.285416666746035.285416666746035.34375</v>
      </c>
      <c r="Q498" s="32" t="str">
        <f aca="false">_xlfn.CONCAT(H498,I498,J498)</f>
        <v>DAURDE</v>
      </c>
    </row>
    <row r="499" customFormat="false" ht="15" hidden="false" customHeight="false" outlineLevel="0" collapsed="false">
      <c r="B499" s="32" t="s">
        <v>430</v>
      </c>
      <c r="C499" s="32" t="s">
        <v>260</v>
      </c>
      <c r="D499" s="33" t="n">
        <v>46035.2854166667</v>
      </c>
      <c r="E499" s="33" t="n">
        <v>46035.2854166667</v>
      </c>
      <c r="F499" s="33" t="n">
        <v>46035.34375</v>
      </c>
      <c r="G499" s="34" t="n">
        <f aca="false">F499-E499</f>
        <v>0.0583333333333333</v>
      </c>
      <c r="H499" s="39" t="s">
        <v>252</v>
      </c>
      <c r="J499" s="39" t="s">
        <v>253</v>
      </c>
      <c r="K499" s="32" t="s">
        <v>266</v>
      </c>
      <c r="L499" s="32" t="s">
        <v>366</v>
      </c>
      <c r="M499" s="39" t="s">
        <v>255</v>
      </c>
      <c r="N499" s="39" t="s">
        <v>268</v>
      </c>
      <c r="O499" s="32" t="s">
        <v>269</v>
      </c>
      <c r="P499" s="40" t="str">
        <f aca="false">_xlfn.CONCAT(B499,C499,D499,E499,F499)</f>
        <v>BC Camarao1.5215KTL-H3(MBUS-15)46035.285416666746035.285416666746035.34375</v>
      </c>
      <c r="Q499" s="32" t="str">
        <f aca="false">_xlfn.CONCAT(H499,I499,J499)</f>
        <v>DAURDE</v>
      </c>
    </row>
    <row r="500" customFormat="false" ht="15" hidden="false" customHeight="false" outlineLevel="0" collapsed="false">
      <c r="B500" s="32" t="s">
        <v>430</v>
      </c>
      <c r="C500" s="32" t="s">
        <v>258</v>
      </c>
      <c r="D500" s="33" t="n">
        <v>46035.2854166667</v>
      </c>
      <c r="E500" s="33" t="n">
        <v>46035.2854166667</v>
      </c>
      <c r="F500" s="33" t="n">
        <v>46035.34375</v>
      </c>
      <c r="G500" s="34" t="n">
        <f aca="false">F500-E500</f>
        <v>0.0583333333333333</v>
      </c>
      <c r="H500" s="39" t="s">
        <v>252</v>
      </c>
      <c r="J500" s="39" t="s">
        <v>253</v>
      </c>
      <c r="K500" s="32" t="s">
        <v>266</v>
      </c>
      <c r="L500" s="32" t="s">
        <v>366</v>
      </c>
      <c r="M500" s="39" t="s">
        <v>255</v>
      </c>
      <c r="N500" s="39" t="s">
        <v>268</v>
      </c>
      <c r="O500" s="32" t="s">
        <v>269</v>
      </c>
      <c r="P500" s="40" t="str">
        <f aca="false">_xlfn.CONCAT(B500,C500,D500,E500,F500)</f>
        <v>BC Camarao1.5215KTL-H3(MBUS-13)46035.285416666746035.285416666746035.34375</v>
      </c>
      <c r="Q500" s="32" t="str">
        <f aca="false">_xlfn.CONCAT(H500,I500,J500)</f>
        <v>DAURDE</v>
      </c>
    </row>
    <row r="501" customFormat="false" ht="15" hidden="false" customHeight="false" outlineLevel="0" collapsed="false">
      <c r="B501" s="32" t="s">
        <v>430</v>
      </c>
      <c r="C501" s="32" t="s">
        <v>251</v>
      </c>
      <c r="D501" s="33" t="n">
        <v>46035.2854166667</v>
      </c>
      <c r="E501" s="33" t="n">
        <v>46035.2854166667</v>
      </c>
      <c r="F501" s="33" t="n">
        <v>46035.34375</v>
      </c>
      <c r="G501" s="34" t="n">
        <f aca="false">F501-E501</f>
        <v>0.0583333333333333</v>
      </c>
      <c r="H501" s="39" t="s">
        <v>252</v>
      </c>
      <c r="J501" s="39" t="s">
        <v>253</v>
      </c>
      <c r="K501" s="32" t="s">
        <v>266</v>
      </c>
      <c r="L501" s="32" t="s">
        <v>366</v>
      </c>
      <c r="M501" s="39" t="s">
        <v>255</v>
      </c>
      <c r="N501" s="39" t="s">
        <v>268</v>
      </c>
      <c r="O501" s="32" t="s">
        <v>269</v>
      </c>
      <c r="P501" s="40" t="str">
        <f aca="false">_xlfn.CONCAT(B501,C501,D501,E501,F501)</f>
        <v>BC Camarao1.5215KTL-H3(MBUS-12)46035.285416666746035.285416666746035.34375</v>
      </c>
      <c r="Q501" s="32" t="str">
        <f aca="false">_xlfn.CONCAT(H501,I501,J501)</f>
        <v>DAURDE</v>
      </c>
    </row>
    <row r="502" customFormat="false" ht="15" hidden="false" customHeight="false" outlineLevel="0" collapsed="false">
      <c r="B502" s="32" t="s">
        <v>430</v>
      </c>
      <c r="C502" s="32" t="s">
        <v>431</v>
      </c>
      <c r="D502" s="33" t="n">
        <v>46035.2854166667</v>
      </c>
      <c r="E502" s="33" t="n">
        <v>46035.2854166667</v>
      </c>
      <c r="F502" s="33" t="n">
        <v>46035.34375</v>
      </c>
      <c r="G502" s="34" t="n">
        <f aca="false">F502-E502</f>
        <v>0.0583333333333333</v>
      </c>
      <c r="H502" s="39" t="s">
        <v>252</v>
      </c>
      <c r="J502" s="39" t="s">
        <v>253</v>
      </c>
      <c r="K502" s="32" t="s">
        <v>266</v>
      </c>
      <c r="L502" s="32" t="s">
        <v>366</v>
      </c>
      <c r="M502" s="39" t="s">
        <v>255</v>
      </c>
      <c r="N502" s="39" t="s">
        <v>268</v>
      </c>
      <c r="O502" s="32" t="s">
        <v>269</v>
      </c>
      <c r="P502" s="40" t="str">
        <f aca="false">_xlfn.CONCAT(B502,C502,D502,E502,F502)</f>
        <v>BC Camarao1.5215KTL-H3(MBUS-1)46035.285416666746035.285416666746035.34375</v>
      </c>
      <c r="Q502" s="32" t="str">
        <f aca="false">_xlfn.CONCAT(H502,I502,J502)</f>
        <v>DAURDE</v>
      </c>
    </row>
    <row r="503" customFormat="false" ht="15" hidden="false" customHeight="false" outlineLevel="0" collapsed="false">
      <c r="B503" s="32" t="s">
        <v>430</v>
      </c>
      <c r="C503" s="32" t="s">
        <v>259</v>
      </c>
      <c r="D503" s="33" t="n">
        <v>46035.2854166667</v>
      </c>
      <c r="E503" s="33" t="n">
        <v>46035.2854166667</v>
      </c>
      <c r="F503" s="33" t="n">
        <v>46035.34375</v>
      </c>
      <c r="G503" s="34" t="n">
        <f aca="false">F503-E503</f>
        <v>0.0583333333333333</v>
      </c>
      <c r="H503" s="39" t="s">
        <v>252</v>
      </c>
      <c r="J503" s="39" t="s">
        <v>253</v>
      </c>
      <c r="K503" s="32" t="s">
        <v>266</v>
      </c>
      <c r="L503" s="32" t="s">
        <v>366</v>
      </c>
      <c r="M503" s="39" t="s">
        <v>255</v>
      </c>
      <c r="N503" s="39" t="s">
        <v>268</v>
      </c>
      <c r="O503" s="32" t="s">
        <v>269</v>
      </c>
      <c r="P503" s="40" t="str">
        <f aca="false">_xlfn.CONCAT(B503,C503,D503,E503,F503)</f>
        <v>BC Camarao1.5215KTL-H3(MBUS-14)46035.285416666746035.285416666746035.34375</v>
      </c>
      <c r="Q503" s="32" t="str">
        <f aca="false">_xlfn.CONCAT(H503,I503,J503)</f>
        <v>DAURDE</v>
      </c>
    </row>
    <row r="504" customFormat="false" ht="15" hidden="false" customHeight="false" outlineLevel="0" collapsed="false">
      <c r="B504" s="32" t="s">
        <v>339</v>
      </c>
      <c r="C504" s="32" t="s">
        <v>327</v>
      </c>
      <c r="D504" s="33" t="n">
        <v>46035.2965277778</v>
      </c>
      <c r="E504" s="33" t="n">
        <v>46035.2965277778</v>
      </c>
      <c r="F504" s="33" t="n">
        <v>46036.4444444444</v>
      </c>
      <c r="G504" s="34" t="n">
        <f aca="false">F504-E504</f>
        <v>1.14791666666667</v>
      </c>
      <c r="H504" s="39" t="s">
        <v>252</v>
      </c>
      <c r="J504" s="39" t="s">
        <v>333</v>
      </c>
      <c r="K504" s="32" t="s">
        <v>334</v>
      </c>
      <c r="L504" s="32" t="s">
        <v>480</v>
      </c>
      <c r="M504" s="39" t="s">
        <v>336</v>
      </c>
      <c r="N504" s="39" t="s">
        <v>289</v>
      </c>
      <c r="O504" s="32" t="s">
        <v>481</v>
      </c>
      <c r="P504" s="40" t="str">
        <f aca="false">_xlfn.CONCAT(B504,C504,D504,E504,F504)</f>
        <v>BC Formoso2.1Inverter(MBUS-14)46035.296527777846035.296527777846036.4444444444</v>
      </c>
      <c r="Q504" s="32" t="str">
        <f aca="false">_xlfn.CONCAT(H504,I504,J504)</f>
        <v>DAUINV</v>
      </c>
    </row>
    <row r="505" customFormat="false" ht="15" hidden="false" customHeight="false" outlineLevel="0" collapsed="false">
      <c r="B505" s="32" t="s">
        <v>424</v>
      </c>
      <c r="C505" s="32" t="s">
        <v>265</v>
      </c>
      <c r="D505" s="33" t="n">
        <v>46035.3958333333</v>
      </c>
      <c r="E505" s="33" t="n">
        <v>46035.3958333333</v>
      </c>
      <c r="F505" s="33" t="n">
        <v>46035.4652777778</v>
      </c>
      <c r="G505" s="34" t="n">
        <f aca="false">F505-E505</f>
        <v>0.0694444444444445</v>
      </c>
      <c r="H505" s="39" t="s">
        <v>252</v>
      </c>
      <c r="J505" s="39" t="s">
        <v>253</v>
      </c>
      <c r="K505" s="32" t="s">
        <v>266</v>
      </c>
      <c r="L505" s="32" t="s">
        <v>366</v>
      </c>
      <c r="M505" s="39" t="s">
        <v>255</v>
      </c>
      <c r="N505" s="39" t="s">
        <v>268</v>
      </c>
      <c r="O505" s="32" t="s">
        <v>269</v>
      </c>
      <c r="P505" s="40" t="str">
        <f aca="false">_xlfn.CONCAT(B505,C505,D505,E505,F505)</f>
        <v>BC Camarao1.1Inverter(MBUS-1)46035.395833333346035.395833333346035.4652777778</v>
      </c>
      <c r="Q505" s="32" t="str">
        <f aca="false">_xlfn.CONCAT(H505,I505,J505)</f>
        <v>DAURDE</v>
      </c>
    </row>
    <row r="506" customFormat="false" ht="15" hidden="false" customHeight="false" outlineLevel="0" collapsed="false">
      <c r="B506" s="32" t="s">
        <v>424</v>
      </c>
      <c r="C506" s="32" t="s">
        <v>251</v>
      </c>
      <c r="D506" s="33" t="n">
        <v>46035.3958333333</v>
      </c>
      <c r="E506" s="33" t="n">
        <v>46035.3958333333</v>
      </c>
      <c r="F506" s="33" t="n">
        <v>46035.4652777778</v>
      </c>
      <c r="G506" s="34" t="n">
        <f aca="false">F506-E506</f>
        <v>0.0694444444444445</v>
      </c>
      <c r="H506" s="39" t="s">
        <v>252</v>
      </c>
      <c r="J506" s="39" t="s">
        <v>253</v>
      </c>
      <c r="K506" s="32" t="s">
        <v>266</v>
      </c>
      <c r="L506" s="32" t="s">
        <v>366</v>
      </c>
      <c r="M506" s="39" t="s">
        <v>255</v>
      </c>
      <c r="N506" s="39" t="s">
        <v>268</v>
      </c>
      <c r="O506" s="32" t="s">
        <v>269</v>
      </c>
      <c r="P506" s="40" t="str">
        <f aca="false">_xlfn.CONCAT(B506,C506,D506,E506,F506)</f>
        <v>BC Camarao1.1215KTL-H3(MBUS-12)46035.395833333346035.395833333346035.4652777778</v>
      </c>
      <c r="Q506" s="32" t="str">
        <f aca="false">_xlfn.CONCAT(H506,I506,J506)</f>
        <v>DAURDE</v>
      </c>
    </row>
    <row r="507" customFormat="false" ht="15" hidden="false" customHeight="false" outlineLevel="0" collapsed="false">
      <c r="B507" s="32" t="s">
        <v>424</v>
      </c>
      <c r="C507" s="32" t="s">
        <v>258</v>
      </c>
      <c r="D507" s="33" t="n">
        <v>46035.3958333333</v>
      </c>
      <c r="E507" s="33" t="n">
        <v>46035.3958333333</v>
      </c>
      <c r="F507" s="33" t="n">
        <v>46035.4652777778</v>
      </c>
      <c r="G507" s="34" t="n">
        <f aca="false">F507-E507</f>
        <v>0.0694444444444445</v>
      </c>
      <c r="H507" s="39" t="s">
        <v>252</v>
      </c>
      <c r="J507" s="39" t="s">
        <v>253</v>
      </c>
      <c r="K507" s="32" t="s">
        <v>266</v>
      </c>
      <c r="L507" s="32" t="s">
        <v>366</v>
      </c>
      <c r="M507" s="39" t="s">
        <v>255</v>
      </c>
      <c r="N507" s="39" t="s">
        <v>268</v>
      </c>
      <c r="O507" s="32" t="s">
        <v>269</v>
      </c>
      <c r="P507" s="40" t="str">
        <f aca="false">_xlfn.CONCAT(B507,C507,D507,E507,F507)</f>
        <v>BC Camarao1.1215KTL-H3(MBUS-13)46035.395833333346035.395833333346035.4652777778</v>
      </c>
      <c r="Q507" s="32" t="str">
        <f aca="false">_xlfn.CONCAT(H507,I507,J507)</f>
        <v>DAURDE</v>
      </c>
    </row>
    <row r="508" customFormat="false" ht="15" hidden="false" customHeight="false" outlineLevel="0" collapsed="false">
      <c r="B508" s="32" t="s">
        <v>424</v>
      </c>
      <c r="C508" s="32" t="s">
        <v>261</v>
      </c>
      <c r="D508" s="33" t="n">
        <v>46035.3958333333</v>
      </c>
      <c r="E508" s="33" t="n">
        <v>46035.3958333333</v>
      </c>
      <c r="F508" s="33" t="n">
        <v>46035.4652777778</v>
      </c>
      <c r="G508" s="34" t="n">
        <f aca="false">F508-E508</f>
        <v>0.0694444444444445</v>
      </c>
      <c r="H508" s="39" t="s">
        <v>252</v>
      </c>
      <c r="J508" s="39" t="s">
        <v>253</v>
      </c>
      <c r="K508" s="32" t="s">
        <v>266</v>
      </c>
      <c r="L508" s="32" t="s">
        <v>366</v>
      </c>
      <c r="M508" s="39" t="s">
        <v>255</v>
      </c>
      <c r="N508" s="39" t="s">
        <v>268</v>
      </c>
      <c r="O508" s="32" t="s">
        <v>269</v>
      </c>
      <c r="P508" s="40" t="str">
        <f aca="false">_xlfn.CONCAT(B508,C508,D508,E508,F508)</f>
        <v>BC Camarao1.1215KTL-H3(MBUS-16)46035.395833333346035.395833333346035.4652777778</v>
      </c>
      <c r="Q508" s="32" t="str">
        <f aca="false">_xlfn.CONCAT(H508,I508,J508)</f>
        <v>DAURDE</v>
      </c>
    </row>
    <row r="509" customFormat="false" ht="15" hidden="false" customHeight="false" outlineLevel="0" collapsed="false">
      <c r="B509" s="32" t="s">
        <v>424</v>
      </c>
      <c r="C509" s="32" t="s">
        <v>260</v>
      </c>
      <c r="D509" s="33" t="n">
        <v>46035.3958333333</v>
      </c>
      <c r="E509" s="33" t="n">
        <v>46035.3958333333</v>
      </c>
      <c r="F509" s="33" t="n">
        <v>46035.4652777778</v>
      </c>
      <c r="G509" s="34" t="n">
        <f aca="false">F509-E509</f>
        <v>0.0694444444444445</v>
      </c>
      <c r="H509" s="39" t="s">
        <v>252</v>
      </c>
      <c r="J509" s="39" t="s">
        <v>253</v>
      </c>
      <c r="K509" s="32" t="s">
        <v>266</v>
      </c>
      <c r="L509" s="32" t="s">
        <v>366</v>
      </c>
      <c r="M509" s="39" t="s">
        <v>255</v>
      </c>
      <c r="N509" s="39" t="s">
        <v>268</v>
      </c>
      <c r="O509" s="32" t="s">
        <v>269</v>
      </c>
      <c r="P509" s="40" t="str">
        <f aca="false">_xlfn.CONCAT(B509,C509,D509,E509,F509)</f>
        <v>BC Camarao1.1215KTL-H3(MBUS-15)46035.395833333346035.395833333346035.4652777778</v>
      </c>
      <c r="Q509" s="32" t="str">
        <f aca="false">_xlfn.CONCAT(H509,I509,J509)</f>
        <v>DAURDE</v>
      </c>
    </row>
    <row r="510" customFormat="false" ht="15" hidden="false" customHeight="false" outlineLevel="0" collapsed="false">
      <c r="B510" s="32" t="s">
        <v>425</v>
      </c>
      <c r="C510" s="32" t="s">
        <v>265</v>
      </c>
      <c r="D510" s="33" t="n">
        <v>46035.3958333333</v>
      </c>
      <c r="E510" s="33" t="n">
        <v>46035.3958333333</v>
      </c>
      <c r="F510" s="33" t="n">
        <v>46035.4652777778</v>
      </c>
      <c r="G510" s="34" t="n">
        <f aca="false">F510-E510</f>
        <v>0.0694444444444445</v>
      </c>
      <c r="H510" s="39" t="s">
        <v>252</v>
      </c>
      <c r="J510" s="39" t="s">
        <v>253</v>
      </c>
      <c r="K510" s="32" t="s">
        <v>266</v>
      </c>
      <c r="L510" s="32" t="s">
        <v>366</v>
      </c>
      <c r="M510" s="39" t="s">
        <v>255</v>
      </c>
      <c r="N510" s="39" t="s">
        <v>268</v>
      </c>
      <c r="O510" s="32" t="s">
        <v>269</v>
      </c>
      <c r="P510" s="40" t="str">
        <f aca="false">_xlfn.CONCAT(B510,C510,D510,E510,F510)</f>
        <v>BC Camarao1.2Inverter(MBUS-1)46035.395833333346035.395833333346035.4652777778</v>
      </c>
      <c r="Q510" s="32" t="str">
        <f aca="false">_xlfn.CONCAT(H510,I510,J510)</f>
        <v>DAURDE</v>
      </c>
    </row>
    <row r="511" customFormat="false" ht="15" hidden="false" customHeight="false" outlineLevel="0" collapsed="false">
      <c r="B511" s="32" t="s">
        <v>425</v>
      </c>
      <c r="C511" s="32" t="s">
        <v>426</v>
      </c>
      <c r="D511" s="33" t="n">
        <v>46035.3958333333</v>
      </c>
      <c r="E511" s="33" t="n">
        <v>46035.3958333333</v>
      </c>
      <c r="F511" s="33" t="n">
        <v>46035.4652777778</v>
      </c>
      <c r="G511" s="34" t="n">
        <f aca="false">F511-E511</f>
        <v>0.0694444444444445</v>
      </c>
      <c r="H511" s="39" t="s">
        <v>252</v>
      </c>
      <c r="J511" s="39" t="s">
        <v>253</v>
      </c>
      <c r="K511" s="32" t="s">
        <v>266</v>
      </c>
      <c r="L511" s="32" t="s">
        <v>366</v>
      </c>
      <c r="M511" s="39" t="s">
        <v>255</v>
      </c>
      <c r="N511" s="39" t="s">
        <v>268</v>
      </c>
      <c r="O511" s="32" t="s">
        <v>269</v>
      </c>
      <c r="P511" s="40" t="str">
        <f aca="false">_xlfn.CONCAT(B511,C511,D511,E511,F511)</f>
        <v>BC Camarao1.2Inv. 346035.395833333346035.395833333346035.4652777778</v>
      </c>
      <c r="Q511" s="32" t="str">
        <f aca="false">_xlfn.CONCAT(H511,I511,J511)</f>
        <v>DAURDE</v>
      </c>
    </row>
    <row r="512" customFormat="false" ht="15" hidden="false" customHeight="false" outlineLevel="0" collapsed="false">
      <c r="B512" s="32" t="s">
        <v>425</v>
      </c>
      <c r="C512" s="32" t="s">
        <v>427</v>
      </c>
      <c r="D512" s="33" t="n">
        <v>46035.3958333333</v>
      </c>
      <c r="E512" s="33" t="n">
        <v>46035.3958333333</v>
      </c>
      <c r="F512" s="33" t="n">
        <v>46035.4652777778</v>
      </c>
      <c r="G512" s="34" t="n">
        <f aca="false">F512-E512</f>
        <v>0.0694444444444445</v>
      </c>
      <c r="H512" s="39" t="s">
        <v>252</v>
      </c>
      <c r="J512" s="39" t="s">
        <v>253</v>
      </c>
      <c r="K512" s="32" t="s">
        <v>266</v>
      </c>
      <c r="L512" s="32" t="s">
        <v>366</v>
      </c>
      <c r="M512" s="39" t="s">
        <v>255</v>
      </c>
      <c r="N512" s="39" t="s">
        <v>268</v>
      </c>
      <c r="O512" s="32" t="s">
        <v>269</v>
      </c>
      <c r="P512" s="40" t="str">
        <f aca="false">_xlfn.CONCAT(B512,C512,D512,E512,F512)</f>
        <v>BC Camarao1.2Inv. 446035.395833333346035.395833333346035.4652777778</v>
      </c>
      <c r="Q512" s="32" t="str">
        <f aca="false">_xlfn.CONCAT(H512,I512,J512)</f>
        <v>DAURDE</v>
      </c>
    </row>
    <row r="513" customFormat="false" ht="15" hidden="false" customHeight="false" outlineLevel="0" collapsed="false">
      <c r="B513" s="32" t="s">
        <v>425</v>
      </c>
      <c r="C513" s="32" t="s">
        <v>428</v>
      </c>
      <c r="D513" s="33" t="n">
        <v>46035.3958333333</v>
      </c>
      <c r="E513" s="33" t="n">
        <v>46035.3958333333</v>
      </c>
      <c r="F513" s="33" t="n">
        <v>46035.4652777778</v>
      </c>
      <c r="G513" s="34" t="n">
        <f aca="false">F513-E513</f>
        <v>0.0694444444444445</v>
      </c>
      <c r="H513" s="39" t="s">
        <v>252</v>
      </c>
      <c r="J513" s="39" t="s">
        <v>253</v>
      </c>
      <c r="K513" s="32" t="s">
        <v>266</v>
      </c>
      <c r="L513" s="32" t="s">
        <v>366</v>
      </c>
      <c r="M513" s="39" t="s">
        <v>255</v>
      </c>
      <c r="N513" s="39" t="s">
        <v>268</v>
      </c>
      <c r="O513" s="32" t="s">
        <v>269</v>
      </c>
      <c r="P513" s="40" t="str">
        <f aca="false">_xlfn.CONCAT(B513,C513,D513,E513,F513)</f>
        <v>BC Camarao1.2Inverter(MBUS-16)46035.395833333346035.395833333346035.4652777778</v>
      </c>
      <c r="Q513" s="32" t="str">
        <f aca="false">_xlfn.CONCAT(H513,I513,J513)</f>
        <v>DAURDE</v>
      </c>
    </row>
    <row r="514" customFormat="false" ht="15" hidden="false" customHeight="false" outlineLevel="0" collapsed="false">
      <c r="B514" s="32" t="s">
        <v>425</v>
      </c>
      <c r="C514" s="32" t="s">
        <v>324</v>
      </c>
      <c r="D514" s="33" t="n">
        <v>46035.3958333333</v>
      </c>
      <c r="E514" s="33" t="n">
        <v>46035.3958333333</v>
      </c>
      <c r="F514" s="33" t="n">
        <v>46035.4652777778</v>
      </c>
      <c r="G514" s="34" t="n">
        <f aca="false">F514-E514</f>
        <v>0.0694444444444445</v>
      </c>
      <c r="H514" s="39" t="s">
        <v>252</v>
      </c>
      <c r="J514" s="39" t="s">
        <v>253</v>
      </c>
      <c r="K514" s="32" t="s">
        <v>266</v>
      </c>
      <c r="L514" s="32" t="s">
        <v>366</v>
      </c>
      <c r="M514" s="39" t="s">
        <v>255</v>
      </c>
      <c r="N514" s="39" t="s">
        <v>268</v>
      </c>
      <c r="O514" s="32" t="s">
        <v>269</v>
      </c>
      <c r="P514" s="40" t="str">
        <f aca="false">_xlfn.CONCAT(B514,C514,D514,E514,F514)</f>
        <v>BC Camarao1.2Inverter(MBUS-12)46035.395833333346035.395833333346035.4652777778</v>
      </c>
      <c r="Q514" s="32" t="str">
        <f aca="false">_xlfn.CONCAT(H514,I514,J514)</f>
        <v>DAURDE</v>
      </c>
    </row>
    <row r="515" customFormat="false" ht="15" hidden="false" customHeight="false" outlineLevel="0" collapsed="false">
      <c r="B515" s="32" t="s">
        <v>429</v>
      </c>
      <c r="C515" s="32" t="s">
        <v>261</v>
      </c>
      <c r="D515" s="33" t="n">
        <v>46035.3958333333</v>
      </c>
      <c r="E515" s="33" t="n">
        <v>46035.3958333333</v>
      </c>
      <c r="F515" s="33" t="n">
        <v>46035.4652777778</v>
      </c>
      <c r="G515" s="34" t="n">
        <f aca="false">F515-E515</f>
        <v>0.0694444444444445</v>
      </c>
      <c r="H515" s="39" t="s">
        <v>252</v>
      </c>
      <c r="J515" s="39" t="s">
        <v>253</v>
      </c>
      <c r="K515" s="32" t="s">
        <v>266</v>
      </c>
      <c r="L515" s="32" t="s">
        <v>366</v>
      </c>
      <c r="M515" s="39" t="s">
        <v>255</v>
      </c>
      <c r="N515" s="39" t="s">
        <v>268</v>
      </c>
      <c r="O515" s="32" t="s">
        <v>269</v>
      </c>
      <c r="P515" s="40" t="str">
        <f aca="false">_xlfn.CONCAT(B515,C515,D515,E515,F515)</f>
        <v>BC Camarao1.3215KTL-H3(MBUS-16)46035.395833333346035.395833333346035.4652777778</v>
      </c>
      <c r="Q515" s="32" t="str">
        <f aca="false">_xlfn.CONCAT(H515,I515,J515)</f>
        <v>DAURDE</v>
      </c>
    </row>
    <row r="516" customFormat="false" ht="15" hidden="false" customHeight="false" outlineLevel="0" collapsed="false">
      <c r="B516" s="32" t="s">
        <v>429</v>
      </c>
      <c r="C516" s="32" t="s">
        <v>259</v>
      </c>
      <c r="D516" s="33" t="n">
        <v>46035.3958333333</v>
      </c>
      <c r="E516" s="33" t="n">
        <v>46035.3958333333</v>
      </c>
      <c r="F516" s="33" t="n">
        <v>46035.4652777778</v>
      </c>
      <c r="G516" s="34" t="n">
        <f aca="false">F516-E516</f>
        <v>0.0694444444444445</v>
      </c>
      <c r="H516" s="39" t="s">
        <v>252</v>
      </c>
      <c r="J516" s="39" t="s">
        <v>253</v>
      </c>
      <c r="K516" s="32" t="s">
        <v>266</v>
      </c>
      <c r="L516" s="32" t="s">
        <v>366</v>
      </c>
      <c r="M516" s="39" t="s">
        <v>255</v>
      </c>
      <c r="N516" s="39" t="s">
        <v>268</v>
      </c>
      <c r="O516" s="32" t="s">
        <v>269</v>
      </c>
      <c r="P516" s="40" t="str">
        <f aca="false">_xlfn.CONCAT(B516,C516,D516,E516,F516)</f>
        <v>BC Camarao1.3215KTL-H3(MBUS-14)46035.395833333346035.395833333346035.4652777778</v>
      </c>
      <c r="Q516" s="32" t="str">
        <f aca="false">_xlfn.CONCAT(H516,I516,J516)</f>
        <v>DAURDE</v>
      </c>
    </row>
    <row r="517" customFormat="false" ht="15" hidden="false" customHeight="false" outlineLevel="0" collapsed="false">
      <c r="B517" s="32" t="s">
        <v>429</v>
      </c>
      <c r="C517" s="32" t="s">
        <v>260</v>
      </c>
      <c r="D517" s="33" t="n">
        <v>46035.3958333333</v>
      </c>
      <c r="E517" s="33" t="n">
        <v>46035.3958333333</v>
      </c>
      <c r="F517" s="33" t="n">
        <v>46035.4652777778</v>
      </c>
      <c r="G517" s="34" t="n">
        <f aca="false">F517-E517</f>
        <v>0.0694444444444445</v>
      </c>
      <c r="H517" s="39" t="s">
        <v>252</v>
      </c>
      <c r="J517" s="39" t="s">
        <v>253</v>
      </c>
      <c r="K517" s="32" t="s">
        <v>266</v>
      </c>
      <c r="L517" s="32" t="s">
        <v>366</v>
      </c>
      <c r="M517" s="39" t="s">
        <v>255</v>
      </c>
      <c r="N517" s="39" t="s">
        <v>268</v>
      </c>
      <c r="O517" s="32" t="s">
        <v>269</v>
      </c>
      <c r="P517" s="40" t="str">
        <f aca="false">_xlfn.CONCAT(B517,C517,D517,E517,F517)</f>
        <v>BC Camarao1.3215KTL-H3(MBUS-15)46035.395833333346035.395833333346035.4652777778</v>
      </c>
      <c r="Q517" s="32" t="str">
        <f aca="false">_xlfn.CONCAT(H517,I517,J517)</f>
        <v>DAURDE</v>
      </c>
    </row>
    <row r="518" customFormat="false" ht="15" hidden="false" customHeight="false" outlineLevel="0" collapsed="false">
      <c r="B518" s="32" t="s">
        <v>429</v>
      </c>
      <c r="C518" s="32" t="s">
        <v>251</v>
      </c>
      <c r="D518" s="33" t="n">
        <v>46035.3958333333</v>
      </c>
      <c r="E518" s="33" t="n">
        <v>46035.3958333333</v>
      </c>
      <c r="F518" s="33" t="n">
        <v>46035.4652777778</v>
      </c>
      <c r="G518" s="34" t="n">
        <f aca="false">F518-E518</f>
        <v>0.0694444444444445</v>
      </c>
      <c r="H518" s="39" t="s">
        <v>252</v>
      </c>
      <c r="J518" s="39" t="s">
        <v>253</v>
      </c>
      <c r="K518" s="32" t="s">
        <v>266</v>
      </c>
      <c r="L518" s="32" t="s">
        <v>366</v>
      </c>
      <c r="M518" s="39" t="s">
        <v>255</v>
      </c>
      <c r="N518" s="39" t="s">
        <v>268</v>
      </c>
      <c r="O518" s="32" t="s">
        <v>269</v>
      </c>
      <c r="P518" s="40" t="str">
        <f aca="false">_xlfn.CONCAT(B518,C518,D518,E518,F518)</f>
        <v>BC Camarao1.3215KTL-H3(MBUS-12)46035.395833333346035.395833333346035.4652777778</v>
      </c>
      <c r="Q518" s="32" t="str">
        <f aca="false">_xlfn.CONCAT(H518,I518,J518)</f>
        <v>DAURDE</v>
      </c>
    </row>
    <row r="519" customFormat="false" ht="15" hidden="false" customHeight="false" outlineLevel="0" collapsed="false">
      <c r="B519" s="32" t="s">
        <v>429</v>
      </c>
      <c r="C519" s="32" t="s">
        <v>258</v>
      </c>
      <c r="D519" s="33" t="n">
        <v>46035.3958333333</v>
      </c>
      <c r="E519" s="33" t="n">
        <v>46035.3958333333</v>
      </c>
      <c r="F519" s="33" t="n">
        <v>46035.4652777778</v>
      </c>
      <c r="G519" s="34" t="n">
        <f aca="false">F519-E519</f>
        <v>0.0694444444444445</v>
      </c>
      <c r="H519" s="39" t="s">
        <v>252</v>
      </c>
      <c r="J519" s="39" t="s">
        <v>253</v>
      </c>
      <c r="K519" s="32" t="s">
        <v>266</v>
      </c>
      <c r="L519" s="32" t="s">
        <v>366</v>
      </c>
      <c r="M519" s="39" t="s">
        <v>255</v>
      </c>
      <c r="N519" s="39" t="s">
        <v>268</v>
      </c>
      <c r="O519" s="32" t="s">
        <v>269</v>
      </c>
      <c r="P519" s="40" t="str">
        <f aca="false">_xlfn.CONCAT(B519,C519,D519,E519,F519)</f>
        <v>BC Camarao1.3215KTL-H3(MBUS-13)46035.395833333346035.395833333346035.4652777778</v>
      </c>
      <c r="Q519" s="32" t="str">
        <f aca="false">_xlfn.CONCAT(H519,I519,J519)</f>
        <v>DAURDE</v>
      </c>
    </row>
    <row r="520" customFormat="false" ht="15" hidden="false" customHeight="false" outlineLevel="0" collapsed="false">
      <c r="B520" s="32" t="s">
        <v>364</v>
      </c>
      <c r="C520" s="32" t="s">
        <v>365</v>
      </c>
      <c r="D520" s="33" t="n">
        <v>46035.3958333333</v>
      </c>
      <c r="E520" s="33" t="n">
        <v>46035.3958333333</v>
      </c>
      <c r="F520" s="33" t="n">
        <v>46035.4652777778</v>
      </c>
      <c r="G520" s="34" t="n">
        <f aca="false">F520-E520</f>
        <v>0.0694444444444445</v>
      </c>
      <c r="H520" s="39" t="s">
        <v>252</v>
      </c>
      <c r="J520" s="39" t="s">
        <v>253</v>
      </c>
      <c r="K520" s="32" t="s">
        <v>266</v>
      </c>
      <c r="L520" s="32" t="s">
        <v>366</v>
      </c>
      <c r="M520" s="39" t="s">
        <v>255</v>
      </c>
      <c r="N520" s="39" t="s">
        <v>268</v>
      </c>
      <c r="O520" s="32" t="s">
        <v>269</v>
      </c>
      <c r="P520" s="40" t="str">
        <f aca="false">_xlfn.CONCAT(B520,C520,D520,E520,F520)</f>
        <v>BC Camarao1.4INV-6T22A904138146035.395833333346035.395833333346035.4652777778</v>
      </c>
      <c r="Q520" s="32" t="str">
        <f aca="false">_xlfn.CONCAT(H520,I520,J520)</f>
        <v>DAURDE</v>
      </c>
    </row>
    <row r="521" customFormat="false" ht="15" hidden="false" customHeight="false" outlineLevel="0" collapsed="false">
      <c r="B521" s="32" t="s">
        <v>364</v>
      </c>
      <c r="C521" s="32" t="s">
        <v>259</v>
      </c>
      <c r="D521" s="33" t="n">
        <v>46035.3958333333</v>
      </c>
      <c r="E521" s="33" t="n">
        <v>46035.3958333333</v>
      </c>
      <c r="F521" s="33" t="n">
        <v>46035.4652777778</v>
      </c>
      <c r="G521" s="34" t="n">
        <f aca="false">F521-E521</f>
        <v>0.0694444444444445</v>
      </c>
      <c r="H521" s="39" t="s">
        <v>252</v>
      </c>
      <c r="J521" s="39" t="s">
        <v>253</v>
      </c>
      <c r="K521" s="32" t="s">
        <v>266</v>
      </c>
      <c r="L521" s="32" t="s">
        <v>366</v>
      </c>
      <c r="M521" s="39" t="s">
        <v>255</v>
      </c>
      <c r="N521" s="39" t="s">
        <v>268</v>
      </c>
      <c r="O521" s="32" t="s">
        <v>269</v>
      </c>
      <c r="P521" s="40" t="str">
        <f aca="false">_xlfn.CONCAT(B521,C521,D521,E521,F521)</f>
        <v>BC Camarao1.4215KTL-H3(MBUS-14)46035.395833333346035.395833333346035.4652777778</v>
      </c>
      <c r="Q521" s="32" t="str">
        <f aca="false">_xlfn.CONCAT(H521,I521,J521)</f>
        <v>DAURDE</v>
      </c>
    </row>
    <row r="522" customFormat="false" ht="15" hidden="false" customHeight="false" outlineLevel="0" collapsed="false">
      <c r="B522" s="32" t="s">
        <v>364</v>
      </c>
      <c r="C522" s="32" t="s">
        <v>258</v>
      </c>
      <c r="D522" s="33" t="n">
        <v>46035.3958333333</v>
      </c>
      <c r="E522" s="33" t="n">
        <v>46035.3958333333</v>
      </c>
      <c r="F522" s="33" t="n">
        <v>46035.4652777778</v>
      </c>
      <c r="G522" s="34" t="n">
        <f aca="false">F522-E522</f>
        <v>0.0694444444444445</v>
      </c>
      <c r="H522" s="39" t="s">
        <v>252</v>
      </c>
      <c r="J522" s="39" t="s">
        <v>253</v>
      </c>
      <c r="K522" s="32" t="s">
        <v>266</v>
      </c>
      <c r="L522" s="32" t="s">
        <v>366</v>
      </c>
      <c r="M522" s="39" t="s">
        <v>255</v>
      </c>
      <c r="N522" s="39" t="s">
        <v>268</v>
      </c>
      <c r="O522" s="32" t="s">
        <v>269</v>
      </c>
      <c r="P522" s="40" t="str">
        <f aca="false">_xlfn.CONCAT(B522,C522,D522,E522,F522)</f>
        <v>BC Camarao1.4215KTL-H3(MBUS-13)46035.395833333346035.395833333346035.4652777778</v>
      </c>
      <c r="Q522" s="32" t="str">
        <f aca="false">_xlfn.CONCAT(H522,I522,J522)</f>
        <v>DAURDE</v>
      </c>
    </row>
    <row r="523" customFormat="false" ht="15" hidden="false" customHeight="false" outlineLevel="0" collapsed="false">
      <c r="B523" s="32" t="s">
        <v>364</v>
      </c>
      <c r="C523" s="32" t="s">
        <v>261</v>
      </c>
      <c r="D523" s="33" t="n">
        <v>46035.3958333333</v>
      </c>
      <c r="E523" s="33" t="n">
        <v>46035.3958333333</v>
      </c>
      <c r="F523" s="33" t="n">
        <v>46035.4652777778</v>
      </c>
      <c r="G523" s="34" t="n">
        <f aca="false">F523-E523</f>
        <v>0.0694444444444445</v>
      </c>
      <c r="H523" s="39" t="s">
        <v>252</v>
      </c>
      <c r="J523" s="39" t="s">
        <v>253</v>
      </c>
      <c r="K523" s="32" t="s">
        <v>266</v>
      </c>
      <c r="L523" s="32" t="s">
        <v>366</v>
      </c>
      <c r="M523" s="39" t="s">
        <v>255</v>
      </c>
      <c r="N523" s="39" t="s">
        <v>268</v>
      </c>
      <c r="O523" s="32" t="s">
        <v>269</v>
      </c>
      <c r="P523" s="40" t="str">
        <f aca="false">_xlfn.CONCAT(B523,C523,D523,E523,F523)</f>
        <v>BC Camarao1.4215KTL-H3(MBUS-16)46035.395833333346035.395833333346035.4652777778</v>
      </c>
      <c r="Q523" s="32" t="str">
        <f aca="false">_xlfn.CONCAT(H523,I523,J523)</f>
        <v>DAURDE</v>
      </c>
    </row>
    <row r="524" customFormat="false" ht="15" hidden="false" customHeight="false" outlineLevel="0" collapsed="false">
      <c r="B524" s="32" t="s">
        <v>364</v>
      </c>
      <c r="C524" s="32" t="s">
        <v>260</v>
      </c>
      <c r="D524" s="33" t="n">
        <v>46035.3958333333</v>
      </c>
      <c r="E524" s="33" t="n">
        <v>46035.3958333333</v>
      </c>
      <c r="F524" s="33" t="n">
        <v>46035.4652777778</v>
      </c>
      <c r="G524" s="34" t="n">
        <f aca="false">F524-E524</f>
        <v>0.0694444444444445</v>
      </c>
      <c r="H524" s="39" t="s">
        <v>252</v>
      </c>
      <c r="J524" s="39" t="s">
        <v>253</v>
      </c>
      <c r="K524" s="32" t="s">
        <v>266</v>
      </c>
      <c r="L524" s="32" t="s">
        <v>366</v>
      </c>
      <c r="M524" s="39" t="s">
        <v>255</v>
      </c>
      <c r="N524" s="39" t="s">
        <v>268</v>
      </c>
      <c r="O524" s="32" t="s">
        <v>269</v>
      </c>
      <c r="P524" s="40" t="str">
        <f aca="false">_xlfn.CONCAT(B524,C524,D524,E524,F524)</f>
        <v>BC Camarao1.4215KTL-H3(MBUS-15)46035.395833333346035.395833333346035.4652777778</v>
      </c>
      <c r="Q524" s="32" t="str">
        <f aca="false">_xlfn.CONCAT(H524,I524,J524)</f>
        <v>DAURDE</v>
      </c>
    </row>
    <row r="525" customFormat="false" ht="15" hidden="false" customHeight="false" outlineLevel="0" collapsed="false">
      <c r="B525" s="32" t="s">
        <v>430</v>
      </c>
      <c r="C525" s="32" t="s">
        <v>260</v>
      </c>
      <c r="D525" s="33" t="n">
        <v>46035.3958333333</v>
      </c>
      <c r="E525" s="33" t="n">
        <v>46035.3958333333</v>
      </c>
      <c r="F525" s="33" t="n">
        <v>46035.4652777778</v>
      </c>
      <c r="G525" s="34" t="n">
        <f aca="false">F525-E525</f>
        <v>0.0694444444444445</v>
      </c>
      <c r="H525" s="39" t="s">
        <v>252</v>
      </c>
      <c r="J525" s="39" t="s">
        <v>253</v>
      </c>
      <c r="K525" s="32" t="s">
        <v>266</v>
      </c>
      <c r="L525" s="32" t="s">
        <v>366</v>
      </c>
      <c r="M525" s="39" t="s">
        <v>255</v>
      </c>
      <c r="N525" s="39" t="s">
        <v>268</v>
      </c>
      <c r="O525" s="32" t="s">
        <v>269</v>
      </c>
      <c r="P525" s="40" t="str">
        <f aca="false">_xlfn.CONCAT(B525,C525,D525,E525,F525)</f>
        <v>BC Camarao1.5215KTL-H3(MBUS-15)46035.395833333346035.395833333346035.4652777778</v>
      </c>
      <c r="Q525" s="32" t="str">
        <f aca="false">_xlfn.CONCAT(H525,I525,J525)</f>
        <v>DAURDE</v>
      </c>
    </row>
    <row r="526" customFormat="false" ht="15" hidden="false" customHeight="false" outlineLevel="0" collapsed="false">
      <c r="B526" s="32" t="s">
        <v>430</v>
      </c>
      <c r="C526" s="32" t="s">
        <v>258</v>
      </c>
      <c r="D526" s="33" t="n">
        <v>46035.3958333333</v>
      </c>
      <c r="E526" s="33" t="n">
        <v>46035.3958333333</v>
      </c>
      <c r="F526" s="33" t="n">
        <v>46035.4652777778</v>
      </c>
      <c r="G526" s="34" t="n">
        <f aca="false">F526-E526</f>
        <v>0.0694444444444445</v>
      </c>
      <c r="H526" s="39" t="s">
        <v>252</v>
      </c>
      <c r="J526" s="39" t="s">
        <v>253</v>
      </c>
      <c r="K526" s="32" t="s">
        <v>266</v>
      </c>
      <c r="L526" s="32" t="s">
        <v>366</v>
      </c>
      <c r="M526" s="39" t="s">
        <v>255</v>
      </c>
      <c r="N526" s="39" t="s">
        <v>268</v>
      </c>
      <c r="O526" s="32" t="s">
        <v>269</v>
      </c>
      <c r="P526" s="40" t="str">
        <f aca="false">_xlfn.CONCAT(B526,C526,D526,E526,F526)</f>
        <v>BC Camarao1.5215KTL-H3(MBUS-13)46035.395833333346035.395833333346035.4652777778</v>
      </c>
      <c r="Q526" s="32" t="str">
        <f aca="false">_xlfn.CONCAT(H526,I526,J526)</f>
        <v>DAURDE</v>
      </c>
    </row>
    <row r="527" customFormat="false" ht="15" hidden="false" customHeight="false" outlineLevel="0" collapsed="false">
      <c r="B527" s="32" t="s">
        <v>430</v>
      </c>
      <c r="C527" s="32" t="s">
        <v>251</v>
      </c>
      <c r="D527" s="33" t="n">
        <v>46035.3958333333</v>
      </c>
      <c r="E527" s="33" t="n">
        <v>46035.3958333333</v>
      </c>
      <c r="F527" s="33" t="n">
        <v>46035.4652777778</v>
      </c>
      <c r="G527" s="34" t="n">
        <f aca="false">F527-E527</f>
        <v>0.0694444444444445</v>
      </c>
      <c r="H527" s="39" t="s">
        <v>252</v>
      </c>
      <c r="J527" s="39" t="s">
        <v>253</v>
      </c>
      <c r="K527" s="32" t="s">
        <v>266</v>
      </c>
      <c r="L527" s="32" t="s">
        <v>366</v>
      </c>
      <c r="M527" s="39" t="s">
        <v>255</v>
      </c>
      <c r="N527" s="39" t="s">
        <v>268</v>
      </c>
      <c r="O527" s="32" t="s">
        <v>269</v>
      </c>
      <c r="P527" s="40" t="str">
        <f aca="false">_xlfn.CONCAT(B527,C527,D527,E527,F527)</f>
        <v>BC Camarao1.5215KTL-H3(MBUS-12)46035.395833333346035.395833333346035.4652777778</v>
      </c>
      <c r="Q527" s="32" t="str">
        <f aca="false">_xlfn.CONCAT(H527,I527,J527)</f>
        <v>DAURDE</v>
      </c>
    </row>
    <row r="528" customFormat="false" ht="15" hidden="false" customHeight="false" outlineLevel="0" collapsed="false">
      <c r="B528" s="32" t="s">
        <v>430</v>
      </c>
      <c r="C528" s="32" t="s">
        <v>431</v>
      </c>
      <c r="D528" s="33" t="n">
        <v>46035.3958333333</v>
      </c>
      <c r="E528" s="33" t="n">
        <v>46035.3958333333</v>
      </c>
      <c r="F528" s="33" t="n">
        <v>46035.4652777778</v>
      </c>
      <c r="G528" s="34" t="n">
        <f aca="false">F528-E528</f>
        <v>0.0694444444444445</v>
      </c>
      <c r="H528" s="39" t="s">
        <v>252</v>
      </c>
      <c r="J528" s="39" t="s">
        <v>253</v>
      </c>
      <c r="K528" s="32" t="s">
        <v>266</v>
      </c>
      <c r="L528" s="32" t="s">
        <v>366</v>
      </c>
      <c r="M528" s="39" t="s">
        <v>255</v>
      </c>
      <c r="N528" s="39" t="s">
        <v>268</v>
      </c>
      <c r="O528" s="32" t="s">
        <v>269</v>
      </c>
      <c r="P528" s="40" t="str">
        <f aca="false">_xlfn.CONCAT(B528,C528,D528,E528,F528)</f>
        <v>BC Camarao1.5215KTL-H3(MBUS-1)46035.395833333346035.395833333346035.4652777778</v>
      </c>
      <c r="Q528" s="32" t="str">
        <f aca="false">_xlfn.CONCAT(H528,I528,J528)</f>
        <v>DAURDE</v>
      </c>
    </row>
    <row r="529" customFormat="false" ht="15" hidden="false" customHeight="false" outlineLevel="0" collapsed="false">
      <c r="B529" s="32" t="s">
        <v>430</v>
      </c>
      <c r="C529" s="32" t="s">
        <v>259</v>
      </c>
      <c r="D529" s="33" t="n">
        <v>46035.3958333333</v>
      </c>
      <c r="E529" s="33" t="n">
        <v>46035.3958333333</v>
      </c>
      <c r="F529" s="33" t="n">
        <v>46035.4652777778</v>
      </c>
      <c r="G529" s="34" t="n">
        <f aca="false">F529-E529</f>
        <v>0.0694444444444445</v>
      </c>
      <c r="H529" s="39" t="s">
        <v>252</v>
      </c>
      <c r="J529" s="39" t="s">
        <v>253</v>
      </c>
      <c r="K529" s="32" t="s">
        <v>266</v>
      </c>
      <c r="L529" s="32" t="s">
        <v>366</v>
      </c>
      <c r="M529" s="39" t="s">
        <v>255</v>
      </c>
      <c r="N529" s="39" t="s">
        <v>268</v>
      </c>
      <c r="O529" s="32" t="s">
        <v>269</v>
      </c>
      <c r="P529" s="40" t="str">
        <f aca="false">_xlfn.CONCAT(B529,C529,D529,E529,F529)</f>
        <v>BC Camarao1.5215KTL-H3(MBUS-14)46035.395833333346035.395833333346035.4652777778</v>
      </c>
      <c r="Q529" s="32" t="str">
        <f aca="false">_xlfn.CONCAT(H529,I529,J529)</f>
        <v>DAURDE</v>
      </c>
    </row>
    <row r="530" customFormat="false" ht="15" hidden="false" customHeight="false" outlineLevel="0" collapsed="false">
      <c r="B530" s="32" t="s">
        <v>264</v>
      </c>
      <c r="C530" s="32" t="s">
        <v>265</v>
      </c>
      <c r="D530" s="33" t="n">
        <v>46035.7201388889</v>
      </c>
      <c r="E530" s="33" t="n">
        <v>46035.7201388889</v>
      </c>
      <c r="F530" s="33" t="n">
        <v>46035.7548611111</v>
      </c>
      <c r="G530" s="34" t="n">
        <f aca="false">F530-E530</f>
        <v>0.0347222222222222</v>
      </c>
      <c r="H530" s="39" t="s">
        <v>252</v>
      </c>
      <c r="J530" s="39" t="s">
        <v>253</v>
      </c>
      <c r="K530" s="32" t="s">
        <v>266</v>
      </c>
      <c r="L530" s="32" t="s">
        <v>267</v>
      </c>
      <c r="M530" s="39" t="s">
        <v>255</v>
      </c>
      <c r="N530" s="39" t="s">
        <v>268</v>
      </c>
      <c r="O530" s="32" t="s">
        <v>269</v>
      </c>
      <c r="P530" s="40" t="str">
        <f aca="false">_xlfn.CONCAT(B530,C530,D530,E530,F530)</f>
        <v>BC Aracu5.1Inverter(MBUS-1)46035.720138888946035.720138888946035.7548611111</v>
      </c>
      <c r="Q530" s="32" t="str">
        <f aca="false">_xlfn.CONCAT(H530,I530,J530)</f>
        <v>DAURDE</v>
      </c>
    </row>
    <row r="531" customFormat="false" ht="15" hidden="false" customHeight="false" outlineLevel="0" collapsed="false">
      <c r="B531" s="32" t="s">
        <v>270</v>
      </c>
      <c r="C531" s="32" t="s">
        <v>265</v>
      </c>
      <c r="D531" s="33" t="n">
        <v>46035.7201388889</v>
      </c>
      <c r="E531" s="33" t="n">
        <v>46035.7201388889</v>
      </c>
      <c r="F531" s="33" t="n">
        <v>46035.7548611111</v>
      </c>
      <c r="G531" s="34" t="n">
        <f aca="false">F531-E531</f>
        <v>0.0347222222222222</v>
      </c>
      <c r="H531" s="39" t="s">
        <v>252</v>
      </c>
      <c r="J531" s="39" t="s">
        <v>253</v>
      </c>
      <c r="K531" s="32" t="s">
        <v>266</v>
      </c>
      <c r="L531" s="32" t="s">
        <v>267</v>
      </c>
      <c r="M531" s="39" t="s">
        <v>255</v>
      </c>
      <c r="N531" s="39" t="s">
        <v>268</v>
      </c>
      <c r="O531" s="32" t="s">
        <v>269</v>
      </c>
      <c r="P531" s="40" t="str">
        <f aca="false">_xlfn.CONCAT(B531,C531,D531,E531,F531)</f>
        <v>BC Aracu5.2Inverter(MBUS-1)46035.720138888946035.720138888946035.7548611111</v>
      </c>
      <c r="Q531" s="32" t="str">
        <f aca="false">_xlfn.CONCAT(H531,I531,J531)</f>
        <v>DAURDE</v>
      </c>
    </row>
    <row r="532" customFormat="false" ht="15" hidden="false" customHeight="false" outlineLevel="0" collapsed="false">
      <c r="B532" s="32" t="s">
        <v>271</v>
      </c>
      <c r="C532" s="32" t="s">
        <v>265</v>
      </c>
      <c r="D532" s="33" t="n">
        <v>46035.7201388889</v>
      </c>
      <c r="E532" s="33" t="n">
        <v>46035.7201388889</v>
      </c>
      <c r="F532" s="33" t="n">
        <v>46035.7548611111</v>
      </c>
      <c r="G532" s="34" t="n">
        <f aca="false">F532-E532</f>
        <v>0.0347222222222222</v>
      </c>
      <c r="H532" s="39" t="s">
        <v>252</v>
      </c>
      <c r="J532" s="39" t="s">
        <v>253</v>
      </c>
      <c r="K532" s="32" t="s">
        <v>266</v>
      </c>
      <c r="L532" s="32" t="s">
        <v>267</v>
      </c>
      <c r="M532" s="39" t="s">
        <v>255</v>
      </c>
      <c r="N532" s="39" t="s">
        <v>268</v>
      </c>
      <c r="O532" s="32" t="s">
        <v>269</v>
      </c>
      <c r="P532" s="40" t="str">
        <f aca="false">_xlfn.CONCAT(B532,C532,D532,E532,F532)</f>
        <v>BC Aracu5.3Inverter(MBUS-1)46035.720138888946035.720138888946035.7548611111</v>
      </c>
      <c r="Q532" s="32" t="str">
        <f aca="false">_xlfn.CONCAT(H532,I532,J532)</f>
        <v>DAURDE</v>
      </c>
    </row>
    <row r="533" customFormat="false" ht="15" hidden="false" customHeight="false" outlineLevel="0" collapsed="false">
      <c r="B533" s="32" t="s">
        <v>272</v>
      </c>
      <c r="C533" s="32" t="s">
        <v>265</v>
      </c>
      <c r="D533" s="33" t="n">
        <v>46035.7201388889</v>
      </c>
      <c r="E533" s="33" t="n">
        <v>46035.7201388889</v>
      </c>
      <c r="F533" s="33" t="n">
        <v>46035.7548611111</v>
      </c>
      <c r="G533" s="34" t="n">
        <f aca="false">F533-E533</f>
        <v>0.0347222222222222</v>
      </c>
      <c r="H533" s="39" t="s">
        <v>252</v>
      </c>
      <c r="J533" s="39" t="s">
        <v>253</v>
      </c>
      <c r="K533" s="32" t="s">
        <v>266</v>
      </c>
      <c r="L533" s="32" t="s">
        <v>267</v>
      </c>
      <c r="M533" s="39" t="s">
        <v>255</v>
      </c>
      <c r="N533" s="39" t="s">
        <v>268</v>
      </c>
      <c r="O533" s="32" t="s">
        <v>269</v>
      </c>
      <c r="P533" s="40" t="str">
        <f aca="false">_xlfn.CONCAT(B533,C533,D533,E533,F533)</f>
        <v>BC Aracu5.4Inverter(MBUS-1)46035.720138888946035.720138888946035.7548611111</v>
      </c>
      <c r="Q533" s="32" t="str">
        <f aca="false">_xlfn.CONCAT(H533,I533,J533)</f>
        <v>DAURDE</v>
      </c>
    </row>
    <row r="534" customFormat="false" ht="15" hidden="false" customHeight="false" outlineLevel="0" collapsed="false">
      <c r="B534" s="32" t="s">
        <v>273</v>
      </c>
      <c r="C534" s="32" t="s">
        <v>265</v>
      </c>
      <c r="D534" s="33" t="n">
        <v>46035.7201388889</v>
      </c>
      <c r="E534" s="33" t="n">
        <v>46035.7201388889</v>
      </c>
      <c r="F534" s="33" t="n">
        <v>46035.7548611111</v>
      </c>
      <c r="G534" s="34" t="n">
        <f aca="false">F534-E534</f>
        <v>0.0347222222222222</v>
      </c>
      <c r="H534" s="39" t="s">
        <v>252</v>
      </c>
      <c r="J534" s="39" t="s">
        <v>253</v>
      </c>
      <c r="K534" s="32" t="s">
        <v>266</v>
      </c>
      <c r="L534" s="32" t="s">
        <v>267</v>
      </c>
      <c r="M534" s="39" t="s">
        <v>255</v>
      </c>
      <c r="N534" s="39" t="s">
        <v>268</v>
      </c>
      <c r="O534" s="32" t="s">
        <v>269</v>
      </c>
      <c r="P534" s="40" t="str">
        <f aca="false">_xlfn.CONCAT(B534,C534,D534,E534,F534)</f>
        <v>BC Aracu5.5Inverter(MBUS-1)46035.720138888946035.720138888946035.7548611111</v>
      </c>
      <c r="Q534" s="32" t="str">
        <f aca="false">_xlfn.CONCAT(H534,I534,J534)</f>
        <v>DAURDE</v>
      </c>
    </row>
    <row r="535" customFormat="false" ht="15" hidden="false" customHeight="false" outlineLevel="0" collapsed="false">
      <c r="B535" s="32" t="s">
        <v>424</v>
      </c>
      <c r="C535" s="32" t="s">
        <v>265</v>
      </c>
      <c r="D535" s="33" t="n">
        <v>46036.0208333333</v>
      </c>
      <c r="E535" s="33" t="n">
        <v>46036.0208333333</v>
      </c>
      <c r="F535" s="33" t="n">
        <v>46036.0791666667</v>
      </c>
      <c r="G535" s="34" t="n">
        <f aca="false">F535-E535</f>
        <v>0.0583333333333333</v>
      </c>
      <c r="H535" s="39" t="s">
        <v>252</v>
      </c>
      <c r="J535" s="39" t="s">
        <v>253</v>
      </c>
      <c r="K535" s="32" t="s">
        <v>266</v>
      </c>
      <c r="L535" s="32" t="s">
        <v>366</v>
      </c>
      <c r="M535" s="39" t="s">
        <v>255</v>
      </c>
      <c r="N535" s="39" t="s">
        <v>268</v>
      </c>
      <c r="O535" s="32" t="s">
        <v>269</v>
      </c>
      <c r="P535" s="40" t="str">
        <f aca="false">_xlfn.CONCAT(B535,C535,D535,E535,F535)</f>
        <v>BC Camarao1.1Inverter(MBUS-1)46036.020833333346036.020833333346036.0791666667</v>
      </c>
      <c r="Q535" s="32" t="str">
        <f aca="false">_xlfn.CONCAT(H535,I535,J535)</f>
        <v>DAURDE</v>
      </c>
    </row>
    <row r="536" customFormat="false" ht="15" hidden="false" customHeight="false" outlineLevel="0" collapsed="false">
      <c r="B536" s="32" t="s">
        <v>424</v>
      </c>
      <c r="C536" s="32" t="s">
        <v>251</v>
      </c>
      <c r="D536" s="33" t="n">
        <v>46036.0208333333</v>
      </c>
      <c r="E536" s="33" t="n">
        <v>46036.0208333333</v>
      </c>
      <c r="F536" s="33" t="n">
        <v>46036.0791666667</v>
      </c>
      <c r="G536" s="34" t="n">
        <f aca="false">F536-E536</f>
        <v>0.0583333333333333</v>
      </c>
      <c r="H536" s="39" t="s">
        <v>252</v>
      </c>
      <c r="J536" s="39" t="s">
        <v>253</v>
      </c>
      <c r="K536" s="32" t="s">
        <v>266</v>
      </c>
      <c r="L536" s="32" t="s">
        <v>366</v>
      </c>
      <c r="M536" s="39" t="s">
        <v>255</v>
      </c>
      <c r="N536" s="39" t="s">
        <v>268</v>
      </c>
      <c r="O536" s="32" t="s">
        <v>269</v>
      </c>
      <c r="P536" s="40" t="str">
        <f aca="false">_xlfn.CONCAT(B536,C536,D536,E536,F536)</f>
        <v>BC Camarao1.1215KTL-H3(MBUS-12)46036.020833333346036.020833333346036.0791666667</v>
      </c>
      <c r="Q536" s="32" t="str">
        <f aca="false">_xlfn.CONCAT(H536,I536,J536)</f>
        <v>DAURDE</v>
      </c>
    </row>
    <row r="537" customFormat="false" ht="15" hidden="false" customHeight="false" outlineLevel="0" collapsed="false">
      <c r="B537" s="32" t="s">
        <v>424</v>
      </c>
      <c r="C537" s="32" t="s">
        <v>258</v>
      </c>
      <c r="D537" s="33" t="n">
        <v>46036.0208333333</v>
      </c>
      <c r="E537" s="33" t="n">
        <v>46036.0208333333</v>
      </c>
      <c r="F537" s="33" t="n">
        <v>46036.0791666667</v>
      </c>
      <c r="G537" s="34" t="n">
        <f aca="false">F537-E537</f>
        <v>0.0583333333333333</v>
      </c>
      <c r="H537" s="39" t="s">
        <v>252</v>
      </c>
      <c r="J537" s="39" t="s">
        <v>253</v>
      </c>
      <c r="K537" s="32" t="s">
        <v>266</v>
      </c>
      <c r="L537" s="32" t="s">
        <v>366</v>
      </c>
      <c r="M537" s="39" t="s">
        <v>255</v>
      </c>
      <c r="N537" s="39" t="s">
        <v>268</v>
      </c>
      <c r="O537" s="32" t="s">
        <v>269</v>
      </c>
      <c r="P537" s="40" t="str">
        <f aca="false">_xlfn.CONCAT(B537,C537,D537,E537,F537)</f>
        <v>BC Camarao1.1215KTL-H3(MBUS-13)46036.020833333346036.020833333346036.0791666667</v>
      </c>
      <c r="Q537" s="32" t="str">
        <f aca="false">_xlfn.CONCAT(H537,I537,J537)</f>
        <v>DAURDE</v>
      </c>
    </row>
    <row r="538" customFormat="false" ht="15" hidden="false" customHeight="false" outlineLevel="0" collapsed="false">
      <c r="B538" s="32" t="s">
        <v>424</v>
      </c>
      <c r="C538" s="32" t="s">
        <v>261</v>
      </c>
      <c r="D538" s="33" t="n">
        <v>46036.0208333333</v>
      </c>
      <c r="E538" s="33" t="n">
        <v>46036.0208333333</v>
      </c>
      <c r="F538" s="33" t="n">
        <v>46036.0791666667</v>
      </c>
      <c r="G538" s="34" t="n">
        <f aca="false">F538-E538</f>
        <v>0.0583333333333333</v>
      </c>
      <c r="H538" s="39" t="s">
        <v>252</v>
      </c>
      <c r="J538" s="39" t="s">
        <v>253</v>
      </c>
      <c r="K538" s="32" t="s">
        <v>266</v>
      </c>
      <c r="L538" s="32" t="s">
        <v>366</v>
      </c>
      <c r="M538" s="39" t="s">
        <v>255</v>
      </c>
      <c r="N538" s="39" t="s">
        <v>268</v>
      </c>
      <c r="O538" s="32" t="s">
        <v>269</v>
      </c>
      <c r="P538" s="40" t="str">
        <f aca="false">_xlfn.CONCAT(B538,C538,D538,E538,F538)</f>
        <v>BC Camarao1.1215KTL-H3(MBUS-16)46036.020833333346036.020833333346036.0791666667</v>
      </c>
      <c r="Q538" s="32" t="str">
        <f aca="false">_xlfn.CONCAT(H538,I538,J538)</f>
        <v>DAURDE</v>
      </c>
    </row>
    <row r="539" customFormat="false" ht="15" hidden="false" customHeight="false" outlineLevel="0" collapsed="false">
      <c r="B539" s="32" t="s">
        <v>424</v>
      </c>
      <c r="C539" s="32" t="s">
        <v>260</v>
      </c>
      <c r="D539" s="33" t="n">
        <v>46036.0208333333</v>
      </c>
      <c r="E539" s="33" t="n">
        <v>46036.0208333333</v>
      </c>
      <c r="F539" s="33" t="n">
        <v>46036.0791666667</v>
      </c>
      <c r="G539" s="34" t="n">
        <f aca="false">F539-E539</f>
        <v>0.0583333333333333</v>
      </c>
      <c r="H539" s="39" t="s">
        <v>252</v>
      </c>
      <c r="J539" s="39" t="s">
        <v>253</v>
      </c>
      <c r="K539" s="32" t="s">
        <v>266</v>
      </c>
      <c r="L539" s="32" t="s">
        <v>366</v>
      </c>
      <c r="M539" s="39" t="s">
        <v>255</v>
      </c>
      <c r="N539" s="39" t="s">
        <v>268</v>
      </c>
      <c r="O539" s="32" t="s">
        <v>269</v>
      </c>
      <c r="P539" s="40" t="str">
        <f aca="false">_xlfn.CONCAT(B539,C539,D539,E539,F539)</f>
        <v>BC Camarao1.1215KTL-H3(MBUS-15)46036.020833333346036.020833333346036.0791666667</v>
      </c>
      <c r="Q539" s="32" t="str">
        <f aca="false">_xlfn.CONCAT(H539,I539,J539)</f>
        <v>DAURDE</v>
      </c>
    </row>
    <row r="540" customFormat="false" ht="15" hidden="false" customHeight="false" outlineLevel="0" collapsed="false">
      <c r="B540" s="32" t="s">
        <v>425</v>
      </c>
      <c r="C540" s="32" t="s">
        <v>265</v>
      </c>
      <c r="D540" s="33" t="n">
        <v>46036.0208333333</v>
      </c>
      <c r="E540" s="33" t="n">
        <v>46036.0208333333</v>
      </c>
      <c r="F540" s="33" t="n">
        <v>46036.0791666667</v>
      </c>
      <c r="G540" s="34" t="n">
        <f aca="false">F540-E540</f>
        <v>0.0583333333333333</v>
      </c>
      <c r="H540" s="39" t="s">
        <v>252</v>
      </c>
      <c r="J540" s="39" t="s">
        <v>253</v>
      </c>
      <c r="K540" s="32" t="s">
        <v>266</v>
      </c>
      <c r="L540" s="32" t="s">
        <v>366</v>
      </c>
      <c r="M540" s="39" t="s">
        <v>255</v>
      </c>
      <c r="N540" s="39" t="s">
        <v>268</v>
      </c>
      <c r="O540" s="32" t="s">
        <v>269</v>
      </c>
      <c r="P540" s="40" t="str">
        <f aca="false">_xlfn.CONCAT(B540,C540,D540,E540,F540)</f>
        <v>BC Camarao1.2Inverter(MBUS-1)46036.020833333346036.020833333346036.0791666667</v>
      </c>
      <c r="Q540" s="32" t="str">
        <f aca="false">_xlfn.CONCAT(H540,I540,J540)</f>
        <v>DAURDE</v>
      </c>
    </row>
    <row r="541" customFormat="false" ht="15" hidden="false" customHeight="false" outlineLevel="0" collapsed="false">
      <c r="B541" s="32" t="s">
        <v>425</v>
      </c>
      <c r="C541" s="32" t="s">
        <v>426</v>
      </c>
      <c r="D541" s="33" t="n">
        <v>46036.0208333333</v>
      </c>
      <c r="E541" s="33" t="n">
        <v>46036.0208333333</v>
      </c>
      <c r="F541" s="33" t="n">
        <v>46036.0791666667</v>
      </c>
      <c r="G541" s="34" t="n">
        <f aca="false">F541-E541</f>
        <v>0.0583333333333333</v>
      </c>
      <c r="H541" s="39" t="s">
        <v>252</v>
      </c>
      <c r="J541" s="39" t="s">
        <v>253</v>
      </c>
      <c r="K541" s="32" t="s">
        <v>266</v>
      </c>
      <c r="L541" s="32" t="s">
        <v>366</v>
      </c>
      <c r="M541" s="39" t="s">
        <v>255</v>
      </c>
      <c r="N541" s="39" t="s">
        <v>268</v>
      </c>
      <c r="O541" s="32" t="s">
        <v>269</v>
      </c>
      <c r="P541" s="40" t="str">
        <f aca="false">_xlfn.CONCAT(B541,C541,D541,E541,F541)</f>
        <v>BC Camarao1.2Inv. 346036.020833333346036.020833333346036.0791666667</v>
      </c>
      <c r="Q541" s="32" t="str">
        <f aca="false">_xlfn.CONCAT(H541,I541,J541)</f>
        <v>DAURDE</v>
      </c>
    </row>
    <row r="542" customFormat="false" ht="15" hidden="false" customHeight="false" outlineLevel="0" collapsed="false">
      <c r="B542" s="32" t="s">
        <v>425</v>
      </c>
      <c r="C542" s="32" t="s">
        <v>427</v>
      </c>
      <c r="D542" s="33" t="n">
        <v>46036.0208333333</v>
      </c>
      <c r="E542" s="33" t="n">
        <v>46036.0208333333</v>
      </c>
      <c r="F542" s="33" t="n">
        <v>46036.0791666667</v>
      </c>
      <c r="G542" s="34" t="n">
        <f aca="false">F542-E542</f>
        <v>0.0583333333333333</v>
      </c>
      <c r="H542" s="39" t="s">
        <v>252</v>
      </c>
      <c r="J542" s="39" t="s">
        <v>253</v>
      </c>
      <c r="K542" s="32" t="s">
        <v>266</v>
      </c>
      <c r="L542" s="32" t="s">
        <v>366</v>
      </c>
      <c r="M542" s="39" t="s">
        <v>255</v>
      </c>
      <c r="N542" s="39" t="s">
        <v>268</v>
      </c>
      <c r="O542" s="32" t="s">
        <v>269</v>
      </c>
      <c r="P542" s="40" t="str">
        <f aca="false">_xlfn.CONCAT(B542,C542,D542,E542,F542)</f>
        <v>BC Camarao1.2Inv. 446036.020833333346036.020833333346036.0791666667</v>
      </c>
      <c r="Q542" s="32" t="str">
        <f aca="false">_xlfn.CONCAT(H542,I542,J542)</f>
        <v>DAURDE</v>
      </c>
    </row>
    <row r="543" customFormat="false" ht="15" hidden="false" customHeight="false" outlineLevel="0" collapsed="false">
      <c r="B543" s="32" t="s">
        <v>425</v>
      </c>
      <c r="C543" s="32" t="s">
        <v>428</v>
      </c>
      <c r="D543" s="33" t="n">
        <v>46036.0208333333</v>
      </c>
      <c r="E543" s="33" t="n">
        <v>46036.0208333333</v>
      </c>
      <c r="F543" s="33" t="n">
        <v>46036.0791666667</v>
      </c>
      <c r="G543" s="34" t="n">
        <f aca="false">F543-E543</f>
        <v>0.0583333333333333</v>
      </c>
      <c r="H543" s="39" t="s">
        <v>252</v>
      </c>
      <c r="J543" s="39" t="s">
        <v>253</v>
      </c>
      <c r="K543" s="32" t="s">
        <v>266</v>
      </c>
      <c r="L543" s="32" t="s">
        <v>366</v>
      </c>
      <c r="M543" s="39" t="s">
        <v>255</v>
      </c>
      <c r="N543" s="39" t="s">
        <v>268</v>
      </c>
      <c r="O543" s="32" t="s">
        <v>269</v>
      </c>
      <c r="P543" s="40" t="str">
        <f aca="false">_xlfn.CONCAT(B543,C543,D543,E543,F543)</f>
        <v>BC Camarao1.2Inverter(MBUS-16)46036.020833333346036.020833333346036.0791666667</v>
      </c>
      <c r="Q543" s="32" t="str">
        <f aca="false">_xlfn.CONCAT(H543,I543,J543)</f>
        <v>DAURDE</v>
      </c>
    </row>
    <row r="544" customFormat="false" ht="15" hidden="false" customHeight="false" outlineLevel="0" collapsed="false">
      <c r="B544" s="32" t="s">
        <v>425</v>
      </c>
      <c r="C544" s="32" t="s">
        <v>324</v>
      </c>
      <c r="D544" s="33" t="n">
        <v>46036.0208333333</v>
      </c>
      <c r="E544" s="33" t="n">
        <v>46036.0208333333</v>
      </c>
      <c r="F544" s="33" t="n">
        <v>46036.0791666667</v>
      </c>
      <c r="G544" s="34" t="n">
        <f aca="false">F544-E544</f>
        <v>0.0583333333333333</v>
      </c>
      <c r="H544" s="39" t="s">
        <v>252</v>
      </c>
      <c r="J544" s="39" t="s">
        <v>253</v>
      </c>
      <c r="K544" s="32" t="s">
        <v>266</v>
      </c>
      <c r="L544" s="32" t="s">
        <v>366</v>
      </c>
      <c r="M544" s="39" t="s">
        <v>255</v>
      </c>
      <c r="N544" s="39" t="s">
        <v>268</v>
      </c>
      <c r="O544" s="32" t="s">
        <v>269</v>
      </c>
      <c r="P544" s="40" t="str">
        <f aca="false">_xlfn.CONCAT(B544,C544,D544,E544,F544)</f>
        <v>BC Camarao1.2Inverter(MBUS-12)46036.020833333346036.020833333346036.0791666667</v>
      </c>
      <c r="Q544" s="32" t="str">
        <f aca="false">_xlfn.CONCAT(H544,I544,J544)</f>
        <v>DAURDE</v>
      </c>
    </row>
    <row r="545" customFormat="false" ht="15" hidden="false" customHeight="false" outlineLevel="0" collapsed="false">
      <c r="B545" s="32" t="s">
        <v>429</v>
      </c>
      <c r="C545" s="32" t="s">
        <v>261</v>
      </c>
      <c r="D545" s="33" t="n">
        <v>46036.0208333333</v>
      </c>
      <c r="E545" s="33" t="n">
        <v>46036.0208333333</v>
      </c>
      <c r="F545" s="33" t="n">
        <v>46036.0791666667</v>
      </c>
      <c r="G545" s="34" t="n">
        <f aca="false">F545-E545</f>
        <v>0.0583333333333333</v>
      </c>
      <c r="H545" s="39" t="s">
        <v>252</v>
      </c>
      <c r="J545" s="39" t="s">
        <v>253</v>
      </c>
      <c r="K545" s="32" t="s">
        <v>266</v>
      </c>
      <c r="L545" s="32" t="s">
        <v>366</v>
      </c>
      <c r="M545" s="39" t="s">
        <v>255</v>
      </c>
      <c r="N545" s="39" t="s">
        <v>268</v>
      </c>
      <c r="O545" s="32" t="s">
        <v>269</v>
      </c>
      <c r="P545" s="40" t="str">
        <f aca="false">_xlfn.CONCAT(B545,C545,D545,E545,F545)</f>
        <v>BC Camarao1.3215KTL-H3(MBUS-16)46036.020833333346036.020833333346036.0791666667</v>
      </c>
      <c r="Q545" s="32" t="str">
        <f aca="false">_xlfn.CONCAT(H545,I545,J545)</f>
        <v>DAURDE</v>
      </c>
    </row>
    <row r="546" customFormat="false" ht="15" hidden="false" customHeight="false" outlineLevel="0" collapsed="false">
      <c r="B546" s="32" t="s">
        <v>429</v>
      </c>
      <c r="C546" s="32" t="s">
        <v>259</v>
      </c>
      <c r="D546" s="33" t="n">
        <v>46036.0208333333</v>
      </c>
      <c r="E546" s="33" t="n">
        <v>46036.0208333333</v>
      </c>
      <c r="F546" s="33" t="n">
        <v>46036.0791666667</v>
      </c>
      <c r="G546" s="34" t="n">
        <f aca="false">F546-E546</f>
        <v>0.0583333333333333</v>
      </c>
      <c r="H546" s="39" t="s">
        <v>252</v>
      </c>
      <c r="J546" s="39" t="s">
        <v>253</v>
      </c>
      <c r="K546" s="32" t="s">
        <v>266</v>
      </c>
      <c r="L546" s="32" t="s">
        <v>366</v>
      </c>
      <c r="M546" s="39" t="s">
        <v>255</v>
      </c>
      <c r="N546" s="39" t="s">
        <v>268</v>
      </c>
      <c r="O546" s="32" t="s">
        <v>269</v>
      </c>
      <c r="P546" s="40" t="str">
        <f aca="false">_xlfn.CONCAT(B546,C546,D546,E546,F546)</f>
        <v>BC Camarao1.3215KTL-H3(MBUS-14)46036.020833333346036.020833333346036.0791666667</v>
      </c>
      <c r="Q546" s="32" t="str">
        <f aca="false">_xlfn.CONCAT(H546,I546,J546)</f>
        <v>DAURDE</v>
      </c>
    </row>
    <row r="547" customFormat="false" ht="15" hidden="false" customHeight="false" outlineLevel="0" collapsed="false">
      <c r="B547" s="32" t="s">
        <v>429</v>
      </c>
      <c r="C547" s="32" t="s">
        <v>260</v>
      </c>
      <c r="D547" s="33" t="n">
        <v>46036.0208333333</v>
      </c>
      <c r="E547" s="33" t="n">
        <v>46036.0208333333</v>
      </c>
      <c r="F547" s="33" t="n">
        <v>46036.0791666667</v>
      </c>
      <c r="G547" s="34" t="n">
        <f aca="false">F547-E547</f>
        <v>0.0583333333333333</v>
      </c>
      <c r="H547" s="39" t="s">
        <v>252</v>
      </c>
      <c r="J547" s="39" t="s">
        <v>253</v>
      </c>
      <c r="K547" s="32" t="s">
        <v>266</v>
      </c>
      <c r="L547" s="32" t="s">
        <v>366</v>
      </c>
      <c r="M547" s="39" t="s">
        <v>255</v>
      </c>
      <c r="N547" s="39" t="s">
        <v>268</v>
      </c>
      <c r="O547" s="32" t="s">
        <v>269</v>
      </c>
      <c r="P547" s="40" t="str">
        <f aca="false">_xlfn.CONCAT(B547,C547,D547,E547,F547)</f>
        <v>BC Camarao1.3215KTL-H3(MBUS-15)46036.020833333346036.020833333346036.0791666667</v>
      </c>
      <c r="Q547" s="32" t="str">
        <f aca="false">_xlfn.CONCAT(H547,I547,J547)</f>
        <v>DAURDE</v>
      </c>
    </row>
    <row r="548" customFormat="false" ht="15" hidden="false" customHeight="false" outlineLevel="0" collapsed="false">
      <c r="B548" s="32" t="s">
        <v>429</v>
      </c>
      <c r="C548" s="32" t="s">
        <v>251</v>
      </c>
      <c r="D548" s="33" t="n">
        <v>46036.0208333333</v>
      </c>
      <c r="E548" s="33" t="n">
        <v>46036.0208333333</v>
      </c>
      <c r="F548" s="33" t="n">
        <v>46036.0791666667</v>
      </c>
      <c r="G548" s="34" t="n">
        <f aca="false">F548-E548</f>
        <v>0.0583333333333333</v>
      </c>
      <c r="H548" s="39" t="s">
        <v>252</v>
      </c>
      <c r="J548" s="39" t="s">
        <v>253</v>
      </c>
      <c r="K548" s="32" t="s">
        <v>266</v>
      </c>
      <c r="L548" s="32" t="s">
        <v>366</v>
      </c>
      <c r="M548" s="39" t="s">
        <v>255</v>
      </c>
      <c r="N548" s="39" t="s">
        <v>268</v>
      </c>
      <c r="O548" s="32" t="s">
        <v>269</v>
      </c>
      <c r="P548" s="40" t="str">
        <f aca="false">_xlfn.CONCAT(B548,C548,D548,E548,F548)</f>
        <v>BC Camarao1.3215KTL-H3(MBUS-12)46036.020833333346036.020833333346036.0791666667</v>
      </c>
      <c r="Q548" s="32" t="str">
        <f aca="false">_xlfn.CONCAT(H548,I548,J548)</f>
        <v>DAURDE</v>
      </c>
    </row>
    <row r="549" customFormat="false" ht="15" hidden="false" customHeight="false" outlineLevel="0" collapsed="false">
      <c r="B549" s="32" t="s">
        <v>429</v>
      </c>
      <c r="C549" s="32" t="s">
        <v>258</v>
      </c>
      <c r="D549" s="33" t="n">
        <v>46036.0208333333</v>
      </c>
      <c r="E549" s="33" t="n">
        <v>46036.0208333333</v>
      </c>
      <c r="F549" s="33" t="n">
        <v>46036.0791666667</v>
      </c>
      <c r="G549" s="34" t="n">
        <f aca="false">F549-E549</f>
        <v>0.0583333333333333</v>
      </c>
      <c r="H549" s="39" t="s">
        <v>252</v>
      </c>
      <c r="J549" s="39" t="s">
        <v>253</v>
      </c>
      <c r="K549" s="32" t="s">
        <v>266</v>
      </c>
      <c r="L549" s="32" t="s">
        <v>366</v>
      </c>
      <c r="M549" s="39" t="s">
        <v>255</v>
      </c>
      <c r="N549" s="39" t="s">
        <v>268</v>
      </c>
      <c r="O549" s="32" t="s">
        <v>269</v>
      </c>
      <c r="P549" s="40" t="str">
        <f aca="false">_xlfn.CONCAT(B549,C549,D549,E549,F549)</f>
        <v>BC Camarao1.3215KTL-H3(MBUS-13)46036.020833333346036.020833333346036.0791666667</v>
      </c>
      <c r="Q549" s="32" t="str">
        <f aca="false">_xlfn.CONCAT(H549,I549,J549)</f>
        <v>DAURDE</v>
      </c>
    </row>
    <row r="550" customFormat="false" ht="15" hidden="false" customHeight="false" outlineLevel="0" collapsed="false">
      <c r="B550" s="32" t="s">
        <v>364</v>
      </c>
      <c r="C550" s="32" t="s">
        <v>365</v>
      </c>
      <c r="D550" s="33" t="n">
        <v>46036.0208333333</v>
      </c>
      <c r="E550" s="33" t="n">
        <v>46036.0208333333</v>
      </c>
      <c r="F550" s="33" t="n">
        <v>46036.0791666667</v>
      </c>
      <c r="G550" s="34" t="n">
        <f aca="false">F550-E550</f>
        <v>0.0583333333333333</v>
      </c>
      <c r="H550" s="39" t="s">
        <v>252</v>
      </c>
      <c r="J550" s="39" t="s">
        <v>253</v>
      </c>
      <c r="K550" s="32" t="s">
        <v>266</v>
      </c>
      <c r="L550" s="32" t="s">
        <v>366</v>
      </c>
      <c r="M550" s="39" t="s">
        <v>255</v>
      </c>
      <c r="N550" s="39" t="s">
        <v>268</v>
      </c>
      <c r="O550" s="32" t="s">
        <v>269</v>
      </c>
      <c r="P550" s="40" t="str">
        <f aca="false">_xlfn.CONCAT(B550,C550,D550,E550,F550)</f>
        <v>BC Camarao1.4INV-6T22A904138146036.020833333346036.020833333346036.0791666667</v>
      </c>
      <c r="Q550" s="32" t="str">
        <f aca="false">_xlfn.CONCAT(H550,I550,J550)</f>
        <v>DAURDE</v>
      </c>
    </row>
    <row r="551" customFormat="false" ht="15" hidden="false" customHeight="false" outlineLevel="0" collapsed="false">
      <c r="B551" s="32" t="s">
        <v>364</v>
      </c>
      <c r="C551" s="32" t="s">
        <v>259</v>
      </c>
      <c r="D551" s="33" t="n">
        <v>46036.0208333333</v>
      </c>
      <c r="E551" s="33" t="n">
        <v>46036.0208333333</v>
      </c>
      <c r="F551" s="33" t="n">
        <v>46036.0791666667</v>
      </c>
      <c r="G551" s="34" t="n">
        <f aca="false">F551-E551</f>
        <v>0.0583333333333333</v>
      </c>
      <c r="H551" s="39" t="s">
        <v>252</v>
      </c>
      <c r="J551" s="39" t="s">
        <v>253</v>
      </c>
      <c r="K551" s="32" t="s">
        <v>266</v>
      </c>
      <c r="L551" s="32" t="s">
        <v>366</v>
      </c>
      <c r="M551" s="39" t="s">
        <v>255</v>
      </c>
      <c r="N551" s="39" t="s">
        <v>268</v>
      </c>
      <c r="O551" s="32" t="s">
        <v>269</v>
      </c>
      <c r="P551" s="40" t="str">
        <f aca="false">_xlfn.CONCAT(B551,C551,D551,E551,F551)</f>
        <v>BC Camarao1.4215KTL-H3(MBUS-14)46036.020833333346036.020833333346036.0791666667</v>
      </c>
      <c r="Q551" s="32" t="str">
        <f aca="false">_xlfn.CONCAT(H551,I551,J551)</f>
        <v>DAURDE</v>
      </c>
    </row>
    <row r="552" customFormat="false" ht="15" hidden="false" customHeight="false" outlineLevel="0" collapsed="false">
      <c r="B552" s="32" t="s">
        <v>364</v>
      </c>
      <c r="C552" s="32" t="s">
        <v>258</v>
      </c>
      <c r="D552" s="33" t="n">
        <v>46036.0208333333</v>
      </c>
      <c r="E552" s="33" t="n">
        <v>46036.0208333333</v>
      </c>
      <c r="F552" s="33" t="n">
        <v>46036.0791666667</v>
      </c>
      <c r="G552" s="34" t="n">
        <f aca="false">F552-E552</f>
        <v>0.0583333333333333</v>
      </c>
      <c r="H552" s="39" t="s">
        <v>252</v>
      </c>
      <c r="J552" s="39" t="s">
        <v>253</v>
      </c>
      <c r="K552" s="32" t="s">
        <v>266</v>
      </c>
      <c r="L552" s="32" t="s">
        <v>366</v>
      </c>
      <c r="M552" s="39" t="s">
        <v>255</v>
      </c>
      <c r="N552" s="39" t="s">
        <v>268</v>
      </c>
      <c r="O552" s="32" t="s">
        <v>269</v>
      </c>
      <c r="P552" s="40" t="str">
        <f aca="false">_xlfn.CONCAT(B552,C552,D552,E552,F552)</f>
        <v>BC Camarao1.4215KTL-H3(MBUS-13)46036.020833333346036.020833333346036.0791666667</v>
      </c>
      <c r="Q552" s="32" t="str">
        <f aca="false">_xlfn.CONCAT(H552,I552,J552)</f>
        <v>DAURDE</v>
      </c>
    </row>
    <row r="553" customFormat="false" ht="15" hidden="false" customHeight="false" outlineLevel="0" collapsed="false">
      <c r="B553" s="32" t="s">
        <v>364</v>
      </c>
      <c r="C553" s="32" t="s">
        <v>261</v>
      </c>
      <c r="D553" s="33" t="n">
        <v>46036.0208333333</v>
      </c>
      <c r="E553" s="33" t="n">
        <v>46036.0208333333</v>
      </c>
      <c r="F553" s="33" t="n">
        <v>46036.0791666667</v>
      </c>
      <c r="G553" s="34" t="n">
        <f aca="false">F553-E553</f>
        <v>0.0583333333333333</v>
      </c>
      <c r="H553" s="39" t="s">
        <v>252</v>
      </c>
      <c r="J553" s="39" t="s">
        <v>253</v>
      </c>
      <c r="K553" s="32" t="s">
        <v>266</v>
      </c>
      <c r="L553" s="32" t="s">
        <v>366</v>
      </c>
      <c r="M553" s="39" t="s">
        <v>255</v>
      </c>
      <c r="N553" s="39" t="s">
        <v>268</v>
      </c>
      <c r="O553" s="32" t="s">
        <v>269</v>
      </c>
      <c r="P553" s="40" t="str">
        <f aca="false">_xlfn.CONCAT(B553,C553,D553,E553,F553)</f>
        <v>BC Camarao1.4215KTL-H3(MBUS-16)46036.020833333346036.020833333346036.0791666667</v>
      </c>
      <c r="Q553" s="32" t="str">
        <f aca="false">_xlfn.CONCAT(H553,I553,J553)</f>
        <v>DAURDE</v>
      </c>
    </row>
    <row r="554" customFormat="false" ht="15" hidden="false" customHeight="false" outlineLevel="0" collapsed="false">
      <c r="B554" s="32" t="s">
        <v>364</v>
      </c>
      <c r="C554" s="32" t="s">
        <v>260</v>
      </c>
      <c r="D554" s="33" t="n">
        <v>46036.0208333333</v>
      </c>
      <c r="E554" s="33" t="n">
        <v>46036.0208333333</v>
      </c>
      <c r="F554" s="33" t="n">
        <v>46036.0791666667</v>
      </c>
      <c r="G554" s="34" t="n">
        <f aca="false">F554-E554</f>
        <v>0.0583333333333333</v>
      </c>
      <c r="H554" s="39" t="s">
        <v>252</v>
      </c>
      <c r="J554" s="39" t="s">
        <v>253</v>
      </c>
      <c r="K554" s="32" t="s">
        <v>266</v>
      </c>
      <c r="L554" s="32" t="s">
        <v>366</v>
      </c>
      <c r="M554" s="39" t="s">
        <v>255</v>
      </c>
      <c r="N554" s="39" t="s">
        <v>268</v>
      </c>
      <c r="O554" s="32" t="s">
        <v>269</v>
      </c>
      <c r="P554" s="40" t="str">
        <f aca="false">_xlfn.CONCAT(B554,C554,D554,E554,F554)</f>
        <v>BC Camarao1.4215KTL-H3(MBUS-15)46036.020833333346036.020833333346036.0791666667</v>
      </c>
      <c r="Q554" s="32" t="str">
        <f aca="false">_xlfn.CONCAT(H554,I554,J554)</f>
        <v>DAURDE</v>
      </c>
    </row>
    <row r="555" customFormat="false" ht="15" hidden="false" customHeight="false" outlineLevel="0" collapsed="false">
      <c r="B555" s="32" t="s">
        <v>430</v>
      </c>
      <c r="C555" s="32" t="s">
        <v>260</v>
      </c>
      <c r="D555" s="33" t="n">
        <v>46036.0208333333</v>
      </c>
      <c r="E555" s="33" t="n">
        <v>46036.0208333333</v>
      </c>
      <c r="F555" s="33" t="n">
        <v>46036.0791666667</v>
      </c>
      <c r="G555" s="34" t="n">
        <f aca="false">F555-E555</f>
        <v>0.0583333333333333</v>
      </c>
      <c r="H555" s="39" t="s">
        <v>252</v>
      </c>
      <c r="J555" s="39" t="s">
        <v>253</v>
      </c>
      <c r="K555" s="32" t="s">
        <v>266</v>
      </c>
      <c r="L555" s="32" t="s">
        <v>366</v>
      </c>
      <c r="M555" s="39" t="s">
        <v>255</v>
      </c>
      <c r="N555" s="39" t="s">
        <v>268</v>
      </c>
      <c r="O555" s="32" t="s">
        <v>269</v>
      </c>
      <c r="P555" s="40" t="str">
        <f aca="false">_xlfn.CONCAT(B555,C555,D555,E555,F555)</f>
        <v>BC Camarao1.5215KTL-H3(MBUS-15)46036.020833333346036.020833333346036.0791666667</v>
      </c>
      <c r="Q555" s="32" t="str">
        <f aca="false">_xlfn.CONCAT(H555,I555,J555)</f>
        <v>DAURDE</v>
      </c>
    </row>
    <row r="556" customFormat="false" ht="15" hidden="false" customHeight="false" outlineLevel="0" collapsed="false">
      <c r="B556" s="32" t="s">
        <v>430</v>
      </c>
      <c r="C556" s="32" t="s">
        <v>258</v>
      </c>
      <c r="D556" s="33" t="n">
        <v>46036.0208333333</v>
      </c>
      <c r="E556" s="33" t="n">
        <v>46036.0208333333</v>
      </c>
      <c r="F556" s="33" t="n">
        <v>46036.0791666667</v>
      </c>
      <c r="G556" s="34" t="n">
        <f aca="false">F556-E556</f>
        <v>0.0583333333333333</v>
      </c>
      <c r="H556" s="39" t="s">
        <v>252</v>
      </c>
      <c r="J556" s="39" t="s">
        <v>253</v>
      </c>
      <c r="K556" s="32" t="s">
        <v>266</v>
      </c>
      <c r="L556" s="32" t="s">
        <v>366</v>
      </c>
      <c r="M556" s="39" t="s">
        <v>255</v>
      </c>
      <c r="N556" s="39" t="s">
        <v>268</v>
      </c>
      <c r="O556" s="32" t="s">
        <v>269</v>
      </c>
      <c r="P556" s="40" t="str">
        <f aca="false">_xlfn.CONCAT(B556,C556,D556,E556,F556)</f>
        <v>BC Camarao1.5215KTL-H3(MBUS-13)46036.020833333346036.020833333346036.0791666667</v>
      </c>
      <c r="Q556" s="32" t="str">
        <f aca="false">_xlfn.CONCAT(H556,I556,J556)</f>
        <v>DAURDE</v>
      </c>
    </row>
    <row r="557" customFormat="false" ht="15" hidden="false" customHeight="false" outlineLevel="0" collapsed="false">
      <c r="B557" s="32" t="s">
        <v>430</v>
      </c>
      <c r="C557" s="32" t="s">
        <v>251</v>
      </c>
      <c r="D557" s="33" t="n">
        <v>46036.0208333333</v>
      </c>
      <c r="E557" s="33" t="n">
        <v>46036.0208333333</v>
      </c>
      <c r="F557" s="33" t="n">
        <v>46036.0791666667</v>
      </c>
      <c r="G557" s="34" t="n">
        <f aca="false">F557-E557</f>
        <v>0.0583333333333333</v>
      </c>
      <c r="H557" s="39" t="s">
        <v>252</v>
      </c>
      <c r="J557" s="39" t="s">
        <v>253</v>
      </c>
      <c r="K557" s="32" t="s">
        <v>266</v>
      </c>
      <c r="L557" s="32" t="s">
        <v>366</v>
      </c>
      <c r="M557" s="39" t="s">
        <v>255</v>
      </c>
      <c r="N557" s="39" t="s">
        <v>268</v>
      </c>
      <c r="O557" s="32" t="s">
        <v>269</v>
      </c>
      <c r="P557" s="40" t="str">
        <f aca="false">_xlfn.CONCAT(B557,C557,D557,E557,F557)</f>
        <v>BC Camarao1.5215KTL-H3(MBUS-12)46036.020833333346036.020833333346036.0791666667</v>
      </c>
      <c r="Q557" s="32" t="str">
        <f aca="false">_xlfn.CONCAT(H557,I557,J557)</f>
        <v>DAURDE</v>
      </c>
    </row>
    <row r="558" customFormat="false" ht="15" hidden="false" customHeight="false" outlineLevel="0" collapsed="false">
      <c r="B558" s="32" t="s">
        <v>430</v>
      </c>
      <c r="C558" s="32" t="s">
        <v>431</v>
      </c>
      <c r="D558" s="33" t="n">
        <v>46036.0208333333</v>
      </c>
      <c r="E558" s="33" t="n">
        <v>46036.0208333333</v>
      </c>
      <c r="F558" s="33" t="n">
        <v>46036.0791666667</v>
      </c>
      <c r="G558" s="34" t="n">
        <f aca="false">F558-E558</f>
        <v>0.0583333333333333</v>
      </c>
      <c r="H558" s="39" t="s">
        <v>252</v>
      </c>
      <c r="J558" s="39" t="s">
        <v>253</v>
      </c>
      <c r="K558" s="32" t="s">
        <v>266</v>
      </c>
      <c r="L558" s="32" t="s">
        <v>366</v>
      </c>
      <c r="M558" s="39" t="s">
        <v>255</v>
      </c>
      <c r="N558" s="39" t="s">
        <v>268</v>
      </c>
      <c r="O558" s="32" t="s">
        <v>269</v>
      </c>
      <c r="P558" s="40" t="str">
        <f aca="false">_xlfn.CONCAT(B558,C558,D558,E558,F558)</f>
        <v>BC Camarao1.5215KTL-H3(MBUS-1)46036.020833333346036.020833333346036.0791666667</v>
      </c>
      <c r="Q558" s="32" t="str">
        <f aca="false">_xlfn.CONCAT(H558,I558,J558)</f>
        <v>DAURDE</v>
      </c>
    </row>
    <row r="559" customFormat="false" ht="15" hidden="false" customHeight="false" outlineLevel="0" collapsed="false">
      <c r="B559" s="32" t="s">
        <v>430</v>
      </c>
      <c r="C559" s="32" t="s">
        <v>259</v>
      </c>
      <c r="D559" s="33" t="n">
        <v>46036.0208333333</v>
      </c>
      <c r="E559" s="33" t="n">
        <v>46036.0208333333</v>
      </c>
      <c r="F559" s="33" t="n">
        <v>46036.0791666667</v>
      </c>
      <c r="G559" s="34" t="n">
        <f aca="false">F559-E559</f>
        <v>0.0583333333333333</v>
      </c>
      <c r="H559" s="39" t="s">
        <v>252</v>
      </c>
      <c r="J559" s="39" t="s">
        <v>253</v>
      </c>
      <c r="K559" s="32" t="s">
        <v>266</v>
      </c>
      <c r="L559" s="32" t="s">
        <v>366</v>
      </c>
      <c r="M559" s="39" t="s">
        <v>255</v>
      </c>
      <c r="N559" s="39" t="s">
        <v>268</v>
      </c>
      <c r="O559" s="32" t="s">
        <v>269</v>
      </c>
      <c r="P559" s="40" t="str">
        <f aca="false">_xlfn.CONCAT(B559,C559,D559,E559,F559)</f>
        <v>BC Camarao1.5215KTL-H3(MBUS-14)46036.020833333346036.020833333346036.0791666667</v>
      </c>
      <c r="Q559" s="32" t="str">
        <f aca="false">_xlfn.CONCAT(H559,I559,J559)</f>
        <v>DAURDE</v>
      </c>
    </row>
    <row r="560" customFormat="false" ht="15" hidden="false" customHeight="false" outlineLevel="0" collapsed="false">
      <c r="B560" s="32" t="s">
        <v>474</v>
      </c>
      <c r="C560" s="32" t="s">
        <v>327</v>
      </c>
      <c r="D560" s="33" t="n">
        <v>46036.25</v>
      </c>
      <c r="E560" s="33" t="n">
        <v>46036.25</v>
      </c>
      <c r="F560" s="33" t="n">
        <v>46036.3</v>
      </c>
      <c r="G560" s="34" t="n">
        <f aca="false">F560-E560</f>
        <v>0.05</v>
      </c>
      <c r="H560" s="39" t="s">
        <v>252</v>
      </c>
      <c r="J560" s="39" t="s">
        <v>253</v>
      </c>
      <c r="K560" s="32" t="s">
        <v>266</v>
      </c>
      <c r="L560" s="32" t="s">
        <v>475</v>
      </c>
      <c r="M560" s="39" t="s">
        <v>255</v>
      </c>
      <c r="N560" s="39" t="s">
        <v>268</v>
      </c>
      <c r="O560" s="32" t="s">
        <v>269</v>
      </c>
      <c r="P560" s="40" t="str">
        <f aca="false">_xlfn.CONCAT(B560,C560,D561,E560,F560)</f>
        <v>BC Turvania1.1Inverter(MBUS-14)46036.2546036.2546036.3</v>
      </c>
      <c r="Q560" s="32" t="str">
        <f aca="false">_xlfn.CONCAT(H560,I560,J560)</f>
        <v>DAURDE</v>
      </c>
    </row>
    <row r="561" customFormat="false" ht="15" hidden="false" customHeight="false" outlineLevel="0" collapsed="false">
      <c r="B561" s="32" t="s">
        <v>474</v>
      </c>
      <c r="C561" s="32" t="s">
        <v>328</v>
      </c>
      <c r="D561" s="33" t="n">
        <v>46036.25</v>
      </c>
      <c r="E561" s="33" t="n">
        <v>46036.25</v>
      </c>
      <c r="F561" s="33" t="n">
        <v>46036.3</v>
      </c>
      <c r="G561" s="34" t="n">
        <f aca="false">F561-E561</f>
        <v>0.05</v>
      </c>
      <c r="H561" s="39" t="s">
        <v>252</v>
      </c>
      <c r="J561" s="39" t="s">
        <v>253</v>
      </c>
      <c r="K561" s="32" t="s">
        <v>266</v>
      </c>
      <c r="L561" s="32" t="s">
        <v>475</v>
      </c>
      <c r="M561" s="39" t="s">
        <v>255</v>
      </c>
      <c r="N561" s="39" t="s">
        <v>268</v>
      </c>
      <c r="O561" s="32" t="s">
        <v>269</v>
      </c>
      <c r="P561" s="40" t="str">
        <f aca="false">_xlfn.CONCAT(B561,C561,D561,E561,F561)</f>
        <v>BC Turvania1.1Inverter(MBUS-15)46036.2546036.2546036.3</v>
      </c>
      <c r="Q561" s="32" t="str">
        <f aca="false">_xlfn.CONCAT(H561,I561,J561)</f>
        <v>DAURDE</v>
      </c>
    </row>
    <row r="562" customFormat="false" ht="15" hidden="false" customHeight="false" outlineLevel="0" collapsed="false">
      <c r="B562" s="32" t="s">
        <v>474</v>
      </c>
      <c r="C562" s="32" t="s">
        <v>324</v>
      </c>
      <c r="D562" s="33" t="n">
        <v>46036.25</v>
      </c>
      <c r="E562" s="33" t="n">
        <v>46036.25</v>
      </c>
      <c r="F562" s="33" t="n">
        <v>46036.3</v>
      </c>
      <c r="G562" s="34" t="n">
        <f aca="false">F562-E562</f>
        <v>0.05</v>
      </c>
      <c r="H562" s="39" t="s">
        <v>252</v>
      </c>
      <c r="J562" s="39" t="s">
        <v>253</v>
      </c>
      <c r="K562" s="32" t="s">
        <v>266</v>
      </c>
      <c r="L562" s="32" t="s">
        <v>475</v>
      </c>
      <c r="M562" s="39" t="s">
        <v>255</v>
      </c>
      <c r="N562" s="39" t="s">
        <v>268</v>
      </c>
      <c r="O562" s="32" t="s">
        <v>269</v>
      </c>
      <c r="P562" s="40" t="str">
        <f aca="false">_xlfn.CONCAT(B562,C562,D562,E562,F562)</f>
        <v>BC Turvania1.1Inverter(MBUS-12)46036.2546036.2546036.3</v>
      </c>
      <c r="Q562" s="32" t="str">
        <f aca="false">_xlfn.CONCAT(H562,I562,J562)</f>
        <v>DAURDE</v>
      </c>
    </row>
    <row r="563" customFormat="false" ht="15" hidden="false" customHeight="false" outlineLevel="0" collapsed="false">
      <c r="B563" s="32" t="s">
        <v>474</v>
      </c>
      <c r="C563" s="32" t="s">
        <v>326</v>
      </c>
      <c r="D563" s="33" t="n">
        <v>46036.25</v>
      </c>
      <c r="E563" s="33" t="n">
        <v>46036.25</v>
      </c>
      <c r="F563" s="33" t="n">
        <v>46036.3</v>
      </c>
      <c r="G563" s="34" t="n">
        <f aca="false">F563-E563</f>
        <v>0.05</v>
      </c>
      <c r="H563" s="39" t="s">
        <v>252</v>
      </c>
      <c r="J563" s="39" t="s">
        <v>253</v>
      </c>
      <c r="K563" s="32" t="s">
        <v>266</v>
      </c>
      <c r="L563" s="32" t="s">
        <v>475</v>
      </c>
      <c r="M563" s="39" t="s">
        <v>255</v>
      </c>
      <c r="N563" s="39" t="s">
        <v>268</v>
      </c>
      <c r="O563" s="32" t="s">
        <v>269</v>
      </c>
      <c r="P563" s="40" t="str">
        <f aca="false">_xlfn.CONCAT(B563,C563,D563,E563,F563)</f>
        <v>BC Turvania1.1Inverter(MBUS-13)46036.2546036.2546036.3</v>
      </c>
      <c r="Q563" s="32" t="str">
        <f aca="false">_xlfn.CONCAT(H563,I563,J563)</f>
        <v>DAURDE</v>
      </c>
    </row>
    <row r="564" customFormat="false" ht="15" hidden="false" customHeight="false" outlineLevel="0" collapsed="false">
      <c r="B564" s="32" t="s">
        <v>476</v>
      </c>
      <c r="C564" s="32" t="s">
        <v>327</v>
      </c>
      <c r="D564" s="33" t="n">
        <v>46036.25</v>
      </c>
      <c r="E564" s="33" t="n">
        <v>46036.25</v>
      </c>
      <c r="F564" s="33" t="n">
        <v>46036.3</v>
      </c>
      <c r="G564" s="34" t="n">
        <f aca="false">F564-E564</f>
        <v>0.05</v>
      </c>
      <c r="H564" s="39" t="s">
        <v>252</v>
      </c>
      <c r="J564" s="39" t="s">
        <v>253</v>
      </c>
      <c r="K564" s="32" t="s">
        <v>266</v>
      </c>
      <c r="L564" s="32" t="s">
        <v>475</v>
      </c>
      <c r="M564" s="39" t="s">
        <v>255</v>
      </c>
      <c r="N564" s="39" t="s">
        <v>268</v>
      </c>
      <c r="O564" s="32" t="s">
        <v>269</v>
      </c>
      <c r="P564" s="40" t="str">
        <f aca="false">_xlfn.CONCAT(B564,C564,D564,E564,F564)</f>
        <v>BC Turvania1.2Inverter(MBUS-14)46036.2546036.2546036.3</v>
      </c>
      <c r="Q564" s="32" t="str">
        <f aca="false">_xlfn.CONCAT(H564,I564,J564)</f>
        <v>DAURDE</v>
      </c>
    </row>
    <row r="565" customFormat="false" ht="15" hidden="false" customHeight="false" outlineLevel="0" collapsed="false">
      <c r="B565" s="32" t="s">
        <v>476</v>
      </c>
      <c r="C565" s="32" t="s">
        <v>326</v>
      </c>
      <c r="D565" s="33" t="n">
        <v>46036.25</v>
      </c>
      <c r="E565" s="33" t="n">
        <v>46036.25</v>
      </c>
      <c r="F565" s="33" t="n">
        <v>46036.3</v>
      </c>
      <c r="G565" s="34" t="n">
        <f aca="false">F565-E565</f>
        <v>0.05</v>
      </c>
      <c r="H565" s="39" t="s">
        <v>252</v>
      </c>
      <c r="J565" s="39" t="s">
        <v>253</v>
      </c>
      <c r="K565" s="32" t="s">
        <v>266</v>
      </c>
      <c r="L565" s="32" t="s">
        <v>475</v>
      </c>
      <c r="M565" s="39" t="s">
        <v>255</v>
      </c>
      <c r="N565" s="39" t="s">
        <v>268</v>
      </c>
      <c r="O565" s="32" t="s">
        <v>269</v>
      </c>
      <c r="P565" s="40" t="str">
        <f aca="false">_xlfn.CONCAT(B565,C565,D565,E565,F565)</f>
        <v>BC Turvania1.2Inverter(MBUS-13)46036.2546036.2546036.3</v>
      </c>
      <c r="Q565" s="32" t="str">
        <f aca="false">_xlfn.CONCAT(H565,I565,J565)</f>
        <v>DAURDE</v>
      </c>
    </row>
    <row r="566" customFormat="false" ht="15" hidden="false" customHeight="false" outlineLevel="0" collapsed="false">
      <c r="B566" s="32" t="s">
        <v>476</v>
      </c>
      <c r="C566" s="32" t="s">
        <v>324</v>
      </c>
      <c r="D566" s="33" t="n">
        <v>46036.25</v>
      </c>
      <c r="E566" s="33" t="n">
        <v>46036.25</v>
      </c>
      <c r="F566" s="33" t="n">
        <v>46036.3</v>
      </c>
      <c r="G566" s="34" t="n">
        <f aca="false">F566-E566</f>
        <v>0.05</v>
      </c>
      <c r="H566" s="39" t="s">
        <v>252</v>
      </c>
      <c r="J566" s="39" t="s">
        <v>253</v>
      </c>
      <c r="K566" s="32" t="s">
        <v>266</v>
      </c>
      <c r="L566" s="32" t="s">
        <v>475</v>
      </c>
      <c r="M566" s="39" t="s">
        <v>255</v>
      </c>
      <c r="N566" s="39" t="s">
        <v>268</v>
      </c>
      <c r="O566" s="32" t="s">
        <v>269</v>
      </c>
      <c r="P566" s="40" t="str">
        <f aca="false">_xlfn.CONCAT(B566,C566,D566,E566,F566)</f>
        <v>BC Turvania1.2Inverter(MBUS-12)46036.2546036.2546036.3</v>
      </c>
      <c r="Q566" s="32" t="str">
        <f aca="false">_xlfn.CONCAT(H566,I566,J566)</f>
        <v>DAURDE</v>
      </c>
    </row>
    <row r="567" customFormat="false" ht="15" hidden="false" customHeight="false" outlineLevel="0" collapsed="false">
      <c r="B567" s="32" t="s">
        <v>476</v>
      </c>
      <c r="C567" s="32" t="s">
        <v>328</v>
      </c>
      <c r="D567" s="33" t="n">
        <v>46036.25</v>
      </c>
      <c r="E567" s="33" t="n">
        <v>46036.25</v>
      </c>
      <c r="F567" s="33" t="n">
        <v>46036.3</v>
      </c>
      <c r="G567" s="34" t="n">
        <f aca="false">F567-E567</f>
        <v>0.05</v>
      </c>
      <c r="H567" s="39" t="s">
        <v>252</v>
      </c>
      <c r="J567" s="39" t="s">
        <v>253</v>
      </c>
      <c r="K567" s="32" t="s">
        <v>266</v>
      </c>
      <c r="L567" s="32" t="s">
        <v>475</v>
      </c>
      <c r="M567" s="39" t="s">
        <v>255</v>
      </c>
      <c r="N567" s="39" t="s">
        <v>268</v>
      </c>
      <c r="O567" s="32" t="s">
        <v>269</v>
      </c>
      <c r="P567" s="40" t="str">
        <f aca="false">_xlfn.CONCAT(B567,C567,D567,E567,F567)</f>
        <v>BC Turvania1.2Inverter(MBUS-15)46036.2546036.2546036.3</v>
      </c>
      <c r="Q567" s="32" t="str">
        <f aca="false">_xlfn.CONCAT(H567,I567,J567)</f>
        <v>DAURDE</v>
      </c>
    </row>
    <row r="568" customFormat="false" ht="15" hidden="false" customHeight="false" outlineLevel="0" collapsed="false">
      <c r="B568" s="32" t="s">
        <v>477</v>
      </c>
      <c r="C568" s="32" t="s">
        <v>326</v>
      </c>
      <c r="D568" s="33" t="n">
        <v>46036.25</v>
      </c>
      <c r="E568" s="33" t="n">
        <v>46036.25</v>
      </c>
      <c r="F568" s="33" t="n">
        <v>46036.3</v>
      </c>
      <c r="G568" s="34" t="n">
        <f aca="false">F568-E568</f>
        <v>0.05</v>
      </c>
      <c r="H568" s="39" t="s">
        <v>252</v>
      </c>
      <c r="J568" s="39" t="s">
        <v>253</v>
      </c>
      <c r="K568" s="32" t="s">
        <v>266</v>
      </c>
      <c r="L568" s="32" t="s">
        <v>475</v>
      </c>
      <c r="M568" s="39" t="s">
        <v>255</v>
      </c>
      <c r="N568" s="39" t="s">
        <v>268</v>
      </c>
      <c r="O568" s="32" t="s">
        <v>269</v>
      </c>
      <c r="P568" s="40" t="str">
        <f aca="false">_xlfn.CONCAT(B568,C568,D568,E568,F568)</f>
        <v>BC Turvania1.3Inverter(MBUS-13)46036.2546036.2546036.3</v>
      </c>
      <c r="Q568" s="32" t="str">
        <f aca="false">_xlfn.CONCAT(H568,I568,J568)</f>
        <v>DAURDE</v>
      </c>
    </row>
    <row r="569" customFormat="false" ht="15" hidden="false" customHeight="false" outlineLevel="0" collapsed="false">
      <c r="B569" s="32" t="s">
        <v>477</v>
      </c>
      <c r="C569" s="32" t="s">
        <v>327</v>
      </c>
      <c r="D569" s="33" t="n">
        <v>46036.25</v>
      </c>
      <c r="E569" s="33" t="n">
        <v>46036.25</v>
      </c>
      <c r="F569" s="33" t="n">
        <v>46036.3</v>
      </c>
      <c r="G569" s="34" t="n">
        <f aca="false">F569-E569</f>
        <v>0.05</v>
      </c>
      <c r="H569" s="39" t="s">
        <v>252</v>
      </c>
      <c r="J569" s="39" t="s">
        <v>253</v>
      </c>
      <c r="K569" s="32" t="s">
        <v>266</v>
      </c>
      <c r="L569" s="32" t="s">
        <v>475</v>
      </c>
      <c r="M569" s="39" t="s">
        <v>255</v>
      </c>
      <c r="N569" s="39" t="s">
        <v>268</v>
      </c>
      <c r="O569" s="32" t="s">
        <v>269</v>
      </c>
      <c r="P569" s="40" t="str">
        <f aca="false">_xlfn.CONCAT(B569,C569,D569,E569,F569)</f>
        <v>BC Turvania1.3Inverter(MBUS-14)46036.2546036.2546036.3</v>
      </c>
      <c r="Q569" s="32" t="str">
        <f aca="false">_xlfn.CONCAT(H569,I569,J569)</f>
        <v>DAURDE</v>
      </c>
    </row>
    <row r="570" customFormat="false" ht="15" hidden="false" customHeight="false" outlineLevel="0" collapsed="false">
      <c r="B570" s="32" t="s">
        <v>477</v>
      </c>
      <c r="C570" s="32" t="s">
        <v>328</v>
      </c>
      <c r="D570" s="33" t="n">
        <v>46036.25</v>
      </c>
      <c r="E570" s="33" t="n">
        <v>46036.25</v>
      </c>
      <c r="F570" s="33" t="n">
        <v>46036.3</v>
      </c>
      <c r="G570" s="34" t="n">
        <f aca="false">F570-E570</f>
        <v>0.05</v>
      </c>
      <c r="H570" s="39" t="s">
        <v>252</v>
      </c>
      <c r="J570" s="39" t="s">
        <v>253</v>
      </c>
      <c r="K570" s="32" t="s">
        <v>266</v>
      </c>
      <c r="L570" s="32" t="s">
        <v>475</v>
      </c>
      <c r="M570" s="39" t="s">
        <v>255</v>
      </c>
      <c r="N570" s="39" t="s">
        <v>268</v>
      </c>
      <c r="O570" s="32" t="s">
        <v>269</v>
      </c>
      <c r="P570" s="40" t="str">
        <f aca="false">_xlfn.CONCAT(B570,C570,D570,E570,F570)</f>
        <v>BC Turvania1.3Inverter(MBUS-15)46036.2546036.2546036.3</v>
      </c>
      <c r="Q570" s="32" t="str">
        <f aca="false">_xlfn.CONCAT(H570,I570,J570)</f>
        <v>DAURDE</v>
      </c>
    </row>
    <row r="571" customFormat="false" ht="15" hidden="false" customHeight="false" outlineLevel="0" collapsed="false">
      <c r="B571" s="32" t="s">
        <v>477</v>
      </c>
      <c r="C571" s="32" t="s">
        <v>265</v>
      </c>
      <c r="D571" s="33" t="n">
        <v>46036.25</v>
      </c>
      <c r="E571" s="33" t="n">
        <v>46036.25</v>
      </c>
      <c r="F571" s="33" t="n">
        <v>46036.3</v>
      </c>
      <c r="G571" s="34" t="n">
        <f aca="false">F571-E571</f>
        <v>0.05</v>
      </c>
      <c r="H571" s="39" t="s">
        <v>252</v>
      </c>
      <c r="J571" s="39" t="s">
        <v>253</v>
      </c>
      <c r="K571" s="32" t="s">
        <v>266</v>
      </c>
      <c r="L571" s="32" t="s">
        <v>475</v>
      </c>
      <c r="M571" s="39" t="s">
        <v>255</v>
      </c>
      <c r="N571" s="39" t="s">
        <v>268</v>
      </c>
      <c r="O571" s="32" t="s">
        <v>269</v>
      </c>
      <c r="P571" s="40" t="str">
        <f aca="false">_xlfn.CONCAT(B571,C571,D571,E571,F571)</f>
        <v>BC Turvania1.3Inverter(MBUS-1)46036.2546036.2546036.3</v>
      </c>
      <c r="Q571" s="32" t="str">
        <f aca="false">_xlfn.CONCAT(H571,I571,J571)</f>
        <v>DAURDE</v>
      </c>
    </row>
    <row r="572" customFormat="false" ht="15" hidden="false" customHeight="false" outlineLevel="0" collapsed="false">
      <c r="B572" s="32" t="s">
        <v>478</v>
      </c>
      <c r="C572" s="32" t="s">
        <v>327</v>
      </c>
      <c r="D572" s="33" t="n">
        <v>46036.25</v>
      </c>
      <c r="E572" s="33" t="n">
        <v>46036.25</v>
      </c>
      <c r="F572" s="33" t="n">
        <v>46036.3</v>
      </c>
      <c r="G572" s="34" t="n">
        <f aca="false">F572-E572</f>
        <v>0.05</v>
      </c>
      <c r="H572" s="39" t="s">
        <v>252</v>
      </c>
      <c r="J572" s="39" t="s">
        <v>253</v>
      </c>
      <c r="K572" s="32" t="s">
        <v>266</v>
      </c>
      <c r="L572" s="32" t="s">
        <v>475</v>
      </c>
      <c r="M572" s="39" t="s">
        <v>255</v>
      </c>
      <c r="N572" s="39" t="s">
        <v>268</v>
      </c>
      <c r="O572" s="32" t="s">
        <v>269</v>
      </c>
      <c r="P572" s="40" t="str">
        <f aca="false">_xlfn.CONCAT(B572,C572,D572,E572,F572)</f>
        <v>BC Turvania1.4Inverter(MBUS-14)46036.2546036.2546036.3</v>
      </c>
      <c r="Q572" s="32" t="str">
        <f aca="false">_xlfn.CONCAT(H572,I572,J572)</f>
        <v>DAURDE</v>
      </c>
    </row>
    <row r="573" customFormat="false" ht="15" hidden="false" customHeight="false" outlineLevel="0" collapsed="false">
      <c r="B573" s="32" t="s">
        <v>478</v>
      </c>
      <c r="C573" s="32" t="s">
        <v>328</v>
      </c>
      <c r="D573" s="33" t="n">
        <v>46036.25</v>
      </c>
      <c r="E573" s="33" t="n">
        <v>46036.25</v>
      </c>
      <c r="F573" s="33" t="n">
        <v>46036.3</v>
      </c>
      <c r="G573" s="34" t="n">
        <f aca="false">F573-E573</f>
        <v>0.05</v>
      </c>
      <c r="H573" s="39" t="s">
        <v>252</v>
      </c>
      <c r="J573" s="39" t="s">
        <v>253</v>
      </c>
      <c r="K573" s="32" t="s">
        <v>266</v>
      </c>
      <c r="L573" s="32" t="s">
        <v>475</v>
      </c>
      <c r="M573" s="39" t="s">
        <v>255</v>
      </c>
      <c r="N573" s="39" t="s">
        <v>268</v>
      </c>
      <c r="O573" s="32" t="s">
        <v>269</v>
      </c>
      <c r="P573" s="40" t="str">
        <f aca="false">_xlfn.CONCAT(B573,C573,D573,E573,F573)</f>
        <v>BC Turvania1.4Inverter(MBUS-15)46036.2546036.2546036.3</v>
      </c>
      <c r="Q573" s="32" t="str">
        <f aca="false">_xlfn.CONCAT(H573,I573,J573)</f>
        <v>DAURDE</v>
      </c>
    </row>
    <row r="574" customFormat="false" ht="15" hidden="false" customHeight="false" outlineLevel="0" collapsed="false">
      <c r="B574" s="32" t="s">
        <v>478</v>
      </c>
      <c r="C574" s="32" t="s">
        <v>326</v>
      </c>
      <c r="D574" s="33" t="n">
        <v>46036.25</v>
      </c>
      <c r="E574" s="33" t="n">
        <v>46036.25</v>
      </c>
      <c r="F574" s="33" t="n">
        <v>46036.3</v>
      </c>
      <c r="G574" s="34" t="n">
        <f aca="false">F574-E574</f>
        <v>0.05</v>
      </c>
      <c r="H574" s="39" t="s">
        <v>252</v>
      </c>
      <c r="J574" s="39" t="s">
        <v>253</v>
      </c>
      <c r="K574" s="32" t="s">
        <v>266</v>
      </c>
      <c r="L574" s="32" t="s">
        <v>475</v>
      </c>
      <c r="M574" s="39" t="s">
        <v>255</v>
      </c>
      <c r="N574" s="39" t="s">
        <v>268</v>
      </c>
      <c r="O574" s="32" t="s">
        <v>269</v>
      </c>
      <c r="P574" s="40" t="str">
        <f aca="false">_xlfn.CONCAT(B574,C574,D574,E574,F574)</f>
        <v>BC Turvania1.4Inverter(MBUS-13)46036.2546036.2546036.3</v>
      </c>
      <c r="Q574" s="32" t="str">
        <f aca="false">_xlfn.CONCAT(H574,I574,J574)</f>
        <v>DAURDE</v>
      </c>
    </row>
    <row r="575" customFormat="false" ht="15" hidden="false" customHeight="false" outlineLevel="0" collapsed="false">
      <c r="B575" s="32" t="s">
        <v>478</v>
      </c>
      <c r="C575" s="32" t="s">
        <v>324</v>
      </c>
      <c r="D575" s="33" t="n">
        <v>46036.25</v>
      </c>
      <c r="E575" s="33" t="n">
        <v>46036.25</v>
      </c>
      <c r="F575" s="33" t="n">
        <v>46036.3</v>
      </c>
      <c r="G575" s="34" t="n">
        <f aca="false">F575-E575</f>
        <v>0.05</v>
      </c>
      <c r="H575" s="39" t="s">
        <v>252</v>
      </c>
      <c r="J575" s="39" t="s">
        <v>253</v>
      </c>
      <c r="K575" s="32" t="s">
        <v>266</v>
      </c>
      <c r="L575" s="32" t="s">
        <v>475</v>
      </c>
      <c r="M575" s="39" t="s">
        <v>255</v>
      </c>
      <c r="N575" s="39" t="s">
        <v>268</v>
      </c>
      <c r="O575" s="32" t="s">
        <v>269</v>
      </c>
      <c r="P575" s="40" t="str">
        <f aca="false">_xlfn.CONCAT(B575,C575,D575,E575,F575)</f>
        <v>BC Turvania1.4Inverter(MBUS-12)46036.2546036.2546036.3</v>
      </c>
      <c r="Q575" s="32" t="str">
        <f aca="false">_xlfn.CONCAT(H575,I575,J575)</f>
        <v>DAURDE</v>
      </c>
    </row>
    <row r="576" customFormat="false" ht="15" hidden="false" customHeight="false" outlineLevel="0" collapsed="false">
      <c r="B576" s="32" t="s">
        <v>479</v>
      </c>
      <c r="C576" s="32" t="s">
        <v>326</v>
      </c>
      <c r="D576" s="33" t="n">
        <v>46036.25</v>
      </c>
      <c r="E576" s="33" t="n">
        <v>46036.25</v>
      </c>
      <c r="F576" s="33" t="n">
        <v>46036.3</v>
      </c>
      <c r="G576" s="34" t="n">
        <f aca="false">F576-E576</f>
        <v>0.05</v>
      </c>
      <c r="H576" s="39" t="s">
        <v>252</v>
      </c>
      <c r="J576" s="39" t="s">
        <v>253</v>
      </c>
      <c r="K576" s="32" t="s">
        <v>266</v>
      </c>
      <c r="L576" s="32" t="s">
        <v>475</v>
      </c>
      <c r="M576" s="39" t="s">
        <v>255</v>
      </c>
      <c r="N576" s="39" t="s">
        <v>268</v>
      </c>
      <c r="O576" s="32" t="s">
        <v>269</v>
      </c>
      <c r="P576" s="40" t="str">
        <f aca="false">_xlfn.CONCAT(B576,C576,D576,E576,F576)</f>
        <v>BC Turvania1.5Inverter(MBUS-13)46036.2546036.2546036.3</v>
      </c>
      <c r="Q576" s="32" t="str">
        <f aca="false">_xlfn.CONCAT(H576,I576,J576)</f>
        <v>DAURDE</v>
      </c>
    </row>
    <row r="577" customFormat="false" ht="15" hidden="false" customHeight="false" outlineLevel="0" collapsed="false">
      <c r="B577" s="32" t="s">
        <v>479</v>
      </c>
      <c r="C577" s="32" t="s">
        <v>324</v>
      </c>
      <c r="D577" s="33" t="n">
        <v>46036.25</v>
      </c>
      <c r="E577" s="33" t="n">
        <v>46036.25</v>
      </c>
      <c r="F577" s="33" t="n">
        <v>46036.3</v>
      </c>
      <c r="G577" s="34" t="n">
        <f aca="false">F577-E577</f>
        <v>0.05</v>
      </c>
      <c r="H577" s="39" t="s">
        <v>252</v>
      </c>
      <c r="J577" s="39" t="s">
        <v>253</v>
      </c>
      <c r="K577" s="32" t="s">
        <v>266</v>
      </c>
      <c r="L577" s="32" t="s">
        <v>475</v>
      </c>
      <c r="M577" s="39" t="s">
        <v>255</v>
      </c>
      <c r="N577" s="39" t="s">
        <v>268</v>
      </c>
      <c r="O577" s="32" t="s">
        <v>269</v>
      </c>
      <c r="P577" s="40" t="str">
        <f aca="false">_xlfn.CONCAT(B577,C577,D577,E577,F577)</f>
        <v>BC Turvania1.5Inverter(MBUS-12)46036.2546036.2546036.3</v>
      </c>
      <c r="Q577" s="32" t="str">
        <f aca="false">_xlfn.CONCAT(H577,I577,J577)</f>
        <v>DAURDE</v>
      </c>
    </row>
    <row r="578" customFormat="false" ht="15" hidden="false" customHeight="false" outlineLevel="0" collapsed="false">
      <c r="B578" s="32" t="s">
        <v>479</v>
      </c>
      <c r="C578" s="32" t="s">
        <v>327</v>
      </c>
      <c r="D578" s="33" t="n">
        <v>46036.25</v>
      </c>
      <c r="E578" s="33" t="n">
        <v>46036.25</v>
      </c>
      <c r="F578" s="33" t="n">
        <v>46036.3</v>
      </c>
      <c r="G578" s="34" t="n">
        <f aca="false">F578-E578</f>
        <v>0.05</v>
      </c>
      <c r="H578" s="39" t="s">
        <v>252</v>
      </c>
      <c r="J578" s="39" t="s">
        <v>253</v>
      </c>
      <c r="K578" s="32" t="s">
        <v>266</v>
      </c>
      <c r="L578" s="32" t="s">
        <v>475</v>
      </c>
      <c r="M578" s="39" t="s">
        <v>255</v>
      </c>
      <c r="N578" s="39" t="s">
        <v>268</v>
      </c>
      <c r="O578" s="32" t="s">
        <v>269</v>
      </c>
      <c r="P578" s="40" t="str">
        <f aca="false">_xlfn.CONCAT(B578,C578,D578,E578,F578)</f>
        <v>BC Turvania1.5Inverter(MBUS-14)46036.2546036.2546036.3</v>
      </c>
      <c r="Q578" s="32" t="str">
        <f aca="false">_xlfn.CONCAT(H578,I578,J578)</f>
        <v>DAURDE</v>
      </c>
    </row>
    <row r="579" customFormat="false" ht="15" hidden="false" customHeight="false" outlineLevel="0" collapsed="false">
      <c r="B579" s="32" t="s">
        <v>479</v>
      </c>
      <c r="C579" s="32" t="s">
        <v>265</v>
      </c>
      <c r="D579" s="33" t="n">
        <v>46036.25</v>
      </c>
      <c r="E579" s="33" t="n">
        <v>46036.25</v>
      </c>
      <c r="F579" s="33" t="n">
        <v>46036.3</v>
      </c>
      <c r="G579" s="34" t="n">
        <f aca="false">F579-E579</f>
        <v>0.05</v>
      </c>
      <c r="H579" s="39" t="s">
        <v>252</v>
      </c>
      <c r="J579" s="39" t="s">
        <v>253</v>
      </c>
      <c r="K579" s="32" t="s">
        <v>266</v>
      </c>
      <c r="L579" s="32" t="s">
        <v>475</v>
      </c>
      <c r="M579" s="39" t="s">
        <v>255</v>
      </c>
      <c r="N579" s="39" t="s">
        <v>268</v>
      </c>
      <c r="O579" s="32" t="s">
        <v>269</v>
      </c>
      <c r="P579" s="40" t="str">
        <f aca="false">_xlfn.CONCAT(B579,C579,D579,E579,F579)</f>
        <v>BC Turvania1.5Inverter(MBUS-1)46036.2546036.2546036.3</v>
      </c>
      <c r="Q579" s="32" t="str">
        <f aca="false">_xlfn.CONCAT(H579,I579,J579)</f>
        <v>DAURDE</v>
      </c>
    </row>
    <row r="580" customFormat="false" ht="68.65" hidden="false" customHeight="false" outlineLevel="0" collapsed="false">
      <c r="B580" s="41" t="s">
        <v>177</v>
      </c>
      <c r="C580" s="41" t="s">
        <v>327</v>
      </c>
      <c r="D580" s="42" t="n">
        <v>46036.2916666667</v>
      </c>
      <c r="E580" s="42" t="n">
        <v>46036.2916666667</v>
      </c>
      <c r="F580" s="42" t="n">
        <v>46049.40625</v>
      </c>
      <c r="G580" s="43" t="n">
        <f aca="false">F580-E580</f>
        <v>13.1145833333333</v>
      </c>
      <c r="H580" s="41" t="s">
        <v>376</v>
      </c>
      <c r="I580" s="41"/>
      <c r="J580" s="41" t="s">
        <v>234</v>
      </c>
      <c r="K580" s="41" t="s">
        <v>234</v>
      </c>
      <c r="L580" s="41" t="s">
        <v>482</v>
      </c>
      <c r="M580" s="41" t="s">
        <v>483</v>
      </c>
      <c r="N580" s="41" t="s">
        <v>440</v>
      </c>
      <c r="O580" s="48" t="s">
        <v>484</v>
      </c>
      <c r="P580" s="44" t="str">
        <f aca="false">_xlfn.CONCAT(B580,C580,D581,E580,F580)</f>
        <v>BC Lencois PaulistaInverter(MBUS-14)46036.638888888946036.291666666746049.40625</v>
      </c>
      <c r="Q580" s="41" t="str">
        <f aca="false">_xlfn.CONCAT(H580,I580,J580)</f>
        <v>DEMUFV</v>
      </c>
      <c r="R580" s="45"/>
    </row>
    <row r="581" customFormat="false" ht="15" hidden="false" customHeight="false" outlineLevel="0" collapsed="false">
      <c r="B581" s="32" t="s">
        <v>435</v>
      </c>
      <c r="C581" s="32" t="s">
        <v>436</v>
      </c>
      <c r="D581" s="33" t="n">
        <v>46036.6388888889</v>
      </c>
      <c r="E581" s="33" t="n">
        <v>46036.6388888889</v>
      </c>
      <c r="F581" s="33" t="n">
        <v>46036.7152777778</v>
      </c>
      <c r="G581" s="34" t="n">
        <f aca="false">F581-E581</f>
        <v>0.0763888888888889</v>
      </c>
      <c r="H581" s="39" t="s">
        <v>283</v>
      </c>
      <c r="I581" s="32" t="s">
        <v>284</v>
      </c>
      <c r="J581" s="39" t="s">
        <v>285</v>
      </c>
      <c r="K581" s="32" t="e">
        <f aca="false">_xlfn.xlookup(J581,[1]REF!$D$2:$D$12,[1]REF!$E$2:$E$12)</f>
        <v>#NAME?</v>
      </c>
      <c r="L581" s="32" t="s">
        <v>485</v>
      </c>
      <c r="M581" s="39" t="s">
        <v>288</v>
      </c>
      <c r="N581" s="39" t="s">
        <v>289</v>
      </c>
      <c r="O581" s="32" t="s">
        <v>486</v>
      </c>
      <c r="P581" s="40" t="str">
        <f aca="false">_xlfn.CONCAT(B581,C581,D581,E581,F581)</f>
        <v>BC Corumba1.1U01.I0146036.638888888946036.638888888946036.7152777778</v>
      </c>
      <c r="Q581" s="32" t="str">
        <f aca="false">_xlfn.CONCAT(H581,I581,J581)</f>
        <v>LIGRFOCOM</v>
      </c>
      <c r="R581" s="45"/>
    </row>
    <row r="582" customFormat="false" ht="15" hidden="false" customHeight="false" outlineLevel="0" collapsed="false">
      <c r="B582" s="32" t="s">
        <v>435</v>
      </c>
      <c r="C582" s="32" t="s">
        <v>442</v>
      </c>
      <c r="D582" s="33" t="n">
        <v>46036.6388888889</v>
      </c>
      <c r="E582" s="33" t="n">
        <v>46036.6388888889</v>
      </c>
      <c r="F582" s="33" t="n">
        <v>46036.7152777778</v>
      </c>
      <c r="G582" s="34" t="n">
        <f aca="false">F582-E582</f>
        <v>0.0763888888888889</v>
      </c>
      <c r="H582" s="39" t="s">
        <v>283</v>
      </c>
      <c r="I582" s="32" t="s">
        <v>284</v>
      </c>
      <c r="J582" s="39" t="s">
        <v>285</v>
      </c>
      <c r="K582" s="32" t="e">
        <f aca="false">_xlfn.xlookup(J582,[1]REF!$D$2:$D$12,[1]REF!$E$2:$E$12)</f>
        <v>#NAME?</v>
      </c>
      <c r="L582" s="32" t="s">
        <v>485</v>
      </c>
      <c r="M582" s="39" t="s">
        <v>288</v>
      </c>
      <c r="N582" s="39" t="s">
        <v>289</v>
      </c>
      <c r="O582" s="32" t="s">
        <v>486</v>
      </c>
      <c r="P582" s="40" t="str">
        <f aca="false">_xlfn.CONCAT(B582,C582,D582,E582,F582)</f>
        <v>BC Corumba1.1U01.I0246036.638888888946036.638888888946036.7152777778</v>
      </c>
      <c r="Q582" s="32" t="str">
        <f aca="false">_xlfn.CONCAT(H582,I582,J582)</f>
        <v>LIGRFOCOM</v>
      </c>
      <c r="R582" s="45"/>
    </row>
    <row r="583" customFormat="false" ht="15" hidden="false" customHeight="false" outlineLevel="0" collapsed="false">
      <c r="B583" s="32" t="s">
        <v>435</v>
      </c>
      <c r="C583" s="32" t="s">
        <v>443</v>
      </c>
      <c r="D583" s="33" t="n">
        <v>46036.6388888889</v>
      </c>
      <c r="E583" s="33" t="n">
        <v>46036.6388888889</v>
      </c>
      <c r="F583" s="33" t="n">
        <v>46036.7152777778</v>
      </c>
      <c r="G583" s="34" t="n">
        <f aca="false">F583-E583</f>
        <v>0.0763888888888889</v>
      </c>
      <c r="H583" s="39" t="s">
        <v>283</v>
      </c>
      <c r="I583" s="32" t="s">
        <v>284</v>
      </c>
      <c r="J583" s="39" t="s">
        <v>285</v>
      </c>
      <c r="K583" s="32" t="e">
        <f aca="false">_xlfn.xlookup(J583,[1]REF!$D$2:$D$12,[1]REF!$E$2:$E$12)</f>
        <v>#NAME?</v>
      </c>
      <c r="L583" s="32" t="s">
        <v>485</v>
      </c>
      <c r="M583" s="39" t="s">
        <v>288</v>
      </c>
      <c r="N583" s="39" t="s">
        <v>289</v>
      </c>
      <c r="O583" s="32" t="s">
        <v>486</v>
      </c>
      <c r="P583" s="40" t="str">
        <f aca="false">_xlfn.CONCAT(B583,C583,D583,E583,F583)</f>
        <v>BC Corumba1.1U01.I0346036.638888888946036.638888888946036.7152777778</v>
      </c>
      <c r="Q583" s="32" t="str">
        <f aca="false">_xlfn.CONCAT(H583,I583,J583)</f>
        <v>LIGRFOCOM</v>
      </c>
      <c r="R583" s="45"/>
    </row>
    <row r="584" customFormat="false" ht="15" hidden="false" customHeight="false" outlineLevel="0" collapsed="false">
      <c r="B584" s="32" t="s">
        <v>435</v>
      </c>
      <c r="C584" s="32" t="s">
        <v>444</v>
      </c>
      <c r="D584" s="33" t="n">
        <v>46036.6388888889</v>
      </c>
      <c r="E584" s="33" t="n">
        <v>46036.6388888889</v>
      </c>
      <c r="F584" s="33" t="n">
        <v>46036.7152777778</v>
      </c>
      <c r="G584" s="34" t="n">
        <f aca="false">F584-E584</f>
        <v>0.0763888888888889</v>
      </c>
      <c r="H584" s="39" t="s">
        <v>283</v>
      </c>
      <c r="I584" s="32" t="s">
        <v>284</v>
      </c>
      <c r="J584" s="39" t="s">
        <v>285</v>
      </c>
      <c r="K584" s="32" t="e">
        <f aca="false">_xlfn.xlookup(J584,[1]REF!$D$2:$D$12,[1]REF!$E$2:$E$12)</f>
        <v>#NAME?</v>
      </c>
      <c r="L584" s="32" t="s">
        <v>485</v>
      </c>
      <c r="M584" s="39" t="s">
        <v>288</v>
      </c>
      <c r="N584" s="39" t="s">
        <v>289</v>
      </c>
      <c r="O584" s="32" t="s">
        <v>486</v>
      </c>
      <c r="P584" s="40" t="str">
        <f aca="false">_xlfn.CONCAT(B584,C584,D584,E584,F584)</f>
        <v>BC Corumba1.1U01.I0446036.638888888946036.638888888946036.7152777778</v>
      </c>
      <c r="Q584" s="32" t="str">
        <f aca="false">_xlfn.CONCAT(H584,I584,J584)</f>
        <v>LIGRFOCOM</v>
      </c>
    </row>
    <row r="585" customFormat="false" ht="15" hidden="false" customHeight="false" outlineLevel="0" collapsed="false">
      <c r="B585" s="32" t="s">
        <v>435</v>
      </c>
      <c r="C585" s="32" t="s">
        <v>445</v>
      </c>
      <c r="D585" s="33" t="n">
        <v>46036.6388888889</v>
      </c>
      <c r="E585" s="33" t="n">
        <v>46036.6388888889</v>
      </c>
      <c r="F585" s="33" t="n">
        <v>46036.7152777778</v>
      </c>
      <c r="G585" s="34" t="n">
        <f aca="false">F585-E585</f>
        <v>0.0763888888888889</v>
      </c>
      <c r="H585" s="39" t="s">
        <v>283</v>
      </c>
      <c r="I585" s="32" t="s">
        <v>284</v>
      </c>
      <c r="J585" s="39" t="s">
        <v>285</v>
      </c>
      <c r="K585" s="32" t="e">
        <f aca="false">_xlfn.xlookup(J585,[1]REF!$D$2:$D$12,[1]REF!$E$2:$E$12)</f>
        <v>#NAME?</v>
      </c>
      <c r="L585" s="32" t="s">
        <v>485</v>
      </c>
      <c r="M585" s="39" t="s">
        <v>288</v>
      </c>
      <c r="N585" s="39" t="s">
        <v>289</v>
      </c>
      <c r="O585" s="32" t="s">
        <v>486</v>
      </c>
      <c r="P585" s="40" t="str">
        <f aca="false">_xlfn.CONCAT(B585,C585,D585,E585,F585)</f>
        <v>BC Corumba1.1U01.I0546036.638888888946036.638888888946036.7152777778</v>
      </c>
      <c r="Q585" s="32" t="str">
        <f aca="false">_xlfn.CONCAT(H585,I585,J585)</f>
        <v>LIGRFOCOM</v>
      </c>
    </row>
    <row r="586" customFormat="false" ht="15" hidden="false" customHeight="false" outlineLevel="0" collapsed="false">
      <c r="B586" s="32" t="s">
        <v>487</v>
      </c>
      <c r="C586" s="32" t="s">
        <v>488</v>
      </c>
      <c r="D586" s="33" t="n">
        <v>46036.6388888889</v>
      </c>
      <c r="E586" s="33" t="n">
        <v>46036.6388888889</v>
      </c>
      <c r="F586" s="33" t="n">
        <v>46036.7152777778</v>
      </c>
      <c r="G586" s="34" t="n">
        <f aca="false">F586-E586</f>
        <v>0.0763888888888889</v>
      </c>
      <c r="H586" s="39" t="s">
        <v>283</v>
      </c>
      <c r="I586" s="32" t="s">
        <v>284</v>
      </c>
      <c r="J586" s="39" t="s">
        <v>285</v>
      </c>
      <c r="K586" s="32" t="e">
        <f aca="false">_xlfn.xlookup(J586,[1]REF!$D$2:$D$12,[1]REF!$E$2:$E$12)</f>
        <v>#NAME?</v>
      </c>
      <c r="L586" s="32" t="s">
        <v>485</v>
      </c>
      <c r="M586" s="39" t="s">
        <v>288</v>
      </c>
      <c r="N586" s="39" t="s">
        <v>289</v>
      </c>
      <c r="O586" s="32" t="s">
        <v>486</v>
      </c>
      <c r="P586" s="40" t="str">
        <f aca="false">_xlfn.CONCAT(B586,C586,D586,E586,F586)</f>
        <v>BC Corumba1.2U02.I0146036.638888888946036.638888888946036.7152777778</v>
      </c>
      <c r="Q586" s="32" t="str">
        <f aca="false">_xlfn.CONCAT(H586,I586,J586)</f>
        <v>LIGRFOCOM</v>
      </c>
    </row>
    <row r="587" customFormat="false" ht="15" hidden="false" customHeight="false" outlineLevel="0" collapsed="false">
      <c r="B587" s="32" t="s">
        <v>487</v>
      </c>
      <c r="C587" s="32" t="s">
        <v>489</v>
      </c>
      <c r="D587" s="33" t="n">
        <v>46036.6388888889</v>
      </c>
      <c r="E587" s="33" t="n">
        <v>46036.6388888889</v>
      </c>
      <c r="F587" s="33" t="n">
        <v>46036.7152777778</v>
      </c>
      <c r="G587" s="34" t="n">
        <f aca="false">F587-E587</f>
        <v>0.0763888888888889</v>
      </c>
      <c r="H587" s="39" t="s">
        <v>283</v>
      </c>
      <c r="I587" s="32" t="s">
        <v>284</v>
      </c>
      <c r="J587" s="39" t="s">
        <v>285</v>
      </c>
      <c r="K587" s="32" t="e">
        <f aca="false">_xlfn.xlookup(J587,[1]REF!$D$2:$D$12,[1]REF!$E$2:$E$12)</f>
        <v>#NAME?</v>
      </c>
      <c r="L587" s="32" t="s">
        <v>485</v>
      </c>
      <c r="M587" s="39" t="s">
        <v>288</v>
      </c>
      <c r="N587" s="39" t="s">
        <v>289</v>
      </c>
      <c r="O587" s="32" t="s">
        <v>486</v>
      </c>
      <c r="P587" s="40" t="str">
        <f aca="false">_xlfn.CONCAT(B587,C587,D587,E587,F587)</f>
        <v>BC Corumba1.2U02.I0246036.638888888946036.638888888946036.7152777778</v>
      </c>
      <c r="Q587" s="32" t="str">
        <f aca="false">_xlfn.CONCAT(H587,I587,J587)</f>
        <v>LIGRFOCOM</v>
      </c>
    </row>
    <row r="588" customFormat="false" ht="15" hidden="false" customHeight="false" outlineLevel="0" collapsed="false">
      <c r="B588" s="32" t="s">
        <v>487</v>
      </c>
      <c r="C588" s="32" t="s">
        <v>490</v>
      </c>
      <c r="D588" s="33" t="n">
        <v>46036.6388888889</v>
      </c>
      <c r="E588" s="33" t="n">
        <v>46036.6388888889</v>
      </c>
      <c r="F588" s="33" t="n">
        <v>46036.7152777778</v>
      </c>
      <c r="G588" s="34" t="n">
        <f aca="false">F588-E588</f>
        <v>0.0763888888888889</v>
      </c>
      <c r="H588" s="39" t="s">
        <v>283</v>
      </c>
      <c r="I588" s="32" t="s">
        <v>284</v>
      </c>
      <c r="J588" s="39" t="s">
        <v>285</v>
      </c>
      <c r="K588" s="32" t="e">
        <f aca="false">_xlfn.xlookup(J588,[1]REF!$D$2:$D$12,[1]REF!$E$2:$E$12)</f>
        <v>#NAME?</v>
      </c>
      <c r="L588" s="32" t="s">
        <v>485</v>
      </c>
      <c r="M588" s="39" t="s">
        <v>288</v>
      </c>
      <c r="N588" s="39" t="s">
        <v>289</v>
      </c>
      <c r="O588" s="32" t="s">
        <v>486</v>
      </c>
      <c r="P588" s="40" t="str">
        <f aca="false">_xlfn.CONCAT(B588,C588,D588,E588,F588)</f>
        <v>BC Corumba1.2U02.I0346036.638888888946036.638888888946036.7152777778</v>
      </c>
      <c r="Q588" s="32" t="str">
        <f aca="false">_xlfn.CONCAT(H588,I588,J588)</f>
        <v>LIGRFOCOM</v>
      </c>
    </row>
    <row r="589" customFormat="false" ht="15" hidden="false" customHeight="false" outlineLevel="0" collapsed="false">
      <c r="B589" s="32" t="s">
        <v>487</v>
      </c>
      <c r="C589" s="32" t="s">
        <v>491</v>
      </c>
      <c r="D589" s="33" t="n">
        <v>46036.6388888889</v>
      </c>
      <c r="E589" s="33" t="n">
        <v>46036.6388888889</v>
      </c>
      <c r="F589" s="33" t="n">
        <v>46036.7152777778</v>
      </c>
      <c r="G589" s="34" t="n">
        <f aca="false">F589-E589</f>
        <v>0.0763888888888889</v>
      </c>
      <c r="H589" s="39" t="s">
        <v>283</v>
      </c>
      <c r="I589" s="32" t="s">
        <v>284</v>
      </c>
      <c r="J589" s="39" t="s">
        <v>285</v>
      </c>
      <c r="K589" s="32" t="e">
        <f aca="false">_xlfn.xlookup(J589,[1]REF!$D$2:$D$12,[1]REF!$E$2:$E$12)</f>
        <v>#NAME?</v>
      </c>
      <c r="L589" s="32" t="s">
        <v>485</v>
      </c>
      <c r="M589" s="39" t="s">
        <v>288</v>
      </c>
      <c r="N589" s="39" t="s">
        <v>289</v>
      </c>
      <c r="O589" s="32" t="s">
        <v>486</v>
      </c>
      <c r="P589" s="40" t="str">
        <f aca="false">_xlfn.CONCAT(B589,C589,D589,E589,F589)</f>
        <v>BC Corumba1.2U02.I0446036.638888888946036.638888888946036.7152777778</v>
      </c>
      <c r="Q589" s="32" t="str">
        <f aca="false">_xlfn.CONCAT(H589,I589,J589)</f>
        <v>LIGRFOCOM</v>
      </c>
    </row>
    <row r="590" customFormat="false" ht="15" hidden="false" customHeight="false" outlineLevel="0" collapsed="false">
      <c r="B590" s="32" t="s">
        <v>487</v>
      </c>
      <c r="C590" s="32" t="s">
        <v>492</v>
      </c>
      <c r="D590" s="33" t="n">
        <v>46036.6388888889</v>
      </c>
      <c r="E590" s="33" t="n">
        <v>46036.6388888889</v>
      </c>
      <c r="F590" s="33" t="n">
        <v>46036.7152777778</v>
      </c>
      <c r="G590" s="34" t="n">
        <f aca="false">F590-E590</f>
        <v>0.0763888888888889</v>
      </c>
      <c r="H590" s="39" t="s">
        <v>283</v>
      </c>
      <c r="I590" s="32" t="s">
        <v>284</v>
      </c>
      <c r="J590" s="39" t="s">
        <v>285</v>
      </c>
      <c r="K590" s="32" t="e">
        <f aca="false">_xlfn.xlookup(J590,[1]REF!$D$2:$D$12,[1]REF!$E$2:$E$12)</f>
        <v>#NAME?</v>
      </c>
      <c r="L590" s="32" t="s">
        <v>485</v>
      </c>
      <c r="M590" s="39" t="s">
        <v>288</v>
      </c>
      <c r="N590" s="39" t="s">
        <v>289</v>
      </c>
      <c r="O590" s="32" t="s">
        <v>486</v>
      </c>
      <c r="P590" s="40" t="str">
        <f aca="false">_xlfn.CONCAT(B590,C590,D590,E590,F590)</f>
        <v>BC Corumba1.2U02.I0546036.638888888946036.638888888946036.7152777778</v>
      </c>
      <c r="Q590" s="32" t="str">
        <f aca="false">_xlfn.CONCAT(H590,I590,J590)</f>
        <v>LIGRFOCOM</v>
      </c>
    </row>
    <row r="591" customFormat="false" ht="15" hidden="false" customHeight="false" outlineLevel="0" collapsed="false">
      <c r="B591" s="32" t="s">
        <v>493</v>
      </c>
      <c r="C591" s="32" t="s">
        <v>494</v>
      </c>
      <c r="D591" s="33" t="n">
        <v>46036.6388888889</v>
      </c>
      <c r="E591" s="33" t="n">
        <v>46036.6388888889</v>
      </c>
      <c r="F591" s="33" t="n">
        <v>46036.7152777778</v>
      </c>
      <c r="G591" s="34" t="n">
        <f aca="false">F591-E591</f>
        <v>0.0763888888888889</v>
      </c>
      <c r="H591" s="39" t="s">
        <v>283</v>
      </c>
      <c r="I591" s="32" t="s">
        <v>284</v>
      </c>
      <c r="J591" s="39" t="s">
        <v>285</v>
      </c>
      <c r="K591" s="32" t="e">
        <f aca="false">_xlfn.xlookup(J591,[1]REF!$D$2:$D$12,[1]REF!$E$2:$E$12)</f>
        <v>#NAME?</v>
      </c>
      <c r="L591" s="32" t="s">
        <v>485</v>
      </c>
      <c r="M591" s="39" t="s">
        <v>288</v>
      </c>
      <c r="N591" s="39" t="s">
        <v>289</v>
      </c>
      <c r="O591" s="32" t="s">
        <v>486</v>
      </c>
      <c r="P591" s="40" t="str">
        <f aca="false">_xlfn.CONCAT(B591,C591,D591,E591,F591)</f>
        <v>BC Corumba1.3U03.I0146036.638888888946036.638888888946036.7152777778</v>
      </c>
      <c r="Q591" s="32" t="str">
        <f aca="false">_xlfn.CONCAT(H591,I591,J591)</f>
        <v>LIGRFOCOM</v>
      </c>
    </row>
    <row r="592" customFormat="false" ht="15" hidden="false" customHeight="false" outlineLevel="0" collapsed="false">
      <c r="B592" s="32" t="s">
        <v>493</v>
      </c>
      <c r="C592" s="32" t="s">
        <v>495</v>
      </c>
      <c r="D592" s="33" t="n">
        <v>46036.6388888889</v>
      </c>
      <c r="E592" s="33" t="n">
        <v>46036.6388888889</v>
      </c>
      <c r="F592" s="33" t="n">
        <v>46036.7152777778</v>
      </c>
      <c r="G592" s="34" t="n">
        <f aca="false">F592-E592</f>
        <v>0.0763888888888889</v>
      </c>
      <c r="H592" s="39" t="s">
        <v>283</v>
      </c>
      <c r="I592" s="32" t="s">
        <v>284</v>
      </c>
      <c r="J592" s="39" t="s">
        <v>285</v>
      </c>
      <c r="K592" s="32" t="e">
        <f aca="false">_xlfn.xlookup(J592,[1]REF!$D$2:$D$12,[1]REF!$E$2:$E$12)</f>
        <v>#NAME?</v>
      </c>
      <c r="L592" s="32" t="s">
        <v>485</v>
      </c>
      <c r="M592" s="39" t="s">
        <v>288</v>
      </c>
      <c r="N592" s="39" t="s">
        <v>289</v>
      </c>
      <c r="O592" s="32" t="s">
        <v>486</v>
      </c>
      <c r="P592" s="40" t="str">
        <f aca="false">_xlfn.CONCAT(B592,C592,D592,E592,F592)</f>
        <v>BC Corumba1.3U03.I0246036.638888888946036.638888888946036.7152777778</v>
      </c>
      <c r="Q592" s="32" t="str">
        <f aca="false">_xlfn.CONCAT(H592,I592,J592)</f>
        <v>LIGRFOCOM</v>
      </c>
    </row>
    <row r="593" customFormat="false" ht="15" hidden="false" customHeight="false" outlineLevel="0" collapsed="false">
      <c r="B593" s="32" t="s">
        <v>493</v>
      </c>
      <c r="C593" s="32" t="s">
        <v>496</v>
      </c>
      <c r="D593" s="33" t="n">
        <v>46036.6388888889</v>
      </c>
      <c r="E593" s="33" t="n">
        <v>46036.6388888889</v>
      </c>
      <c r="F593" s="33" t="n">
        <v>46036.7152777778</v>
      </c>
      <c r="G593" s="34" t="n">
        <f aca="false">F593-E593</f>
        <v>0.0763888888888889</v>
      </c>
      <c r="H593" s="39" t="s">
        <v>283</v>
      </c>
      <c r="I593" s="32" t="s">
        <v>284</v>
      </c>
      <c r="J593" s="39" t="s">
        <v>285</v>
      </c>
      <c r="K593" s="32" t="e">
        <f aca="false">_xlfn.xlookup(J593,[1]REF!$D$2:$D$12,[1]REF!$E$2:$E$12)</f>
        <v>#NAME?</v>
      </c>
      <c r="L593" s="32" t="s">
        <v>485</v>
      </c>
      <c r="M593" s="39" t="s">
        <v>288</v>
      </c>
      <c r="N593" s="39" t="s">
        <v>289</v>
      </c>
      <c r="O593" s="32" t="s">
        <v>486</v>
      </c>
      <c r="P593" s="40" t="str">
        <f aca="false">_xlfn.CONCAT(B593,C593,D593,E593,F593)</f>
        <v>BC Corumba1.3U03.I0346036.638888888946036.638888888946036.7152777778</v>
      </c>
      <c r="Q593" s="32" t="str">
        <f aca="false">_xlfn.CONCAT(H593,I593,J593)</f>
        <v>LIGRFOCOM</v>
      </c>
    </row>
    <row r="594" customFormat="false" ht="15" hidden="false" customHeight="false" outlineLevel="0" collapsed="false">
      <c r="B594" s="32" t="s">
        <v>497</v>
      </c>
      <c r="C594" s="32" t="s">
        <v>327</v>
      </c>
      <c r="D594" s="33" t="n">
        <v>46036.6388888889</v>
      </c>
      <c r="E594" s="33" t="n">
        <v>46036.6388888889</v>
      </c>
      <c r="F594" s="33" t="n">
        <v>46036.7152777778</v>
      </c>
      <c r="G594" s="34" t="n">
        <f aca="false">F594-E594</f>
        <v>0.0763888888888889</v>
      </c>
      <c r="H594" s="39" t="s">
        <v>283</v>
      </c>
      <c r="I594" s="32" t="s">
        <v>284</v>
      </c>
      <c r="J594" s="39" t="s">
        <v>285</v>
      </c>
      <c r="K594" s="32" t="e">
        <f aca="false">_xlfn.xlookup(J594,[1]REF!$D$2:$D$12,[1]REF!$E$2:$E$12)</f>
        <v>#NAME?</v>
      </c>
      <c r="L594" s="32" t="s">
        <v>485</v>
      </c>
      <c r="M594" s="39" t="s">
        <v>288</v>
      </c>
      <c r="N594" s="39" t="s">
        <v>289</v>
      </c>
      <c r="O594" s="32" t="s">
        <v>486</v>
      </c>
      <c r="P594" s="40" t="str">
        <f aca="false">_xlfn.CONCAT(B594,C594,D594,E594,F594)</f>
        <v>BC Corumba2.1Inverter(MBUS-14)46036.638888888946036.638888888946036.7152777778</v>
      </c>
      <c r="Q594" s="32" t="str">
        <f aca="false">_xlfn.CONCAT(H594,I594,J594)</f>
        <v>LIGRFOCOM</v>
      </c>
    </row>
    <row r="595" customFormat="false" ht="15" hidden="false" customHeight="false" outlineLevel="0" collapsed="false">
      <c r="B595" s="32" t="s">
        <v>497</v>
      </c>
      <c r="C595" s="32" t="s">
        <v>328</v>
      </c>
      <c r="D595" s="33" t="n">
        <v>46036.6388888889</v>
      </c>
      <c r="E595" s="33" t="n">
        <v>46036.6388888889</v>
      </c>
      <c r="F595" s="33" t="n">
        <v>46036.7152777778</v>
      </c>
      <c r="G595" s="34" t="n">
        <f aca="false">F595-E595</f>
        <v>0.0763888888888889</v>
      </c>
      <c r="H595" s="39" t="s">
        <v>283</v>
      </c>
      <c r="I595" s="32" t="s">
        <v>284</v>
      </c>
      <c r="J595" s="39" t="s">
        <v>285</v>
      </c>
      <c r="K595" s="32" t="e">
        <f aca="false">_xlfn.xlookup(J595,[1]REF!$D$2:$D$12,[1]REF!$E$2:$E$12)</f>
        <v>#NAME?</v>
      </c>
      <c r="L595" s="32" t="s">
        <v>485</v>
      </c>
      <c r="M595" s="39" t="s">
        <v>288</v>
      </c>
      <c r="N595" s="39" t="s">
        <v>289</v>
      </c>
      <c r="O595" s="32" t="s">
        <v>486</v>
      </c>
      <c r="P595" s="40" t="str">
        <f aca="false">_xlfn.CONCAT(B595,C595,D595,E595,F595)</f>
        <v>BC Corumba2.1Inverter(MBUS-15)46036.638888888946036.638888888946036.7152777778</v>
      </c>
      <c r="Q595" s="32" t="str">
        <f aca="false">_xlfn.CONCAT(H595,I595,J595)</f>
        <v>LIGRFOCOM</v>
      </c>
    </row>
    <row r="596" customFormat="false" ht="15" hidden="false" customHeight="false" outlineLevel="0" collapsed="false">
      <c r="B596" s="32" t="s">
        <v>497</v>
      </c>
      <c r="C596" s="32" t="s">
        <v>428</v>
      </c>
      <c r="D596" s="33" t="n">
        <v>46036.6388888889</v>
      </c>
      <c r="E596" s="33" t="n">
        <v>46036.6388888889</v>
      </c>
      <c r="F596" s="33" t="n">
        <v>46036.7152777778</v>
      </c>
      <c r="G596" s="34" t="n">
        <f aca="false">F596-E596</f>
        <v>0.0763888888888889</v>
      </c>
      <c r="H596" s="39" t="s">
        <v>283</v>
      </c>
      <c r="I596" s="32" t="s">
        <v>284</v>
      </c>
      <c r="J596" s="39" t="s">
        <v>285</v>
      </c>
      <c r="K596" s="32" t="e">
        <f aca="false">_xlfn.xlookup(J596,[1]REF!$D$2:$D$12,[1]REF!$E$2:$E$12)</f>
        <v>#NAME?</v>
      </c>
      <c r="L596" s="32" t="s">
        <v>485</v>
      </c>
      <c r="M596" s="39" t="s">
        <v>288</v>
      </c>
      <c r="N596" s="39" t="s">
        <v>289</v>
      </c>
      <c r="O596" s="32" t="s">
        <v>486</v>
      </c>
      <c r="P596" s="40" t="str">
        <f aca="false">_xlfn.CONCAT(B596,C596,D596,E596,F596)</f>
        <v>BC Corumba2.1Inverter(MBUS-16)46036.638888888946036.638888888946036.7152777778</v>
      </c>
      <c r="Q596" s="32" t="str">
        <f aca="false">_xlfn.CONCAT(H596,I596,J596)</f>
        <v>LIGRFOCOM</v>
      </c>
    </row>
    <row r="597" customFormat="false" ht="15" hidden="false" customHeight="false" outlineLevel="0" collapsed="false">
      <c r="B597" s="32" t="s">
        <v>497</v>
      </c>
      <c r="C597" s="32" t="s">
        <v>498</v>
      </c>
      <c r="D597" s="33" t="n">
        <v>46036.6388888889</v>
      </c>
      <c r="E597" s="33" t="n">
        <v>46036.6388888889</v>
      </c>
      <c r="F597" s="33" t="n">
        <v>46036.7152777778</v>
      </c>
      <c r="G597" s="34" t="n">
        <f aca="false">F597-E597</f>
        <v>0.0763888888888889</v>
      </c>
      <c r="H597" s="39" t="s">
        <v>283</v>
      </c>
      <c r="I597" s="32" t="s">
        <v>284</v>
      </c>
      <c r="J597" s="39" t="s">
        <v>285</v>
      </c>
      <c r="K597" s="32" t="e">
        <f aca="false">_xlfn.xlookup(J597,[1]REF!$D$2:$D$12,[1]REF!$E$2:$E$12)</f>
        <v>#NAME?</v>
      </c>
      <c r="L597" s="32" t="s">
        <v>485</v>
      </c>
      <c r="M597" s="39" t="s">
        <v>288</v>
      </c>
      <c r="N597" s="39" t="s">
        <v>289</v>
      </c>
      <c r="O597" s="32" t="s">
        <v>486</v>
      </c>
      <c r="P597" s="40" t="str">
        <f aca="false">_xlfn.CONCAT(B597,C597,D597,E597,F597)</f>
        <v>BC Corumba2.1U01. I0146036.638888888946036.638888888946036.7152777778</v>
      </c>
      <c r="Q597" s="32" t="str">
        <f aca="false">_xlfn.CONCAT(H597,I597,J597)</f>
        <v>LIGRFOCOM</v>
      </c>
    </row>
    <row r="598" customFormat="false" ht="15" hidden="false" customHeight="false" outlineLevel="0" collapsed="false">
      <c r="B598" s="32" t="s">
        <v>497</v>
      </c>
      <c r="C598" s="32" t="s">
        <v>499</v>
      </c>
      <c r="D598" s="33" t="n">
        <v>46036.6388888889</v>
      </c>
      <c r="E598" s="33" t="n">
        <v>46036.6388888889</v>
      </c>
      <c r="F598" s="33" t="n">
        <v>46036.7152777778</v>
      </c>
      <c r="G598" s="34" t="n">
        <f aca="false">F598-E598</f>
        <v>0.0763888888888889</v>
      </c>
      <c r="H598" s="39" t="s">
        <v>283</v>
      </c>
      <c r="I598" s="32" t="s">
        <v>284</v>
      </c>
      <c r="J598" s="39" t="s">
        <v>285</v>
      </c>
      <c r="K598" s="32" t="e">
        <f aca="false">_xlfn.xlookup(J598,[1]REF!$D$2:$D$12,[1]REF!$E$2:$E$12)</f>
        <v>#NAME?</v>
      </c>
      <c r="L598" s="32" t="s">
        <v>485</v>
      </c>
      <c r="M598" s="39" t="s">
        <v>288</v>
      </c>
      <c r="N598" s="39" t="s">
        <v>289</v>
      </c>
      <c r="O598" s="32" t="s">
        <v>486</v>
      </c>
      <c r="P598" s="40" t="str">
        <f aca="false">_xlfn.CONCAT(B598,C598,D598,E598,F598)</f>
        <v>BC Corumba2.1U01. I0246036.638888888946036.638888888946036.7152777778</v>
      </c>
      <c r="Q598" s="32" t="str">
        <f aca="false">_xlfn.CONCAT(H598,I598,J598)</f>
        <v>LIGRFOCOM</v>
      </c>
    </row>
    <row r="599" customFormat="false" ht="15" hidden="false" customHeight="false" outlineLevel="0" collapsed="false">
      <c r="B599" s="32" t="s">
        <v>500</v>
      </c>
      <c r="C599" s="32" t="s">
        <v>488</v>
      </c>
      <c r="D599" s="33" t="n">
        <v>46036.6388888889</v>
      </c>
      <c r="E599" s="33" t="n">
        <v>46036.6388888889</v>
      </c>
      <c r="F599" s="33" t="n">
        <v>46036.7152777778</v>
      </c>
      <c r="G599" s="34" t="n">
        <f aca="false">F599-E599</f>
        <v>0.0763888888888889</v>
      </c>
      <c r="H599" s="39" t="s">
        <v>283</v>
      </c>
      <c r="I599" s="32" t="s">
        <v>284</v>
      </c>
      <c r="J599" s="39" t="s">
        <v>285</v>
      </c>
      <c r="K599" s="32" t="e">
        <f aca="false">_xlfn.xlookup(J599,[1]REF!$D$2:$D$12,[1]REF!$E$2:$E$12)</f>
        <v>#NAME?</v>
      </c>
      <c r="L599" s="32" t="s">
        <v>485</v>
      </c>
      <c r="M599" s="39" t="s">
        <v>288</v>
      </c>
      <c r="N599" s="39" t="s">
        <v>289</v>
      </c>
      <c r="O599" s="32" t="s">
        <v>486</v>
      </c>
      <c r="P599" s="40" t="str">
        <f aca="false">_xlfn.CONCAT(B599,C599,D599,E599,F599)</f>
        <v>BC Corumba2.2U02.I0146036.638888888946036.638888888946036.7152777778</v>
      </c>
      <c r="Q599" s="32" t="str">
        <f aca="false">_xlfn.CONCAT(H599,I599,J599)</f>
        <v>LIGRFOCOM</v>
      </c>
    </row>
    <row r="600" customFormat="false" ht="15" hidden="false" customHeight="false" outlineLevel="0" collapsed="false">
      <c r="B600" s="32" t="s">
        <v>500</v>
      </c>
      <c r="C600" s="32" t="s">
        <v>489</v>
      </c>
      <c r="D600" s="33" t="n">
        <v>46036.6388888889</v>
      </c>
      <c r="E600" s="33" t="n">
        <v>46036.6388888889</v>
      </c>
      <c r="F600" s="33" t="n">
        <v>46036.7152777778</v>
      </c>
      <c r="G600" s="34" t="n">
        <f aca="false">F600-E600</f>
        <v>0.0763888888888889</v>
      </c>
      <c r="H600" s="39" t="s">
        <v>283</v>
      </c>
      <c r="I600" s="32" t="s">
        <v>284</v>
      </c>
      <c r="J600" s="39" t="s">
        <v>285</v>
      </c>
      <c r="K600" s="32" t="e">
        <f aca="false">_xlfn.xlookup(J600,[1]REF!$D$2:$D$12,[1]REF!$E$2:$E$12)</f>
        <v>#NAME?</v>
      </c>
      <c r="L600" s="32" t="s">
        <v>485</v>
      </c>
      <c r="M600" s="39" t="s">
        <v>288</v>
      </c>
      <c r="N600" s="39" t="s">
        <v>289</v>
      </c>
      <c r="O600" s="32" t="s">
        <v>486</v>
      </c>
      <c r="P600" s="40" t="str">
        <f aca="false">_xlfn.CONCAT(B600,C600,D600,E600,F600)</f>
        <v>BC Corumba2.2U02.I0246036.638888888946036.638888888946036.7152777778</v>
      </c>
      <c r="Q600" s="32" t="str">
        <f aca="false">_xlfn.CONCAT(H600,I600,J600)</f>
        <v>LIGRFOCOM</v>
      </c>
    </row>
    <row r="601" customFormat="false" ht="15" hidden="false" customHeight="false" outlineLevel="0" collapsed="false">
      <c r="B601" s="32" t="s">
        <v>500</v>
      </c>
      <c r="C601" s="32" t="s">
        <v>490</v>
      </c>
      <c r="D601" s="33" t="n">
        <v>46036.6388888889</v>
      </c>
      <c r="E601" s="33" t="n">
        <v>46036.6388888889</v>
      </c>
      <c r="F601" s="33" t="n">
        <v>46036.7152777778</v>
      </c>
      <c r="G601" s="34" t="n">
        <f aca="false">F601-E601</f>
        <v>0.0763888888888889</v>
      </c>
      <c r="H601" s="39" t="s">
        <v>283</v>
      </c>
      <c r="I601" s="32" t="s">
        <v>284</v>
      </c>
      <c r="J601" s="39" t="s">
        <v>285</v>
      </c>
      <c r="K601" s="32" t="e">
        <f aca="false">_xlfn.xlookup(J601,[1]REF!$D$2:$D$12,[1]REF!$E$2:$E$12)</f>
        <v>#NAME?</v>
      </c>
      <c r="L601" s="32" t="s">
        <v>485</v>
      </c>
      <c r="M601" s="39" t="s">
        <v>288</v>
      </c>
      <c r="N601" s="39" t="s">
        <v>289</v>
      </c>
      <c r="O601" s="32" t="s">
        <v>486</v>
      </c>
      <c r="P601" s="40" t="str">
        <f aca="false">_xlfn.CONCAT(B601,C601,D601,E601,F601)</f>
        <v>BC Corumba2.2U02.I0346036.638888888946036.638888888946036.7152777778</v>
      </c>
      <c r="Q601" s="32" t="str">
        <f aca="false">_xlfn.CONCAT(H601,I601,J601)</f>
        <v>LIGRFOCOM</v>
      </c>
    </row>
    <row r="602" customFormat="false" ht="15" hidden="false" customHeight="false" outlineLevel="0" collapsed="false">
      <c r="B602" s="32" t="s">
        <v>500</v>
      </c>
      <c r="C602" s="32" t="s">
        <v>491</v>
      </c>
      <c r="D602" s="33" t="n">
        <v>46036.6388888889</v>
      </c>
      <c r="E602" s="33" t="n">
        <v>46036.6388888889</v>
      </c>
      <c r="F602" s="33" t="n">
        <v>46036.7152777778</v>
      </c>
      <c r="G602" s="34" t="n">
        <f aca="false">F602-E602</f>
        <v>0.0763888888888889</v>
      </c>
      <c r="H602" s="39" t="s">
        <v>283</v>
      </c>
      <c r="I602" s="32" t="s">
        <v>284</v>
      </c>
      <c r="J602" s="39" t="s">
        <v>285</v>
      </c>
      <c r="K602" s="32" t="e">
        <f aca="false">_xlfn.xlookup(J602,[1]REF!$D$2:$D$12,[1]REF!$E$2:$E$12)</f>
        <v>#NAME?</v>
      </c>
      <c r="L602" s="32" t="s">
        <v>485</v>
      </c>
      <c r="M602" s="39" t="s">
        <v>288</v>
      </c>
      <c r="N602" s="39" t="s">
        <v>289</v>
      </c>
      <c r="O602" s="32" t="s">
        <v>486</v>
      </c>
      <c r="P602" s="40" t="str">
        <f aca="false">_xlfn.CONCAT(B602,C602,D602,E602,F602)</f>
        <v>BC Corumba2.2U02.I0446036.638888888946036.638888888946036.7152777778</v>
      </c>
      <c r="Q602" s="32" t="str">
        <f aca="false">_xlfn.CONCAT(H602,I602,J602)</f>
        <v>LIGRFOCOM</v>
      </c>
    </row>
    <row r="603" customFormat="false" ht="15" hidden="false" customHeight="false" outlineLevel="0" collapsed="false">
      <c r="B603" s="32" t="s">
        <v>500</v>
      </c>
      <c r="C603" s="32" t="s">
        <v>492</v>
      </c>
      <c r="D603" s="33" t="n">
        <v>46036.6388888889</v>
      </c>
      <c r="E603" s="33" t="n">
        <v>46036.6388888889</v>
      </c>
      <c r="F603" s="33" t="n">
        <v>46036.7152777778</v>
      </c>
      <c r="G603" s="34" t="n">
        <f aca="false">F603-E603</f>
        <v>0.0763888888888889</v>
      </c>
      <c r="H603" s="39" t="s">
        <v>283</v>
      </c>
      <c r="I603" s="32" t="s">
        <v>284</v>
      </c>
      <c r="J603" s="39" t="s">
        <v>285</v>
      </c>
      <c r="K603" s="32" t="e">
        <f aca="false">_xlfn.xlookup(J603,[1]REF!$D$2:$D$12,[1]REF!$E$2:$E$12)</f>
        <v>#NAME?</v>
      </c>
      <c r="L603" s="32" t="s">
        <v>485</v>
      </c>
      <c r="M603" s="39" t="s">
        <v>288</v>
      </c>
      <c r="N603" s="39" t="s">
        <v>289</v>
      </c>
      <c r="O603" s="32" t="s">
        <v>486</v>
      </c>
      <c r="P603" s="40" t="str">
        <f aca="false">_xlfn.CONCAT(B603,C603,D603,E603,F603)</f>
        <v>BC Corumba2.2U02.I0546036.638888888946036.638888888946036.7152777778</v>
      </c>
      <c r="Q603" s="32" t="str">
        <f aca="false">_xlfn.CONCAT(H603,I603,J603)</f>
        <v>LIGRFOCOM</v>
      </c>
    </row>
    <row r="604" customFormat="false" ht="15" hidden="false" customHeight="false" outlineLevel="0" collapsed="false">
      <c r="B604" s="32" t="s">
        <v>501</v>
      </c>
      <c r="C604" s="32" t="s">
        <v>494</v>
      </c>
      <c r="D604" s="33" t="n">
        <v>46036.6388888889</v>
      </c>
      <c r="E604" s="33" t="n">
        <v>46036.6388888889</v>
      </c>
      <c r="F604" s="33" t="n">
        <v>46036.7152777778</v>
      </c>
      <c r="G604" s="34" t="n">
        <f aca="false">F604-E604</f>
        <v>0.0763888888888889</v>
      </c>
      <c r="H604" s="39" t="s">
        <v>283</v>
      </c>
      <c r="I604" s="32" t="s">
        <v>284</v>
      </c>
      <c r="J604" s="39" t="s">
        <v>285</v>
      </c>
      <c r="K604" s="32" t="e">
        <f aca="false">_xlfn.xlookup(J604,[1]REF!$D$2:$D$12,[1]REF!$E$2:$E$12)</f>
        <v>#NAME?</v>
      </c>
      <c r="L604" s="32" t="s">
        <v>485</v>
      </c>
      <c r="M604" s="39" t="s">
        <v>288</v>
      </c>
      <c r="N604" s="39" t="s">
        <v>289</v>
      </c>
      <c r="O604" s="32" t="s">
        <v>486</v>
      </c>
      <c r="P604" s="40" t="str">
        <f aca="false">_xlfn.CONCAT(B604,C604,D604,E604,F604)</f>
        <v>BC Corumba2.3U03.I0146036.638888888946036.638888888946036.7152777778</v>
      </c>
      <c r="Q604" s="32" t="str">
        <f aca="false">_xlfn.CONCAT(H604,I604,J604)</f>
        <v>LIGRFOCOM</v>
      </c>
    </row>
    <row r="605" customFormat="false" ht="15" hidden="false" customHeight="false" outlineLevel="0" collapsed="false">
      <c r="B605" s="32" t="s">
        <v>501</v>
      </c>
      <c r="C605" s="32" t="s">
        <v>495</v>
      </c>
      <c r="D605" s="33" t="n">
        <v>46036.6388888889</v>
      </c>
      <c r="E605" s="33" t="n">
        <v>46036.6388888889</v>
      </c>
      <c r="F605" s="33" t="n">
        <v>46036.7152777778</v>
      </c>
      <c r="G605" s="34" t="n">
        <f aca="false">F605-E605</f>
        <v>0.0763888888888889</v>
      </c>
      <c r="H605" s="39" t="s">
        <v>283</v>
      </c>
      <c r="I605" s="32" t="s">
        <v>284</v>
      </c>
      <c r="J605" s="39" t="s">
        <v>285</v>
      </c>
      <c r="K605" s="32" t="e">
        <f aca="false">_xlfn.xlookup(J605,[1]REF!$D$2:$D$12,[1]REF!$E$2:$E$12)</f>
        <v>#NAME?</v>
      </c>
      <c r="L605" s="32" t="s">
        <v>485</v>
      </c>
      <c r="M605" s="39" t="s">
        <v>288</v>
      </c>
      <c r="N605" s="39" t="s">
        <v>289</v>
      </c>
      <c r="O605" s="32" t="s">
        <v>486</v>
      </c>
      <c r="P605" s="40" t="str">
        <f aca="false">_xlfn.CONCAT(B605,C605,D605,E605,F605)</f>
        <v>BC Corumba2.3U03.I0246036.638888888946036.638888888946036.7152777778</v>
      </c>
      <c r="Q605" s="32" t="str">
        <f aca="false">_xlfn.CONCAT(H605,I605,J605)</f>
        <v>LIGRFOCOM</v>
      </c>
    </row>
    <row r="606" customFormat="false" ht="15" hidden="false" customHeight="false" outlineLevel="0" collapsed="false">
      <c r="B606" s="32" t="s">
        <v>501</v>
      </c>
      <c r="C606" s="32" t="s">
        <v>496</v>
      </c>
      <c r="D606" s="33" t="n">
        <v>46036.6388888889</v>
      </c>
      <c r="E606" s="33" t="n">
        <v>46036.6388888889</v>
      </c>
      <c r="F606" s="33" t="n">
        <v>46036.7152777778</v>
      </c>
      <c r="G606" s="34" t="n">
        <f aca="false">F606-E606</f>
        <v>0.0763888888888889</v>
      </c>
      <c r="H606" s="39" t="s">
        <v>283</v>
      </c>
      <c r="I606" s="32" t="s">
        <v>284</v>
      </c>
      <c r="J606" s="39" t="s">
        <v>285</v>
      </c>
      <c r="K606" s="32" t="e">
        <f aca="false">_xlfn.xlookup(J606,[1]REF!$D$2:$D$12,[1]REF!$E$2:$E$12)</f>
        <v>#NAME?</v>
      </c>
      <c r="L606" s="32" t="s">
        <v>485</v>
      </c>
      <c r="M606" s="39" t="s">
        <v>288</v>
      </c>
      <c r="N606" s="39" t="s">
        <v>289</v>
      </c>
      <c r="O606" s="32" t="s">
        <v>486</v>
      </c>
      <c r="P606" s="40" t="str">
        <f aca="false">_xlfn.CONCAT(B606,C606,D606,E606,F606)</f>
        <v>BC Corumba2.3U03.I0346036.638888888946036.638888888946036.7152777778</v>
      </c>
      <c r="Q606" s="32" t="str">
        <f aca="false">_xlfn.CONCAT(H606,I606,J606)</f>
        <v>LIGRFOCOM</v>
      </c>
    </row>
    <row r="607" customFormat="false" ht="15" hidden="false" customHeight="false" outlineLevel="0" collapsed="false">
      <c r="B607" s="32" t="s">
        <v>358</v>
      </c>
      <c r="C607" s="32" t="s">
        <v>324</v>
      </c>
      <c r="D607" s="33" t="n">
        <v>46036.6763888889</v>
      </c>
      <c r="E607" s="33" t="n">
        <v>46036.6763888889</v>
      </c>
      <c r="F607" s="33" t="n">
        <v>46036.7152777778</v>
      </c>
      <c r="G607" s="34" t="n">
        <f aca="false">F607-E607</f>
        <v>0.0388888888888889</v>
      </c>
      <c r="H607" s="39" t="s">
        <v>252</v>
      </c>
      <c r="J607" s="39" t="s">
        <v>253</v>
      </c>
      <c r="K607" s="32" t="s">
        <v>266</v>
      </c>
      <c r="L607" s="46" t="s">
        <v>359</v>
      </c>
      <c r="M607" s="39" t="s">
        <v>255</v>
      </c>
      <c r="N607" s="39" t="s">
        <v>268</v>
      </c>
      <c r="O607" s="32" t="s">
        <v>269</v>
      </c>
      <c r="P607" s="40" t="str">
        <f aca="false">_xlfn.CONCAT(B607,C607,D607,E607,F607)</f>
        <v>ARAGUATINS 1.1Inverter(MBUS-12)46036.676388888946036.676388888946036.7152777778</v>
      </c>
      <c r="Q607" s="32" t="str">
        <f aca="false">_xlfn.CONCAT(H607,I607,J607)</f>
        <v>DAURDE</v>
      </c>
    </row>
    <row r="608" customFormat="false" ht="15" hidden="false" customHeight="false" outlineLevel="0" collapsed="false">
      <c r="B608" s="32" t="s">
        <v>358</v>
      </c>
      <c r="C608" s="32" t="s">
        <v>326</v>
      </c>
      <c r="D608" s="33" t="n">
        <v>46036.6763888889</v>
      </c>
      <c r="E608" s="33" t="n">
        <v>46036.6763888889</v>
      </c>
      <c r="F608" s="33" t="n">
        <v>46036.7152777778</v>
      </c>
      <c r="G608" s="34" t="n">
        <f aca="false">F608-E608</f>
        <v>0.0388888888888889</v>
      </c>
      <c r="H608" s="39" t="s">
        <v>252</v>
      </c>
      <c r="J608" s="39" t="s">
        <v>253</v>
      </c>
      <c r="K608" s="32" t="s">
        <v>266</v>
      </c>
      <c r="L608" s="46" t="s">
        <v>359</v>
      </c>
      <c r="M608" s="39" t="s">
        <v>255</v>
      </c>
      <c r="N608" s="39" t="s">
        <v>268</v>
      </c>
      <c r="O608" s="32" t="s">
        <v>269</v>
      </c>
      <c r="P608" s="40" t="str">
        <f aca="false">_xlfn.CONCAT(B608,C608,D608,E608,F608)</f>
        <v>ARAGUATINS 1.1Inverter(MBUS-13)46036.676388888946036.676388888946036.7152777778</v>
      </c>
      <c r="Q608" s="32" t="str">
        <f aca="false">_xlfn.CONCAT(H608,I608,J608)</f>
        <v>DAURDE</v>
      </c>
    </row>
    <row r="609" customFormat="false" ht="15" hidden="false" customHeight="false" outlineLevel="0" collapsed="false">
      <c r="B609" s="32" t="s">
        <v>358</v>
      </c>
      <c r="C609" s="32" t="s">
        <v>327</v>
      </c>
      <c r="D609" s="33" t="n">
        <v>46036.6763888889</v>
      </c>
      <c r="E609" s="33" t="n">
        <v>46036.6763888889</v>
      </c>
      <c r="F609" s="33" t="n">
        <v>46036.7152777778</v>
      </c>
      <c r="G609" s="34" t="n">
        <f aca="false">F609-E609</f>
        <v>0.0388888888888889</v>
      </c>
      <c r="H609" s="39" t="s">
        <v>252</v>
      </c>
      <c r="J609" s="39" t="s">
        <v>253</v>
      </c>
      <c r="K609" s="32" t="s">
        <v>266</v>
      </c>
      <c r="L609" s="46" t="s">
        <v>359</v>
      </c>
      <c r="M609" s="39" t="s">
        <v>255</v>
      </c>
      <c r="N609" s="39" t="s">
        <v>268</v>
      </c>
      <c r="O609" s="32" t="s">
        <v>269</v>
      </c>
      <c r="P609" s="40" t="str">
        <f aca="false">_xlfn.CONCAT(B609,C609,D609,E609,F609)</f>
        <v>ARAGUATINS 1.1Inverter(MBUS-14)46036.676388888946036.676388888946036.7152777778</v>
      </c>
      <c r="Q609" s="32" t="str">
        <f aca="false">_xlfn.CONCAT(H609,I609,J609)</f>
        <v>DAURDE</v>
      </c>
    </row>
    <row r="610" customFormat="false" ht="15" hidden="false" customHeight="false" outlineLevel="0" collapsed="false">
      <c r="B610" s="32" t="s">
        <v>358</v>
      </c>
      <c r="C610" s="32" t="s">
        <v>328</v>
      </c>
      <c r="D610" s="33" t="n">
        <v>46036.6763888889</v>
      </c>
      <c r="E610" s="33" t="n">
        <v>46036.6763888889</v>
      </c>
      <c r="F610" s="33" t="n">
        <v>46036.7152777778</v>
      </c>
      <c r="G610" s="34" t="n">
        <f aca="false">F610-E610</f>
        <v>0.0388888888888889</v>
      </c>
      <c r="H610" s="39" t="s">
        <v>252</v>
      </c>
      <c r="J610" s="39" t="s">
        <v>253</v>
      </c>
      <c r="K610" s="32" t="s">
        <v>266</v>
      </c>
      <c r="L610" s="46" t="s">
        <v>359</v>
      </c>
      <c r="M610" s="39" t="s">
        <v>255</v>
      </c>
      <c r="N610" s="39" t="s">
        <v>268</v>
      </c>
      <c r="O610" s="32" t="s">
        <v>269</v>
      </c>
      <c r="P610" s="40" t="str">
        <f aca="false">_xlfn.CONCAT(B610,C610,D610,E610,F610)</f>
        <v>ARAGUATINS 1.1Inverter(MBUS-15)46036.676388888946036.676388888946036.7152777778</v>
      </c>
      <c r="Q610" s="32" t="str">
        <f aca="false">_xlfn.CONCAT(H610,I610,J610)</f>
        <v>DAURDE</v>
      </c>
    </row>
    <row r="611" customFormat="false" ht="15" hidden="false" customHeight="false" outlineLevel="0" collapsed="false">
      <c r="B611" s="32" t="s">
        <v>450</v>
      </c>
      <c r="C611" s="32" t="s">
        <v>326</v>
      </c>
      <c r="D611" s="33" t="n">
        <v>46036.7194444445</v>
      </c>
      <c r="E611" s="33" t="n">
        <v>46036.7194444445</v>
      </c>
      <c r="F611" s="33" t="n">
        <v>46036.8180555556</v>
      </c>
      <c r="G611" s="34" t="n">
        <f aca="false">F611-E611</f>
        <v>0.0986111111111111</v>
      </c>
      <c r="H611" s="39" t="s">
        <v>283</v>
      </c>
      <c r="I611" s="32" t="s">
        <v>284</v>
      </c>
      <c r="J611" s="39" t="s">
        <v>369</v>
      </c>
      <c r="K611" s="32" t="e">
        <f aca="false">_xlfn.xlookup(J611,[1]REF!D$1:D$1048576,[1]REF!E$1:E$1048576)</f>
        <v>#NAME?</v>
      </c>
      <c r="L611" s="32" t="s">
        <v>370</v>
      </c>
      <c r="M611" s="39" t="s">
        <v>371</v>
      </c>
      <c r="N611" s="39" t="s">
        <v>502</v>
      </c>
      <c r="O611" s="32" t="s">
        <v>503</v>
      </c>
      <c r="P611" s="40" t="str">
        <f aca="false">_xlfn.CONCAT(B611,C611,D611,E611,F611)</f>
        <v>BC Formoso1.1Inverter(MBUS-13)46036.719444444546036.719444444546036.8180555556</v>
      </c>
      <c r="Q611" s="32" t="str">
        <f aca="false">_xlfn.CONCAT(H611,I611,J611)</f>
        <v>LIGRFOINT</v>
      </c>
    </row>
    <row r="612" customFormat="false" ht="15" hidden="false" customHeight="false" outlineLevel="0" collapsed="false">
      <c r="B612" s="32" t="s">
        <v>450</v>
      </c>
      <c r="C612" s="32" t="s">
        <v>324</v>
      </c>
      <c r="D612" s="33" t="n">
        <v>46036.7194444445</v>
      </c>
      <c r="E612" s="33" t="n">
        <v>46036.7194444445</v>
      </c>
      <c r="F612" s="33" t="n">
        <v>46036.8180555556</v>
      </c>
      <c r="G612" s="34" t="n">
        <f aca="false">F612-E612</f>
        <v>0.0986111111111111</v>
      </c>
      <c r="H612" s="39" t="s">
        <v>283</v>
      </c>
      <c r="I612" s="32" t="s">
        <v>284</v>
      </c>
      <c r="J612" s="39" t="s">
        <v>369</v>
      </c>
      <c r="K612" s="32" t="e">
        <f aca="false">_xlfn.xlookup(J612,[1]REF!D$1:D$1048576,[1]REF!E$1:E$1048576)</f>
        <v>#NAME?</v>
      </c>
      <c r="L612" s="32" t="s">
        <v>370</v>
      </c>
      <c r="M612" s="39" t="s">
        <v>371</v>
      </c>
      <c r="N612" s="39" t="s">
        <v>502</v>
      </c>
      <c r="O612" s="32" t="s">
        <v>503</v>
      </c>
      <c r="P612" s="40" t="str">
        <f aca="false">_xlfn.CONCAT(B612,C612,D612,E612,F612)</f>
        <v>BC Formoso1.1Inverter(MBUS-12)46036.719444444546036.719444444546036.8180555556</v>
      </c>
      <c r="Q612" s="32" t="str">
        <f aca="false">_xlfn.CONCAT(H612,I612,J612)</f>
        <v>LIGRFOINT</v>
      </c>
    </row>
    <row r="613" customFormat="false" ht="15" hidden="false" customHeight="false" outlineLevel="0" collapsed="false">
      <c r="B613" s="32" t="s">
        <v>450</v>
      </c>
      <c r="C613" s="32" t="s">
        <v>328</v>
      </c>
      <c r="D613" s="33" t="n">
        <v>46036.7194444445</v>
      </c>
      <c r="E613" s="33" t="n">
        <v>46036.7194444445</v>
      </c>
      <c r="F613" s="33" t="n">
        <v>46036.8180555556</v>
      </c>
      <c r="G613" s="34" t="n">
        <f aca="false">F613-E613</f>
        <v>0.0986111111111111</v>
      </c>
      <c r="H613" s="39" t="s">
        <v>283</v>
      </c>
      <c r="I613" s="32" t="s">
        <v>284</v>
      </c>
      <c r="J613" s="39" t="s">
        <v>369</v>
      </c>
      <c r="K613" s="32" t="e">
        <f aca="false">_xlfn.xlookup(J613,[1]REF!D$1:D$1048576,[1]REF!E$1:E$1048576)</f>
        <v>#NAME?</v>
      </c>
      <c r="L613" s="32" t="s">
        <v>370</v>
      </c>
      <c r="M613" s="39" t="s">
        <v>371</v>
      </c>
      <c r="N613" s="39" t="s">
        <v>502</v>
      </c>
      <c r="O613" s="32" t="s">
        <v>503</v>
      </c>
      <c r="P613" s="40" t="str">
        <f aca="false">_xlfn.CONCAT(B613,C613,D613,E613,F613)</f>
        <v>BC Formoso1.1Inverter(MBUS-15)46036.719444444546036.719444444546036.8180555556</v>
      </c>
      <c r="Q613" s="32" t="str">
        <f aca="false">_xlfn.CONCAT(H613,I613,J613)</f>
        <v>LIGRFOINT</v>
      </c>
    </row>
    <row r="614" customFormat="false" ht="15" hidden="false" customHeight="false" outlineLevel="0" collapsed="false">
      <c r="B614" s="32" t="s">
        <v>450</v>
      </c>
      <c r="C614" s="32" t="s">
        <v>327</v>
      </c>
      <c r="D614" s="33" t="n">
        <v>46036.7194444445</v>
      </c>
      <c r="E614" s="33" t="n">
        <v>46036.7194444445</v>
      </c>
      <c r="F614" s="33" t="n">
        <v>46036.8180555556</v>
      </c>
      <c r="G614" s="34" t="n">
        <f aca="false">F614-E614</f>
        <v>0.0986111111111111</v>
      </c>
      <c r="H614" s="39" t="s">
        <v>283</v>
      </c>
      <c r="I614" s="32" t="s">
        <v>284</v>
      </c>
      <c r="J614" s="39" t="s">
        <v>369</v>
      </c>
      <c r="K614" s="32" t="e">
        <f aca="false">_xlfn.xlookup(J614,[1]REF!D$1:D$1048576,[1]REF!E$1:E$1048576)</f>
        <v>#NAME?</v>
      </c>
      <c r="L614" s="32" t="s">
        <v>370</v>
      </c>
      <c r="M614" s="39" t="s">
        <v>371</v>
      </c>
      <c r="N614" s="39" t="s">
        <v>502</v>
      </c>
      <c r="O614" s="32" t="s">
        <v>503</v>
      </c>
      <c r="P614" s="40" t="str">
        <f aca="false">_xlfn.CONCAT(B614,C614,D614,E614,F614)</f>
        <v>BC Formoso1.1Inverter(MBUS-14)46036.719444444546036.719444444546036.8180555556</v>
      </c>
      <c r="Q614" s="32" t="str">
        <f aca="false">_xlfn.CONCAT(H614,I614,J614)</f>
        <v>LIGRFOINT</v>
      </c>
    </row>
    <row r="615" customFormat="false" ht="15" hidden="false" customHeight="false" outlineLevel="0" collapsed="false">
      <c r="B615" s="32" t="s">
        <v>337</v>
      </c>
      <c r="C615" s="32" t="s">
        <v>326</v>
      </c>
      <c r="D615" s="33" t="n">
        <v>46036.7194444445</v>
      </c>
      <c r="E615" s="33" t="n">
        <v>46036.7194444445</v>
      </c>
      <c r="F615" s="33" t="n">
        <v>46036.8180555556</v>
      </c>
      <c r="G615" s="34" t="n">
        <f aca="false">F615-E615</f>
        <v>0.0986111111111111</v>
      </c>
      <c r="H615" s="39" t="s">
        <v>283</v>
      </c>
      <c r="I615" s="32" t="s">
        <v>284</v>
      </c>
      <c r="J615" s="39" t="s">
        <v>369</v>
      </c>
      <c r="K615" s="32" t="e">
        <f aca="false">_xlfn.xlookup(J615,[1]REF!D$1:D$1048576,[1]REF!E$1:E$1048576)</f>
        <v>#NAME?</v>
      </c>
      <c r="L615" s="32" t="s">
        <v>370</v>
      </c>
      <c r="M615" s="39" t="s">
        <v>371</v>
      </c>
      <c r="N615" s="39" t="s">
        <v>502</v>
      </c>
      <c r="O615" s="32" t="s">
        <v>503</v>
      </c>
      <c r="P615" s="40" t="str">
        <f aca="false">_xlfn.CONCAT(B615,C615,D615,E615,F615)</f>
        <v>BC Formoso1.2Inverter(MBUS-13)46036.719444444546036.719444444546036.8180555556</v>
      </c>
      <c r="Q615" s="32" t="str">
        <f aca="false">_xlfn.CONCAT(H615,I615,J615)</f>
        <v>LIGRFOINT</v>
      </c>
    </row>
    <row r="616" customFormat="false" ht="15" hidden="false" customHeight="false" outlineLevel="0" collapsed="false">
      <c r="B616" s="32" t="s">
        <v>337</v>
      </c>
      <c r="C616" s="32" t="s">
        <v>324</v>
      </c>
      <c r="D616" s="33" t="n">
        <v>46036.7194444445</v>
      </c>
      <c r="E616" s="33" t="n">
        <v>46036.7194444445</v>
      </c>
      <c r="F616" s="33" t="n">
        <v>46036.8180555556</v>
      </c>
      <c r="G616" s="34" t="n">
        <f aca="false">F616-E616</f>
        <v>0.0986111111111111</v>
      </c>
      <c r="H616" s="39" t="s">
        <v>283</v>
      </c>
      <c r="I616" s="32" t="s">
        <v>284</v>
      </c>
      <c r="J616" s="39" t="s">
        <v>369</v>
      </c>
      <c r="K616" s="32" t="e">
        <f aca="false">_xlfn.xlookup(J616,[1]REF!D$1:D$1048576,[1]REF!E$1:E$1048576)</f>
        <v>#NAME?</v>
      </c>
      <c r="L616" s="32" t="s">
        <v>370</v>
      </c>
      <c r="M616" s="39" t="s">
        <v>371</v>
      </c>
      <c r="N616" s="39" t="s">
        <v>502</v>
      </c>
      <c r="O616" s="32" t="s">
        <v>503</v>
      </c>
      <c r="P616" s="40" t="str">
        <f aca="false">_xlfn.CONCAT(B616,C616,D616,E616,F616)</f>
        <v>BC Formoso1.2Inverter(MBUS-12)46036.719444444546036.719444444546036.8180555556</v>
      </c>
      <c r="Q616" s="32" t="str">
        <f aca="false">_xlfn.CONCAT(H616,I616,J616)</f>
        <v>LIGRFOINT</v>
      </c>
    </row>
    <row r="617" customFormat="false" ht="15" hidden="false" customHeight="false" outlineLevel="0" collapsed="false">
      <c r="B617" s="32" t="s">
        <v>337</v>
      </c>
      <c r="C617" s="32" t="s">
        <v>328</v>
      </c>
      <c r="D617" s="33" t="n">
        <v>46036.7194444445</v>
      </c>
      <c r="E617" s="33" t="n">
        <v>46036.7194444445</v>
      </c>
      <c r="F617" s="33" t="n">
        <v>46036.8180555556</v>
      </c>
      <c r="G617" s="34" t="n">
        <f aca="false">F617-E617</f>
        <v>0.0986111111111111</v>
      </c>
      <c r="H617" s="39" t="s">
        <v>283</v>
      </c>
      <c r="I617" s="32" t="s">
        <v>284</v>
      </c>
      <c r="J617" s="39" t="s">
        <v>369</v>
      </c>
      <c r="K617" s="32" t="e">
        <f aca="false">_xlfn.xlookup(J617,[1]REF!D$1:D$1048576,[1]REF!E$1:E$1048576)</f>
        <v>#NAME?</v>
      </c>
      <c r="L617" s="32" t="s">
        <v>370</v>
      </c>
      <c r="M617" s="39" t="s">
        <v>371</v>
      </c>
      <c r="N617" s="39" t="s">
        <v>502</v>
      </c>
      <c r="O617" s="32" t="s">
        <v>503</v>
      </c>
      <c r="P617" s="40" t="str">
        <f aca="false">_xlfn.CONCAT(B617,C617,D617,E617,F617)</f>
        <v>BC Formoso1.2Inverter(MBUS-15)46036.719444444546036.719444444546036.8180555556</v>
      </c>
      <c r="Q617" s="32" t="str">
        <f aca="false">_xlfn.CONCAT(H617,I617,J617)</f>
        <v>LIGRFOINT</v>
      </c>
    </row>
    <row r="618" customFormat="false" ht="15" hidden="false" customHeight="false" outlineLevel="0" collapsed="false">
      <c r="B618" s="32" t="s">
        <v>337</v>
      </c>
      <c r="C618" s="32" t="s">
        <v>327</v>
      </c>
      <c r="D618" s="33" t="n">
        <v>46036.7194444445</v>
      </c>
      <c r="E618" s="33" t="n">
        <v>46036.7194444445</v>
      </c>
      <c r="F618" s="33" t="n">
        <v>46036.8180555556</v>
      </c>
      <c r="G618" s="34" t="n">
        <f aca="false">F618-E618</f>
        <v>0.0986111111111111</v>
      </c>
      <c r="H618" s="39" t="s">
        <v>283</v>
      </c>
      <c r="I618" s="32" t="s">
        <v>284</v>
      </c>
      <c r="J618" s="39" t="s">
        <v>369</v>
      </c>
      <c r="K618" s="32" t="e">
        <f aca="false">_xlfn.xlookup(J618,[1]REF!D$1:D$1048576,[1]REF!E$1:E$1048576)</f>
        <v>#NAME?</v>
      </c>
      <c r="L618" s="32" t="s">
        <v>370</v>
      </c>
      <c r="M618" s="39" t="s">
        <v>371</v>
      </c>
      <c r="N618" s="39" t="s">
        <v>502</v>
      </c>
      <c r="O618" s="32" t="s">
        <v>503</v>
      </c>
      <c r="P618" s="40" t="str">
        <f aca="false">_xlfn.CONCAT(B618,C618,D618,E618,F618)</f>
        <v>BC Formoso1.2Inverter(MBUS-14)46036.719444444546036.719444444546036.8180555556</v>
      </c>
      <c r="Q618" s="32" t="str">
        <f aca="false">_xlfn.CONCAT(H618,I618,J618)</f>
        <v>LIGRFOINT</v>
      </c>
    </row>
    <row r="619" customFormat="false" ht="15" hidden="false" customHeight="false" outlineLevel="0" collapsed="false">
      <c r="B619" s="32" t="s">
        <v>451</v>
      </c>
      <c r="C619" s="32" t="s">
        <v>326</v>
      </c>
      <c r="D619" s="33" t="n">
        <v>46036.7194444445</v>
      </c>
      <c r="E619" s="33" t="n">
        <v>46036.7194444445</v>
      </c>
      <c r="F619" s="33" t="n">
        <v>46036.8180555556</v>
      </c>
      <c r="G619" s="34" t="n">
        <f aca="false">F619-E619</f>
        <v>0.0986111111111111</v>
      </c>
      <c r="H619" s="39" t="s">
        <v>283</v>
      </c>
      <c r="I619" s="32" t="s">
        <v>284</v>
      </c>
      <c r="J619" s="39" t="s">
        <v>369</v>
      </c>
      <c r="K619" s="32" t="e">
        <f aca="false">_xlfn.xlookup(J619,[1]REF!D$1:D$1048576,[1]REF!E$1:E$1048576)</f>
        <v>#NAME?</v>
      </c>
      <c r="L619" s="32" t="s">
        <v>370</v>
      </c>
      <c r="M619" s="39" t="s">
        <v>371</v>
      </c>
      <c r="N619" s="39" t="s">
        <v>502</v>
      </c>
      <c r="O619" s="32" t="s">
        <v>503</v>
      </c>
      <c r="P619" s="40" t="str">
        <f aca="false">_xlfn.CONCAT(B619,C619,D619,E619,F619)</f>
        <v>BC Formoso1.3Inverter(MBUS-13)46036.719444444546036.719444444546036.8180555556</v>
      </c>
      <c r="Q619" s="32" t="str">
        <f aca="false">_xlfn.CONCAT(H619,I619,J619)</f>
        <v>LIGRFOINT</v>
      </c>
    </row>
    <row r="620" customFormat="false" ht="15" hidden="false" customHeight="false" outlineLevel="0" collapsed="false">
      <c r="B620" s="32" t="s">
        <v>451</v>
      </c>
      <c r="C620" s="32" t="s">
        <v>324</v>
      </c>
      <c r="D620" s="33" t="n">
        <v>46036.7194444445</v>
      </c>
      <c r="E620" s="33" t="n">
        <v>46036.7194444445</v>
      </c>
      <c r="F620" s="33" t="n">
        <v>46036.8180555556</v>
      </c>
      <c r="G620" s="34" t="n">
        <f aca="false">F620-E620</f>
        <v>0.0986111111111111</v>
      </c>
      <c r="H620" s="39" t="s">
        <v>283</v>
      </c>
      <c r="I620" s="32" t="s">
        <v>284</v>
      </c>
      <c r="J620" s="39" t="s">
        <v>369</v>
      </c>
      <c r="K620" s="32" t="e">
        <f aca="false">_xlfn.xlookup(J620,[1]REF!D$1:D$1048576,[1]REF!E$1:E$1048576)</f>
        <v>#NAME?</v>
      </c>
      <c r="L620" s="32" t="s">
        <v>370</v>
      </c>
      <c r="M620" s="39" t="s">
        <v>371</v>
      </c>
      <c r="N620" s="39" t="s">
        <v>502</v>
      </c>
      <c r="O620" s="32" t="s">
        <v>503</v>
      </c>
      <c r="P620" s="40" t="str">
        <f aca="false">_xlfn.CONCAT(B620,C620,D620,E620,F620)</f>
        <v>BC Formoso1.3Inverter(MBUS-12)46036.719444444546036.719444444546036.8180555556</v>
      </c>
      <c r="Q620" s="32" t="str">
        <f aca="false">_xlfn.CONCAT(H620,I620,J620)</f>
        <v>LIGRFOINT</v>
      </c>
    </row>
    <row r="621" customFormat="false" ht="15" hidden="false" customHeight="false" outlineLevel="0" collapsed="false">
      <c r="B621" s="32" t="s">
        <v>339</v>
      </c>
      <c r="C621" s="32" t="s">
        <v>324</v>
      </c>
      <c r="D621" s="33" t="n">
        <v>46036.7194444445</v>
      </c>
      <c r="E621" s="33" t="n">
        <v>46036.7194444445</v>
      </c>
      <c r="F621" s="33" t="n">
        <v>46036.8180555556</v>
      </c>
      <c r="G621" s="34" t="n">
        <f aca="false">F621-E621</f>
        <v>0.0986111111111111</v>
      </c>
      <c r="H621" s="39" t="s">
        <v>283</v>
      </c>
      <c r="I621" s="32" t="s">
        <v>284</v>
      </c>
      <c r="J621" s="39" t="s">
        <v>369</v>
      </c>
      <c r="K621" s="32" t="e">
        <f aca="false">_xlfn.xlookup(J621,[1]REF!D$1:D$1048576,[1]REF!E$1:E$1048576)</f>
        <v>#NAME?</v>
      </c>
      <c r="L621" s="32" t="s">
        <v>370</v>
      </c>
      <c r="M621" s="39" t="s">
        <v>371</v>
      </c>
      <c r="N621" s="39" t="s">
        <v>502</v>
      </c>
      <c r="O621" s="32" t="s">
        <v>503</v>
      </c>
      <c r="P621" s="40" t="str">
        <f aca="false">_xlfn.CONCAT(B621,C621,D621,E621,F621)</f>
        <v>BC Formoso2.1Inverter(MBUS-12)46036.719444444546036.719444444546036.8180555556</v>
      </c>
      <c r="Q621" s="32" t="str">
        <f aca="false">_xlfn.CONCAT(H621,I621,J621)</f>
        <v>LIGRFOINT</v>
      </c>
    </row>
    <row r="622" customFormat="false" ht="15" hidden="false" customHeight="false" outlineLevel="0" collapsed="false">
      <c r="B622" s="32" t="s">
        <v>339</v>
      </c>
      <c r="C622" s="32" t="s">
        <v>327</v>
      </c>
      <c r="D622" s="33" t="n">
        <v>46036.7194444445</v>
      </c>
      <c r="E622" s="33" t="n">
        <v>46036.7194444445</v>
      </c>
      <c r="F622" s="33" t="n">
        <v>46036.8180555556</v>
      </c>
      <c r="G622" s="34" t="n">
        <f aca="false">F622-E622</f>
        <v>0.0986111111111111</v>
      </c>
      <c r="H622" s="39" t="s">
        <v>283</v>
      </c>
      <c r="I622" s="32" t="s">
        <v>284</v>
      </c>
      <c r="J622" s="39" t="s">
        <v>369</v>
      </c>
      <c r="K622" s="32" t="e">
        <f aca="false">_xlfn.xlookup(J622,[1]REF!D$1:D$1048576,[1]REF!E$1:E$1048576)</f>
        <v>#NAME?</v>
      </c>
      <c r="L622" s="32" t="s">
        <v>370</v>
      </c>
      <c r="M622" s="39" t="s">
        <v>371</v>
      </c>
      <c r="N622" s="39" t="s">
        <v>502</v>
      </c>
      <c r="O622" s="32" t="s">
        <v>503</v>
      </c>
      <c r="P622" s="40" t="str">
        <f aca="false">_xlfn.CONCAT(B622,C622,D622,E622,F622)</f>
        <v>BC Formoso2.1Inverter(MBUS-14)46036.719444444546036.719444444546036.8180555556</v>
      </c>
      <c r="Q622" s="32" t="str">
        <f aca="false">_xlfn.CONCAT(H622,I622,J622)</f>
        <v>LIGRFOINT</v>
      </c>
    </row>
    <row r="623" customFormat="false" ht="15" hidden="false" customHeight="false" outlineLevel="0" collapsed="false">
      <c r="B623" s="32" t="s">
        <v>339</v>
      </c>
      <c r="C623" s="32" t="s">
        <v>326</v>
      </c>
      <c r="D623" s="33" t="n">
        <v>46036.7194444445</v>
      </c>
      <c r="E623" s="33" t="n">
        <v>46036.7194444445</v>
      </c>
      <c r="F623" s="33" t="n">
        <v>46036.8180555556</v>
      </c>
      <c r="G623" s="34" t="n">
        <f aca="false">F623-E623</f>
        <v>0.0986111111111111</v>
      </c>
      <c r="H623" s="39" t="s">
        <v>283</v>
      </c>
      <c r="I623" s="32" t="s">
        <v>284</v>
      </c>
      <c r="J623" s="39" t="s">
        <v>369</v>
      </c>
      <c r="K623" s="32" t="e">
        <f aca="false">_xlfn.xlookup(J623,[1]REF!D$1:D$1048576,[1]REF!E$1:E$1048576)</f>
        <v>#NAME?</v>
      </c>
      <c r="L623" s="32" t="s">
        <v>370</v>
      </c>
      <c r="M623" s="39" t="s">
        <v>371</v>
      </c>
      <c r="N623" s="39" t="s">
        <v>502</v>
      </c>
      <c r="O623" s="32" t="s">
        <v>503</v>
      </c>
      <c r="P623" s="40" t="str">
        <f aca="false">_xlfn.CONCAT(B623,C623,D623,E623,F623)</f>
        <v>BC Formoso2.1Inverter(MBUS-13)46036.719444444546036.719444444546036.8180555556</v>
      </c>
      <c r="Q623" s="32" t="str">
        <f aca="false">_xlfn.CONCAT(H623,I623,J623)</f>
        <v>LIGRFOINT</v>
      </c>
    </row>
    <row r="624" customFormat="false" ht="15" hidden="false" customHeight="false" outlineLevel="0" collapsed="false">
      <c r="B624" s="32" t="s">
        <v>339</v>
      </c>
      <c r="C624" s="32" t="s">
        <v>265</v>
      </c>
      <c r="D624" s="33" t="n">
        <v>46036.7194444445</v>
      </c>
      <c r="E624" s="33" t="n">
        <v>46036.7194444445</v>
      </c>
      <c r="F624" s="33" t="n">
        <v>46036.8180555556</v>
      </c>
      <c r="G624" s="34" t="n">
        <f aca="false">F624-E624</f>
        <v>0.0986111111111111</v>
      </c>
      <c r="H624" s="39" t="s">
        <v>283</v>
      </c>
      <c r="I624" s="32" t="s">
        <v>284</v>
      </c>
      <c r="J624" s="39" t="s">
        <v>369</v>
      </c>
      <c r="K624" s="32" t="e">
        <f aca="false">_xlfn.xlookup(J624,[1]REF!D$1:D$1048576,[1]REF!E$1:E$1048576)</f>
        <v>#NAME?</v>
      </c>
      <c r="L624" s="32" t="s">
        <v>370</v>
      </c>
      <c r="M624" s="39" t="s">
        <v>371</v>
      </c>
      <c r="N624" s="39" t="s">
        <v>502</v>
      </c>
      <c r="O624" s="32" t="s">
        <v>503</v>
      </c>
      <c r="P624" s="40" t="str">
        <f aca="false">_xlfn.CONCAT(B624,C624,D624,E624,F624)</f>
        <v>BC Formoso2.1Inverter(MBUS-1)46036.719444444546036.719444444546036.8180555556</v>
      </c>
      <c r="Q624" s="32" t="str">
        <f aca="false">_xlfn.CONCAT(H624,I624,J624)</f>
        <v>LIGRFOINT</v>
      </c>
    </row>
    <row r="625" customFormat="false" ht="15" hidden="false" customHeight="false" outlineLevel="0" collapsed="false">
      <c r="B625" s="32" t="s">
        <v>340</v>
      </c>
      <c r="C625" s="32" t="s">
        <v>327</v>
      </c>
      <c r="D625" s="33" t="n">
        <v>46036.7194444445</v>
      </c>
      <c r="E625" s="33" t="n">
        <v>46036.7194444445</v>
      </c>
      <c r="F625" s="33" t="n">
        <v>46036.8180555556</v>
      </c>
      <c r="G625" s="34" t="n">
        <f aca="false">F625-E625</f>
        <v>0.0986111111111111</v>
      </c>
      <c r="H625" s="39" t="s">
        <v>283</v>
      </c>
      <c r="I625" s="32" t="s">
        <v>284</v>
      </c>
      <c r="J625" s="39" t="s">
        <v>369</v>
      </c>
      <c r="K625" s="32" t="e">
        <f aca="false">_xlfn.xlookup(J625,[1]REF!D$1:D$1048576,[1]REF!E$1:E$1048576)</f>
        <v>#NAME?</v>
      </c>
      <c r="L625" s="32" t="s">
        <v>370</v>
      </c>
      <c r="M625" s="39" t="s">
        <v>371</v>
      </c>
      <c r="N625" s="39" t="s">
        <v>502</v>
      </c>
      <c r="O625" s="32" t="s">
        <v>503</v>
      </c>
      <c r="P625" s="40" t="str">
        <f aca="false">_xlfn.CONCAT(B625,C625,D625,E625,F625)</f>
        <v>BC Formoso2.2Inverter(MBUS-14)46036.719444444546036.719444444546036.8180555556</v>
      </c>
      <c r="Q625" s="32" t="str">
        <f aca="false">_xlfn.CONCAT(H625,I625,J625)</f>
        <v>LIGRFOINT</v>
      </c>
    </row>
    <row r="626" customFormat="false" ht="15" hidden="false" customHeight="false" outlineLevel="0" collapsed="false">
      <c r="B626" s="32" t="s">
        <v>340</v>
      </c>
      <c r="C626" s="32" t="s">
        <v>326</v>
      </c>
      <c r="D626" s="33" t="n">
        <v>46036.7194444445</v>
      </c>
      <c r="E626" s="33" t="n">
        <v>46036.7194444445</v>
      </c>
      <c r="F626" s="33" t="n">
        <v>46036.8180555556</v>
      </c>
      <c r="G626" s="34" t="n">
        <f aca="false">F626-E626</f>
        <v>0.0986111111111111</v>
      </c>
      <c r="H626" s="39" t="s">
        <v>283</v>
      </c>
      <c r="I626" s="32" t="s">
        <v>284</v>
      </c>
      <c r="J626" s="39" t="s">
        <v>369</v>
      </c>
      <c r="K626" s="32" t="e">
        <f aca="false">_xlfn.xlookup(J626,[1]REF!D$1:D$1048576,[1]REF!E$1:E$1048576)</f>
        <v>#NAME?</v>
      </c>
      <c r="L626" s="32" t="s">
        <v>370</v>
      </c>
      <c r="M626" s="39" t="s">
        <v>371</v>
      </c>
      <c r="N626" s="39" t="s">
        <v>502</v>
      </c>
      <c r="O626" s="32" t="s">
        <v>503</v>
      </c>
      <c r="P626" s="40" t="str">
        <f aca="false">_xlfn.CONCAT(B626,C626,D626,E626,F626)</f>
        <v>BC Formoso2.2Inverter(MBUS-13)46036.719444444546036.719444444546036.8180555556</v>
      </c>
      <c r="Q626" s="32" t="str">
        <f aca="false">_xlfn.CONCAT(H626,I626,J626)</f>
        <v>LIGRFOINT</v>
      </c>
    </row>
    <row r="627" customFormat="false" ht="15" hidden="false" customHeight="false" outlineLevel="0" collapsed="false">
      <c r="B627" s="32" t="s">
        <v>340</v>
      </c>
      <c r="C627" s="32" t="s">
        <v>324</v>
      </c>
      <c r="D627" s="33" t="n">
        <v>46036.7194444445</v>
      </c>
      <c r="E627" s="33" t="n">
        <v>46036.7194444445</v>
      </c>
      <c r="F627" s="33" t="n">
        <v>46036.8180555556</v>
      </c>
      <c r="G627" s="34" t="n">
        <f aca="false">F627-E627</f>
        <v>0.0986111111111111</v>
      </c>
      <c r="H627" s="39" t="s">
        <v>283</v>
      </c>
      <c r="I627" s="32" t="s">
        <v>284</v>
      </c>
      <c r="J627" s="39" t="s">
        <v>369</v>
      </c>
      <c r="K627" s="32" t="e">
        <f aca="false">_xlfn.xlookup(J627,[1]REF!D$1:D$1048576,[1]REF!E$1:E$1048576)</f>
        <v>#NAME?</v>
      </c>
      <c r="L627" s="32" t="s">
        <v>370</v>
      </c>
      <c r="M627" s="39" t="s">
        <v>371</v>
      </c>
      <c r="N627" s="39" t="s">
        <v>502</v>
      </c>
      <c r="O627" s="32" t="s">
        <v>503</v>
      </c>
      <c r="P627" s="40" t="str">
        <f aca="false">_xlfn.CONCAT(B627,C627,D627,E627,F627)</f>
        <v>BC Formoso2.2Inverter(MBUS-12)46036.719444444546036.719444444546036.8180555556</v>
      </c>
      <c r="Q627" s="32" t="str">
        <f aca="false">_xlfn.CONCAT(H627,I627,J627)</f>
        <v>LIGRFOINT</v>
      </c>
    </row>
    <row r="628" customFormat="false" ht="15" hidden="false" customHeight="false" outlineLevel="0" collapsed="false">
      <c r="B628" s="32" t="s">
        <v>340</v>
      </c>
      <c r="C628" s="32" t="s">
        <v>265</v>
      </c>
      <c r="D628" s="33" t="n">
        <v>46036.7194444445</v>
      </c>
      <c r="E628" s="33" t="n">
        <v>46036.7194444445</v>
      </c>
      <c r="F628" s="33" t="n">
        <v>46036.8180555556</v>
      </c>
      <c r="G628" s="34" t="n">
        <f aca="false">F628-E628</f>
        <v>0.0986111111111111</v>
      </c>
      <c r="H628" s="39" t="s">
        <v>283</v>
      </c>
      <c r="I628" s="32" t="s">
        <v>284</v>
      </c>
      <c r="J628" s="39" t="s">
        <v>369</v>
      </c>
      <c r="K628" s="32" t="e">
        <f aca="false">_xlfn.xlookup(J628,[1]REF!D$1:D$1048576,[1]REF!E$1:E$1048576)</f>
        <v>#NAME?</v>
      </c>
      <c r="L628" s="32" t="s">
        <v>370</v>
      </c>
      <c r="M628" s="39" t="s">
        <v>371</v>
      </c>
      <c r="N628" s="39" t="s">
        <v>502</v>
      </c>
      <c r="O628" s="32" t="s">
        <v>503</v>
      </c>
      <c r="P628" s="40" t="str">
        <f aca="false">_xlfn.CONCAT(B628,C628,D628,E628,F628)</f>
        <v>BC Formoso2.2Inverter(MBUS-1)46036.719444444546036.719444444546036.8180555556</v>
      </c>
      <c r="Q628" s="32" t="str">
        <f aca="false">_xlfn.CONCAT(H628,I628,J628)</f>
        <v>LIGRFOINT</v>
      </c>
    </row>
    <row r="629" customFormat="false" ht="15" hidden="false" customHeight="false" outlineLevel="0" collapsed="false">
      <c r="B629" s="32" t="s">
        <v>341</v>
      </c>
      <c r="C629" s="32" t="s">
        <v>326</v>
      </c>
      <c r="D629" s="33" t="n">
        <v>46036.7194444445</v>
      </c>
      <c r="E629" s="33" t="n">
        <v>46036.7194444445</v>
      </c>
      <c r="F629" s="33" t="n">
        <v>46036.8180555556</v>
      </c>
      <c r="G629" s="34" t="n">
        <f aca="false">F629-E629</f>
        <v>0.0986111111111111</v>
      </c>
      <c r="H629" s="39" t="s">
        <v>283</v>
      </c>
      <c r="I629" s="32" t="s">
        <v>284</v>
      </c>
      <c r="J629" s="39" t="s">
        <v>369</v>
      </c>
      <c r="K629" s="32" t="e">
        <f aca="false">_xlfn.xlookup(J629,[1]REF!D$1:D$1048576,[1]REF!E$1:E$1048576)</f>
        <v>#NAME?</v>
      </c>
      <c r="L629" s="32" t="s">
        <v>370</v>
      </c>
      <c r="M629" s="39" t="s">
        <v>371</v>
      </c>
      <c r="N629" s="39" t="s">
        <v>502</v>
      </c>
      <c r="O629" s="32" t="s">
        <v>503</v>
      </c>
      <c r="P629" s="40" t="str">
        <f aca="false">_xlfn.CONCAT(B629,C629,D629,E629,F629)</f>
        <v>BC Formoso2.3Inverter(MBUS-13)46036.719444444546036.719444444546036.8180555556</v>
      </c>
      <c r="Q629" s="32" t="str">
        <f aca="false">_xlfn.CONCAT(H629,I629,J629)</f>
        <v>LIGRFOINT</v>
      </c>
    </row>
    <row r="630" customFormat="false" ht="15" hidden="false" customHeight="false" outlineLevel="0" collapsed="false">
      <c r="B630" s="32" t="s">
        <v>341</v>
      </c>
      <c r="C630" s="32" t="s">
        <v>324</v>
      </c>
      <c r="D630" s="33" t="n">
        <v>46036.7194444445</v>
      </c>
      <c r="E630" s="33" t="n">
        <v>46036.7194444445</v>
      </c>
      <c r="F630" s="33" t="n">
        <v>46036.8180555556</v>
      </c>
      <c r="G630" s="34" t="n">
        <f aca="false">F630-E630</f>
        <v>0.0986111111111111</v>
      </c>
      <c r="H630" s="39" t="s">
        <v>283</v>
      </c>
      <c r="I630" s="32" t="s">
        <v>284</v>
      </c>
      <c r="J630" s="39" t="s">
        <v>285</v>
      </c>
      <c r="K630" s="32" t="e">
        <f aca="false">_xlfn.xlookup(J630,[1]REF!$D$2:$D$12,[1]REF!$E$2:$E$12)</f>
        <v>#NAME?</v>
      </c>
      <c r="L630" s="32" t="s">
        <v>370</v>
      </c>
      <c r="M630" s="39" t="s">
        <v>288</v>
      </c>
      <c r="N630" s="39" t="s">
        <v>289</v>
      </c>
      <c r="O630" s="32" t="s">
        <v>503</v>
      </c>
      <c r="P630" s="40" t="str">
        <f aca="false">_xlfn.CONCAT(B630,C630,D630,E630,F630)</f>
        <v>BC Formoso2.3Inverter(MBUS-12)46036.719444444546036.719444444546036.8180555556</v>
      </c>
      <c r="Q630" s="32" t="str">
        <f aca="false">_xlfn.CONCAT(H630,I630,J630)</f>
        <v>LIGRFOCOM</v>
      </c>
    </row>
    <row r="631" customFormat="false" ht="15" hidden="false" customHeight="false" outlineLevel="0" collapsed="false">
      <c r="B631" s="32" t="s">
        <v>474</v>
      </c>
      <c r="C631" s="32" t="s">
        <v>327</v>
      </c>
      <c r="D631" s="33" t="n">
        <v>46036.7986111111</v>
      </c>
      <c r="E631" s="33" t="n">
        <v>46036.7986111111</v>
      </c>
      <c r="F631" s="33" t="n">
        <v>46036.8298611111</v>
      </c>
      <c r="G631" s="34" t="n">
        <f aca="false">F631-E631</f>
        <v>0.03125</v>
      </c>
      <c r="H631" s="39" t="s">
        <v>252</v>
      </c>
      <c r="J631" s="39" t="s">
        <v>253</v>
      </c>
      <c r="K631" s="32" t="s">
        <v>266</v>
      </c>
      <c r="L631" s="32" t="s">
        <v>475</v>
      </c>
      <c r="M631" s="39" t="s">
        <v>255</v>
      </c>
      <c r="N631" s="39" t="s">
        <v>268</v>
      </c>
      <c r="O631" s="32" t="s">
        <v>269</v>
      </c>
      <c r="P631" s="40" t="str">
        <f aca="false">_xlfn.CONCAT(B631,C631,D631,E631,F631)</f>
        <v>BC Turvania1.1Inverter(MBUS-14)46036.798611111146036.798611111146036.8298611111</v>
      </c>
      <c r="Q631" s="32" t="str">
        <f aca="false">_xlfn.CONCAT(H631,I631,J631)</f>
        <v>DAURDE</v>
      </c>
    </row>
    <row r="632" customFormat="false" ht="15" hidden="false" customHeight="false" outlineLevel="0" collapsed="false">
      <c r="B632" s="32" t="s">
        <v>474</v>
      </c>
      <c r="C632" s="32" t="s">
        <v>328</v>
      </c>
      <c r="D632" s="33" t="n">
        <v>46036.7986111111</v>
      </c>
      <c r="E632" s="33" t="n">
        <v>46036.7986111111</v>
      </c>
      <c r="F632" s="33" t="n">
        <v>46036.8298611111</v>
      </c>
      <c r="G632" s="34" t="n">
        <f aca="false">F632-E632</f>
        <v>0.03125</v>
      </c>
      <c r="H632" s="39" t="s">
        <v>252</v>
      </c>
      <c r="J632" s="39" t="s">
        <v>253</v>
      </c>
      <c r="K632" s="32" t="s">
        <v>266</v>
      </c>
      <c r="L632" s="32" t="s">
        <v>475</v>
      </c>
      <c r="M632" s="39" t="s">
        <v>255</v>
      </c>
      <c r="N632" s="39" t="s">
        <v>268</v>
      </c>
      <c r="O632" s="32" t="s">
        <v>269</v>
      </c>
      <c r="P632" s="40" t="str">
        <f aca="false">_xlfn.CONCAT(B632,C632,D632,E632,F632)</f>
        <v>BC Turvania1.1Inverter(MBUS-15)46036.798611111146036.798611111146036.8298611111</v>
      </c>
      <c r="Q632" s="32" t="str">
        <f aca="false">_xlfn.CONCAT(H632,I632,J632)</f>
        <v>DAURDE</v>
      </c>
    </row>
    <row r="633" customFormat="false" ht="15" hidden="false" customHeight="false" outlineLevel="0" collapsed="false">
      <c r="B633" s="32" t="s">
        <v>474</v>
      </c>
      <c r="C633" s="32" t="s">
        <v>324</v>
      </c>
      <c r="D633" s="33" t="n">
        <v>46036.7986111111</v>
      </c>
      <c r="E633" s="33" t="n">
        <v>46036.7986111111</v>
      </c>
      <c r="F633" s="33" t="n">
        <v>46036.8298611111</v>
      </c>
      <c r="G633" s="34" t="n">
        <f aca="false">F633-E633</f>
        <v>0.03125</v>
      </c>
      <c r="H633" s="39" t="s">
        <v>252</v>
      </c>
      <c r="J633" s="39" t="s">
        <v>253</v>
      </c>
      <c r="K633" s="32" t="s">
        <v>266</v>
      </c>
      <c r="L633" s="32" t="s">
        <v>475</v>
      </c>
      <c r="M633" s="39" t="s">
        <v>255</v>
      </c>
      <c r="N633" s="39" t="s">
        <v>268</v>
      </c>
      <c r="O633" s="32" t="s">
        <v>269</v>
      </c>
      <c r="P633" s="40" t="str">
        <f aca="false">_xlfn.CONCAT(B633,C633,D633,E633,F633)</f>
        <v>BC Turvania1.1Inverter(MBUS-12)46036.798611111146036.798611111146036.8298611111</v>
      </c>
      <c r="Q633" s="32" t="str">
        <f aca="false">_xlfn.CONCAT(H633,I633,J633)</f>
        <v>DAURDE</v>
      </c>
    </row>
    <row r="634" customFormat="false" ht="15" hidden="false" customHeight="false" outlineLevel="0" collapsed="false">
      <c r="B634" s="32" t="s">
        <v>474</v>
      </c>
      <c r="C634" s="32" t="s">
        <v>326</v>
      </c>
      <c r="D634" s="33" t="n">
        <v>46036.7986111111</v>
      </c>
      <c r="E634" s="33" t="n">
        <v>46036.7986111111</v>
      </c>
      <c r="F634" s="33" t="n">
        <v>46036.8298611111</v>
      </c>
      <c r="G634" s="34" t="n">
        <f aca="false">F634-E634</f>
        <v>0.03125</v>
      </c>
      <c r="H634" s="39" t="s">
        <v>252</v>
      </c>
      <c r="J634" s="39" t="s">
        <v>253</v>
      </c>
      <c r="K634" s="32" t="s">
        <v>266</v>
      </c>
      <c r="L634" s="32" t="s">
        <v>475</v>
      </c>
      <c r="M634" s="39" t="s">
        <v>255</v>
      </c>
      <c r="N634" s="39" t="s">
        <v>268</v>
      </c>
      <c r="O634" s="32" t="s">
        <v>269</v>
      </c>
      <c r="P634" s="40" t="str">
        <f aca="false">_xlfn.CONCAT(B634,C634,D634,E634,F634)</f>
        <v>BC Turvania1.1Inverter(MBUS-13)46036.798611111146036.798611111146036.8298611111</v>
      </c>
      <c r="Q634" s="32" t="str">
        <f aca="false">_xlfn.CONCAT(H634,I634,J634)</f>
        <v>DAURDE</v>
      </c>
    </row>
    <row r="635" customFormat="false" ht="15" hidden="false" customHeight="false" outlineLevel="0" collapsed="false">
      <c r="B635" s="32" t="s">
        <v>476</v>
      </c>
      <c r="C635" s="32" t="s">
        <v>327</v>
      </c>
      <c r="D635" s="33" t="n">
        <v>46036.7986111111</v>
      </c>
      <c r="E635" s="33" t="n">
        <v>46036.7986111111</v>
      </c>
      <c r="F635" s="33" t="n">
        <v>46036.8298611111</v>
      </c>
      <c r="G635" s="34" t="n">
        <f aca="false">F635-E635</f>
        <v>0.03125</v>
      </c>
      <c r="H635" s="39" t="s">
        <v>252</v>
      </c>
      <c r="J635" s="39" t="s">
        <v>253</v>
      </c>
      <c r="K635" s="32" t="s">
        <v>266</v>
      </c>
      <c r="L635" s="32" t="s">
        <v>475</v>
      </c>
      <c r="M635" s="39" t="s">
        <v>255</v>
      </c>
      <c r="N635" s="39" t="s">
        <v>268</v>
      </c>
      <c r="O635" s="32" t="s">
        <v>269</v>
      </c>
      <c r="P635" s="40" t="str">
        <f aca="false">_xlfn.CONCAT(B635,C635,D635,E635,F635)</f>
        <v>BC Turvania1.2Inverter(MBUS-14)46036.798611111146036.798611111146036.8298611111</v>
      </c>
      <c r="Q635" s="32" t="str">
        <f aca="false">_xlfn.CONCAT(H635,I635,J635)</f>
        <v>DAURDE</v>
      </c>
    </row>
    <row r="636" customFormat="false" ht="15" hidden="false" customHeight="false" outlineLevel="0" collapsed="false">
      <c r="B636" s="32" t="s">
        <v>476</v>
      </c>
      <c r="C636" s="32" t="s">
        <v>326</v>
      </c>
      <c r="D636" s="33" t="n">
        <v>46036.7986111111</v>
      </c>
      <c r="E636" s="33" t="n">
        <v>46036.7986111111</v>
      </c>
      <c r="F636" s="33" t="n">
        <v>46036.8298611111</v>
      </c>
      <c r="G636" s="34" t="n">
        <f aca="false">F636-E636</f>
        <v>0.03125</v>
      </c>
      <c r="H636" s="39" t="s">
        <v>252</v>
      </c>
      <c r="J636" s="39" t="s">
        <v>253</v>
      </c>
      <c r="K636" s="32" t="s">
        <v>266</v>
      </c>
      <c r="L636" s="32" t="s">
        <v>475</v>
      </c>
      <c r="M636" s="39" t="s">
        <v>255</v>
      </c>
      <c r="N636" s="39" t="s">
        <v>268</v>
      </c>
      <c r="O636" s="32" t="s">
        <v>269</v>
      </c>
      <c r="P636" s="40" t="str">
        <f aca="false">_xlfn.CONCAT(B636,C636,D636,E636,F636)</f>
        <v>BC Turvania1.2Inverter(MBUS-13)46036.798611111146036.798611111146036.8298611111</v>
      </c>
      <c r="Q636" s="32" t="str">
        <f aca="false">_xlfn.CONCAT(H636,I636,J636)</f>
        <v>DAURDE</v>
      </c>
    </row>
    <row r="637" customFormat="false" ht="15" hidden="false" customHeight="false" outlineLevel="0" collapsed="false">
      <c r="B637" s="32" t="s">
        <v>476</v>
      </c>
      <c r="C637" s="32" t="s">
        <v>324</v>
      </c>
      <c r="D637" s="33" t="n">
        <v>46036.7986111111</v>
      </c>
      <c r="E637" s="33" t="n">
        <v>46036.7986111111</v>
      </c>
      <c r="F637" s="33" t="n">
        <v>46036.8298611111</v>
      </c>
      <c r="G637" s="34" t="n">
        <f aca="false">F637-E637</f>
        <v>0.03125</v>
      </c>
      <c r="H637" s="39" t="s">
        <v>252</v>
      </c>
      <c r="J637" s="39" t="s">
        <v>253</v>
      </c>
      <c r="K637" s="32" t="s">
        <v>266</v>
      </c>
      <c r="L637" s="32" t="s">
        <v>475</v>
      </c>
      <c r="M637" s="39" t="s">
        <v>255</v>
      </c>
      <c r="N637" s="39" t="s">
        <v>268</v>
      </c>
      <c r="O637" s="32" t="s">
        <v>269</v>
      </c>
      <c r="P637" s="40" t="str">
        <f aca="false">_xlfn.CONCAT(B637,C637,D637,E637,F637)</f>
        <v>BC Turvania1.2Inverter(MBUS-12)46036.798611111146036.798611111146036.8298611111</v>
      </c>
      <c r="Q637" s="32" t="str">
        <f aca="false">_xlfn.CONCAT(H637,I637,J637)</f>
        <v>DAURDE</v>
      </c>
    </row>
    <row r="638" customFormat="false" ht="15" hidden="false" customHeight="false" outlineLevel="0" collapsed="false">
      <c r="B638" s="32" t="s">
        <v>476</v>
      </c>
      <c r="C638" s="32" t="s">
        <v>328</v>
      </c>
      <c r="D638" s="33" t="n">
        <v>46036.7986111111</v>
      </c>
      <c r="E638" s="33" t="n">
        <v>46036.7986111111</v>
      </c>
      <c r="F638" s="33" t="n">
        <v>46036.8298611111</v>
      </c>
      <c r="G638" s="34" t="n">
        <f aca="false">F638-E638</f>
        <v>0.03125</v>
      </c>
      <c r="H638" s="39" t="s">
        <v>252</v>
      </c>
      <c r="J638" s="39" t="s">
        <v>253</v>
      </c>
      <c r="K638" s="32" t="s">
        <v>266</v>
      </c>
      <c r="L638" s="32" t="s">
        <v>475</v>
      </c>
      <c r="M638" s="39" t="s">
        <v>255</v>
      </c>
      <c r="N638" s="39" t="s">
        <v>268</v>
      </c>
      <c r="O638" s="32" t="s">
        <v>269</v>
      </c>
      <c r="P638" s="40" t="str">
        <f aca="false">_xlfn.CONCAT(B638,C638,D638,E638,F638)</f>
        <v>BC Turvania1.2Inverter(MBUS-15)46036.798611111146036.798611111146036.8298611111</v>
      </c>
      <c r="Q638" s="32" t="str">
        <f aca="false">_xlfn.CONCAT(H638,I638,J638)</f>
        <v>DAURDE</v>
      </c>
    </row>
    <row r="639" customFormat="false" ht="15" hidden="false" customHeight="false" outlineLevel="0" collapsed="false">
      <c r="B639" s="32" t="s">
        <v>477</v>
      </c>
      <c r="C639" s="32" t="s">
        <v>326</v>
      </c>
      <c r="D639" s="33" t="n">
        <v>46036.7986111111</v>
      </c>
      <c r="E639" s="33" t="n">
        <v>46036.7986111111</v>
      </c>
      <c r="F639" s="33" t="n">
        <v>46036.8298611111</v>
      </c>
      <c r="G639" s="34" t="n">
        <f aca="false">F639-E639</f>
        <v>0.03125</v>
      </c>
      <c r="H639" s="39" t="s">
        <v>252</v>
      </c>
      <c r="J639" s="39" t="s">
        <v>253</v>
      </c>
      <c r="K639" s="32" t="s">
        <v>266</v>
      </c>
      <c r="L639" s="32" t="s">
        <v>475</v>
      </c>
      <c r="M639" s="39" t="s">
        <v>255</v>
      </c>
      <c r="N639" s="39" t="s">
        <v>268</v>
      </c>
      <c r="O639" s="32" t="s">
        <v>269</v>
      </c>
      <c r="P639" s="40" t="str">
        <f aca="false">_xlfn.CONCAT(B639,C639,D639,E639,F639)</f>
        <v>BC Turvania1.3Inverter(MBUS-13)46036.798611111146036.798611111146036.8298611111</v>
      </c>
      <c r="Q639" s="32" t="str">
        <f aca="false">_xlfn.CONCAT(H639,I639,J639)</f>
        <v>DAURDE</v>
      </c>
    </row>
    <row r="640" customFormat="false" ht="15" hidden="false" customHeight="false" outlineLevel="0" collapsed="false">
      <c r="B640" s="32" t="s">
        <v>477</v>
      </c>
      <c r="C640" s="32" t="s">
        <v>327</v>
      </c>
      <c r="D640" s="33" t="n">
        <v>46036.7986111111</v>
      </c>
      <c r="E640" s="33" t="n">
        <v>46036.7986111111</v>
      </c>
      <c r="F640" s="33" t="n">
        <v>46036.8298611111</v>
      </c>
      <c r="G640" s="34" t="n">
        <f aca="false">F640-E640</f>
        <v>0.03125</v>
      </c>
      <c r="H640" s="39" t="s">
        <v>252</v>
      </c>
      <c r="J640" s="39" t="s">
        <v>253</v>
      </c>
      <c r="K640" s="32" t="s">
        <v>266</v>
      </c>
      <c r="L640" s="32" t="s">
        <v>475</v>
      </c>
      <c r="M640" s="39" t="s">
        <v>255</v>
      </c>
      <c r="N640" s="39" t="s">
        <v>268</v>
      </c>
      <c r="O640" s="32" t="s">
        <v>269</v>
      </c>
      <c r="P640" s="40" t="str">
        <f aca="false">_xlfn.CONCAT(B640,C640,D640,E640,F640)</f>
        <v>BC Turvania1.3Inverter(MBUS-14)46036.798611111146036.798611111146036.8298611111</v>
      </c>
      <c r="Q640" s="32" t="str">
        <f aca="false">_xlfn.CONCAT(H640,I640,J640)</f>
        <v>DAURDE</v>
      </c>
    </row>
    <row r="641" customFormat="false" ht="15" hidden="false" customHeight="false" outlineLevel="0" collapsed="false">
      <c r="B641" s="32" t="s">
        <v>477</v>
      </c>
      <c r="C641" s="32" t="s">
        <v>328</v>
      </c>
      <c r="D641" s="33" t="n">
        <v>46036.7986111111</v>
      </c>
      <c r="E641" s="33" t="n">
        <v>46036.7986111111</v>
      </c>
      <c r="F641" s="33" t="n">
        <v>46036.8298611111</v>
      </c>
      <c r="G641" s="34" t="n">
        <f aca="false">F641-E641</f>
        <v>0.03125</v>
      </c>
      <c r="H641" s="39" t="s">
        <v>252</v>
      </c>
      <c r="J641" s="39" t="s">
        <v>253</v>
      </c>
      <c r="K641" s="32" t="s">
        <v>266</v>
      </c>
      <c r="L641" s="32" t="s">
        <v>475</v>
      </c>
      <c r="M641" s="39" t="s">
        <v>255</v>
      </c>
      <c r="N641" s="39" t="s">
        <v>268</v>
      </c>
      <c r="O641" s="32" t="s">
        <v>269</v>
      </c>
      <c r="P641" s="40" t="str">
        <f aca="false">_xlfn.CONCAT(B641,C641,D641,E641,F641)</f>
        <v>BC Turvania1.3Inverter(MBUS-15)46036.798611111146036.798611111146036.8298611111</v>
      </c>
      <c r="Q641" s="32" t="str">
        <f aca="false">_xlfn.CONCAT(H641,I641,J641)</f>
        <v>DAURDE</v>
      </c>
    </row>
    <row r="642" customFormat="false" ht="15" hidden="false" customHeight="false" outlineLevel="0" collapsed="false">
      <c r="B642" s="32" t="s">
        <v>477</v>
      </c>
      <c r="C642" s="32" t="s">
        <v>265</v>
      </c>
      <c r="D642" s="33" t="n">
        <v>46036.7986111111</v>
      </c>
      <c r="E642" s="33" t="n">
        <v>46036.7986111111</v>
      </c>
      <c r="F642" s="33" t="n">
        <v>46036.8298611111</v>
      </c>
      <c r="G642" s="34" t="n">
        <f aca="false">F642-E642</f>
        <v>0.03125</v>
      </c>
      <c r="H642" s="39" t="s">
        <v>252</v>
      </c>
      <c r="J642" s="39" t="s">
        <v>253</v>
      </c>
      <c r="K642" s="32" t="s">
        <v>266</v>
      </c>
      <c r="L642" s="32" t="s">
        <v>475</v>
      </c>
      <c r="M642" s="39" t="s">
        <v>255</v>
      </c>
      <c r="N642" s="39" t="s">
        <v>268</v>
      </c>
      <c r="O642" s="32" t="s">
        <v>269</v>
      </c>
      <c r="P642" s="40" t="str">
        <f aca="false">_xlfn.CONCAT(B642,C642,D642,E642,F642)</f>
        <v>BC Turvania1.3Inverter(MBUS-1)46036.798611111146036.798611111146036.8298611111</v>
      </c>
      <c r="Q642" s="32" t="str">
        <f aca="false">_xlfn.CONCAT(H642,I642,J642)</f>
        <v>DAURDE</v>
      </c>
    </row>
    <row r="643" customFormat="false" ht="15" hidden="false" customHeight="false" outlineLevel="0" collapsed="false">
      <c r="B643" s="32" t="s">
        <v>478</v>
      </c>
      <c r="C643" s="32" t="s">
        <v>327</v>
      </c>
      <c r="D643" s="33" t="n">
        <v>46036.7986111111</v>
      </c>
      <c r="E643" s="33" t="n">
        <v>46036.7986111111</v>
      </c>
      <c r="F643" s="33" t="n">
        <v>46036.8298611111</v>
      </c>
      <c r="G643" s="34" t="n">
        <f aca="false">F643-E643</f>
        <v>0.03125</v>
      </c>
      <c r="H643" s="39" t="s">
        <v>252</v>
      </c>
      <c r="J643" s="39" t="s">
        <v>253</v>
      </c>
      <c r="K643" s="32" t="s">
        <v>266</v>
      </c>
      <c r="L643" s="32" t="s">
        <v>475</v>
      </c>
      <c r="M643" s="39" t="s">
        <v>255</v>
      </c>
      <c r="N643" s="39" t="s">
        <v>268</v>
      </c>
      <c r="O643" s="32" t="s">
        <v>269</v>
      </c>
      <c r="P643" s="40" t="str">
        <f aca="false">_xlfn.CONCAT(B643,C643,D643,E643,F643)</f>
        <v>BC Turvania1.4Inverter(MBUS-14)46036.798611111146036.798611111146036.8298611111</v>
      </c>
      <c r="Q643" s="32" t="str">
        <f aca="false">_xlfn.CONCAT(H643,I643,J643)</f>
        <v>DAURDE</v>
      </c>
    </row>
    <row r="644" customFormat="false" ht="15" hidden="false" customHeight="false" outlineLevel="0" collapsed="false">
      <c r="B644" s="32" t="s">
        <v>478</v>
      </c>
      <c r="C644" s="32" t="s">
        <v>328</v>
      </c>
      <c r="D644" s="33" t="n">
        <v>46036.7986111111</v>
      </c>
      <c r="E644" s="33" t="n">
        <v>46036.7986111111</v>
      </c>
      <c r="F644" s="33" t="n">
        <v>46036.8298611111</v>
      </c>
      <c r="G644" s="34" t="n">
        <f aca="false">F644-E644</f>
        <v>0.03125</v>
      </c>
      <c r="H644" s="39" t="s">
        <v>252</v>
      </c>
      <c r="J644" s="39" t="s">
        <v>253</v>
      </c>
      <c r="K644" s="32" t="s">
        <v>266</v>
      </c>
      <c r="L644" s="32" t="s">
        <v>475</v>
      </c>
      <c r="M644" s="39" t="s">
        <v>255</v>
      </c>
      <c r="N644" s="39" t="s">
        <v>268</v>
      </c>
      <c r="O644" s="32" t="s">
        <v>269</v>
      </c>
      <c r="P644" s="40" t="str">
        <f aca="false">_xlfn.CONCAT(B644,C644,D644,E644,F644)</f>
        <v>BC Turvania1.4Inverter(MBUS-15)46036.798611111146036.798611111146036.8298611111</v>
      </c>
      <c r="Q644" s="32" t="str">
        <f aca="false">_xlfn.CONCAT(H644,I644,J644)</f>
        <v>DAURDE</v>
      </c>
    </row>
    <row r="645" customFormat="false" ht="15" hidden="false" customHeight="false" outlineLevel="0" collapsed="false">
      <c r="B645" s="32" t="s">
        <v>478</v>
      </c>
      <c r="C645" s="32" t="s">
        <v>326</v>
      </c>
      <c r="D645" s="33" t="n">
        <v>46036.7986111111</v>
      </c>
      <c r="E645" s="33" t="n">
        <v>46036.7986111111</v>
      </c>
      <c r="F645" s="33" t="n">
        <v>46036.8298611111</v>
      </c>
      <c r="G645" s="34" t="n">
        <f aca="false">F645-E645</f>
        <v>0.03125</v>
      </c>
      <c r="H645" s="39" t="s">
        <v>252</v>
      </c>
      <c r="J645" s="39" t="s">
        <v>253</v>
      </c>
      <c r="K645" s="32" t="s">
        <v>266</v>
      </c>
      <c r="L645" s="32" t="s">
        <v>475</v>
      </c>
      <c r="M645" s="39" t="s">
        <v>255</v>
      </c>
      <c r="N645" s="39" t="s">
        <v>268</v>
      </c>
      <c r="O645" s="32" t="s">
        <v>269</v>
      </c>
      <c r="P645" s="40" t="str">
        <f aca="false">_xlfn.CONCAT(B645,C645,D645,E645,F645)</f>
        <v>BC Turvania1.4Inverter(MBUS-13)46036.798611111146036.798611111146036.8298611111</v>
      </c>
      <c r="Q645" s="32" t="str">
        <f aca="false">_xlfn.CONCAT(H645,I645,J645)</f>
        <v>DAURDE</v>
      </c>
    </row>
    <row r="646" customFormat="false" ht="15" hidden="false" customHeight="false" outlineLevel="0" collapsed="false">
      <c r="B646" s="32" t="s">
        <v>478</v>
      </c>
      <c r="C646" s="32" t="s">
        <v>324</v>
      </c>
      <c r="D646" s="33" t="n">
        <v>46036.7986111111</v>
      </c>
      <c r="E646" s="33" t="n">
        <v>46036.7986111111</v>
      </c>
      <c r="F646" s="33" t="n">
        <v>46036.8298611111</v>
      </c>
      <c r="G646" s="34" t="n">
        <f aca="false">F646-E646</f>
        <v>0.03125</v>
      </c>
      <c r="H646" s="39" t="s">
        <v>252</v>
      </c>
      <c r="J646" s="39" t="s">
        <v>253</v>
      </c>
      <c r="K646" s="32" t="s">
        <v>266</v>
      </c>
      <c r="L646" s="32" t="s">
        <v>475</v>
      </c>
      <c r="M646" s="39" t="s">
        <v>255</v>
      </c>
      <c r="N646" s="39" t="s">
        <v>268</v>
      </c>
      <c r="O646" s="32" t="s">
        <v>269</v>
      </c>
      <c r="P646" s="40" t="str">
        <f aca="false">_xlfn.CONCAT(B646,C646,D646,E646,F646)</f>
        <v>BC Turvania1.4Inverter(MBUS-12)46036.798611111146036.798611111146036.8298611111</v>
      </c>
      <c r="Q646" s="32" t="str">
        <f aca="false">_xlfn.CONCAT(H646,I646,J646)</f>
        <v>DAURDE</v>
      </c>
    </row>
    <row r="647" customFormat="false" ht="15" hidden="false" customHeight="false" outlineLevel="0" collapsed="false">
      <c r="B647" s="32" t="s">
        <v>479</v>
      </c>
      <c r="C647" s="32" t="s">
        <v>326</v>
      </c>
      <c r="D647" s="33" t="n">
        <v>46036.7986111111</v>
      </c>
      <c r="E647" s="33" t="n">
        <v>46036.7986111111</v>
      </c>
      <c r="F647" s="33" t="n">
        <v>46036.8298611111</v>
      </c>
      <c r="G647" s="34" t="n">
        <f aca="false">F647-E647</f>
        <v>0.03125</v>
      </c>
      <c r="H647" s="39" t="s">
        <v>252</v>
      </c>
      <c r="J647" s="39" t="s">
        <v>253</v>
      </c>
      <c r="K647" s="32" t="s">
        <v>266</v>
      </c>
      <c r="L647" s="32" t="s">
        <v>475</v>
      </c>
      <c r="M647" s="39" t="s">
        <v>255</v>
      </c>
      <c r="N647" s="39" t="s">
        <v>268</v>
      </c>
      <c r="O647" s="32" t="s">
        <v>269</v>
      </c>
      <c r="P647" s="40" t="str">
        <f aca="false">_xlfn.CONCAT(B647,C647,D647,E647,F647)</f>
        <v>BC Turvania1.5Inverter(MBUS-13)46036.798611111146036.798611111146036.8298611111</v>
      </c>
      <c r="Q647" s="32" t="str">
        <f aca="false">_xlfn.CONCAT(H647,I647,J647)</f>
        <v>DAURDE</v>
      </c>
    </row>
    <row r="648" customFormat="false" ht="15" hidden="false" customHeight="false" outlineLevel="0" collapsed="false">
      <c r="B648" s="32" t="s">
        <v>479</v>
      </c>
      <c r="C648" s="32" t="s">
        <v>324</v>
      </c>
      <c r="D648" s="33" t="n">
        <v>46036.7986111111</v>
      </c>
      <c r="E648" s="33" t="n">
        <v>46036.7986111111</v>
      </c>
      <c r="F648" s="33" t="n">
        <v>46036.8298611111</v>
      </c>
      <c r="G648" s="34" t="n">
        <f aca="false">F648-E648</f>
        <v>0.03125</v>
      </c>
      <c r="H648" s="39" t="s">
        <v>252</v>
      </c>
      <c r="J648" s="39" t="s">
        <v>253</v>
      </c>
      <c r="K648" s="32" t="s">
        <v>266</v>
      </c>
      <c r="L648" s="32" t="s">
        <v>475</v>
      </c>
      <c r="M648" s="39" t="s">
        <v>255</v>
      </c>
      <c r="N648" s="39" t="s">
        <v>268</v>
      </c>
      <c r="O648" s="32" t="s">
        <v>269</v>
      </c>
      <c r="P648" s="40" t="str">
        <f aca="false">_xlfn.CONCAT(B648,C648,D648,E648,F648)</f>
        <v>BC Turvania1.5Inverter(MBUS-12)46036.798611111146036.798611111146036.8298611111</v>
      </c>
      <c r="Q648" s="32" t="str">
        <f aca="false">_xlfn.CONCAT(H648,I648,J648)</f>
        <v>DAURDE</v>
      </c>
    </row>
    <row r="649" customFormat="false" ht="15" hidden="false" customHeight="false" outlineLevel="0" collapsed="false">
      <c r="B649" s="32" t="s">
        <v>479</v>
      </c>
      <c r="C649" s="32" t="s">
        <v>327</v>
      </c>
      <c r="D649" s="33" t="n">
        <v>46036.7986111111</v>
      </c>
      <c r="E649" s="33" t="n">
        <v>46036.7986111111</v>
      </c>
      <c r="F649" s="33" t="n">
        <v>46036.8298611111</v>
      </c>
      <c r="G649" s="34" t="n">
        <f aca="false">F649-E649</f>
        <v>0.03125</v>
      </c>
      <c r="H649" s="39" t="s">
        <v>252</v>
      </c>
      <c r="J649" s="39" t="s">
        <v>253</v>
      </c>
      <c r="K649" s="32" t="s">
        <v>266</v>
      </c>
      <c r="L649" s="32" t="s">
        <v>475</v>
      </c>
      <c r="M649" s="39" t="s">
        <v>255</v>
      </c>
      <c r="N649" s="39" t="s">
        <v>268</v>
      </c>
      <c r="O649" s="32" t="s">
        <v>269</v>
      </c>
      <c r="P649" s="40" t="str">
        <f aca="false">_xlfn.CONCAT(B649,C649,D649,E649,F649)</f>
        <v>BC Turvania1.5Inverter(MBUS-14)46036.798611111146036.798611111146036.8298611111</v>
      </c>
      <c r="Q649" s="32" t="str">
        <f aca="false">_xlfn.CONCAT(H649,I649,J649)</f>
        <v>DAURDE</v>
      </c>
    </row>
    <row r="650" customFormat="false" ht="15" hidden="false" customHeight="false" outlineLevel="0" collapsed="false">
      <c r="B650" s="32" t="s">
        <v>479</v>
      </c>
      <c r="C650" s="32" t="s">
        <v>265</v>
      </c>
      <c r="D650" s="33" t="n">
        <v>46036.7986111111</v>
      </c>
      <c r="E650" s="33" t="n">
        <v>46036.7986111111</v>
      </c>
      <c r="F650" s="33" t="n">
        <v>46036.8298611111</v>
      </c>
      <c r="G650" s="34" t="n">
        <f aca="false">F650-E650</f>
        <v>0.03125</v>
      </c>
      <c r="H650" s="39" t="s">
        <v>252</v>
      </c>
      <c r="J650" s="39" t="s">
        <v>253</v>
      </c>
      <c r="K650" s="32" t="s">
        <v>266</v>
      </c>
      <c r="L650" s="32" t="s">
        <v>475</v>
      </c>
      <c r="M650" s="39" t="s">
        <v>255</v>
      </c>
      <c r="N650" s="39" t="s">
        <v>268</v>
      </c>
      <c r="O650" s="32" t="s">
        <v>269</v>
      </c>
      <c r="P650" s="40" t="str">
        <f aca="false">_xlfn.CONCAT(B650,C650,D650,E650,F650)</f>
        <v>BC Turvania1.5Inverter(MBUS-1)46036.798611111146036.798611111146036.8298611111</v>
      </c>
      <c r="Q650" s="32" t="str">
        <f aca="false">_xlfn.CONCAT(H650,I650,J650)</f>
        <v>DAURDE</v>
      </c>
    </row>
    <row r="651" customFormat="false" ht="15" hidden="false" customHeight="false" outlineLevel="0" collapsed="false">
      <c r="B651" s="32" t="s">
        <v>450</v>
      </c>
      <c r="C651" s="32" t="s">
        <v>326</v>
      </c>
      <c r="D651" s="33" t="n">
        <v>46037.20625</v>
      </c>
      <c r="E651" s="33" t="n">
        <v>46037.20625</v>
      </c>
      <c r="F651" s="33" t="n">
        <v>46037.3263888889</v>
      </c>
      <c r="G651" s="34" t="n">
        <f aca="false">F651-E651</f>
        <v>0.120138888888889</v>
      </c>
      <c r="H651" s="39" t="s">
        <v>283</v>
      </c>
      <c r="I651" s="32" t="s">
        <v>284</v>
      </c>
      <c r="J651" s="39" t="s">
        <v>285</v>
      </c>
      <c r="K651" s="32" t="e">
        <f aca="false">_xlfn.xlookup(J651,[1]REF!$D$2:$D$12,[1]REF!$E$2:$E$12)</f>
        <v>#NAME?</v>
      </c>
      <c r="L651" s="32" t="s">
        <v>370</v>
      </c>
      <c r="M651" s="39" t="s">
        <v>288</v>
      </c>
      <c r="N651" s="39" t="s">
        <v>289</v>
      </c>
      <c r="O651" s="32" t="s">
        <v>504</v>
      </c>
      <c r="P651" s="40" t="str">
        <f aca="false">_xlfn.CONCAT(B651,C651,D651,E651,F651)</f>
        <v>BC Formoso1.1Inverter(MBUS-13)46037.2062546037.2062546037.3263888889</v>
      </c>
      <c r="Q651" s="32" t="str">
        <f aca="false">_xlfn.CONCAT(H651,I651,J651)</f>
        <v>LIGRFOCOM</v>
      </c>
    </row>
    <row r="652" customFormat="false" ht="15" hidden="false" customHeight="false" outlineLevel="0" collapsed="false">
      <c r="B652" s="32" t="s">
        <v>450</v>
      </c>
      <c r="C652" s="32" t="s">
        <v>324</v>
      </c>
      <c r="D652" s="33" t="n">
        <v>46037.20625</v>
      </c>
      <c r="E652" s="33" t="n">
        <v>46037.20625</v>
      </c>
      <c r="F652" s="33" t="n">
        <v>46037.3263888889</v>
      </c>
      <c r="G652" s="34" t="n">
        <f aca="false">F652-E652</f>
        <v>0.120138888888889</v>
      </c>
      <c r="H652" s="39" t="s">
        <v>283</v>
      </c>
      <c r="I652" s="32" t="s">
        <v>284</v>
      </c>
      <c r="J652" s="39" t="s">
        <v>285</v>
      </c>
      <c r="K652" s="32" t="e">
        <f aca="false">_xlfn.xlookup(J652,[1]REF!$D$2:$D$12,[1]REF!$E$2:$E$12)</f>
        <v>#NAME?</v>
      </c>
      <c r="L652" s="32" t="s">
        <v>370</v>
      </c>
      <c r="M652" s="39" t="s">
        <v>288</v>
      </c>
      <c r="N652" s="39" t="s">
        <v>289</v>
      </c>
      <c r="O652" s="32" t="s">
        <v>504</v>
      </c>
      <c r="P652" s="40" t="str">
        <f aca="false">_xlfn.CONCAT(B652,C652,D652,E652,F652)</f>
        <v>BC Formoso1.1Inverter(MBUS-12)46037.2062546037.2062546037.3263888889</v>
      </c>
      <c r="Q652" s="32" t="str">
        <f aca="false">_xlfn.CONCAT(H652,I652,J652)</f>
        <v>LIGRFOCOM</v>
      </c>
    </row>
    <row r="653" customFormat="false" ht="15" hidden="false" customHeight="false" outlineLevel="0" collapsed="false">
      <c r="B653" s="32" t="s">
        <v>450</v>
      </c>
      <c r="C653" s="32" t="s">
        <v>328</v>
      </c>
      <c r="D653" s="33" t="n">
        <v>46037.20625</v>
      </c>
      <c r="E653" s="33" t="n">
        <v>46037.20625</v>
      </c>
      <c r="F653" s="33" t="n">
        <v>46037.3263888889</v>
      </c>
      <c r="G653" s="34" t="n">
        <f aca="false">F653-E653</f>
        <v>0.120138888888889</v>
      </c>
      <c r="H653" s="39" t="s">
        <v>283</v>
      </c>
      <c r="I653" s="32" t="s">
        <v>284</v>
      </c>
      <c r="J653" s="39" t="s">
        <v>285</v>
      </c>
      <c r="K653" s="32" t="e">
        <f aca="false">_xlfn.xlookup(J653,[1]REF!$D$2:$D$12,[1]REF!$E$2:$E$12)</f>
        <v>#NAME?</v>
      </c>
      <c r="L653" s="32" t="s">
        <v>370</v>
      </c>
      <c r="M653" s="39" t="s">
        <v>288</v>
      </c>
      <c r="N653" s="39" t="s">
        <v>289</v>
      </c>
      <c r="O653" s="32" t="s">
        <v>504</v>
      </c>
      <c r="P653" s="40" t="str">
        <f aca="false">_xlfn.CONCAT(B653,C653,D653,E653,F653)</f>
        <v>BC Formoso1.1Inverter(MBUS-15)46037.2062546037.2062546037.3263888889</v>
      </c>
      <c r="Q653" s="32" t="str">
        <f aca="false">_xlfn.CONCAT(H653,I653,J653)</f>
        <v>LIGRFOCOM</v>
      </c>
    </row>
    <row r="654" customFormat="false" ht="15" hidden="false" customHeight="false" outlineLevel="0" collapsed="false">
      <c r="B654" s="32" t="s">
        <v>450</v>
      </c>
      <c r="C654" s="32" t="s">
        <v>327</v>
      </c>
      <c r="D654" s="33" t="n">
        <v>46037.20625</v>
      </c>
      <c r="E654" s="33" t="n">
        <v>46037.20625</v>
      </c>
      <c r="F654" s="33" t="n">
        <v>46037.3263888889</v>
      </c>
      <c r="G654" s="34" t="n">
        <f aca="false">F654-E654</f>
        <v>0.120138888888889</v>
      </c>
      <c r="H654" s="39" t="s">
        <v>283</v>
      </c>
      <c r="I654" s="32" t="s">
        <v>284</v>
      </c>
      <c r="J654" s="39" t="s">
        <v>285</v>
      </c>
      <c r="K654" s="32" t="e">
        <f aca="false">_xlfn.xlookup(J654,[1]REF!$D$2:$D$12,[1]REF!$E$2:$E$12)</f>
        <v>#NAME?</v>
      </c>
      <c r="L654" s="32" t="s">
        <v>370</v>
      </c>
      <c r="M654" s="39" t="s">
        <v>288</v>
      </c>
      <c r="N654" s="39" t="s">
        <v>289</v>
      </c>
      <c r="O654" s="32" t="s">
        <v>504</v>
      </c>
      <c r="P654" s="40" t="str">
        <f aca="false">_xlfn.CONCAT(B654,C654,D654,E654,F654)</f>
        <v>BC Formoso1.1Inverter(MBUS-14)46037.2062546037.2062546037.3263888889</v>
      </c>
      <c r="Q654" s="32" t="str">
        <f aca="false">_xlfn.CONCAT(H654,I654,J654)</f>
        <v>LIGRFOCOM</v>
      </c>
    </row>
    <row r="655" customFormat="false" ht="15" hidden="false" customHeight="false" outlineLevel="0" collapsed="false">
      <c r="B655" s="32" t="s">
        <v>339</v>
      </c>
      <c r="C655" s="32" t="s">
        <v>324</v>
      </c>
      <c r="D655" s="33" t="n">
        <v>46037.20625</v>
      </c>
      <c r="E655" s="33" t="n">
        <v>46037.20625</v>
      </c>
      <c r="F655" s="33" t="n">
        <v>46037.3263888889</v>
      </c>
      <c r="G655" s="34" t="n">
        <f aca="false">F655-E655</f>
        <v>0.120138888888889</v>
      </c>
      <c r="H655" s="39" t="s">
        <v>252</v>
      </c>
      <c r="J655" s="39" t="s">
        <v>253</v>
      </c>
      <c r="K655" s="32" t="s">
        <v>266</v>
      </c>
      <c r="L655" s="32" t="s">
        <v>505</v>
      </c>
      <c r="M655" s="39" t="s">
        <v>255</v>
      </c>
      <c r="N655" s="39" t="s">
        <v>268</v>
      </c>
      <c r="O655" s="32" t="s">
        <v>269</v>
      </c>
      <c r="P655" s="40" t="str">
        <f aca="false">_xlfn.CONCAT(B655,C655,D655,E655,F655)</f>
        <v>BC Formoso2.1Inverter(MBUS-12)46037.2062546037.2062546037.3263888889</v>
      </c>
      <c r="Q655" s="32" t="str">
        <f aca="false">_xlfn.CONCAT(H655,I655,J655)</f>
        <v>DAURDE</v>
      </c>
    </row>
    <row r="656" customFormat="false" ht="15" hidden="false" customHeight="false" outlineLevel="0" collapsed="false">
      <c r="B656" s="32" t="s">
        <v>339</v>
      </c>
      <c r="C656" s="32" t="s">
        <v>327</v>
      </c>
      <c r="D656" s="33" t="n">
        <v>46037.20625</v>
      </c>
      <c r="E656" s="33" t="n">
        <v>46037.20625</v>
      </c>
      <c r="F656" s="33" t="n">
        <v>46037.3263888889</v>
      </c>
      <c r="G656" s="34" t="n">
        <f aca="false">F656-E656</f>
        <v>0.120138888888889</v>
      </c>
      <c r="H656" s="39" t="s">
        <v>252</v>
      </c>
      <c r="J656" s="39" t="s">
        <v>253</v>
      </c>
      <c r="K656" s="32" t="s">
        <v>266</v>
      </c>
      <c r="L656" s="32" t="s">
        <v>505</v>
      </c>
      <c r="M656" s="39" t="s">
        <v>255</v>
      </c>
      <c r="N656" s="39" t="s">
        <v>268</v>
      </c>
      <c r="O656" s="32" t="s">
        <v>269</v>
      </c>
      <c r="P656" s="40" t="str">
        <f aca="false">_xlfn.CONCAT(B656,C656,D656,E656,F656)</f>
        <v>BC Formoso2.1Inverter(MBUS-14)46037.2062546037.2062546037.3263888889</v>
      </c>
      <c r="Q656" s="32" t="str">
        <f aca="false">_xlfn.CONCAT(H656,I656,J656)</f>
        <v>DAURDE</v>
      </c>
    </row>
    <row r="657" customFormat="false" ht="15" hidden="false" customHeight="false" outlineLevel="0" collapsed="false">
      <c r="B657" s="32" t="s">
        <v>339</v>
      </c>
      <c r="C657" s="32" t="s">
        <v>326</v>
      </c>
      <c r="D657" s="33" t="n">
        <v>46037.20625</v>
      </c>
      <c r="E657" s="33" t="n">
        <v>46037.20625</v>
      </c>
      <c r="F657" s="33" t="n">
        <v>46037.3263888889</v>
      </c>
      <c r="G657" s="34" t="n">
        <f aca="false">F657-E657</f>
        <v>0.120138888888889</v>
      </c>
      <c r="H657" s="39" t="s">
        <v>252</v>
      </c>
      <c r="J657" s="39" t="s">
        <v>253</v>
      </c>
      <c r="K657" s="32" t="s">
        <v>266</v>
      </c>
      <c r="L657" s="32" t="s">
        <v>505</v>
      </c>
      <c r="M657" s="39" t="s">
        <v>255</v>
      </c>
      <c r="N657" s="39" t="s">
        <v>268</v>
      </c>
      <c r="O657" s="32" t="s">
        <v>269</v>
      </c>
      <c r="P657" s="40" t="str">
        <f aca="false">_xlfn.CONCAT(B657,C657,D657,E657,F657)</f>
        <v>BC Formoso2.1Inverter(MBUS-13)46037.2062546037.2062546037.3263888889</v>
      </c>
      <c r="Q657" s="32" t="str">
        <f aca="false">_xlfn.CONCAT(H657,I657,J657)</f>
        <v>DAURDE</v>
      </c>
    </row>
    <row r="658" customFormat="false" ht="15" hidden="false" customHeight="false" outlineLevel="0" collapsed="false">
      <c r="B658" s="32" t="s">
        <v>339</v>
      </c>
      <c r="C658" s="32" t="s">
        <v>265</v>
      </c>
      <c r="D658" s="33" t="n">
        <v>46037.20625</v>
      </c>
      <c r="E658" s="33" t="n">
        <v>46037.20625</v>
      </c>
      <c r="F658" s="33" t="n">
        <v>46037.3263888889</v>
      </c>
      <c r="G658" s="34" t="n">
        <f aca="false">F658-E658</f>
        <v>0.120138888888889</v>
      </c>
      <c r="H658" s="39" t="s">
        <v>252</v>
      </c>
      <c r="J658" s="39" t="s">
        <v>253</v>
      </c>
      <c r="K658" s="32" t="s">
        <v>266</v>
      </c>
      <c r="L658" s="32" t="s">
        <v>505</v>
      </c>
      <c r="M658" s="39" t="s">
        <v>255</v>
      </c>
      <c r="N658" s="39" t="s">
        <v>268</v>
      </c>
      <c r="O658" s="32" t="s">
        <v>269</v>
      </c>
      <c r="P658" s="40" t="str">
        <f aca="false">_xlfn.CONCAT(B658,C658,D658,E658,F658)</f>
        <v>BC Formoso2.1Inverter(MBUS-1)46037.2062546037.2062546037.3263888889</v>
      </c>
      <c r="Q658" s="32" t="str">
        <f aca="false">_xlfn.CONCAT(H658,I658,J658)</f>
        <v>DAURDE</v>
      </c>
    </row>
    <row r="659" customFormat="false" ht="15" hidden="false" customHeight="false" outlineLevel="0" collapsed="false">
      <c r="B659" s="41" t="s">
        <v>142</v>
      </c>
      <c r="C659" s="41" t="s">
        <v>506</v>
      </c>
      <c r="D659" s="42" t="n">
        <v>46037.3027777778</v>
      </c>
      <c r="E659" s="42" t="n">
        <v>46037.3027777778</v>
      </c>
      <c r="F659" s="42" t="n">
        <v>46037.3541666667</v>
      </c>
      <c r="G659" s="43" t="n">
        <f aca="false">F659-E659</f>
        <v>0.0513888888888889</v>
      </c>
      <c r="H659" s="41" t="s">
        <v>384</v>
      </c>
      <c r="I659" s="41"/>
      <c r="J659" s="41" t="s">
        <v>333</v>
      </c>
      <c r="K659" s="41" t="s">
        <v>334</v>
      </c>
      <c r="L659" s="41" t="s">
        <v>507</v>
      </c>
      <c r="M659" s="41" t="s">
        <v>336</v>
      </c>
      <c r="N659" s="41" t="s">
        <v>440</v>
      </c>
      <c r="O659" s="41" t="s">
        <v>508</v>
      </c>
      <c r="P659" s="44" t="str">
        <f aca="false">_xlfn.CONCAT(B659,C659,D660,E659,F659)</f>
        <v>BC Rio Monte1Inverter3646037.540972222246037.302777777846037.3541666667</v>
      </c>
      <c r="Q659" s="41" t="str">
        <f aca="false">_xlfn.CONCAT(H659,I659,J659)</f>
        <v>DPRINV</v>
      </c>
    </row>
    <row r="660" customFormat="false" ht="15" hidden="false" customHeight="false" outlineLevel="0" collapsed="false">
      <c r="B660" s="32" t="s">
        <v>264</v>
      </c>
      <c r="C660" s="32" t="s">
        <v>265</v>
      </c>
      <c r="D660" s="33" t="n">
        <v>46037.5409722222</v>
      </c>
      <c r="E660" s="33" t="n">
        <v>46037.5409722222</v>
      </c>
      <c r="F660" s="33" t="n">
        <v>46037.5513888889</v>
      </c>
      <c r="G660" s="34" t="n">
        <f aca="false">F660-E660</f>
        <v>0.0104166666666667</v>
      </c>
      <c r="H660" s="39" t="s">
        <v>252</v>
      </c>
      <c r="J660" s="39" t="s">
        <v>253</v>
      </c>
      <c r="K660" s="32" t="s">
        <v>266</v>
      </c>
      <c r="L660" s="32" t="s">
        <v>267</v>
      </c>
      <c r="M660" s="39" t="s">
        <v>255</v>
      </c>
      <c r="N660" s="39" t="s">
        <v>268</v>
      </c>
      <c r="O660" s="32" t="s">
        <v>269</v>
      </c>
      <c r="P660" s="40" t="str">
        <f aca="false">_xlfn.CONCAT(B660,C660,D660,E660,F660)</f>
        <v>BC Aracu5.1Inverter(MBUS-1)46037.540972222246037.540972222246037.5513888889</v>
      </c>
      <c r="Q660" s="32" t="str">
        <f aca="false">_xlfn.CONCAT(H660,I660,J660)</f>
        <v>DAURDE</v>
      </c>
    </row>
    <row r="661" customFormat="false" ht="15" hidden="false" customHeight="false" outlineLevel="0" collapsed="false">
      <c r="B661" s="32" t="s">
        <v>270</v>
      </c>
      <c r="C661" s="32" t="s">
        <v>265</v>
      </c>
      <c r="D661" s="33" t="n">
        <v>46037.5409722222</v>
      </c>
      <c r="E661" s="33" t="n">
        <v>46037.5409722222</v>
      </c>
      <c r="F661" s="33" t="n">
        <v>46037.5513888889</v>
      </c>
      <c r="G661" s="34" t="n">
        <f aca="false">F661-E661</f>
        <v>0.0104166666666667</v>
      </c>
      <c r="H661" s="39" t="s">
        <v>252</v>
      </c>
      <c r="J661" s="39" t="s">
        <v>253</v>
      </c>
      <c r="K661" s="32" t="s">
        <v>266</v>
      </c>
      <c r="L661" s="32" t="s">
        <v>267</v>
      </c>
      <c r="M661" s="39" t="s">
        <v>255</v>
      </c>
      <c r="N661" s="39" t="s">
        <v>268</v>
      </c>
      <c r="O661" s="32" t="s">
        <v>269</v>
      </c>
      <c r="P661" s="40" t="str">
        <f aca="false">_xlfn.CONCAT(B661,C661,D661,E661,F661)</f>
        <v>BC Aracu5.2Inverter(MBUS-1)46037.540972222246037.540972222246037.5513888889</v>
      </c>
      <c r="Q661" s="32" t="str">
        <f aca="false">_xlfn.CONCAT(H661,I661,J661)</f>
        <v>DAURDE</v>
      </c>
    </row>
    <row r="662" customFormat="false" ht="15" hidden="false" customHeight="false" outlineLevel="0" collapsed="false">
      <c r="B662" s="32" t="s">
        <v>271</v>
      </c>
      <c r="C662" s="32" t="s">
        <v>265</v>
      </c>
      <c r="D662" s="33" t="n">
        <v>46037.5409722222</v>
      </c>
      <c r="E662" s="33" t="n">
        <v>46037.5409722222</v>
      </c>
      <c r="F662" s="33" t="n">
        <v>46037.5513888889</v>
      </c>
      <c r="G662" s="34" t="n">
        <f aca="false">F662-E662</f>
        <v>0.0104166666666667</v>
      </c>
      <c r="H662" s="39" t="s">
        <v>252</v>
      </c>
      <c r="J662" s="39" t="s">
        <v>253</v>
      </c>
      <c r="K662" s="32" t="s">
        <v>266</v>
      </c>
      <c r="L662" s="32" t="s">
        <v>267</v>
      </c>
      <c r="M662" s="39" t="s">
        <v>255</v>
      </c>
      <c r="N662" s="39" t="s">
        <v>268</v>
      </c>
      <c r="O662" s="32" t="s">
        <v>269</v>
      </c>
      <c r="P662" s="40" t="str">
        <f aca="false">_xlfn.CONCAT(B662,C662,D662,E662,F662)</f>
        <v>BC Aracu5.3Inverter(MBUS-1)46037.540972222246037.540972222246037.5513888889</v>
      </c>
      <c r="Q662" s="32" t="str">
        <f aca="false">_xlfn.CONCAT(H662,I662,J662)</f>
        <v>DAURDE</v>
      </c>
      <c r="R662" s="45"/>
    </row>
    <row r="663" customFormat="false" ht="15" hidden="false" customHeight="false" outlineLevel="0" collapsed="false">
      <c r="B663" s="32" t="s">
        <v>272</v>
      </c>
      <c r="C663" s="32" t="s">
        <v>265</v>
      </c>
      <c r="D663" s="33" t="n">
        <v>46037.5409722222</v>
      </c>
      <c r="E663" s="33" t="n">
        <v>46037.5409722222</v>
      </c>
      <c r="F663" s="33" t="n">
        <v>46037.5513888889</v>
      </c>
      <c r="G663" s="34" t="n">
        <f aca="false">F663-E663</f>
        <v>0.0104166666666667</v>
      </c>
      <c r="H663" s="39" t="s">
        <v>252</v>
      </c>
      <c r="J663" s="39" t="s">
        <v>253</v>
      </c>
      <c r="K663" s="32" t="s">
        <v>266</v>
      </c>
      <c r="L663" s="32" t="s">
        <v>267</v>
      </c>
      <c r="M663" s="39" t="s">
        <v>255</v>
      </c>
      <c r="N663" s="39" t="s">
        <v>268</v>
      </c>
      <c r="O663" s="32" t="s">
        <v>269</v>
      </c>
      <c r="P663" s="40" t="str">
        <f aca="false">_xlfn.CONCAT(B663,C663,D663,E663,F663)</f>
        <v>BC Aracu5.4Inverter(MBUS-1)46037.540972222246037.540972222246037.5513888889</v>
      </c>
      <c r="Q663" s="32" t="str">
        <f aca="false">_xlfn.CONCAT(H663,I663,J663)</f>
        <v>DAURDE</v>
      </c>
    </row>
    <row r="664" customFormat="false" ht="15" hidden="false" customHeight="false" outlineLevel="0" collapsed="false">
      <c r="B664" s="32" t="s">
        <v>273</v>
      </c>
      <c r="C664" s="32" t="s">
        <v>265</v>
      </c>
      <c r="D664" s="33" t="n">
        <v>46037.5409722222</v>
      </c>
      <c r="E664" s="33" t="n">
        <v>46037.5409722222</v>
      </c>
      <c r="F664" s="33" t="n">
        <v>46037.5513888889</v>
      </c>
      <c r="G664" s="34" t="n">
        <f aca="false">F664-E664</f>
        <v>0.0104166666666667</v>
      </c>
      <c r="H664" s="39" t="s">
        <v>252</v>
      </c>
      <c r="J664" s="39" t="s">
        <v>253</v>
      </c>
      <c r="K664" s="32" t="s">
        <v>266</v>
      </c>
      <c r="L664" s="32" t="s">
        <v>267</v>
      </c>
      <c r="M664" s="39" t="s">
        <v>255</v>
      </c>
      <c r="N664" s="39" t="s">
        <v>268</v>
      </c>
      <c r="O664" s="32" t="s">
        <v>269</v>
      </c>
      <c r="P664" s="40" t="str">
        <f aca="false">_xlfn.CONCAT(B664,C664,D664,E664,F664)</f>
        <v>BC Aracu5.5Inverter(MBUS-1)46037.540972222246037.540972222246037.5513888889</v>
      </c>
      <c r="Q664" s="32" t="str">
        <f aca="false">_xlfn.CONCAT(H664,I664,J664)</f>
        <v>DAURDE</v>
      </c>
    </row>
    <row r="665" customFormat="false" ht="15" hidden="false" customHeight="false" outlineLevel="0" collapsed="false">
      <c r="B665" s="32" t="s">
        <v>476</v>
      </c>
      <c r="C665" s="32" t="s">
        <v>327</v>
      </c>
      <c r="D665" s="33" t="n">
        <v>46037.5527777778</v>
      </c>
      <c r="E665" s="33" t="n">
        <v>46037.5541666667</v>
      </c>
      <c r="F665" s="33" t="n">
        <v>46037.625</v>
      </c>
      <c r="G665" s="34" t="n">
        <f aca="false">F665-E665</f>
        <v>0.0708333333333333</v>
      </c>
      <c r="H665" s="39" t="s">
        <v>283</v>
      </c>
      <c r="I665" s="32" t="s">
        <v>284</v>
      </c>
      <c r="J665" s="39" t="s">
        <v>285</v>
      </c>
      <c r="K665" s="32" t="s">
        <v>286</v>
      </c>
      <c r="L665" s="32" t="s">
        <v>509</v>
      </c>
      <c r="M665" s="39" t="s">
        <v>288</v>
      </c>
      <c r="N665" s="39" t="s">
        <v>289</v>
      </c>
      <c r="O665" s="32" t="s">
        <v>510</v>
      </c>
      <c r="P665" s="40" t="str">
        <f aca="false">_xlfn.CONCAT(B665,C665,D665,E665,F665)</f>
        <v>BC Turvania1.2Inverter(MBUS-14)46037.552777777846037.554166666746037.625</v>
      </c>
      <c r="Q665" s="32" t="str">
        <f aca="false">_xlfn.CONCAT(H665,I665,J665)</f>
        <v>LIGRFOCOM</v>
      </c>
    </row>
    <row r="666" customFormat="false" ht="15" hidden="false" customHeight="false" outlineLevel="0" collapsed="false">
      <c r="B666" s="32" t="s">
        <v>476</v>
      </c>
      <c r="C666" s="32" t="s">
        <v>326</v>
      </c>
      <c r="D666" s="33" t="n">
        <v>46037.5527777778</v>
      </c>
      <c r="E666" s="33" t="n">
        <v>46037.5541666667</v>
      </c>
      <c r="F666" s="33" t="n">
        <v>46037.625</v>
      </c>
      <c r="G666" s="34" t="n">
        <f aca="false">F666-E666</f>
        <v>0.0708333333333333</v>
      </c>
      <c r="H666" s="39" t="s">
        <v>283</v>
      </c>
      <c r="I666" s="32" t="s">
        <v>284</v>
      </c>
      <c r="J666" s="39" t="s">
        <v>285</v>
      </c>
      <c r="K666" s="32" t="s">
        <v>286</v>
      </c>
      <c r="L666" s="32" t="s">
        <v>509</v>
      </c>
      <c r="M666" s="39" t="s">
        <v>288</v>
      </c>
      <c r="N666" s="39" t="s">
        <v>289</v>
      </c>
      <c r="O666" s="32" t="s">
        <v>510</v>
      </c>
      <c r="P666" s="40" t="str">
        <f aca="false">_xlfn.CONCAT(B666,C666,D666,E666,F666)</f>
        <v>BC Turvania1.2Inverter(MBUS-13)46037.552777777846037.554166666746037.625</v>
      </c>
      <c r="Q666" s="32" t="str">
        <f aca="false">_xlfn.CONCAT(H666,I666,J666)</f>
        <v>LIGRFOCOM</v>
      </c>
    </row>
    <row r="667" customFormat="false" ht="15" hidden="false" customHeight="false" outlineLevel="0" collapsed="false">
      <c r="B667" s="32" t="s">
        <v>476</v>
      </c>
      <c r="C667" s="32" t="s">
        <v>324</v>
      </c>
      <c r="D667" s="33" t="n">
        <v>46037.5527777778</v>
      </c>
      <c r="E667" s="33" t="n">
        <v>46037.5541666667</v>
      </c>
      <c r="F667" s="33" t="n">
        <v>46037.625</v>
      </c>
      <c r="G667" s="34" t="n">
        <f aca="false">F667-E667</f>
        <v>0.0708333333333333</v>
      </c>
      <c r="H667" s="39" t="s">
        <v>283</v>
      </c>
      <c r="I667" s="32" t="s">
        <v>284</v>
      </c>
      <c r="J667" s="39" t="s">
        <v>285</v>
      </c>
      <c r="K667" s="32" t="s">
        <v>286</v>
      </c>
      <c r="L667" s="32" t="s">
        <v>509</v>
      </c>
      <c r="M667" s="39" t="s">
        <v>288</v>
      </c>
      <c r="N667" s="39" t="s">
        <v>289</v>
      </c>
      <c r="O667" s="32" t="s">
        <v>510</v>
      </c>
      <c r="P667" s="40" t="str">
        <f aca="false">_xlfn.CONCAT(B667,C667,D667,E667,F667)</f>
        <v>BC Turvania1.2Inverter(MBUS-12)46037.552777777846037.554166666746037.625</v>
      </c>
      <c r="Q667" s="32" t="str">
        <f aca="false">_xlfn.CONCAT(H667,I667,J667)</f>
        <v>LIGRFOCOM</v>
      </c>
    </row>
    <row r="668" customFormat="false" ht="15" hidden="false" customHeight="false" outlineLevel="0" collapsed="false">
      <c r="B668" s="32" t="s">
        <v>476</v>
      </c>
      <c r="C668" s="32" t="s">
        <v>328</v>
      </c>
      <c r="D668" s="33" t="n">
        <v>46037.5527777778</v>
      </c>
      <c r="E668" s="33" t="n">
        <v>46037.5541666667</v>
      </c>
      <c r="F668" s="33" t="n">
        <v>46037.625</v>
      </c>
      <c r="G668" s="34" t="n">
        <f aca="false">F668-E668</f>
        <v>0.0708333333333333</v>
      </c>
      <c r="H668" s="39" t="s">
        <v>283</v>
      </c>
      <c r="I668" s="32" t="s">
        <v>284</v>
      </c>
      <c r="J668" s="39" t="s">
        <v>285</v>
      </c>
      <c r="K668" s="32" t="s">
        <v>286</v>
      </c>
      <c r="L668" s="32" t="s">
        <v>509</v>
      </c>
      <c r="M668" s="39" t="s">
        <v>288</v>
      </c>
      <c r="N668" s="39" t="s">
        <v>289</v>
      </c>
      <c r="O668" s="32" t="s">
        <v>510</v>
      </c>
      <c r="P668" s="40" t="str">
        <f aca="false">_xlfn.CONCAT(B668,C668,D668,E668,F668)</f>
        <v>BC Turvania1.2Inverter(MBUS-15)46037.552777777846037.554166666746037.625</v>
      </c>
      <c r="Q668" s="32" t="str">
        <f aca="false">_xlfn.CONCAT(H668,I668,J668)</f>
        <v>LIGRFOCOM</v>
      </c>
    </row>
    <row r="669" customFormat="false" ht="15" hidden="false" customHeight="false" outlineLevel="0" collapsed="false">
      <c r="B669" s="32" t="s">
        <v>323</v>
      </c>
      <c r="C669" s="32" t="s">
        <v>324</v>
      </c>
      <c r="D669" s="33" t="n">
        <v>46037.6041666667</v>
      </c>
      <c r="E669" s="33" t="n">
        <v>46037.6041666667</v>
      </c>
      <c r="F669" s="33" t="n">
        <v>46037.6180555556</v>
      </c>
      <c r="G669" s="34" t="n">
        <f aca="false">F669-E669</f>
        <v>0.0138888888888889</v>
      </c>
      <c r="H669" s="39" t="s">
        <v>252</v>
      </c>
      <c r="J669" s="39" t="s">
        <v>253</v>
      </c>
      <c r="K669" s="32" t="s">
        <v>266</v>
      </c>
      <c r="L669" s="32" t="s">
        <v>511</v>
      </c>
      <c r="M669" s="39" t="s">
        <v>255</v>
      </c>
      <c r="N669" s="39" t="s">
        <v>268</v>
      </c>
      <c r="O669" s="32" t="s">
        <v>512</v>
      </c>
      <c r="P669" s="40" t="str">
        <f aca="false">_xlfn.CONCAT(B669,C669,D669,E669,F669)</f>
        <v>BC Ibiuna 1.1Inverter(MBUS-12)46037.604166666746037.604166666746037.6180555556</v>
      </c>
      <c r="Q669" s="32" t="str">
        <f aca="false">_xlfn.CONCAT(H669,I669,J669)</f>
        <v>DAURDE</v>
      </c>
    </row>
    <row r="670" customFormat="false" ht="15" hidden="false" customHeight="false" outlineLevel="0" collapsed="false">
      <c r="B670" s="32" t="s">
        <v>323</v>
      </c>
      <c r="C670" s="32" t="s">
        <v>326</v>
      </c>
      <c r="D670" s="33" t="n">
        <v>46037.6041666667</v>
      </c>
      <c r="E670" s="33" t="n">
        <v>46037.6041666667</v>
      </c>
      <c r="F670" s="33" t="n">
        <v>46037.6180555556</v>
      </c>
      <c r="G670" s="34" t="n">
        <f aca="false">F670-E670</f>
        <v>0.0138888888888889</v>
      </c>
      <c r="H670" s="39" t="s">
        <v>252</v>
      </c>
      <c r="J670" s="39" t="s">
        <v>253</v>
      </c>
      <c r="K670" s="32" t="s">
        <v>266</v>
      </c>
      <c r="L670" s="32" t="s">
        <v>511</v>
      </c>
      <c r="M670" s="39" t="s">
        <v>255</v>
      </c>
      <c r="N670" s="39" t="s">
        <v>268</v>
      </c>
      <c r="O670" s="32" t="s">
        <v>512</v>
      </c>
      <c r="P670" s="40" t="str">
        <f aca="false">_xlfn.CONCAT(B670,C670,D670,E670,F670)</f>
        <v>BC Ibiuna 1.1Inverter(MBUS-13)46037.604166666746037.604166666746037.6180555556</v>
      </c>
      <c r="Q670" s="32" t="str">
        <f aca="false">_xlfn.CONCAT(H670,I670,J670)</f>
        <v>DAURDE</v>
      </c>
    </row>
    <row r="671" customFormat="false" ht="15" hidden="false" customHeight="false" outlineLevel="0" collapsed="false">
      <c r="B671" s="32" t="s">
        <v>323</v>
      </c>
      <c r="C671" s="32" t="s">
        <v>327</v>
      </c>
      <c r="D671" s="33" t="n">
        <v>46037.6041666667</v>
      </c>
      <c r="E671" s="33" t="n">
        <v>46037.6041666667</v>
      </c>
      <c r="F671" s="33" t="n">
        <v>46037.6180555556</v>
      </c>
      <c r="G671" s="34" t="n">
        <f aca="false">F671-E671</f>
        <v>0.0138888888888889</v>
      </c>
      <c r="H671" s="39" t="s">
        <v>252</v>
      </c>
      <c r="J671" s="39" t="s">
        <v>253</v>
      </c>
      <c r="K671" s="32" t="s">
        <v>266</v>
      </c>
      <c r="L671" s="32" t="s">
        <v>511</v>
      </c>
      <c r="M671" s="39" t="s">
        <v>255</v>
      </c>
      <c r="N671" s="39" t="s">
        <v>268</v>
      </c>
      <c r="O671" s="32" t="s">
        <v>512</v>
      </c>
      <c r="P671" s="40" t="str">
        <f aca="false">_xlfn.CONCAT(B671,C671,D671,E671,F671)</f>
        <v>BC Ibiuna 1.1Inverter(MBUS-14)46037.604166666746037.604166666746037.6180555556</v>
      </c>
      <c r="Q671" s="32" t="str">
        <f aca="false">_xlfn.CONCAT(H671,I671,J671)</f>
        <v>DAURDE</v>
      </c>
    </row>
    <row r="672" customFormat="false" ht="15" hidden="false" customHeight="false" outlineLevel="0" collapsed="false">
      <c r="B672" s="32" t="s">
        <v>323</v>
      </c>
      <c r="C672" s="32" t="s">
        <v>328</v>
      </c>
      <c r="D672" s="33" t="n">
        <v>46037.6041666667</v>
      </c>
      <c r="E672" s="33" t="n">
        <v>46037.6041666667</v>
      </c>
      <c r="F672" s="33" t="n">
        <v>46037.6180555556</v>
      </c>
      <c r="G672" s="34" t="n">
        <f aca="false">F672-E672</f>
        <v>0.0138888888888889</v>
      </c>
      <c r="H672" s="39" t="s">
        <v>252</v>
      </c>
      <c r="J672" s="39" t="s">
        <v>253</v>
      </c>
      <c r="K672" s="32" t="s">
        <v>266</v>
      </c>
      <c r="L672" s="32" t="s">
        <v>511</v>
      </c>
      <c r="M672" s="39" t="s">
        <v>255</v>
      </c>
      <c r="N672" s="39" t="s">
        <v>268</v>
      </c>
      <c r="O672" s="32" t="s">
        <v>268</v>
      </c>
      <c r="P672" s="40" t="str">
        <f aca="false">_xlfn.CONCAT(B672,C672,D672,E672,F672)</f>
        <v>BC Ibiuna 1.1Inverter(MBUS-15)46037.604166666746037.604166666746037.6180555556</v>
      </c>
      <c r="Q672" s="32" t="str">
        <f aca="false">_xlfn.CONCAT(H672,I672,J672)</f>
        <v>DAURDE</v>
      </c>
    </row>
    <row r="673" customFormat="false" ht="15" hidden="false" customHeight="false" outlineLevel="0" collapsed="false">
      <c r="B673" s="32" t="s">
        <v>329</v>
      </c>
      <c r="C673" s="32" t="s">
        <v>324</v>
      </c>
      <c r="D673" s="33" t="n">
        <v>46037.6041666667</v>
      </c>
      <c r="E673" s="33" t="n">
        <v>46037.6041666667</v>
      </c>
      <c r="F673" s="33" t="n">
        <v>46037.6180555556</v>
      </c>
      <c r="G673" s="34" t="n">
        <f aca="false">F673-E673</f>
        <v>0.0138888888888889</v>
      </c>
      <c r="H673" s="39" t="s">
        <v>252</v>
      </c>
      <c r="J673" s="39" t="s">
        <v>253</v>
      </c>
      <c r="K673" s="32" t="s">
        <v>266</v>
      </c>
      <c r="L673" s="32" t="s">
        <v>511</v>
      </c>
      <c r="M673" s="39" t="s">
        <v>255</v>
      </c>
      <c r="N673" s="39" t="s">
        <v>268</v>
      </c>
      <c r="O673" s="32" t="s">
        <v>268</v>
      </c>
      <c r="P673" s="40" t="str">
        <f aca="false">_xlfn.CONCAT(B673,C673,D673,E673,F673)</f>
        <v>BC Ibiuna 1.2Inverter(MBUS-12)46037.604166666746037.604166666746037.6180555556</v>
      </c>
      <c r="Q673" s="32" t="str">
        <f aca="false">_xlfn.CONCAT(H673,I673,J673)</f>
        <v>DAURDE</v>
      </c>
    </row>
    <row r="674" customFormat="false" ht="15" hidden="false" customHeight="false" outlineLevel="0" collapsed="false">
      <c r="B674" s="32" t="s">
        <v>329</v>
      </c>
      <c r="C674" s="32" t="s">
        <v>326</v>
      </c>
      <c r="D674" s="33" t="n">
        <v>46037.6041666667</v>
      </c>
      <c r="E674" s="33" t="n">
        <v>46037.6041666667</v>
      </c>
      <c r="F674" s="33" t="n">
        <v>46037.6180555556</v>
      </c>
      <c r="G674" s="34" t="n">
        <f aca="false">F674-E674</f>
        <v>0.0138888888888889</v>
      </c>
      <c r="H674" s="39" t="s">
        <v>252</v>
      </c>
      <c r="J674" s="39" t="s">
        <v>253</v>
      </c>
      <c r="K674" s="32" t="s">
        <v>266</v>
      </c>
      <c r="L674" s="32" t="s">
        <v>511</v>
      </c>
      <c r="M674" s="39" t="s">
        <v>255</v>
      </c>
      <c r="N674" s="39" t="s">
        <v>268</v>
      </c>
      <c r="O674" s="32" t="s">
        <v>268</v>
      </c>
      <c r="P674" s="40" t="str">
        <f aca="false">_xlfn.CONCAT(B674,C674,D674,E674,F674)</f>
        <v>BC Ibiuna 1.2Inverter(MBUS-13)46037.604166666746037.604166666746037.6180555556</v>
      </c>
      <c r="Q674" s="32" t="str">
        <f aca="false">_xlfn.CONCAT(H674,I674,J674)</f>
        <v>DAURDE</v>
      </c>
    </row>
    <row r="675" customFormat="false" ht="15" hidden="false" customHeight="false" outlineLevel="0" collapsed="false">
      <c r="B675" s="32" t="s">
        <v>329</v>
      </c>
      <c r="C675" s="32" t="s">
        <v>327</v>
      </c>
      <c r="D675" s="33" t="n">
        <v>46037.6041666667</v>
      </c>
      <c r="E675" s="33" t="n">
        <v>46037.6041666667</v>
      </c>
      <c r="F675" s="33" t="n">
        <v>46037.6180555556</v>
      </c>
      <c r="G675" s="34" t="n">
        <f aca="false">F675-E675</f>
        <v>0.0138888888888889</v>
      </c>
      <c r="H675" s="39" t="s">
        <v>252</v>
      </c>
      <c r="J675" s="39" t="s">
        <v>253</v>
      </c>
      <c r="K675" s="32" t="s">
        <v>266</v>
      </c>
      <c r="L675" s="32" t="s">
        <v>511</v>
      </c>
      <c r="M675" s="39" t="s">
        <v>255</v>
      </c>
      <c r="N675" s="39" t="s">
        <v>268</v>
      </c>
      <c r="O675" s="32" t="s">
        <v>268</v>
      </c>
      <c r="P675" s="40" t="str">
        <f aca="false">_xlfn.CONCAT(B675,C675,D675,E675,F675)</f>
        <v>BC Ibiuna 1.2Inverter(MBUS-14)46037.604166666746037.604166666746037.6180555556</v>
      </c>
      <c r="Q675" s="32" t="str">
        <f aca="false">_xlfn.CONCAT(H675,I675,J675)</f>
        <v>DAURDE</v>
      </c>
    </row>
    <row r="676" customFormat="false" ht="15" hidden="false" customHeight="false" outlineLevel="0" collapsed="false">
      <c r="B676" s="32" t="s">
        <v>329</v>
      </c>
      <c r="C676" s="32" t="s">
        <v>328</v>
      </c>
      <c r="D676" s="33" t="n">
        <v>46037.6041666667</v>
      </c>
      <c r="E676" s="33" t="n">
        <v>46037.6041666667</v>
      </c>
      <c r="F676" s="33" t="n">
        <v>46037.6180555556</v>
      </c>
      <c r="G676" s="34" t="n">
        <f aca="false">F676-E676</f>
        <v>0.0138888888888889</v>
      </c>
      <c r="H676" s="39" t="s">
        <v>252</v>
      </c>
      <c r="J676" s="39" t="s">
        <v>253</v>
      </c>
      <c r="K676" s="32" t="s">
        <v>266</v>
      </c>
      <c r="L676" s="32" t="s">
        <v>511</v>
      </c>
      <c r="M676" s="39" t="s">
        <v>255</v>
      </c>
      <c r="N676" s="39" t="s">
        <v>256</v>
      </c>
      <c r="O676" s="32" t="s">
        <v>268</v>
      </c>
      <c r="P676" s="40" t="str">
        <f aca="false">_xlfn.CONCAT(B676,C676,D676,E676,F676)</f>
        <v>BC Ibiuna 1.2Inverter(MBUS-15)46037.604166666746037.604166666746037.6180555556</v>
      </c>
      <c r="Q676" s="32" t="str">
        <f aca="false">_xlfn.CONCAT(H676,I676,J676)</f>
        <v>DAURDE</v>
      </c>
    </row>
    <row r="677" customFormat="false" ht="15" hidden="false" customHeight="false" outlineLevel="0" collapsed="false">
      <c r="B677" s="32" t="s">
        <v>48</v>
      </c>
      <c r="C677" s="32" t="s">
        <v>294</v>
      </c>
      <c r="D677" s="33" t="n">
        <v>46037.6576388889</v>
      </c>
      <c r="E677" s="33" t="n">
        <v>46037.6576388889</v>
      </c>
      <c r="F677" s="33" t="n">
        <v>46037.7194444445</v>
      </c>
      <c r="G677" s="34" t="n">
        <f aca="false">F677-E677</f>
        <v>0.0618055555555556</v>
      </c>
      <c r="H677" s="39" t="s">
        <v>252</v>
      </c>
      <c r="J677" s="39" t="s">
        <v>253</v>
      </c>
      <c r="K677" s="32" t="s">
        <v>266</v>
      </c>
      <c r="L677" s="32" t="s">
        <v>275</v>
      </c>
      <c r="M677" s="39" t="s">
        <v>255</v>
      </c>
      <c r="N677" s="39" t="s">
        <v>268</v>
      </c>
      <c r="O677" s="32" t="s">
        <v>269</v>
      </c>
      <c r="P677" s="40" t="str">
        <f aca="false">_xlfn.CONCAT(B677,C677,D677,E677,F677)</f>
        <v>BC Caiaponia1SG60KTL(COM1-001)_001_00746037.657638888946037.657638888946037.7194444445</v>
      </c>
      <c r="Q677" s="32" t="str">
        <f aca="false">_xlfn.CONCAT(H677,I677,J677)</f>
        <v>DAURDE</v>
      </c>
    </row>
    <row r="678" customFormat="false" ht="15" hidden="false" customHeight="false" outlineLevel="0" collapsed="false">
      <c r="B678" s="32" t="s">
        <v>48</v>
      </c>
      <c r="C678" s="32" t="s">
        <v>295</v>
      </c>
      <c r="D678" s="33" t="n">
        <v>46037.6576388889</v>
      </c>
      <c r="E678" s="33" t="n">
        <v>46037.6576388889</v>
      </c>
      <c r="F678" s="33" t="n">
        <v>46037.7194444445</v>
      </c>
      <c r="G678" s="34" t="n">
        <f aca="false">F678-E678</f>
        <v>0.0618055555555556</v>
      </c>
      <c r="H678" s="39" t="s">
        <v>252</v>
      </c>
      <c r="J678" s="39" t="s">
        <v>253</v>
      </c>
      <c r="K678" s="32" t="s">
        <v>266</v>
      </c>
      <c r="L678" s="32" t="s">
        <v>275</v>
      </c>
      <c r="M678" s="39" t="s">
        <v>255</v>
      </c>
      <c r="N678" s="39" t="s">
        <v>268</v>
      </c>
      <c r="O678" s="32" t="s">
        <v>269</v>
      </c>
      <c r="P678" s="40" t="str">
        <f aca="false">_xlfn.CONCAT(B678,C678,D678,E678,F678)</f>
        <v>BC Caiaponia1SG60KTL(COM1-002)_001_01046037.657638888946037.657638888946037.7194444445</v>
      </c>
      <c r="Q678" s="32" t="str">
        <f aca="false">_xlfn.CONCAT(H678,I678,J678)</f>
        <v>DAURDE</v>
      </c>
    </row>
    <row r="679" customFormat="false" ht="15" hidden="false" customHeight="false" outlineLevel="0" collapsed="false">
      <c r="B679" s="32" t="s">
        <v>48</v>
      </c>
      <c r="C679" s="32" t="s">
        <v>296</v>
      </c>
      <c r="D679" s="33" t="n">
        <v>46037.6576388889</v>
      </c>
      <c r="E679" s="33" t="n">
        <v>46037.6576388889</v>
      </c>
      <c r="F679" s="33" t="n">
        <v>46037.7194444445</v>
      </c>
      <c r="G679" s="34" t="n">
        <f aca="false">F679-E679</f>
        <v>0.0618055555555556</v>
      </c>
      <c r="H679" s="39" t="s">
        <v>252</v>
      </c>
      <c r="J679" s="39" t="s">
        <v>253</v>
      </c>
      <c r="K679" s="32" t="s">
        <v>266</v>
      </c>
      <c r="L679" s="32" t="s">
        <v>275</v>
      </c>
      <c r="M679" s="39" t="s">
        <v>255</v>
      </c>
      <c r="N679" s="39" t="s">
        <v>268</v>
      </c>
      <c r="O679" s="32" t="s">
        <v>269</v>
      </c>
      <c r="P679" s="40" t="str">
        <f aca="false">_xlfn.CONCAT(B679,C679,D679,E679,F679)</f>
        <v>BC Caiaponia1SG60KTL(COM1-003)_001_01146037.657638888946037.657638888946037.7194444445</v>
      </c>
      <c r="Q679" s="32" t="str">
        <f aca="false">_xlfn.CONCAT(H679,I679,J679)</f>
        <v>DAURDE</v>
      </c>
    </row>
    <row r="680" customFormat="false" ht="15" hidden="false" customHeight="false" outlineLevel="0" collapsed="false">
      <c r="B680" s="32" t="s">
        <v>48</v>
      </c>
      <c r="C680" s="32" t="s">
        <v>297</v>
      </c>
      <c r="D680" s="33" t="n">
        <v>46037.6576388889</v>
      </c>
      <c r="E680" s="33" t="n">
        <v>46037.6576388889</v>
      </c>
      <c r="F680" s="33" t="n">
        <v>46037.7194444445</v>
      </c>
      <c r="G680" s="34" t="n">
        <f aca="false">F680-E680</f>
        <v>0.0618055555555556</v>
      </c>
      <c r="H680" s="39" t="s">
        <v>252</v>
      </c>
      <c r="J680" s="39" t="s">
        <v>253</v>
      </c>
      <c r="K680" s="32" t="s">
        <v>266</v>
      </c>
      <c r="L680" s="32" t="s">
        <v>275</v>
      </c>
      <c r="M680" s="39" t="s">
        <v>255</v>
      </c>
      <c r="N680" s="39" t="s">
        <v>268</v>
      </c>
      <c r="O680" s="32" t="s">
        <v>269</v>
      </c>
      <c r="P680" s="40" t="str">
        <f aca="false">_xlfn.CONCAT(B680,C680,D680,E680,F680)</f>
        <v>BC Caiaponia1SG60KTL(COM1-004)_001_01446037.657638888946037.657638888946037.7194444445</v>
      </c>
      <c r="Q680" s="32" t="str">
        <f aca="false">_xlfn.CONCAT(H680,I680,J680)</f>
        <v>DAURDE</v>
      </c>
    </row>
    <row r="681" customFormat="false" ht="15" hidden="false" customHeight="false" outlineLevel="0" collapsed="false">
      <c r="B681" s="32" t="s">
        <v>48</v>
      </c>
      <c r="C681" s="32" t="s">
        <v>298</v>
      </c>
      <c r="D681" s="33" t="n">
        <v>46037.6576388889</v>
      </c>
      <c r="E681" s="33" t="n">
        <v>46037.6576388889</v>
      </c>
      <c r="F681" s="33" t="n">
        <v>46037.7194444445</v>
      </c>
      <c r="G681" s="34" t="n">
        <f aca="false">F681-E681</f>
        <v>0.0618055555555556</v>
      </c>
      <c r="H681" s="39" t="s">
        <v>252</v>
      </c>
      <c r="J681" s="39" t="s">
        <v>253</v>
      </c>
      <c r="K681" s="32" t="s">
        <v>266</v>
      </c>
      <c r="L681" s="32" t="s">
        <v>275</v>
      </c>
      <c r="M681" s="39" t="s">
        <v>255</v>
      </c>
      <c r="N681" s="39" t="s">
        <v>268</v>
      </c>
      <c r="O681" s="32" t="s">
        <v>269</v>
      </c>
      <c r="P681" s="40" t="str">
        <f aca="false">_xlfn.CONCAT(B681,C681,D681,E681,F681)</f>
        <v>BC Caiaponia1SG60KTL(COM1-005)_001_01746037.657638888946037.657638888946037.7194444445</v>
      </c>
      <c r="Q681" s="32" t="str">
        <f aca="false">_xlfn.CONCAT(H681,I681,J681)</f>
        <v>DAURDE</v>
      </c>
    </row>
    <row r="682" customFormat="false" ht="15" hidden="false" customHeight="false" outlineLevel="0" collapsed="false">
      <c r="B682" s="32" t="s">
        <v>48</v>
      </c>
      <c r="C682" s="32" t="s">
        <v>299</v>
      </c>
      <c r="D682" s="33" t="n">
        <v>46037.6576388889</v>
      </c>
      <c r="E682" s="33" t="n">
        <v>46037.6576388889</v>
      </c>
      <c r="F682" s="33" t="n">
        <v>46037.7194444445</v>
      </c>
      <c r="G682" s="34" t="n">
        <f aca="false">F682-E682</f>
        <v>0.0618055555555556</v>
      </c>
      <c r="H682" s="39" t="s">
        <v>252</v>
      </c>
      <c r="J682" s="39" t="s">
        <v>253</v>
      </c>
      <c r="K682" s="32" t="s">
        <v>266</v>
      </c>
      <c r="L682" s="32" t="s">
        <v>275</v>
      </c>
      <c r="M682" s="39" t="s">
        <v>255</v>
      </c>
      <c r="N682" s="39" t="s">
        <v>268</v>
      </c>
      <c r="O682" s="32" t="s">
        <v>269</v>
      </c>
      <c r="P682" s="40" t="str">
        <f aca="false">_xlfn.CONCAT(B682,C682,D682,E682,F682)</f>
        <v>BC Caiaponia1SG60KTL(COM1-006)_001_01646037.657638888946037.657638888946037.7194444445</v>
      </c>
      <c r="Q682" s="32" t="str">
        <f aca="false">_xlfn.CONCAT(H682,I682,J682)</f>
        <v>DAURDE</v>
      </c>
    </row>
    <row r="683" customFormat="false" ht="15" hidden="false" customHeight="false" outlineLevel="0" collapsed="false">
      <c r="B683" s="32" t="s">
        <v>48</v>
      </c>
      <c r="C683" s="32" t="s">
        <v>300</v>
      </c>
      <c r="D683" s="33" t="n">
        <v>46037.6576388889</v>
      </c>
      <c r="E683" s="33" t="n">
        <v>46037.6576388889</v>
      </c>
      <c r="F683" s="33" t="n">
        <v>46037.7194444445</v>
      </c>
      <c r="G683" s="34" t="n">
        <f aca="false">F683-E683</f>
        <v>0.0618055555555556</v>
      </c>
      <c r="H683" s="39" t="s">
        <v>252</v>
      </c>
      <c r="J683" s="39" t="s">
        <v>253</v>
      </c>
      <c r="K683" s="32" t="s">
        <v>266</v>
      </c>
      <c r="L683" s="32" t="s">
        <v>275</v>
      </c>
      <c r="M683" s="39" t="s">
        <v>255</v>
      </c>
      <c r="N683" s="39" t="s">
        <v>268</v>
      </c>
      <c r="O683" s="32" t="s">
        <v>269</v>
      </c>
      <c r="P683" s="40" t="str">
        <f aca="false">_xlfn.CONCAT(B683,C683,D683,E683,F683)</f>
        <v>BC Caiaponia1SG60KTL(COM1-007)_001_01346037.657638888946037.657638888946037.7194444445</v>
      </c>
      <c r="Q683" s="32" t="str">
        <f aca="false">_xlfn.CONCAT(H683,I683,J683)</f>
        <v>DAURDE</v>
      </c>
    </row>
    <row r="684" customFormat="false" ht="15" hidden="false" customHeight="false" outlineLevel="0" collapsed="false">
      <c r="B684" s="32" t="s">
        <v>48</v>
      </c>
      <c r="C684" s="32" t="s">
        <v>301</v>
      </c>
      <c r="D684" s="33" t="n">
        <v>46037.6576388889</v>
      </c>
      <c r="E684" s="33" t="n">
        <v>46037.6576388889</v>
      </c>
      <c r="F684" s="33" t="n">
        <v>46037.7194444445</v>
      </c>
      <c r="G684" s="34" t="n">
        <f aca="false">F684-E684</f>
        <v>0.0618055555555556</v>
      </c>
      <c r="H684" s="39" t="s">
        <v>252</v>
      </c>
      <c r="J684" s="39" t="s">
        <v>253</v>
      </c>
      <c r="K684" s="32" t="s">
        <v>266</v>
      </c>
      <c r="L684" s="32" t="s">
        <v>275</v>
      </c>
      <c r="M684" s="39" t="s">
        <v>255</v>
      </c>
      <c r="N684" s="39" t="s">
        <v>268</v>
      </c>
      <c r="O684" s="32" t="s">
        <v>269</v>
      </c>
      <c r="P684" s="40" t="str">
        <f aca="false">_xlfn.CONCAT(B684,C684,D684,E684,F684)</f>
        <v>BC Caiaponia1SG60KTL(COM1-008)_001_00146037.657638888946037.657638888946037.7194444445</v>
      </c>
      <c r="Q684" s="32" t="str">
        <f aca="false">_xlfn.CONCAT(H684,I684,J684)</f>
        <v>DAURDE</v>
      </c>
    </row>
    <row r="685" customFormat="false" ht="15" hidden="false" customHeight="false" outlineLevel="0" collapsed="false">
      <c r="B685" s="32" t="s">
        <v>48</v>
      </c>
      <c r="C685" s="32" t="s">
        <v>302</v>
      </c>
      <c r="D685" s="33" t="n">
        <v>46037.6576388889</v>
      </c>
      <c r="E685" s="33" t="n">
        <v>46037.6576388889</v>
      </c>
      <c r="F685" s="33" t="n">
        <v>46037.7194444445</v>
      </c>
      <c r="G685" s="34" t="n">
        <f aca="false">F685-E685</f>
        <v>0.0618055555555556</v>
      </c>
      <c r="H685" s="39" t="s">
        <v>252</v>
      </c>
      <c r="J685" s="39" t="s">
        <v>253</v>
      </c>
      <c r="K685" s="32" t="s">
        <v>266</v>
      </c>
      <c r="L685" s="32" t="s">
        <v>275</v>
      </c>
      <c r="M685" s="39" t="s">
        <v>255</v>
      </c>
      <c r="N685" s="39" t="s">
        <v>268</v>
      </c>
      <c r="O685" s="32" t="s">
        <v>269</v>
      </c>
      <c r="P685" s="40" t="str">
        <f aca="false">_xlfn.CONCAT(B685,C685,D685,E685,F685)</f>
        <v>BC Caiaponia1SG60KTL(COM1-009)46037.657638888946037.657638888946037.7194444445</v>
      </c>
      <c r="Q685" s="32" t="str">
        <f aca="false">_xlfn.CONCAT(H685,I685,J685)</f>
        <v>DAURDE</v>
      </c>
    </row>
    <row r="686" customFormat="false" ht="15" hidden="false" customHeight="false" outlineLevel="0" collapsed="false">
      <c r="B686" s="32" t="s">
        <v>48</v>
      </c>
      <c r="C686" s="32" t="s">
        <v>303</v>
      </c>
      <c r="D686" s="33" t="n">
        <v>46037.6576388889</v>
      </c>
      <c r="E686" s="33" t="n">
        <v>46037.6576388889</v>
      </c>
      <c r="F686" s="33" t="n">
        <v>46037.7194444445</v>
      </c>
      <c r="G686" s="34" t="n">
        <f aca="false">F686-E686</f>
        <v>0.0618055555555556</v>
      </c>
      <c r="H686" s="39" t="s">
        <v>252</v>
      </c>
      <c r="J686" s="39" t="s">
        <v>253</v>
      </c>
      <c r="K686" s="32" t="s">
        <v>266</v>
      </c>
      <c r="L686" s="32" t="s">
        <v>275</v>
      </c>
      <c r="M686" s="39" t="s">
        <v>255</v>
      </c>
      <c r="N686" s="39" t="s">
        <v>268</v>
      </c>
      <c r="O686" s="32" t="s">
        <v>269</v>
      </c>
      <c r="P686" s="40" t="str">
        <f aca="false">_xlfn.CONCAT(B686,C686,D686,E686,F686)</f>
        <v>BC Caiaponia1SG60KTL(COM1-010)46037.657638888946037.657638888946037.7194444445</v>
      </c>
      <c r="Q686" s="32" t="str">
        <f aca="false">_xlfn.CONCAT(H686,I686,J686)</f>
        <v>DAURDE</v>
      </c>
    </row>
    <row r="687" customFormat="false" ht="15" hidden="false" customHeight="false" outlineLevel="0" collapsed="false">
      <c r="B687" s="32" t="s">
        <v>48</v>
      </c>
      <c r="C687" s="32" t="s">
        <v>304</v>
      </c>
      <c r="D687" s="33" t="n">
        <v>46037.6576388889</v>
      </c>
      <c r="E687" s="33" t="n">
        <v>46037.6576388889</v>
      </c>
      <c r="F687" s="33" t="n">
        <v>46037.7194444445</v>
      </c>
      <c r="G687" s="34" t="n">
        <f aca="false">F687-E687</f>
        <v>0.0618055555555556</v>
      </c>
      <c r="H687" s="39" t="s">
        <v>252</v>
      </c>
      <c r="J687" s="39" t="s">
        <v>253</v>
      </c>
      <c r="K687" s="32" t="s">
        <v>266</v>
      </c>
      <c r="L687" s="32" t="s">
        <v>275</v>
      </c>
      <c r="M687" s="39" t="s">
        <v>255</v>
      </c>
      <c r="N687" s="39" t="s">
        <v>268</v>
      </c>
      <c r="O687" s="32" t="s">
        <v>269</v>
      </c>
      <c r="P687" s="40" t="str">
        <f aca="false">_xlfn.CONCAT(B687,C687,D687,E687,F687)</f>
        <v>BC Caiaponia1SG60KTL(COM1-011)46037.657638888946037.657638888946037.7194444445</v>
      </c>
      <c r="Q687" s="32" t="str">
        <f aca="false">_xlfn.CONCAT(H687,I687,J687)</f>
        <v>DAURDE</v>
      </c>
    </row>
    <row r="688" customFormat="false" ht="15" hidden="false" customHeight="false" outlineLevel="0" collapsed="false">
      <c r="B688" s="32" t="s">
        <v>48</v>
      </c>
      <c r="C688" s="32" t="s">
        <v>305</v>
      </c>
      <c r="D688" s="33" t="n">
        <v>46037.6576388889</v>
      </c>
      <c r="E688" s="33" t="n">
        <v>46037.6576388889</v>
      </c>
      <c r="F688" s="33" t="n">
        <v>46037.7194444445</v>
      </c>
      <c r="G688" s="34" t="n">
        <f aca="false">F688-E688</f>
        <v>0.0618055555555556</v>
      </c>
      <c r="H688" s="39" t="s">
        <v>252</v>
      </c>
      <c r="J688" s="39" t="s">
        <v>253</v>
      </c>
      <c r="K688" s="32" t="s">
        <v>266</v>
      </c>
      <c r="L688" s="32" t="s">
        <v>275</v>
      </c>
      <c r="M688" s="39" t="s">
        <v>255</v>
      </c>
      <c r="N688" s="39" t="s">
        <v>268</v>
      </c>
      <c r="O688" s="32" t="s">
        <v>269</v>
      </c>
      <c r="P688" s="40" t="str">
        <f aca="false">_xlfn.CONCAT(B688,C688,D688,E688,F688)</f>
        <v>BC Caiaponia1SG60KTL(COM1-012)46037.657638888946037.657638888946037.7194444445</v>
      </c>
      <c r="Q688" s="32" t="str">
        <f aca="false">_xlfn.CONCAT(H688,I688,J688)</f>
        <v>DAURDE</v>
      </c>
    </row>
    <row r="689" customFormat="false" ht="15" hidden="false" customHeight="false" outlineLevel="0" collapsed="false">
      <c r="B689" s="32" t="s">
        <v>48</v>
      </c>
      <c r="C689" s="32" t="s">
        <v>306</v>
      </c>
      <c r="D689" s="33" t="n">
        <v>46037.6576388889</v>
      </c>
      <c r="E689" s="33" t="n">
        <v>46037.6576388889</v>
      </c>
      <c r="F689" s="33" t="n">
        <v>46037.7194444445</v>
      </c>
      <c r="G689" s="34" t="n">
        <f aca="false">F689-E689</f>
        <v>0.0618055555555556</v>
      </c>
      <c r="H689" s="39" t="s">
        <v>252</v>
      </c>
      <c r="J689" s="39" t="s">
        <v>253</v>
      </c>
      <c r="K689" s="32" t="s">
        <v>266</v>
      </c>
      <c r="L689" s="32" t="s">
        <v>275</v>
      </c>
      <c r="M689" s="39" t="s">
        <v>255</v>
      </c>
      <c r="N689" s="39" t="s">
        <v>268</v>
      </c>
      <c r="O689" s="32" t="s">
        <v>269</v>
      </c>
      <c r="P689" s="40" t="str">
        <f aca="false">_xlfn.CONCAT(B689,C689,D689,E689,F689)</f>
        <v>BC Caiaponia1SG60KTL(COM1-013)46037.657638888946037.657638888946037.7194444445</v>
      </c>
      <c r="Q689" s="32" t="str">
        <f aca="false">_xlfn.CONCAT(H689,I689,J689)</f>
        <v>DAURDE</v>
      </c>
    </row>
    <row r="690" customFormat="false" ht="15" hidden="false" customHeight="false" outlineLevel="0" collapsed="false">
      <c r="B690" s="32" t="s">
        <v>48</v>
      </c>
      <c r="C690" s="32" t="s">
        <v>307</v>
      </c>
      <c r="D690" s="33" t="n">
        <v>46037.6576388889</v>
      </c>
      <c r="E690" s="33" t="n">
        <v>46037.6576388889</v>
      </c>
      <c r="F690" s="33" t="n">
        <v>46037.7194444445</v>
      </c>
      <c r="G690" s="34" t="n">
        <f aca="false">F690-E690</f>
        <v>0.0618055555555556</v>
      </c>
      <c r="H690" s="39" t="s">
        <v>252</v>
      </c>
      <c r="J690" s="39" t="s">
        <v>253</v>
      </c>
      <c r="K690" s="32" t="s">
        <v>266</v>
      </c>
      <c r="L690" s="32" t="s">
        <v>275</v>
      </c>
      <c r="M690" s="39" t="s">
        <v>255</v>
      </c>
      <c r="N690" s="39" t="s">
        <v>268</v>
      </c>
      <c r="O690" s="32" t="s">
        <v>269</v>
      </c>
      <c r="P690" s="40" t="str">
        <f aca="false">_xlfn.CONCAT(B690,C690,D690,E690,F690)</f>
        <v>BC Caiaponia1SG60KTL(COM1-014)46037.657638888946037.657638888946037.7194444445</v>
      </c>
      <c r="Q690" s="32" t="str">
        <f aca="false">_xlfn.CONCAT(H690,I690,J690)</f>
        <v>DAURDE</v>
      </c>
    </row>
    <row r="691" customFormat="false" ht="15" hidden="false" customHeight="false" outlineLevel="0" collapsed="false">
      <c r="B691" s="32" t="s">
        <v>48</v>
      </c>
      <c r="C691" s="32" t="s">
        <v>308</v>
      </c>
      <c r="D691" s="33" t="n">
        <v>46037.6576388889</v>
      </c>
      <c r="E691" s="33" t="n">
        <v>46037.6576388889</v>
      </c>
      <c r="F691" s="33" t="n">
        <v>46037.7194444445</v>
      </c>
      <c r="G691" s="34" t="n">
        <f aca="false">F691-E691</f>
        <v>0.0618055555555556</v>
      </c>
      <c r="H691" s="39" t="s">
        <v>252</v>
      </c>
      <c r="J691" s="39" t="s">
        <v>253</v>
      </c>
      <c r="K691" s="32" t="s">
        <v>266</v>
      </c>
      <c r="L691" s="32" t="s">
        <v>275</v>
      </c>
      <c r="M691" s="39" t="s">
        <v>255</v>
      </c>
      <c r="N691" s="39" t="s">
        <v>268</v>
      </c>
      <c r="O691" s="32" t="s">
        <v>269</v>
      </c>
      <c r="P691" s="40" t="str">
        <f aca="false">_xlfn.CONCAT(B691,C691,D691,E691,F691)</f>
        <v>BC Caiaponia1SG60KTL(COM1-015)46037.657638888946037.657638888946037.7194444445</v>
      </c>
      <c r="Q691" s="32" t="str">
        <f aca="false">_xlfn.CONCAT(H691,I691,J691)</f>
        <v>DAURDE</v>
      </c>
    </row>
    <row r="692" customFormat="false" ht="15" hidden="false" customHeight="false" outlineLevel="0" collapsed="false">
      <c r="B692" s="32" t="s">
        <v>48</v>
      </c>
      <c r="C692" s="32" t="s">
        <v>309</v>
      </c>
      <c r="D692" s="33" t="n">
        <v>46037.6576388889</v>
      </c>
      <c r="E692" s="33" t="n">
        <v>46037.6576388889</v>
      </c>
      <c r="F692" s="33" t="n">
        <v>46037.7194444445</v>
      </c>
      <c r="G692" s="34" t="n">
        <f aca="false">F692-E692</f>
        <v>0.0618055555555556</v>
      </c>
      <c r="H692" s="39" t="s">
        <v>252</v>
      </c>
      <c r="J692" s="39" t="s">
        <v>253</v>
      </c>
      <c r="K692" s="32" t="s">
        <v>266</v>
      </c>
      <c r="L692" s="32" t="s">
        <v>275</v>
      </c>
      <c r="M692" s="39" t="s">
        <v>255</v>
      </c>
      <c r="N692" s="39" t="s">
        <v>268</v>
      </c>
      <c r="O692" s="32" t="s">
        <v>269</v>
      </c>
      <c r="P692" s="40" t="str">
        <f aca="false">_xlfn.CONCAT(B692,C692,D692,E692,F692)</f>
        <v>BC Caiaponia1SG60KTL(COM3-016)_001_00946037.657638888946037.657638888946037.7194444445</v>
      </c>
      <c r="Q692" s="32" t="str">
        <f aca="false">_xlfn.CONCAT(H692,I692,J692)</f>
        <v>DAURDE</v>
      </c>
    </row>
    <row r="693" customFormat="false" ht="15" hidden="false" customHeight="false" outlineLevel="0" collapsed="false">
      <c r="B693" s="32" t="s">
        <v>48</v>
      </c>
      <c r="C693" s="32" t="s">
        <v>310</v>
      </c>
      <c r="D693" s="33" t="n">
        <v>46037.6576388889</v>
      </c>
      <c r="E693" s="33" t="n">
        <v>46037.6576388889</v>
      </c>
      <c r="F693" s="33" t="n">
        <v>46037.7194444445</v>
      </c>
      <c r="G693" s="34" t="n">
        <f aca="false">F693-E693</f>
        <v>0.0618055555555556</v>
      </c>
      <c r="H693" s="39" t="s">
        <v>252</v>
      </c>
      <c r="J693" s="39" t="s">
        <v>253</v>
      </c>
      <c r="K693" s="32" t="s">
        <v>266</v>
      </c>
      <c r="L693" s="32" t="s">
        <v>275</v>
      </c>
      <c r="M693" s="39" t="s">
        <v>255</v>
      </c>
      <c r="N693" s="39" t="s">
        <v>268</v>
      </c>
      <c r="O693" s="32" t="s">
        <v>269</v>
      </c>
      <c r="P693" s="40" t="str">
        <f aca="false">_xlfn.CONCAT(B693,C693,D693,E693,F693)</f>
        <v>BC Caiaponia1SG60KTL(COM3-017)_001_01246037.657638888946037.657638888946037.7194444445</v>
      </c>
      <c r="Q693" s="32" t="str">
        <f aca="false">_xlfn.CONCAT(H693,I693,J693)</f>
        <v>DAURDE</v>
      </c>
    </row>
    <row r="694" customFormat="false" ht="15" hidden="false" customHeight="false" outlineLevel="0" collapsed="false">
      <c r="B694" s="32" t="s">
        <v>48</v>
      </c>
      <c r="C694" s="32" t="s">
        <v>311</v>
      </c>
      <c r="D694" s="33" t="n">
        <v>46037.6576388889</v>
      </c>
      <c r="E694" s="33" t="n">
        <v>46037.6576388889</v>
      </c>
      <c r="F694" s="33" t="n">
        <v>46037.7194444445</v>
      </c>
      <c r="G694" s="34" t="n">
        <f aca="false">F694-E694</f>
        <v>0.0618055555555556</v>
      </c>
      <c r="H694" s="39" t="s">
        <v>252</v>
      </c>
      <c r="J694" s="39" t="s">
        <v>253</v>
      </c>
      <c r="K694" s="32" t="s">
        <v>266</v>
      </c>
      <c r="L694" s="32" t="s">
        <v>275</v>
      </c>
      <c r="M694" s="39" t="s">
        <v>255</v>
      </c>
      <c r="N694" s="39" t="s">
        <v>268</v>
      </c>
      <c r="O694" s="32" t="s">
        <v>269</v>
      </c>
      <c r="P694" s="40" t="str">
        <f aca="false">_xlfn.CONCAT(B694,C694,D694,E694,F694)</f>
        <v>BC Caiaponia1SG60KTL(COM3-018)_001_00846037.657638888946037.657638888946037.7194444445</v>
      </c>
      <c r="Q694" s="32" t="str">
        <f aca="false">_xlfn.CONCAT(H694,I694,J694)</f>
        <v>DAURDE</v>
      </c>
    </row>
    <row r="695" customFormat="false" ht="15" hidden="false" customHeight="false" outlineLevel="0" collapsed="false">
      <c r="B695" s="32" t="s">
        <v>48</v>
      </c>
      <c r="C695" s="32" t="s">
        <v>312</v>
      </c>
      <c r="D695" s="33" t="n">
        <v>46037.6576388889</v>
      </c>
      <c r="E695" s="33" t="n">
        <v>46037.6576388889</v>
      </c>
      <c r="F695" s="33" t="n">
        <v>46037.7194444445</v>
      </c>
      <c r="G695" s="34" t="n">
        <f aca="false">F695-E695</f>
        <v>0.0618055555555556</v>
      </c>
      <c r="H695" s="39" t="s">
        <v>252</v>
      </c>
      <c r="J695" s="39" t="s">
        <v>253</v>
      </c>
      <c r="K695" s="32" t="s">
        <v>266</v>
      </c>
      <c r="L695" s="32" t="s">
        <v>275</v>
      </c>
      <c r="M695" s="39" t="s">
        <v>255</v>
      </c>
      <c r="N695" s="39" t="s">
        <v>268</v>
      </c>
      <c r="O695" s="32" t="s">
        <v>269</v>
      </c>
      <c r="P695" s="40" t="str">
        <f aca="false">_xlfn.CONCAT(B695,C695,D695,E695,F695)</f>
        <v>BC Caiaponia1SG60KTL(COM3-019)_001_01946037.657638888946037.657638888946037.7194444445</v>
      </c>
      <c r="Q695" s="32" t="str">
        <f aca="false">_xlfn.CONCAT(H695,I695,J695)</f>
        <v>DAURDE</v>
      </c>
    </row>
    <row r="696" customFormat="false" ht="15" hidden="false" customHeight="false" outlineLevel="0" collapsed="false">
      <c r="B696" s="32" t="s">
        <v>48</v>
      </c>
      <c r="C696" s="32" t="s">
        <v>313</v>
      </c>
      <c r="D696" s="33" t="n">
        <v>46037.6576388889</v>
      </c>
      <c r="E696" s="33" t="n">
        <v>46037.6576388889</v>
      </c>
      <c r="F696" s="33" t="n">
        <v>46037.7194444445</v>
      </c>
      <c r="G696" s="34" t="n">
        <f aca="false">F696-E696</f>
        <v>0.0618055555555556</v>
      </c>
      <c r="H696" s="39" t="s">
        <v>252</v>
      </c>
      <c r="J696" s="39" t="s">
        <v>253</v>
      </c>
      <c r="K696" s="32" t="s">
        <v>266</v>
      </c>
      <c r="L696" s="32" t="s">
        <v>275</v>
      </c>
      <c r="M696" s="39" t="s">
        <v>255</v>
      </c>
      <c r="N696" s="39" t="s">
        <v>268</v>
      </c>
      <c r="O696" s="32" t="s">
        <v>269</v>
      </c>
      <c r="P696" s="40" t="str">
        <f aca="false">_xlfn.CONCAT(B696,C696,D696,E696,F696)</f>
        <v>BC Caiaponia1SG60KTL(COM3-020)_001_02046037.657638888946037.657638888946037.7194444445</v>
      </c>
      <c r="Q696" s="32" t="str">
        <f aca="false">_xlfn.CONCAT(H696,I696,J696)</f>
        <v>DAURDE</v>
      </c>
    </row>
    <row r="697" customFormat="false" ht="15" hidden="false" customHeight="false" outlineLevel="0" collapsed="false">
      <c r="B697" s="32" t="s">
        <v>48</v>
      </c>
      <c r="C697" s="32" t="s">
        <v>314</v>
      </c>
      <c r="D697" s="33" t="n">
        <v>46037.6576388889</v>
      </c>
      <c r="E697" s="33" t="n">
        <v>46037.6576388889</v>
      </c>
      <c r="F697" s="33" t="n">
        <v>46037.7194444445</v>
      </c>
      <c r="G697" s="34" t="n">
        <f aca="false">F697-E697</f>
        <v>0.0618055555555556</v>
      </c>
      <c r="H697" s="39" t="s">
        <v>252</v>
      </c>
      <c r="J697" s="39" t="s">
        <v>253</v>
      </c>
      <c r="K697" s="32" t="s">
        <v>266</v>
      </c>
      <c r="L697" s="32" t="s">
        <v>275</v>
      </c>
      <c r="M697" s="39" t="s">
        <v>255</v>
      </c>
      <c r="N697" s="39" t="s">
        <v>268</v>
      </c>
      <c r="O697" s="32" t="s">
        <v>269</v>
      </c>
      <c r="P697" s="40" t="str">
        <f aca="false">_xlfn.CONCAT(B697,C697,D697,E697,F697)</f>
        <v>BC Caiaponia1SG60KTL(COM2-026)46037.657638888946037.657638888946037.7194444445</v>
      </c>
      <c r="Q697" s="32" t="str">
        <f aca="false">_xlfn.CONCAT(H697,I697,J697)</f>
        <v>DAURDE</v>
      </c>
    </row>
    <row r="698" customFormat="false" ht="15" hidden="false" customHeight="false" outlineLevel="0" collapsed="false">
      <c r="B698" s="32" t="s">
        <v>48</v>
      </c>
      <c r="C698" s="32" t="s">
        <v>315</v>
      </c>
      <c r="D698" s="33" t="n">
        <v>46037.6576388889</v>
      </c>
      <c r="E698" s="33" t="n">
        <v>46037.6576388889</v>
      </c>
      <c r="F698" s="33" t="n">
        <v>46037.7194444445</v>
      </c>
      <c r="G698" s="34" t="n">
        <f aca="false">F698-E698</f>
        <v>0.0618055555555556</v>
      </c>
      <c r="H698" s="39" t="s">
        <v>252</v>
      </c>
      <c r="J698" s="39" t="s">
        <v>253</v>
      </c>
      <c r="K698" s="32" t="s">
        <v>266</v>
      </c>
      <c r="L698" s="32" t="s">
        <v>275</v>
      </c>
      <c r="M698" s="39" t="s">
        <v>255</v>
      </c>
      <c r="N698" s="39" t="s">
        <v>268</v>
      </c>
      <c r="O698" s="32" t="s">
        <v>269</v>
      </c>
      <c r="P698" s="40" t="str">
        <f aca="false">_xlfn.CONCAT(B698,C698,D698,E698,F698)</f>
        <v>BC Caiaponia1SG60KTL(COM2-027)46037.657638888946037.657638888946037.7194444445</v>
      </c>
      <c r="Q698" s="32" t="str">
        <f aca="false">_xlfn.CONCAT(H698,I698,J698)</f>
        <v>DAURDE</v>
      </c>
    </row>
    <row r="699" customFormat="false" ht="15" hidden="false" customHeight="false" outlineLevel="0" collapsed="false">
      <c r="B699" s="32" t="s">
        <v>48</v>
      </c>
      <c r="C699" s="32" t="s">
        <v>316</v>
      </c>
      <c r="D699" s="33" t="n">
        <v>46037.6576388889</v>
      </c>
      <c r="E699" s="33" t="n">
        <v>46037.6576388889</v>
      </c>
      <c r="F699" s="33" t="n">
        <v>46037.7194444445</v>
      </c>
      <c r="G699" s="34" t="n">
        <f aca="false">F699-E699</f>
        <v>0.0618055555555556</v>
      </c>
      <c r="H699" s="39" t="s">
        <v>252</v>
      </c>
      <c r="J699" s="39" t="s">
        <v>253</v>
      </c>
      <c r="K699" s="32" t="s">
        <v>266</v>
      </c>
      <c r="L699" s="32" t="s">
        <v>275</v>
      </c>
      <c r="M699" s="39" t="s">
        <v>255</v>
      </c>
      <c r="N699" s="39" t="s">
        <v>268</v>
      </c>
      <c r="O699" s="32" t="s">
        <v>269</v>
      </c>
      <c r="P699" s="40" t="str">
        <f aca="false">_xlfn.CONCAT(B699,C699,D699,E699,F699)</f>
        <v>BC Caiaponia1SG60KTL(COM2-028)46037.657638888946037.657638888946037.7194444445</v>
      </c>
      <c r="Q699" s="32" t="str">
        <f aca="false">_xlfn.CONCAT(H699,I699,J699)</f>
        <v>DAURDE</v>
      </c>
    </row>
    <row r="700" customFormat="false" ht="15" hidden="false" customHeight="false" outlineLevel="0" collapsed="false">
      <c r="B700" s="32" t="s">
        <v>48</v>
      </c>
      <c r="C700" s="32" t="s">
        <v>317</v>
      </c>
      <c r="D700" s="33" t="n">
        <v>46037.6576388889</v>
      </c>
      <c r="E700" s="33" t="n">
        <v>46037.6576388889</v>
      </c>
      <c r="F700" s="33" t="n">
        <v>46037.7194444445</v>
      </c>
      <c r="G700" s="34" t="n">
        <f aca="false">F700-E700</f>
        <v>0.0618055555555556</v>
      </c>
      <c r="H700" s="39" t="s">
        <v>252</v>
      </c>
      <c r="J700" s="39" t="s">
        <v>253</v>
      </c>
      <c r="K700" s="32" t="s">
        <v>266</v>
      </c>
      <c r="L700" s="32" t="s">
        <v>275</v>
      </c>
      <c r="M700" s="39" t="s">
        <v>255</v>
      </c>
      <c r="N700" s="39" t="s">
        <v>268</v>
      </c>
      <c r="O700" s="32" t="s">
        <v>269</v>
      </c>
      <c r="P700" s="40" t="str">
        <f aca="false">_xlfn.CONCAT(B700,C700,D700,E700,F700)</f>
        <v>BC Caiaponia1SG60KTL(COM2-029)46037.657638888946037.657638888946037.7194444445</v>
      </c>
      <c r="Q700" s="32" t="str">
        <f aca="false">_xlfn.CONCAT(H700,I700,J700)</f>
        <v>DAURDE</v>
      </c>
    </row>
    <row r="701" customFormat="false" ht="15" hidden="false" customHeight="false" outlineLevel="0" collapsed="false">
      <c r="B701" s="32" t="s">
        <v>48</v>
      </c>
      <c r="C701" s="32" t="s">
        <v>318</v>
      </c>
      <c r="D701" s="33" t="n">
        <v>46037.6576388889</v>
      </c>
      <c r="E701" s="33" t="n">
        <v>46037.6576388889</v>
      </c>
      <c r="F701" s="33" t="n">
        <v>46037.7194444445</v>
      </c>
      <c r="G701" s="34" t="n">
        <f aca="false">F701-E701</f>
        <v>0.0618055555555556</v>
      </c>
      <c r="H701" s="39" t="s">
        <v>252</v>
      </c>
      <c r="J701" s="39" t="s">
        <v>253</v>
      </c>
      <c r="K701" s="32" t="s">
        <v>266</v>
      </c>
      <c r="L701" s="32" t="s">
        <v>275</v>
      </c>
      <c r="M701" s="39" t="s">
        <v>255</v>
      </c>
      <c r="N701" s="39" t="s">
        <v>268</v>
      </c>
      <c r="O701" s="32" t="s">
        <v>269</v>
      </c>
      <c r="P701" s="40" t="str">
        <f aca="false">_xlfn.CONCAT(B701,C701,D701,E701,F701)</f>
        <v>BC Caiaponia1SG50CX(COM1-021)46037.657638888946037.657638888946037.7194444445</v>
      </c>
      <c r="Q701" s="32" t="str">
        <f aca="false">_xlfn.CONCAT(H701,I701,J701)</f>
        <v>DAURDE</v>
      </c>
    </row>
    <row r="702" customFormat="false" ht="15" hidden="false" customHeight="false" outlineLevel="0" collapsed="false">
      <c r="B702" s="32" t="s">
        <v>48</v>
      </c>
      <c r="C702" s="32" t="s">
        <v>319</v>
      </c>
      <c r="D702" s="33" t="n">
        <v>46037.6576388889</v>
      </c>
      <c r="E702" s="33" t="n">
        <v>46037.6576388889</v>
      </c>
      <c r="F702" s="33" t="n">
        <v>46037.7194444445</v>
      </c>
      <c r="G702" s="34" t="n">
        <f aca="false">F702-E702</f>
        <v>0.0618055555555556</v>
      </c>
      <c r="H702" s="39" t="s">
        <v>252</v>
      </c>
      <c r="J702" s="39" t="s">
        <v>253</v>
      </c>
      <c r="K702" s="32" t="s">
        <v>266</v>
      </c>
      <c r="L702" s="32" t="s">
        <v>275</v>
      </c>
      <c r="M702" s="39" t="s">
        <v>255</v>
      </c>
      <c r="N702" s="39" t="s">
        <v>268</v>
      </c>
      <c r="O702" s="32" t="s">
        <v>269</v>
      </c>
      <c r="P702" s="40" t="str">
        <f aca="false">_xlfn.CONCAT(B702,C702,D702,E702,F702)</f>
        <v>BC Caiaponia1SG50CX(COM1-022)46037.657638888946037.657638888946037.7194444445</v>
      </c>
      <c r="Q702" s="32" t="str">
        <f aca="false">_xlfn.CONCAT(H702,I702,J702)</f>
        <v>DAURDE</v>
      </c>
    </row>
    <row r="703" customFormat="false" ht="15" hidden="false" customHeight="false" outlineLevel="0" collapsed="false">
      <c r="B703" s="32" t="s">
        <v>48</v>
      </c>
      <c r="C703" s="32" t="s">
        <v>320</v>
      </c>
      <c r="D703" s="33" t="n">
        <v>46037.6576388889</v>
      </c>
      <c r="E703" s="33" t="n">
        <v>46037.6576388889</v>
      </c>
      <c r="F703" s="33" t="n">
        <v>46037.7194444445</v>
      </c>
      <c r="G703" s="34" t="n">
        <f aca="false">F703-E703</f>
        <v>0.0618055555555556</v>
      </c>
      <c r="H703" s="39" t="s">
        <v>252</v>
      </c>
      <c r="J703" s="39" t="s">
        <v>253</v>
      </c>
      <c r="K703" s="32" t="s">
        <v>266</v>
      </c>
      <c r="L703" s="32" t="s">
        <v>275</v>
      </c>
      <c r="M703" s="39" t="s">
        <v>255</v>
      </c>
      <c r="N703" s="39" t="s">
        <v>268</v>
      </c>
      <c r="O703" s="32" t="s">
        <v>269</v>
      </c>
      <c r="P703" s="40" t="str">
        <f aca="false">_xlfn.CONCAT(B703,C703,D703,E703,F703)</f>
        <v>BC Caiaponia1SG50CX(COM1-023)46037.657638888946037.657638888946037.7194444445</v>
      </c>
      <c r="Q703" s="32" t="str">
        <f aca="false">_xlfn.CONCAT(H703,I703,J703)</f>
        <v>DAURDE</v>
      </c>
    </row>
    <row r="704" customFormat="false" ht="15" hidden="false" customHeight="false" outlineLevel="0" collapsed="false">
      <c r="B704" s="32" t="s">
        <v>48</v>
      </c>
      <c r="C704" s="32" t="s">
        <v>321</v>
      </c>
      <c r="D704" s="33" t="n">
        <v>46037.6576388889</v>
      </c>
      <c r="E704" s="33" t="n">
        <v>46037.6576388889</v>
      </c>
      <c r="F704" s="33" t="n">
        <v>46037.7194444445</v>
      </c>
      <c r="G704" s="34" t="n">
        <f aca="false">F704-E704</f>
        <v>0.0618055555555556</v>
      </c>
      <c r="H704" s="39" t="s">
        <v>252</v>
      </c>
      <c r="J704" s="39" t="s">
        <v>253</v>
      </c>
      <c r="K704" s="32" t="s">
        <v>266</v>
      </c>
      <c r="L704" s="32" t="s">
        <v>275</v>
      </c>
      <c r="M704" s="39" t="s">
        <v>255</v>
      </c>
      <c r="N704" s="39" t="s">
        <v>268</v>
      </c>
      <c r="O704" s="32" t="s">
        <v>269</v>
      </c>
      <c r="P704" s="40" t="str">
        <f aca="false">_xlfn.CONCAT(B704,C704,D704,E704,F704)</f>
        <v>BC Caiaponia1SG50CX(COM1-024)46037.657638888946037.657638888946037.7194444445</v>
      </c>
      <c r="Q704" s="32" t="str">
        <f aca="false">_xlfn.CONCAT(H704,I704,J704)</f>
        <v>DAURDE</v>
      </c>
    </row>
    <row r="705" customFormat="false" ht="15" hidden="false" customHeight="false" outlineLevel="0" collapsed="false">
      <c r="B705" s="32" t="s">
        <v>48</v>
      </c>
      <c r="C705" s="32" t="s">
        <v>322</v>
      </c>
      <c r="D705" s="33" t="n">
        <v>46037.6576388889</v>
      </c>
      <c r="E705" s="33" t="n">
        <v>46037.6576388889</v>
      </c>
      <c r="F705" s="33" t="n">
        <v>46037.7194444445</v>
      </c>
      <c r="G705" s="34" t="n">
        <f aca="false">F705-E705</f>
        <v>0.0618055555555556</v>
      </c>
      <c r="H705" s="39" t="s">
        <v>252</v>
      </c>
      <c r="J705" s="39" t="s">
        <v>253</v>
      </c>
      <c r="K705" s="32" t="s">
        <v>266</v>
      </c>
      <c r="L705" s="32" t="s">
        <v>275</v>
      </c>
      <c r="M705" s="39" t="s">
        <v>255</v>
      </c>
      <c r="N705" s="39" t="s">
        <v>268</v>
      </c>
      <c r="O705" s="32" t="s">
        <v>269</v>
      </c>
      <c r="P705" s="40" t="str">
        <f aca="false">_xlfn.CONCAT(B705,C705,D705,E705,F705)</f>
        <v>BC Caiaponia1SG50CX(COM1-025)46037.657638888946037.657638888946037.7194444445</v>
      </c>
      <c r="Q705" s="32" t="str">
        <f aca="false">_xlfn.CONCAT(H705,I705,J705)</f>
        <v>DAURDE</v>
      </c>
    </row>
    <row r="706" customFormat="false" ht="15" hidden="false" customHeight="false" outlineLevel="0" collapsed="false">
      <c r="B706" s="32" t="s">
        <v>250</v>
      </c>
      <c r="C706" s="32" t="s">
        <v>251</v>
      </c>
      <c r="D706" s="33" t="n">
        <v>46037.6576388889</v>
      </c>
      <c r="E706" s="33" t="n">
        <v>46037.6576388889</v>
      </c>
      <c r="F706" s="33" t="n">
        <v>46037.7194444445</v>
      </c>
      <c r="G706" s="34" t="n">
        <f aca="false">F706-E706</f>
        <v>0.0618055555555556</v>
      </c>
      <c r="H706" s="39" t="s">
        <v>252</v>
      </c>
      <c r="J706" s="39" t="s">
        <v>253</v>
      </c>
      <c r="K706" s="32" t="s">
        <v>266</v>
      </c>
      <c r="L706" s="32" t="s">
        <v>275</v>
      </c>
      <c r="M706" s="39" t="s">
        <v>255</v>
      </c>
      <c r="N706" s="39" t="s">
        <v>268</v>
      </c>
      <c r="O706" s="32" t="s">
        <v>269</v>
      </c>
      <c r="P706" s="40" t="str">
        <f aca="false">_xlfn.CONCAT(B706,C706,D706,E706,F706)</f>
        <v>BC Caiaponia2.1215KTL-H3(MBUS-12)46037.657638888946037.657638888946037.7194444445</v>
      </c>
      <c r="Q706" s="32" t="str">
        <f aca="false">_xlfn.CONCAT(H706,I706,J706)</f>
        <v>DAURDE</v>
      </c>
    </row>
    <row r="707" customFormat="false" ht="15" hidden="false" customHeight="false" outlineLevel="0" collapsed="false">
      <c r="B707" s="32" t="s">
        <v>250</v>
      </c>
      <c r="C707" s="32" t="s">
        <v>258</v>
      </c>
      <c r="D707" s="33" t="n">
        <v>46037.6576388889</v>
      </c>
      <c r="E707" s="33" t="n">
        <v>46037.6576388889</v>
      </c>
      <c r="F707" s="33" t="n">
        <v>46037.7194444445</v>
      </c>
      <c r="G707" s="34" t="n">
        <f aca="false">F707-E707</f>
        <v>0.0618055555555556</v>
      </c>
      <c r="H707" s="39" t="s">
        <v>252</v>
      </c>
      <c r="J707" s="39" t="s">
        <v>253</v>
      </c>
      <c r="K707" s="32" t="s">
        <v>266</v>
      </c>
      <c r="L707" s="32" t="s">
        <v>275</v>
      </c>
      <c r="M707" s="39" t="s">
        <v>255</v>
      </c>
      <c r="N707" s="39" t="s">
        <v>268</v>
      </c>
      <c r="O707" s="32" t="s">
        <v>269</v>
      </c>
      <c r="P707" s="40" t="str">
        <f aca="false">_xlfn.CONCAT(B707,C707,D707,E707,F707)</f>
        <v>BC Caiaponia2.1215KTL-H3(MBUS-13)46037.657638888946037.657638888946037.7194444445</v>
      </c>
      <c r="Q707" s="32" t="str">
        <f aca="false">_xlfn.CONCAT(H707,I707,J707)</f>
        <v>DAURDE</v>
      </c>
    </row>
    <row r="708" customFormat="false" ht="15" hidden="false" customHeight="false" outlineLevel="0" collapsed="false">
      <c r="B708" s="32" t="s">
        <v>250</v>
      </c>
      <c r="C708" s="32" t="s">
        <v>259</v>
      </c>
      <c r="D708" s="33" t="n">
        <v>46037.6576388889</v>
      </c>
      <c r="E708" s="33" t="n">
        <v>46037.6576388889</v>
      </c>
      <c r="F708" s="33" t="n">
        <v>46037.7194444445</v>
      </c>
      <c r="G708" s="34" t="n">
        <f aca="false">F708-E708</f>
        <v>0.0618055555555556</v>
      </c>
      <c r="H708" s="39" t="s">
        <v>252</v>
      </c>
      <c r="J708" s="39" t="s">
        <v>253</v>
      </c>
      <c r="K708" s="32" t="s">
        <v>266</v>
      </c>
      <c r="L708" s="32" t="s">
        <v>275</v>
      </c>
      <c r="M708" s="39" t="s">
        <v>255</v>
      </c>
      <c r="N708" s="39" t="s">
        <v>268</v>
      </c>
      <c r="O708" s="32" t="s">
        <v>269</v>
      </c>
      <c r="P708" s="40" t="str">
        <f aca="false">_xlfn.CONCAT(B708,C708,D708,E708,F708)</f>
        <v>BC Caiaponia2.1215KTL-H3(MBUS-14)46037.657638888946037.657638888946037.7194444445</v>
      </c>
      <c r="Q708" s="32" t="str">
        <f aca="false">_xlfn.CONCAT(H708,I708,J708)</f>
        <v>DAURDE</v>
      </c>
    </row>
    <row r="709" customFormat="false" ht="15" hidden="false" customHeight="false" outlineLevel="0" collapsed="false">
      <c r="B709" s="32" t="s">
        <v>250</v>
      </c>
      <c r="C709" s="32" t="s">
        <v>260</v>
      </c>
      <c r="D709" s="33" t="n">
        <v>46037.6576388889</v>
      </c>
      <c r="E709" s="33" t="n">
        <v>46037.6576388889</v>
      </c>
      <c r="F709" s="33" t="n">
        <v>46037.7194444445</v>
      </c>
      <c r="G709" s="34" t="n">
        <f aca="false">F709-E709</f>
        <v>0.0618055555555556</v>
      </c>
      <c r="H709" s="39" t="s">
        <v>252</v>
      </c>
      <c r="J709" s="39" t="s">
        <v>253</v>
      </c>
      <c r="K709" s="32" t="s">
        <v>266</v>
      </c>
      <c r="L709" s="32" t="s">
        <v>275</v>
      </c>
      <c r="M709" s="39" t="s">
        <v>255</v>
      </c>
      <c r="N709" s="39" t="s">
        <v>268</v>
      </c>
      <c r="O709" s="32" t="s">
        <v>269</v>
      </c>
      <c r="P709" s="40" t="str">
        <f aca="false">_xlfn.CONCAT(B709,C709,D709,E709,F709)</f>
        <v>BC Caiaponia2.1215KTL-H3(MBUS-15)46037.657638888946037.657638888946037.7194444445</v>
      </c>
      <c r="Q709" s="32" t="str">
        <f aca="false">_xlfn.CONCAT(H709,I709,J709)</f>
        <v>DAURDE</v>
      </c>
    </row>
    <row r="710" customFormat="false" ht="15" hidden="false" customHeight="false" outlineLevel="0" collapsed="false">
      <c r="B710" s="32" t="s">
        <v>250</v>
      </c>
      <c r="C710" s="32" t="s">
        <v>261</v>
      </c>
      <c r="D710" s="33" t="n">
        <v>46037.6576388889</v>
      </c>
      <c r="E710" s="33" t="n">
        <v>46037.6576388889</v>
      </c>
      <c r="F710" s="33" t="n">
        <v>46037.7194444445</v>
      </c>
      <c r="G710" s="34" t="n">
        <f aca="false">F710-E710</f>
        <v>0.0618055555555556</v>
      </c>
      <c r="H710" s="39" t="s">
        <v>252</v>
      </c>
      <c r="J710" s="39" t="s">
        <v>253</v>
      </c>
      <c r="K710" s="32" t="s">
        <v>266</v>
      </c>
      <c r="L710" s="32" t="s">
        <v>275</v>
      </c>
      <c r="M710" s="39" t="s">
        <v>255</v>
      </c>
      <c r="N710" s="39" t="s">
        <v>268</v>
      </c>
      <c r="O710" s="32" t="s">
        <v>269</v>
      </c>
      <c r="P710" s="40" t="str">
        <f aca="false">_xlfn.CONCAT(B710,C710,D710,E710,F710)</f>
        <v>BC Caiaponia2.1215KTL-H3(MBUS-16)46037.657638888946037.657638888946037.7194444445</v>
      </c>
      <c r="Q710" s="32" t="str">
        <f aca="false">_xlfn.CONCAT(H710,I710,J710)</f>
        <v>DAURDE</v>
      </c>
    </row>
    <row r="711" customFormat="false" ht="15" hidden="false" customHeight="false" outlineLevel="0" collapsed="false">
      <c r="B711" s="32" t="s">
        <v>262</v>
      </c>
      <c r="C711" s="32" t="s">
        <v>251</v>
      </c>
      <c r="D711" s="33" t="n">
        <v>46037.6576388889</v>
      </c>
      <c r="E711" s="33" t="n">
        <v>46037.6576388889</v>
      </c>
      <c r="F711" s="33" t="n">
        <v>46037.7194444445</v>
      </c>
      <c r="G711" s="34" t="n">
        <f aca="false">F711-E711</f>
        <v>0.0618055555555556</v>
      </c>
      <c r="H711" s="39" t="s">
        <v>252</v>
      </c>
      <c r="J711" s="39" t="s">
        <v>253</v>
      </c>
      <c r="K711" s="32" t="s">
        <v>266</v>
      </c>
      <c r="L711" s="32" t="s">
        <v>275</v>
      </c>
      <c r="M711" s="39" t="s">
        <v>255</v>
      </c>
      <c r="N711" s="39" t="s">
        <v>268</v>
      </c>
      <c r="O711" s="32" t="s">
        <v>269</v>
      </c>
      <c r="P711" s="40" t="str">
        <f aca="false">_xlfn.CONCAT(B711,C711,D711,E711,F711)</f>
        <v>BC Caiaponia2.2215KTL-H3(MBUS-12)46037.657638888946037.657638888946037.7194444445</v>
      </c>
      <c r="Q711" s="32" t="str">
        <f aca="false">_xlfn.CONCAT(H711,I711,J711)</f>
        <v>DAURDE</v>
      </c>
    </row>
    <row r="712" customFormat="false" ht="15" hidden="false" customHeight="false" outlineLevel="0" collapsed="false">
      <c r="B712" s="32" t="s">
        <v>262</v>
      </c>
      <c r="C712" s="32" t="s">
        <v>258</v>
      </c>
      <c r="D712" s="33" t="n">
        <v>46037.6576388889</v>
      </c>
      <c r="E712" s="33" t="n">
        <v>46037.6576388889</v>
      </c>
      <c r="F712" s="33" t="n">
        <v>46037.7194444445</v>
      </c>
      <c r="G712" s="34" t="n">
        <f aca="false">F712-E712</f>
        <v>0.0618055555555556</v>
      </c>
      <c r="H712" s="39" t="s">
        <v>252</v>
      </c>
      <c r="J712" s="39" t="s">
        <v>253</v>
      </c>
      <c r="K712" s="32" t="s">
        <v>266</v>
      </c>
      <c r="L712" s="32" t="s">
        <v>275</v>
      </c>
      <c r="M712" s="39" t="s">
        <v>255</v>
      </c>
      <c r="N712" s="39" t="s">
        <v>268</v>
      </c>
      <c r="O712" s="32" t="s">
        <v>269</v>
      </c>
      <c r="P712" s="40" t="str">
        <f aca="false">_xlfn.CONCAT(B712,C712,D712,E712,F712)</f>
        <v>BC Caiaponia2.2215KTL-H3(MBUS-13)46037.657638888946037.657638888946037.7194444445</v>
      </c>
      <c r="Q712" s="32" t="str">
        <f aca="false">_xlfn.CONCAT(H712,I712,J712)</f>
        <v>DAURDE</v>
      </c>
    </row>
    <row r="713" customFormat="false" ht="15" hidden="false" customHeight="false" outlineLevel="0" collapsed="false">
      <c r="B713" s="32" t="s">
        <v>262</v>
      </c>
      <c r="C713" s="32" t="s">
        <v>259</v>
      </c>
      <c r="D713" s="33" t="n">
        <v>46037.6576388889</v>
      </c>
      <c r="E713" s="33" t="n">
        <v>46037.6576388889</v>
      </c>
      <c r="F713" s="33" t="n">
        <v>46037.7194444445</v>
      </c>
      <c r="G713" s="34" t="n">
        <f aca="false">F713-E713</f>
        <v>0.0618055555555556</v>
      </c>
      <c r="H713" s="39" t="s">
        <v>252</v>
      </c>
      <c r="J713" s="39" t="s">
        <v>253</v>
      </c>
      <c r="K713" s="32" t="s">
        <v>266</v>
      </c>
      <c r="L713" s="32" t="s">
        <v>275</v>
      </c>
      <c r="M713" s="39" t="s">
        <v>255</v>
      </c>
      <c r="N713" s="39" t="s">
        <v>268</v>
      </c>
      <c r="O713" s="32" t="s">
        <v>269</v>
      </c>
      <c r="P713" s="40" t="str">
        <f aca="false">_xlfn.CONCAT(B713,C713,D713,E713,F713)</f>
        <v>BC Caiaponia2.2215KTL-H3(MBUS-14)46037.657638888946037.657638888946037.7194444445</v>
      </c>
      <c r="Q713" s="32" t="str">
        <f aca="false">_xlfn.CONCAT(H713,I713,J713)</f>
        <v>DAURDE</v>
      </c>
    </row>
    <row r="714" customFormat="false" ht="15" hidden="false" customHeight="false" outlineLevel="0" collapsed="false">
      <c r="B714" s="32" t="s">
        <v>262</v>
      </c>
      <c r="C714" s="32" t="s">
        <v>260</v>
      </c>
      <c r="D714" s="33" t="n">
        <v>46037.6576388889</v>
      </c>
      <c r="E714" s="33" t="n">
        <v>46037.6576388889</v>
      </c>
      <c r="F714" s="33" t="n">
        <v>46037.7194444445</v>
      </c>
      <c r="G714" s="34" t="n">
        <f aca="false">F714-E714</f>
        <v>0.0618055555555556</v>
      </c>
      <c r="H714" s="39" t="s">
        <v>252</v>
      </c>
      <c r="J714" s="39" t="s">
        <v>253</v>
      </c>
      <c r="K714" s="32" t="s">
        <v>266</v>
      </c>
      <c r="L714" s="32" t="s">
        <v>275</v>
      </c>
      <c r="M714" s="39" t="s">
        <v>255</v>
      </c>
      <c r="N714" s="39" t="s">
        <v>268</v>
      </c>
      <c r="O714" s="32" t="s">
        <v>269</v>
      </c>
      <c r="P714" s="40" t="str">
        <f aca="false">_xlfn.CONCAT(B714,C714,D714,E714,F714)</f>
        <v>BC Caiaponia2.2215KTL-H3(MBUS-15)46037.657638888946037.657638888946037.7194444445</v>
      </c>
      <c r="Q714" s="32" t="str">
        <f aca="false">_xlfn.CONCAT(H714,I714,J714)</f>
        <v>DAURDE</v>
      </c>
    </row>
    <row r="715" customFormat="false" ht="15" hidden="false" customHeight="false" outlineLevel="0" collapsed="false">
      <c r="B715" s="32" t="s">
        <v>262</v>
      </c>
      <c r="C715" s="32" t="s">
        <v>261</v>
      </c>
      <c r="D715" s="33" t="n">
        <v>46037.6576388889</v>
      </c>
      <c r="E715" s="33" t="n">
        <v>46037.6576388889</v>
      </c>
      <c r="F715" s="33" t="n">
        <v>46037.7194444445</v>
      </c>
      <c r="G715" s="34" t="n">
        <f aca="false">F715-E715</f>
        <v>0.0618055555555556</v>
      </c>
      <c r="H715" s="39" t="s">
        <v>252</v>
      </c>
      <c r="J715" s="39" t="s">
        <v>253</v>
      </c>
      <c r="K715" s="32" t="s">
        <v>266</v>
      </c>
      <c r="L715" s="32" t="s">
        <v>275</v>
      </c>
      <c r="M715" s="39" t="s">
        <v>255</v>
      </c>
      <c r="N715" s="39" t="s">
        <v>268</v>
      </c>
      <c r="O715" s="32" t="s">
        <v>269</v>
      </c>
      <c r="P715" s="40" t="str">
        <f aca="false">_xlfn.CONCAT(B715,C715,D715,E715,F715)</f>
        <v>BC Caiaponia2.2215KTL-H3(MBUS-16)46037.657638888946037.657638888946037.7194444445</v>
      </c>
      <c r="Q715" s="32" t="str">
        <f aca="false">_xlfn.CONCAT(H715,I715,J715)</f>
        <v>DAURDE</v>
      </c>
    </row>
    <row r="716" customFormat="false" ht="15" hidden="false" customHeight="false" outlineLevel="0" collapsed="false">
      <c r="B716" s="32" t="s">
        <v>263</v>
      </c>
      <c r="C716" s="32" t="s">
        <v>251</v>
      </c>
      <c r="D716" s="33" t="n">
        <v>46037.6576388889</v>
      </c>
      <c r="E716" s="33" t="n">
        <v>46037.6576388889</v>
      </c>
      <c r="F716" s="33" t="n">
        <v>46037.7194444445</v>
      </c>
      <c r="G716" s="34" t="n">
        <f aca="false">F716-E716</f>
        <v>0.0618055555555556</v>
      </c>
      <c r="H716" s="39" t="s">
        <v>252</v>
      </c>
      <c r="J716" s="39" t="s">
        <v>253</v>
      </c>
      <c r="K716" s="32" t="s">
        <v>266</v>
      </c>
      <c r="L716" s="32" t="s">
        <v>275</v>
      </c>
      <c r="M716" s="39" t="s">
        <v>255</v>
      </c>
      <c r="N716" s="39" t="s">
        <v>268</v>
      </c>
      <c r="O716" s="32" t="s">
        <v>269</v>
      </c>
      <c r="P716" s="40" t="str">
        <f aca="false">_xlfn.CONCAT(B716,C716,D716,E716,F716)</f>
        <v>BC Caiaponia2.3215KTL-H3(MBUS-12)46037.657638888946037.657638888946037.7194444445</v>
      </c>
      <c r="Q716" s="32" t="str">
        <f aca="false">_xlfn.CONCAT(H716,I716,J716)</f>
        <v>DAURDE</v>
      </c>
    </row>
    <row r="717" customFormat="false" ht="15" hidden="false" customHeight="false" outlineLevel="0" collapsed="false">
      <c r="B717" s="32" t="s">
        <v>263</v>
      </c>
      <c r="C717" s="32" t="s">
        <v>258</v>
      </c>
      <c r="D717" s="33" t="n">
        <v>46037.6576388889</v>
      </c>
      <c r="E717" s="33" t="n">
        <v>46037.6576388889</v>
      </c>
      <c r="F717" s="33" t="n">
        <v>46037.7194444445</v>
      </c>
      <c r="G717" s="34" t="n">
        <f aca="false">F717-E717</f>
        <v>0.0618055555555556</v>
      </c>
      <c r="H717" s="39" t="s">
        <v>252</v>
      </c>
      <c r="J717" s="39" t="s">
        <v>253</v>
      </c>
      <c r="K717" s="32" t="s">
        <v>266</v>
      </c>
      <c r="L717" s="32" t="s">
        <v>275</v>
      </c>
      <c r="M717" s="39" t="s">
        <v>255</v>
      </c>
      <c r="N717" s="39" t="s">
        <v>268</v>
      </c>
      <c r="O717" s="32" t="s">
        <v>269</v>
      </c>
      <c r="P717" s="40" t="str">
        <f aca="false">_xlfn.CONCAT(B717,C717,D717,E717,F717)</f>
        <v>BC Caiaponia2.3215KTL-H3(MBUS-13)46037.657638888946037.657638888946037.7194444445</v>
      </c>
      <c r="Q717" s="32" t="str">
        <f aca="false">_xlfn.CONCAT(H717,I717,J717)</f>
        <v>DAURDE</v>
      </c>
    </row>
    <row r="718" customFormat="false" ht="15" hidden="false" customHeight="false" outlineLevel="0" collapsed="false">
      <c r="B718" s="32" t="s">
        <v>263</v>
      </c>
      <c r="C718" s="32" t="s">
        <v>259</v>
      </c>
      <c r="D718" s="33" t="n">
        <v>46037.6576388889</v>
      </c>
      <c r="E718" s="33" t="n">
        <v>46037.6576388889</v>
      </c>
      <c r="F718" s="33" t="n">
        <v>46037.7194444445</v>
      </c>
      <c r="G718" s="34" t="n">
        <f aca="false">F718-E718</f>
        <v>0.0618055555555556</v>
      </c>
      <c r="H718" s="39" t="s">
        <v>252</v>
      </c>
      <c r="J718" s="39" t="s">
        <v>253</v>
      </c>
      <c r="K718" s="32" t="s">
        <v>266</v>
      </c>
      <c r="L718" s="32" t="s">
        <v>275</v>
      </c>
      <c r="M718" s="39" t="s">
        <v>255</v>
      </c>
      <c r="N718" s="39" t="s">
        <v>268</v>
      </c>
      <c r="O718" s="32" t="s">
        <v>269</v>
      </c>
      <c r="P718" s="40" t="str">
        <f aca="false">_xlfn.CONCAT(B718,C718,D718,E718,F718)</f>
        <v>BC Caiaponia2.3215KTL-H3(MBUS-14)46037.657638888946037.657638888946037.7194444445</v>
      </c>
      <c r="Q718" s="32" t="str">
        <f aca="false">_xlfn.CONCAT(H718,I718,J718)</f>
        <v>DAURDE</v>
      </c>
    </row>
    <row r="719" customFormat="false" ht="15" hidden="false" customHeight="false" outlineLevel="0" collapsed="false">
      <c r="B719" s="32" t="s">
        <v>263</v>
      </c>
      <c r="C719" s="32" t="s">
        <v>260</v>
      </c>
      <c r="D719" s="33" t="n">
        <v>46037.6576388889</v>
      </c>
      <c r="E719" s="33" t="n">
        <v>46037.6576388889</v>
      </c>
      <c r="F719" s="33" t="n">
        <v>46037.7194444445</v>
      </c>
      <c r="G719" s="34" t="n">
        <f aca="false">F719-E719</f>
        <v>0.0618055555555556</v>
      </c>
      <c r="H719" s="39" t="s">
        <v>252</v>
      </c>
      <c r="J719" s="39" t="s">
        <v>253</v>
      </c>
      <c r="K719" s="32" t="s">
        <v>266</v>
      </c>
      <c r="L719" s="32" t="s">
        <v>275</v>
      </c>
      <c r="M719" s="39" t="s">
        <v>255</v>
      </c>
      <c r="N719" s="39" t="s">
        <v>268</v>
      </c>
      <c r="O719" s="32" t="s">
        <v>269</v>
      </c>
      <c r="P719" s="40" t="str">
        <f aca="false">_xlfn.CONCAT(B719,C719,D719,E719,F719)</f>
        <v>BC Caiaponia2.3215KTL-H3(MBUS-15)46037.657638888946037.657638888946037.7194444445</v>
      </c>
      <c r="Q719" s="32" t="str">
        <f aca="false">_xlfn.CONCAT(H719,I719,J719)</f>
        <v>DAURDE</v>
      </c>
    </row>
    <row r="720" customFormat="false" ht="15" hidden="false" customHeight="false" outlineLevel="0" collapsed="false">
      <c r="B720" s="32" t="s">
        <v>263</v>
      </c>
      <c r="C720" s="32" t="s">
        <v>261</v>
      </c>
      <c r="D720" s="33" t="n">
        <v>46037.6576388889</v>
      </c>
      <c r="E720" s="33" t="n">
        <v>46037.6576388889</v>
      </c>
      <c r="F720" s="33" t="n">
        <v>46037.7194444445</v>
      </c>
      <c r="G720" s="34" t="n">
        <f aca="false">F720-E720</f>
        <v>0.0618055555555556</v>
      </c>
      <c r="H720" s="39" t="s">
        <v>252</v>
      </c>
      <c r="J720" s="39" t="s">
        <v>253</v>
      </c>
      <c r="K720" s="32" t="s">
        <v>266</v>
      </c>
      <c r="L720" s="32" t="s">
        <v>275</v>
      </c>
      <c r="M720" s="39" t="s">
        <v>255</v>
      </c>
      <c r="N720" s="39" t="s">
        <v>268</v>
      </c>
      <c r="O720" s="32" t="s">
        <v>269</v>
      </c>
      <c r="P720" s="40" t="str">
        <f aca="false">_xlfn.CONCAT(B720,C720,D720,E720,F720)</f>
        <v>BC Caiaponia2.3215KTL-H3(MBUS-16)46037.657638888946037.657638888946037.7194444445</v>
      </c>
      <c r="Q720" s="32" t="str">
        <f aca="false">_xlfn.CONCAT(H720,I720,J720)</f>
        <v>DAURDE</v>
      </c>
    </row>
    <row r="721" customFormat="false" ht="15" hidden="false" customHeight="false" outlineLevel="0" collapsed="false">
      <c r="B721" s="32" t="s">
        <v>323</v>
      </c>
      <c r="C721" s="32" t="s">
        <v>324</v>
      </c>
      <c r="D721" s="33" t="n">
        <v>46037.6666666667</v>
      </c>
      <c r="E721" s="33" t="n">
        <v>46037.6666666667</v>
      </c>
      <c r="F721" s="33" t="n">
        <v>46038.375</v>
      </c>
      <c r="G721" s="34" t="n">
        <f aca="false">F721-E721</f>
        <v>0.708333333333333</v>
      </c>
      <c r="H721" s="39" t="s">
        <v>384</v>
      </c>
      <c r="J721" s="39" t="s">
        <v>234</v>
      </c>
      <c r="K721" s="32" t="s">
        <v>234</v>
      </c>
      <c r="L721" s="32" t="s">
        <v>513</v>
      </c>
      <c r="M721" s="39" t="s">
        <v>386</v>
      </c>
      <c r="N721" s="39" t="s">
        <v>514</v>
      </c>
      <c r="O721" s="32" t="s">
        <v>515</v>
      </c>
      <c r="P721" s="40" t="str">
        <f aca="false">_xlfn.CONCAT(B721,C721,D721,E721,F721)</f>
        <v>BC Ibiuna 1.1Inverter(MBUS-12)46037.666666666746037.666666666746038.375</v>
      </c>
      <c r="Q721" s="32" t="str">
        <f aca="false">_xlfn.CONCAT(H721,I721,J721)</f>
        <v>DPRUFV</v>
      </c>
    </row>
    <row r="722" customFormat="false" ht="15" hidden="false" customHeight="false" outlineLevel="0" collapsed="false">
      <c r="B722" s="32" t="s">
        <v>323</v>
      </c>
      <c r="C722" s="32" t="s">
        <v>326</v>
      </c>
      <c r="D722" s="33" t="n">
        <v>46037.6666666667</v>
      </c>
      <c r="E722" s="33" t="n">
        <v>46037.6666666667</v>
      </c>
      <c r="F722" s="33" t="n">
        <v>46038.375</v>
      </c>
      <c r="G722" s="34" t="n">
        <f aca="false">F722-E722</f>
        <v>0.708333333333333</v>
      </c>
      <c r="H722" s="39" t="s">
        <v>384</v>
      </c>
      <c r="J722" s="39" t="s">
        <v>234</v>
      </c>
      <c r="K722" s="32" t="s">
        <v>234</v>
      </c>
      <c r="L722" s="32" t="s">
        <v>513</v>
      </c>
      <c r="M722" s="39" t="s">
        <v>386</v>
      </c>
      <c r="N722" s="39" t="s">
        <v>514</v>
      </c>
      <c r="O722" s="32" t="s">
        <v>515</v>
      </c>
      <c r="P722" s="40" t="str">
        <f aca="false">_xlfn.CONCAT(B722,C722,D722,E722,F722)</f>
        <v>BC Ibiuna 1.1Inverter(MBUS-13)46037.666666666746037.666666666746038.375</v>
      </c>
      <c r="Q722" s="32" t="str">
        <f aca="false">_xlfn.CONCAT(H722,I722,J722)</f>
        <v>DPRUFV</v>
      </c>
    </row>
    <row r="723" customFormat="false" ht="15" hidden="false" customHeight="false" outlineLevel="0" collapsed="false">
      <c r="B723" s="32" t="s">
        <v>323</v>
      </c>
      <c r="C723" s="32" t="s">
        <v>327</v>
      </c>
      <c r="D723" s="33" t="n">
        <v>46037.6666666667</v>
      </c>
      <c r="E723" s="33" t="n">
        <v>46037.6666666667</v>
      </c>
      <c r="F723" s="33" t="n">
        <v>46038.375</v>
      </c>
      <c r="G723" s="34" t="n">
        <f aca="false">F723-E723</f>
        <v>0.708333333333333</v>
      </c>
      <c r="H723" s="39" t="s">
        <v>384</v>
      </c>
      <c r="J723" s="39" t="s">
        <v>234</v>
      </c>
      <c r="K723" s="32" t="s">
        <v>234</v>
      </c>
      <c r="L723" s="32" t="s">
        <v>513</v>
      </c>
      <c r="M723" s="39" t="s">
        <v>386</v>
      </c>
      <c r="N723" s="39" t="s">
        <v>514</v>
      </c>
      <c r="O723" s="32" t="s">
        <v>515</v>
      </c>
      <c r="P723" s="40" t="str">
        <f aca="false">_xlfn.CONCAT(B723,C723,D723,E723,F723)</f>
        <v>BC Ibiuna 1.1Inverter(MBUS-14)46037.666666666746037.666666666746038.375</v>
      </c>
      <c r="Q723" s="32" t="str">
        <f aca="false">_xlfn.CONCAT(H723,I723,J723)</f>
        <v>DPRUFV</v>
      </c>
    </row>
    <row r="724" customFormat="false" ht="15" hidden="false" customHeight="false" outlineLevel="0" collapsed="false">
      <c r="B724" s="32" t="s">
        <v>323</v>
      </c>
      <c r="C724" s="32" t="s">
        <v>328</v>
      </c>
      <c r="D724" s="33" t="n">
        <v>46037.6666666667</v>
      </c>
      <c r="E724" s="33" t="n">
        <v>46037.6666666667</v>
      </c>
      <c r="F724" s="33" t="n">
        <v>46038.375</v>
      </c>
      <c r="G724" s="34" t="n">
        <f aca="false">F724-E724</f>
        <v>0.708333333333333</v>
      </c>
      <c r="H724" s="39" t="s">
        <v>384</v>
      </c>
      <c r="J724" s="39" t="s">
        <v>234</v>
      </c>
      <c r="K724" s="32" t="s">
        <v>234</v>
      </c>
      <c r="L724" s="32" t="s">
        <v>513</v>
      </c>
      <c r="M724" s="39" t="s">
        <v>386</v>
      </c>
      <c r="N724" s="39" t="s">
        <v>514</v>
      </c>
      <c r="O724" s="32" t="s">
        <v>515</v>
      </c>
      <c r="P724" s="40" t="str">
        <f aca="false">_xlfn.CONCAT(B724,C724,D724,E724,F724)</f>
        <v>BC Ibiuna 1.1Inverter(MBUS-15)46037.666666666746037.666666666746038.375</v>
      </c>
      <c r="Q724" s="32" t="str">
        <f aca="false">_xlfn.CONCAT(H724,I724,J724)</f>
        <v>DPRUFV</v>
      </c>
    </row>
    <row r="725" customFormat="false" ht="15" hidden="false" customHeight="false" outlineLevel="0" collapsed="false">
      <c r="B725" s="32" t="s">
        <v>329</v>
      </c>
      <c r="C725" s="32" t="s">
        <v>324</v>
      </c>
      <c r="D725" s="33" t="n">
        <v>46037.6666666667</v>
      </c>
      <c r="E725" s="33" t="n">
        <v>46037.6666666667</v>
      </c>
      <c r="F725" s="33" t="n">
        <v>46038.375</v>
      </c>
      <c r="G725" s="34" t="n">
        <f aca="false">F725-E725</f>
        <v>0.708333333333333</v>
      </c>
      <c r="H725" s="39" t="s">
        <v>384</v>
      </c>
      <c r="J725" s="39" t="s">
        <v>234</v>
      </c>
      <c r="K725" s="32" t="s">
        <v>234</v>
      </c>
      <c r="L725" s="32" t="s">
        <v>513</v>
      </c>
      <c r="M725" s="39" t="s">
        <v>386</v>
      </c>
      <c r="N725" s="39" t="s">
        <v>514</v>
      </c>
      <c r="O725" s="32" t="s">
        <v>515</v>
      </c>
      <c r="P725" s="40" t="str">
        <f aca="false">_xlfn.CONCAT(B725,C725,D725,E725,F725)</f>
        <v>BC Ibiuna 1.2Inverter(MBUS-12)46037.666666666746037.666666666746038.375</v>
      </c>
      <c r="Q725" s="32" t="str">
        <f aca="false">_xlfn.CONCAT(H725,I725,J725)</f>
        <v>DPRUFV</v>
      </c>
    </row>
    <row r="726" customFormat="false" ht="15" hidden="false" customHeight="false" outlineLevel="0" collapsed="false">
      <c r="B726" s="32" t="s">
        <v>329</v>
      </c>
      <c r="C726" s="32" t="s">
        <v>326</v>
      </c>
      <c r="D726" s="33" t="n">
        <v>46037.6666666667</v>
      </c>
      <c r="E726" s="33" t="n">
        <v>46037.6666666667</v>
      </c>
      <c r="F726" s="33" t="n">
        <v>46038.375</v>
      </c>
      <c r="G726" s="34" t="n">
        <f aca="false">F726-E726</f>
        <v>0.708333333333333</v>
      </c>
      <c r="H726" s="39" t="s">
        <v>384</v>
      </c>
      <c r="J726" s="39" t="s">
        <v>234</v>
      </c>
      <c r="K726" s="32" t="s">
        <v>234</v>
      </c>
      <c r="L726" s="32" t="s">
        <v>513</v>
      </c>
      <c r="M726" s="39" t="s">
        <v>386</v>
      </c>
      <c r="N726" s="39" t="s">
        <v>514</v>
      </c>
      <c r="O726" s="32" t="s">
        <v>515</v>
      </c>
      <c r="P726" s="40" t="str">
        <f aca="false">_xlfn.CONCAT(B726,C726,D726,E726,F726)</f>
        <v>BC Ibiuna 1.2Inverter(MBUS-13)46037.666666666746037.666666666746038.375</v>
      </c>
      <c r="Q726" s="32" t="str">
        <f aca="false">_xlfn.CONCAT(H726,I726,J726)</f>
        <v>DPRUFV</v>
      </c>
    </row>
    <row r="727" customFormat="false" ht="15" hidden="false" customHeight="false" outlineLevel="0" collapsed="false">
      <c r="B727" s="32" t="s">
        <v>329</v>
      </c>
      <c r="C727" s="32" t="s">
        <v>327</v>
      </c>
      <c r="D727" s="33" t="n">
        <v>46037.6666666667</v>
      </c>
      <c r="E727" s="33" t="n">
        <v>46037.6666666667</v>
      </c>
      <c r="F727" s="33" t="n">
        <v>46038.375</v>
      </c>
      <c r="G727" s="34" t="n">
        <f aca="false">F727-E727</f>
        <v>0.708333333333333</v>
      </c>
      <c r="H727" s="39" t="s">
        <v>384</v>
      </c>
      <c r="J727" s="39" t="s">
        <v>234</v>
      </c>
      <c r="K727" s="32" t="s">
        <v>234</v>
      </c>
      <c r="L727" s="32" t="s">
        <v>513</v>
      </c>
      <c r="M727" s="39" t="s">
        <v>386</v>
      </c>
      <c r="N727" s="39" t="s">
        <v>514</v>
      </c>
      <c r="O727" s="32" t="s">
        <v>515</v>
      </c>
      <c r="P727" s="40" t="str">
        <f aca="false">_xlfn.CONCAT(B727,C727,D727,E727,F727)</f>
        <v>BC Ibiuna 1.2Inverter(MBUS-14)46037.666666666746037.666666666746038.375</v>
      </c>
      <c r="Q727" s="32" t="str">
        <f aca="false">_xlfn.CONCAT(H727,I727,J727)</f>
        <v>DPRUFV</v>
      </c>
    </row>
    <row r="728" customFormat="false" ht="15" hidden="false" customHeight="false" outlineLevel="0" collapsed="false">
      <c r="B728" s="32" t="s">
        <v>329</v>
      </c>
      <c r="C728" s="32" t="s">
        <v>328</v>
      </c>
      <c r="D728" s="33" t="n">
        <v>46037.6666666667</v>
      </c>
      <c r="E728" s="33" t="n">
        <v>46037.6666666667</v>
      </c>
      <c r="F728" s="33" t="n">
        <v>46038.375</v>
      </c>
      <c r="G728" s="34" t="n">
        <f aca="false">F728-E728</f>
        <v>0.708333333333333</v>
      </c>
      <c r="H728" s="39" t="s">
        <v>384</v>
      </c>
      <c r="J728" s="39" t="s">
        <v>234</v>
      </c>
      <c r="K728" s="32" t="s">
        <v>234</v>
      </c>
      <c r="L728" s="32" t="s">
        <v>513</v>
      </c>
      <c r="M728" s="39" t="s">
        <v>386</v>
      </c>
      <c r="N728" s="39" t="s">
        <v>514</v>
      </c>
      <c r="O728" s="32" t="s">
        <v>515</v>
      </c>
      <c r="P728" s="40" t="str">
        <f aca="false">_xlfn.CONCAT(B728,C728,D728,E728,F728)</f>
        <v>BC Ibiuna 1.2Inverter(MBUS-15)46037.666666666746037.666666666746038.375</v>
      </c>
      <c r="Q728" s="32" t="str">
        <f aca="false">_xlfn.CONCAT(H728,I728,J728)</f>
        <v>DPRUFV</v>
      </c>
    </row>
    <row r="729" customFormat="false" ht="15" hidden="false" customHeight="false" outlineLevel="0" collapsed="false">
      <c r="B729" s="32" t="s">
        <v>476</v>
      </c>
      <c r="C729" s="32" t="s">
        <v>327</v>
      </c>
      <c r="D729" s="33" t="n">
        <v>46038.2847222222</v>
      </c>
      <c r="E729" s="33" t="n">
        <v>46038.2847222222</v>
      </c>
      <c r="F729" s="33" t="n">
        <v>46038.3909722222</v>
      </c>
      <c r="G729" s="34" t="n">
        <f aca="false">F729-E729</f>
        <v>0.10625</v>
      </c>
      <c r="H729" s="39" t="s">
        <v>283</v>
      </c>
      <c r="I729" s="32" t="s">
        <v>284</v>
      </c>
      <c r="J729" s="39" t="s">
        <v>285</v>
      </c>
      <c r="K729" s="32" t="s">
        <v>286</v>
      </c>
      <c r="L729" s="32" t="s">
        <v>509</v>
      </c>
      <c r="M729" s="39" t="s">
        <v>288</v>
      </c>
      <c r="N729" s="39" t="s">
        <v>289</v>
      </c>
      <c r="O729" s="32" t="s">
        <v>510</v>
      </c>
      <c r="P729" s="40" t="str">
        <f aca="false">_xlfn.CONCAT(B729,C729,D729,E729,F729)</f>
        <v>BC Turvania1.2Inverter(MBUS-14)46038.284722222246038.284722222246038.3909722222</v>
      </c>
      <c r="Q729" s="32" t="str">
        <f aca="false">_xlfn.CONCAT(H729,I729,J729)</f>
        <v>LIGRFOCOM</v>
      </c>
    </row>
    <row r="730" customFormat="false" ht="15" hidden="false" customHeight="false" outlineLevel="0" collapsed="false">
      <c r="B730" s="32" t="s">
        <v>476</v>
      </c>
      <c r="C730" s="32" t="s">
        <v>326</v>
      </c>
      <c r="D730" s="33" t="n">
        <v>46038.2847222222</v>
      </c>
      <c r="E730" s="33" t="n">
        <v>46038.2847222222</v>
      </c>
      <c r="F730" s="33" t="n">
        <v>46038.3909722222</v>
      </c>
      <c r="G730" s="34" t="n">
        <f aca="false">F730-E730</f>
        <v>0.10625</v>
      </c>
      <c r="H730" s="39" t="s">
        <v>283</v>
      </c>
      <c r="I730" s="32" t="s">
        <v>284</v>
      </c>
      <c r="J730" s="39" t="s">
        <v>285</v>
      </c>
      <c r="K730" s="32" t="s">
        <v>286</v>
      </c>
      <c r="L730" s="32" t="s">
        <v>509</v>
      </c>
      <c r="M730" s="39" t="s">
        <v>288</v>
      </c>
      <c r="N730" s="39" t="s">
        <v>289</v>
      </c>
      <c r="O730" s="32" t="s">
        <v>510</v>
      </c>
      <c r="P730" s="40" t="str">
        <f aca="false">_xlfn.CONCAT(B730,C730,D730,E730,F730)</f>
        <v>BC Turvania1.2Inverter(MBUS-13)46038.284722222246038.284722222246038.3909722222</v>
      </c>
      <c r="Q730" s="32" t="str">
        <f aca="false">_xlfn.CONCAT(H730,I730,J730)</f>
        <v>LIGRFOCOM</v>
      </c>
    </row>
    <row r="731" customFormat="false" ht="15" hidden="false" customHeight="false" outlineLevel="0" collapsed="false">
      <c r="B731" s="32" t="s">
        <v>476</v>
      </c>
      <c r="C731" s="32" t="s">
        <v>324</v>
      </c>
      <c r="D731" s="33" t="n">
        <v>46038.2847222222</v>
      </c>
      <c r="E731" s="33" t="n">
        <v>46038.2847222222</v>
      </c>
      <c r="F731" s="33" t="n">
        <v>46038.3909722222</v>
      </c>
      <c r="G731" s="34" t="n">
        <f aca="false">F731-E731</f>
        <v>0.10625</v>
      </c>
      <c r="H731" s="39" t="s">
        <v>283</v>
      </c>
      <c r="I731" s="32" t="s">
        <v>284</v>
      </c>
      <c r="J731" s="39" t="s">
        <v>285</v>
      </c>
      <c r="K731" s="32" t="s">
        <v>286</v>
      </c>
      <c r="L731" s="32" t="s">
        <v>509</v>
      </c>
      <c r="M731" s="39" t="s">
        <v>288</v>
      </c>
      <c r="N731" s="39" t="s">
        <v>289</v>
      </c>
      <c r="O731" s="32" t="s">
        <v>510</v>
      </c>
      <c r="P731" s="40" t="str">
        <f aca="false">_xlfn.CONCAT(B731,C731,D731,E731,F731)</f>
        <v>BC Turvania1.2Inverter(MBUS-12)46038.284722222246038.284722222246038.3909722222</v>
      </c>
      <c r="Q731" s="32" t="str">
        <f aca="false">_xlfn.CONCAT(H731,I731,J731)</f>
        <v>LIGRFOCOM</v>
      </c>
    </row>
    <row r="732" customFormat="false" ht="15" hidden="false" customHeight="false" outlineLevel="0" collapsed="false">
      <c r="B732" s="32" t="s">
        <v>476</v>
      </c>
      <c r="C732" s="32" t="s">
        <v>328</v>
      </c>
      <c r="D732" s="33" t="n">
        <v>46038.2847222222</v>
      </c>
      <c r="E732" s="33" t="n">
        <v>46038.2847222222</v>
      </c>
      <c r="F732" s="33" t="n">
        <v>46038.3909722222</v>
      </c>
      <c r="G732" s="34" t="n">
        <f aca="false">F732-E732</f>
        <v>0.10625</v>
      </c>
      <c r="H732" s="39" t="s">
        <v>283</v>
      </c>
      <c r="I732" s="32" t="s">
        <v>284</v>
      </c>
      <c r="J732" s="39" t="s">
        <v>285</v>
      </c>
      <c r="K732" s="32" t="s">
        <v>286</v>
      </c>
      <c r="L732" s="32" t="s">
        <v>509</v>
      </c>
      <c r="M732" s="39" t="s">
        <v>288</v>
      </c>
      <c r="N732" s="39" t="s">
        <v>289</v>
      </c>
      <c r="O732" s="32" t="s">
        <v>510</v>
      </c>
      <c r="P732" s="40" t="str">
        <f aca="false">_xlfn.CONCAT(B732,C732,D732,E732,F732)</f>
        <v>BC Turvania1.2Inverter(MBUS-15)46038.284722222246038.284722222246038.3909722222</v>
      </c>
      <c r="Q732" s="32" t="str">
        <f aca="false">_xlfn.CONCAT(H732,I732,J732)</f>
        <v>LIGRFOCOM</v>
      </c>
    </row>
    <row r="733" customFormat="false" ht="15" hidden="false" customHeight="false" outlineLevel="0" collapsed="false">
      <c r="B733" s="32" t="s">
        <v>18</v>
      </c>
      <c r="C733" s="32" t="s">
        <v>373</v>
      </c>
      <c r="D733" s="33" t="n">
        <v>46038.4056018519</v>
      </c>
      <c r="E733" s="33" t="n">
        <v>46038.4056018519</v>
      </c>
      <c r="F733" s="33" t="n">
        <v>46041.440162037</v>
      </c>
      <c r="G733" s="34" t="n">
        <f aca="false">F733-E733</f>
        <v>3.03456018518519</v>
      </c>
      <c r="H733" s="39" t="s">
        <v>283</v>
      </c>
      <c r="I733" s="32" t="s">
        <v>284</v>
      </c>
      <c r="J733" s="39" t="s">
        <v>285</v>
      </c>
      <c r="K733" s="32" t="s">
        <v>286</v>
      </c>
      <c r="L733" s="47" t="s">
        <v>516</v>
      </c>
      <c r="M733" s="39" t="s">
        <v>288</v>
      </c>
      <c r="N733" s="39" t="s">
        <v>289</v>
      </c>
      <c r="O733" s="32" t="s">
        <v>517</v>
      </c>
      <c r="P733" s="40"/>
    </row>
    <row r="734" customFormat="false" ht="15" hidden="false" customHeight="false" outlineLevel="0" collapsed="false">
      <c r="B734" s="32" t="s">
        <v>18</v>
      </c>
      <c r="C734" s="32" t="s">
        <v>392</v>
      </c>
      <c r="D734" s="33" t="n">
        <v>46038.4056018519</v>
      </c>
      <c r="E734" s="33" t="n">
        <v>46038.4056018519</v>
      </c>
      <c r="F734" s="33" t="n">
        <v>46041.440162037</v>
      </c>
      <c r="G734" s="34" t="n">
        <f aca="false">F734-E734</f>
        <v>3.03456018518519</v>
      </c>
      <c r="H734" s="39" t="s">
        <v>283</v>
      </c>
      <c r="I734" s="32" t="s">
        <v>284</v>
      </c>
      <c r="J734" s="39" t="s">
        <v>285</v>
      </c>
      <c r="K734" s="32" t="s">
        <v>286</v>
      </c>
      <c r="L734" s="47" t="s">
        <v>516</v>
      </c>
      <c r="M734" s="39" t="s">
        <v>288</v>
      </c>
      <c r="N734" s="39" t="s">
        <v>289</v>
      </c>
      <c r="O734" s="32" t="s">
        <v>517</v>
      </c>
      <c r="P734" s="40"/>
    </row>
    <row r="735" customFormat="false" ht="15" hidden="false" customHeight="false" outlineLevel="0" collapsed="false">
      <c r="B735" s="32" t="s">
        <v>18</v>
      </c>
      <c r="C735" s="32" t="s">
        <v>393</v>
      </c>
      <c r="D735" s="33" t="n">
        <v>46038.4056018519</v>
      </c>
      <c r="E735" s="33" t="n">
        <v>46038.4056018519</v>
      </c>
      <c r="F735" s="33" t="n">
        <v>46041.440162037</v>
      </c>
      <c r="G735" s="34" t="n">
        <f aca="false">F735-E735</f>
        <v>3.03456018518519</v>
      </c>
      <c r="H735" s="39" t="s">
        <v>283</v>
      </c>
      <c r="I735" s="32" t="s">
        <v>284</v>
      </c>
      <c r="J735" s="39" t="s">
        <v>285</v>
      </c>
      <c r="K735" s="32" t="s">
        <v>286</v>
      </c>
      <c r="L735" s="47" t="s">
        <v>516</v>
      </c>
      <c r="M735" s="39" t="s">
        <v>288</v>
      </c>
      <c r="N735" s="39" t="s">
        <v>289</v>
      </c>
      <c r="O735" s="32" t="s">
        <v>517</v>
      </c>
      <c r="P735" s="40"/>
    </row>
    <row r="736" customFormat="false" ht="15" hidden="false" customHeight="false" outlineLevel="0" collapsed="false">
      <c r="B736" s="32" t="s">
        <v>18</v>
      </c>
      <c r="C736" s="32" t="s">
        <v>394</v>
      </c>
      <c r="D736" s="33" t="n">
        <v>46038.4056018519</v>
      </c>
      <c r="E736" s="33" t="n">
        <v>46038.4056018519</v>
      </c>
      <c r="F736" s="33" t="n">
        <v>46041.440162037</v>
      </c>
      <c r="G736" s="34" t="n">
        <f aca="false">F736-E736</f>
        <v>3.03456018518519</v>
      </c>
      <c r="H736" s="39" t="s">
        <v>283</v>
      </c>
      <c r="I736" s="32" t="s">
        <v>284</v>
      </c>
      <c r="J736" s="39" t="s">
        <v>285</v>
      </c>
      <c r="K736" s="32" t="s">
        <v>286</v>
      </c>
      <c r="L736" s="47" t="s">
        <v>516</v>
      </c>
      <c r="M736" s="39" t="s">
        <v>288</v>
      </c>
      <c r="N736" s="39" t="s">
        <v>289</v>
      </c>
      <c r="O736" s="32" t="s">
        <v>517</v>
      </c>
      <c r="P736" s="40"/>
    </row>
    <row r="737" customFormat="false" ht="15" hidden="false" customHeight="false" outlineLevel="0" collapsed="false">
      <c r="B737" s="32" t="s">
        <v>18</v>
      </c>
      <c r="C737" s="32" t="s">
        <v>395</v>
      </c>
      <c r="D737" s="33" t="n">
        <v>46038.4056018519</v>
      </c>
      <c r="E737" s="33" t="n">
        <v>46038.4056018519</v>
      </c>
      <c r="F737" s="33" t="n">
        <v>46041.440162037</v>
      </c>
      <c r="G737" s="34" t="n">
        <f aca="false">F737-E737</f>
        <v>3.03456018518519</v>
      </c>
      <c r="H737" s="39" t="s">
        <v>283</v>
      </c>
      <c r="I737" s="32" t="s">
        <v>284</v>
      </c>
      <c r="J737" s="39" t="s">
        <v>285</v>
      </c>
      <c r="K737" s="32" t="s">
        <v>286</v>
      </c>
      <c r="L737" s="47" t="s">
        <v>516</v>
      </c>
      <c r="M737" s="39" t="s">
        <v>288</v>
      </c>
      <c r="N737" s="39" t="s">
        <v>289</v>
      </c>
      <c r="O737" s="32" t="s">
        <v>517</v>
      </c>
      <c r="P737" s="40"/>
    </row>
    <row r="738" customFormat="false" ht="15" hidden="false" customHeight="false" outlineLevel="0" collapsed="false">
      <c r="B738" s="32" t="s">
        <v>18</v>
      </c>
      <c r="C738" s="32" t="s">
        <v>396</v>
      </c>
      <c r="D738" s="33" t="n">
        <v>46038.4056018519</v>
      </c>
      <c r="E738" s="33" t="n">
        <v>46038.4056018519</v>
      </c>
      <c r="F738" s="33" t="n">
        <v>46041.440162037</v>
      </c>
      <c r="G738" s="34" t="n">
        <f aca="false">F738-E738</f>
        <v>3.03456018518519</v>
      </c>
      <c r="H738" s="39" t="s">
        <v>283</v>
      </c>
      <c r="I738" s="32" t="s">
        <v>284</v>
      </c>
      <c r="J738" s="39" t="s">
        <v>285</v>
      </c>
      <c r="K738" s="32" t="s">
        <v>286</v>
      </c>
      <c r="L738" s="47" t="s">
        <v>516</v>
      </c>
      <c r="M738" s="39" t="s">
        <v>288</v>
      </c>
      <c r="N738" s="39" t="s">
        <v>289</v>
      </c>
      <c r="O738" s="32" t="s">
        <v>517</v>
      </c>
      <c r="P738" s="40"/>
    </row>
    <row r="739" customFormat="false" ht="15" hidden="false" customHeight="false" outlineLevel="0" collapsed="false">
      <c r="B739" s="32" t="s">
        <v>18</v>
      </c>
      <c r="C739" s="32" t="s">
        <v>397</v>
      </c>
      <c r="D739" s="33" t="n">
        <v>46038.4056018519</v>
      </c>
      <c r="E739" s="33" t="n">
        <v>46038.4056018519</v>
      </c>
      <c r="F739" s="33" t="n">
        <v>46041.440162037</v>
      </c>
      <c r="G739" s="34" t="n">
        <f aca="false">F739-E739</f>
        <v>3.03456018518519</v>
      </c>
      <c r="H739" s="39" t="s">
        <v>283</v>
      </c>
      <c r="I739" s="32" t="s">
        <v>284</v>
      </c>
      <c r="J739" s="39" t="s">
        <v>285</v>
      </c>
      <c r="K739" s="32" t="s">
        <v>286</v>
      </c>
      <c r="L739" s="47" t="s">
        <v>516</v>
      </c>
      <c r="M739" s="39" t="s">
        <v>288</v>
      </c>
      <c r="N739" s="39" t="s">
        <v>289</v>
      </c>
      <c r="O739" s="32" t="s">
        <v>517</v>
      </c>
      <c r="P739" s="40"/>
    </row>
    <row r="740" customFormat="false" ht="15" hidden="false" customHeight="false" outlineLevel="0" collapsed="false">
      <c r="B740" s="32" t="s">
        <v>18</v>
      </c>
      <c r="C740" s="32" t="s">
        <v>398</v>
      </c>
      <c r="D740" s="33" t="n">
        <v>46038.4056018519</v>
      </c>
      <c r="E740" s="33" t="n">
        <v>46038.4056018519</v>
      </c>
      <c r="F740" s="33" t="n">
        <v>46041.440162037</v>
      </c>
      <c r="G740" s="34" t="n">
        <f aca="false">F740-E740</f>
        <v>3.03456018518519</v>
      </c>
      <c r="H740" s="39" t="s">
        <v>283</v>
      </c>
      <c r="I740" s="32" t="s">
        <v>284</v>
      </c>
      <c r="J740" s="39" t="s">
        <v>285</v>
      </c>
      <c r="K740" s="32" t="s">
        <v>286</v>
      </c>
      <c r="L740" s="47" t="s">
        <v>516</v>
      </c>
      <c r="M740" s="39" t="s">
        <v>288</v>
      </c>
      <c r="N740" s="39" t="s">
        <v>289</v>
      </c>
      <c r="O740" s="32" t="s">
        <v>517</v>
      </c>
      <c r="P740" s="40"/>
    </row>
    <row r="741" customFormat="false" ht="15" hidden="false" customHeight="false" outlineLevel="0" collapsed="false">
      <c r="B741" s="32" t="s">
        <v>18</v>
      </c>
      <c r="C741" s="32" t="s">
        <v>399</v>
      </c>
      <c r="D741" s="33" t="n">
        <v>46038.4056018519</v>
      </c>
      <c r="E741" s="33" t="n">
        <v>46038.4056018519</v>
      </c>
      <c r="F741" s="33" t="n">
        <v>46041.440162037</v>
      </c>
      <c r="G741" s="34" t="n">
        <f aca="false">F741-E741</f>
        <v>3.03456018518519</v>
      </c>
      <c r="H741" s="39" t="s">
        <v>283</v>
      </c>
      <c r="I741" s="32" t="s">
        <v>284</v>
      </c>
      <c r="J741" s="39" t="s">
        <v>285</v>
      </c>
      <c r="K741" s="32" t="s">
        <v>286</v>
      </c>
      <c r="L741" s="47" t="s">
        <v>516</v>
      </c>
      <c r="M741" s="39" t="s">
        <v>288</v>
      </c>
      <c r="N741" s="39" t="s">
        <v>289</v>
      </c>
      <c r="O741" s="32" t="s">
        <v>517</v>
      </c>
      <c r="P741" s="40"/>
    </row>
    <row r="742" customFormat="false" ht="15" hidden="false" customHeight="false" outlineLevel="0" collapsed="false">
      <c r="B742" s="32" t="s">
        <v>18</v>
      </c>
      <c r="C742" s="32" t="s">
        <v>389</v>
      </c>
      <c r="D742" s="33" t="n">
        <v>46038.4056018519</v>
      </c>
      <c r="E742" s="33" t="n">
        <v>46038.4056018519</v>
      </c>
      <c r="F742" s="33" t="n">
        <v>46041.440162037</v>
      </c>
      <c r="G742" s="34" t="n">
        <f aca="false">F742-E742</f>
        <v>3.03456018518519</v>
      </c>
      <c r="H742" s="39" t="s">
        <v>283</v>
      </c>
      <c r="I742" s="32" t="s">
        <v>284</v>
      </c>
      <c r="J742" s="39" t="s">
        <v>285</v>
      </c>
      <c r="K742" s="32" t="s">
        <v>286</v>
      </c>
      <c r="L742" s="47" t="s">
        <v>516</v>
      </c>
      <c r="M742" s="39" t="s">
        <v>288</v>
      </c>
      <c r="N742" s="39" t="s">
        <v>289</v>
      </c>
      <c r="O742" s="32" t="s">
        <v>517</v>
      </c>
      <c r="P742" s="40"/>
    </row>
    <row r="743" customFormat="false" ht="15" hidden="false" customHeight="false" outlineLevel="0" collapsed="false">
      <c r="B743" s="32" t="s">
        <v>18</v>
      </c>
      <c r="C743" s="32" t="s">
        <v>400</v>
      </c>
      <c r="D743" s="33" t="n">
        <v>46038.4056018519</v>
      </c>
      <c r="E743" s="33" t="n">
        <v>46038.4056018519</v>
      </c>
      <c r="F743" s="33" t="n">
        <v>46041.440162037</v>
      </c>
      <c r="G743" s="34" t="n">
        <f aca="false">F743-E743</f>
        <v>3.03456018518519</v>
      </c>
      <c r="H743" s="39" t="s">
        <v>283</v>
      </c>
      <c r="I743" s="32" t="s">
        <v>284</v>
      </c>
      <c r="J743" s="39" t="s">
        <v>285</v>
      </c>
      <c r="K743" s="32" t="s">
        <v>286</v>
      </c>
      <c r="L743" s="47" t="s">
        <v>516</v>
      </c>
      <c r="M743" s="39" t="s">
        <v>288</v>
      </c>
      <c r="N743" s="39" t="s">
        <v>289</v>
      </c>
      <c r="O743" s="32" t="s">
        <v>517</v>
      </c>
      <c r="P743" s="40"/>
    </row>
    <row r="744" customFormat="false" ht="15" hidden="false" customHeight="false" outlineLevel="0" collapsed="false">
      <c r="B744" s="32" t="s">
        <v>18</v>
      </c>
      <c r="C744" s="32" t="s">
        <v>401</v>
      </c>
      <c r="D744" s="33" t="n">
        <v>46038.4056018519</v>
      </c>
      <c r="E744" s="33" t="n">
        <v>46038.4056018519</v>
      </c>
      <c r="F744" s="33" t="n">
        <v>46041.440162037</v>
      </c>
      <c r="G744" s="34" t="n">
        <f aca="false">F744-E744</f>
        <v>3.03456018518519</v>
      </c>
      <c r="H744" s="39" t="s">
        <v>283</v>
      </c>
      <c r="I744" s="32" t="s">
        <v>284</v>
      </c>
      <c r="J744" s="39" t="s">
        <v>285</v>
      </c>
      <c r="K744" s="32" t="s">
        <v>286</v>
      </c>
      <c r="L744" s="47" t="s">
        <v>516</v>
      </c>
      <c r="M744" s="39" t="s">
        <v>288</v>
      </c>
      <c r="N744" s="39" t="s">
        <v>289</v>
      </c>
      <c r="O744" s="32" t="s">
        <v>517</v>
      </c>
      <c r="P744" s="40"/>
    </row>
    <row r="745" customFormat="false" ht="15" hidden="false" customHeight="false" outlineLevel="0" collapsed="false">
      <c r="B745" s="32" t="s">
        <v>18</v>
      </c>
      <c r="C745" s="32" t="s">
        <v>402</v>
      </c>
      <c r="D745" s="33" t="n">
        <v>46038.4056018519</v>
      </c>
      <c r="E745" s="33" t="n">
        <v>46038.4056018519</v>
      </c>
      <c r="F745" s="33" t="n">
        <v>46041.440162037</v>
      </c>
      <c r="G745" s="34" t="n">
        <f aca="false">F745-E745</f>
        <v>3.03456018518519</v>
      </c>
      <c r="H745" s="39" t="s">
        <v>283</v>
      </c>
      <c r="I745" s="32" t="s">
        <v>284</v>
      </c>
      <c r="J745" s="39" t="s">
        <v>285</v>
      </c>
      <c r="K745" s="32" t="s">
        <v>286</v>
      </c>
      <c r="L745" s="47" t="s">
        <v>516</v>
      </c>
      <c r="M745" s="39" t="s">
        <v>288</v>
      </c>
      <c r="N745" s="39" t="s">
        <v>289</v>
      </c>
      <c r="O745" s="32" t="s">
        <v>517</v>
      </c>
      <c r="P745" s="40"/>
    </row>
    <row r="746" customFormat="false" ht="15" hidden="false" customHeight="false" outlineLevel="0" collapsed="false">
      <c r="B746" s="32" t="s">
        <v>18</v>
      </c>
      <c r="C746" s="32" t="s">
        <v>403</v>
      </c>
      <c r="D746" s="33" t="n">
        <v>46038.4056018519</v>
      </c>
      <c r="E746" s="33" t="n">
        <v>46038.4056018519</v>
      </c>
      <c r="F746" s="33" t="n">
        <v>46041.440162037</v>
      </c>
      <c r="G746" s="34" t="n">
        <f aca="false">F746-E746</f>
        <v>3.03456018518519</v>
      </c>
      <c r="H746" s="39" t="s">
        <v>283</v>
      </c>
      <c r="I746" s="32" t="s">
        <v>284</v>
      </c>
      <c r="J746" s="39" t="s">
        <v>285</v>
      </c>
      <c r="K746" s="32" t="s">
        <v>286</v>
      </c>
      <c r="L746" s="47" t="s">
        <v>516</v>
      </c>
      <c r="M746" s="39" t="s">
        <v>288</v>
      </c>
      <c r="N746" s="39" t="s">
        <v>289</v>
      </c>
      <c r="O746" s="32" t="s">
        <v>517</v>
      </c>
      <c r="P746" s="40"/>
    </row>
    <row r="747" customFormat="false" ht="15" hidden="false" customHeight="false" outlineLevel="0" collapsed="false">
      <c r="B747" s="32" t="s">
        <v>18</v>
      </c>
      <c r="C747" s="32" t="s">
        <v>404</v>
      </c>
      <c r="D747" s="33" t="n">
        <v>46038.4056018519</v>
      </c>
      <c r="E747" s="33" t="n">
        <v>46038.4056018519</v>
      </c>
      <c r="F747" s="33" t="n">
        <v>46041.440162037</v>
      </c>
      <c r="G747" s="34" t="n">
        <f aca="false">F747-E747</f>
        <v>3.03456018518519</v>
      </c>
      <c r="H747" s="39" t="s">
        <v>283</v>
      </c>
      <c r="I747" s="32" t="s">
        <v>284</v>
      </c>
      <c r="J747" s="39" t="s">
        <v>285</v>
      </c>
      <c r="K747" s="32" t="s">
        <v>286</v>
      </c>
      <c r="L747" s="47" t="s">
        <v>516</v>
      </c>
      <c r="M747" s="39" t="s">
        <v>288</v>
      </c>
      <c r="N747" s="39" t="s">
        <v>289</v>
      </c>
      <c r="O747" s="32" t="s">
        <v>517</v>
      </c>
      <c r="P747" s="40"/>
    </row>
    <row r="748" customFormat="false" ht="15" hidden="false" customHeight="false" outlineLevel="0" collapsed="false">
      <c r="B748" s="32" t="s">
        <v>18</v>
      </c>
      <c r="C748" s="32" t="s">
        <v>405</v>
      </c>
      <c r="D748" s="33" t="n">
        <v>46038.4056018519</v>
      </c>
      <c r="E748" s="33" t="n">
        <v>46038.4056018519</v>
      </c>
      <c r="F748" s="33" t="n">
        <v>46041.440162037</v>
      </c>
      <c r="G748" s="34" t="n">
        <f aca="false">F748-E748</f>
        <v>3.03456018518519</v>
      </c>
      <c r="H748" s="39" t="s">
        <v>283</v>
      </c>
      <c r="I748" s="32" t="s">
        <v>284</v>
      </c>
      <c r="J748" s="39" t="s">
        <v>285</v>
      </c>
      <c r="K748" s="32" t="s">
        <v>286</v>
      </c>
      <c r="L748" s="47" t="s">
        <v>516</v>
      </c>
      <c r="M748" s="39" t="s">
        <v>288</v>
      </c>
      <c r="N748" s="39" t="s">
        <v>289</v>
      </c>
      <c r="O748" s="32" t="s">
        <v>517</v>
      </c>
      <c r="P748" s="40"/>
    </row>
    <row r="749" customFormat="false" ht="15" hidden="false" customHeight="false" outlineLevel="0" collapsed="false">
      <c r="B749" s="32" t="s">
        <v>18</v>
      </c>
      <c r="C749" s="32" t="s">
        <v>406</v>
      </c>
      <c r="D749" s="33" t="n">
        <v>46038.4056018519</v>
      </c>
      <c r="E749" s="33" t="n">
        <v>46038.4056018519</v>
      </c>
      <c r="F749" s="33" t="n">
        <v>46041.440162037</v>
      </c>
      <c r="G749" s="34" t="n">
        <f aca="false">F749-E749</f>
        <v>3.03456018518519</v>
      </c>
      <c r="H749" s="39" t="s">
        <v>283</v>
      </c>
      <c r="I749" s="32" t="s">
        <v>284</v>
      </c>
      <c r="J749" s="39" t="s">
        <v>285</v>
      </c>
      <c r="K749" s="32" t="s">
        <v>286</v>
      </c>
      <c r="L749" s="47" t="s">
        <v>516</v>
      </c>
      <c r="M749" s="39" t="s">
        <v>288</v>
      </c>
      <c r="N749" s="39" t="s">
        <v>289</v>
      </c>
      <c r="O749" s="32" t="s">
        <v>517</v>
      </c>
      <c r="P749" s="40"/>
    </row>
    <row r="750" customFormat="false" ht="15" hidden="false" customHeight="false" outlineLevel="0" collapsed="false">
      <c r="B750" s="32" t="s">
        <v>18</v>
      </c>
      <c r="C750" s="32" t="s">
        <v>407</v>
      </c>
      <c r="D750" s="33" t="n">
        <v>46038.4056018519</v>
      </c>
      <c r="E750" s="33" t="n">
        <v>46038.4056018519</v>
      </c>
      <c r="F750" s="33" t="n">
        <v>46041.440162037</v>
      </c>
      <c r="G750" s="34" t="n">
        <f aca="false">F750-E750</f>
        <v>3.03456018518519</v>
      </c>
      <c r="H750" s="39" t="s">
        <v>283</v>
      </c>
      <c r="I750" s="32" t="s">
        <v>284</v>
      </c>
      <c r="J750" s="39" t="s">
        <v>285</v>
      </c>
      <c r="K750" s="32" t="s">
        <v>286</v>
      </c>
      <c r="L750" s="47" t="s">
        <v>516</v>
      </c>
      <c r="M750" s="39" t="s">
        <v>288</v>
      </c>
      <c r="N750" s="39" t="s">
        <v>289</v>
      </c>
      <c r="O750" s="32" t="s">
        <v>517</v>
      </c>
      <c r="P750" s="40"/>
    </row>
    <row r="751" customFormat="false" ht="15" hidden="false" customHeight="false" outlineLevel="0" collapsed="false">
      <c r="B751" s="32" t="s">
        <v>323</v>
      </c>
      <c r="C751" s="32" t="s">
        <v>326</v>
      </c>
      <c r="D751" s="33" t="n">
        <v>46038.4638888889</v>
      </c>
      <c r="E751" s="33" t="n">
        <v>46038.4638888889</v>
      </c>
      <c r="F751" s="33" t="n">
        <v>46038.5131944444</v>
      </c>
      <c r="G751" s="34" t="n">
        <f aca="false">F751-E751</f>
        <v>0.0493055555555556</v>
      </c>
      <c r="H751" s="39" t="s">
        <v>384</v>
      </c>
      <c r="J751" s="39" t="s">
        <v>234</v>
      </c>
      <c r="K751" s="32" t="s">
        <v>234</v>
      </c>
      <c r="L751" s="32" t="s">
        <v>518</v>
      </c>
      <c r="M751" s="39" t="s">
        <v>386</v>
      </c>
      <c r="N751" s="39" t="s">
        <v>514</v>
      </c>
      <c r="O751" s="32" t="s">
        <v>515</v>
      </c>
      <c r="P751" s="40" t="str">
        <f aca="false">_xlfn.CONCAT(B751,C751,D751,E751,F751)</f>
        <v>BC Ibiuna 1.1Inverter(MBUS-13)46038.463888888946038.463888888946038.5131944444</v>
      </c>
      <c r="Q751" s="32" t="str">
        <f aca="false">_xlfn.CONCAT(H751,I751,J751)</f>
        <v>DPRUFV</v>
      </c>
    </row>
    <row r="752" customFormat="false" ht="15" hidden="false" customHeight="false" outlineLevel="0" collapsed="false">
      <c r="B752" s="32" t="s">
        <v>323</v>
      </c>
      <c r="C752" s="32" t="s">
        <v>327</v>
      </c>
      <c r="D752" s="33" t="n">
        <v>46038.4638888889</v>
      </c>
      <c r="E752" s="33" t="n">
        <v>46038.4638888889</v>
      </c>
      <c r="F752" s="33" t="n">
        <v>46038.5131944444</v>
      </c>
      <c r="G752" s="34" t="n">
        <f aca="false">F752-E752</f>
        <v>0.0493055555555556</v>
      </c>
      <c r="H752" s="39" t="s">
        <v>384</v>
      </c>
      <c r="J752" s="39" t="s">
        <v>234</v>
      </c>
      <c r="K752" s="32" t="s">
        <v>234</v>
      </c>
      <c r="L752" s="32" t="s">
        <v>518</v>
      </c>
      <c r="M752" s="39" t="s">
        <v>386</v>
      </c>
      <c r="N752" s="39" t="s">
        <v>514</v>
      </c>
      <c r="O752" s="32" t="s">
        <v>515</v>
      </c>
      <c r="P752" s="40" t="str">
        <f aca="false">_xlfn.CONCAT(B752,C752,D752,E752,F752)</f>
        <v>BC Ibiuna 1.1Inverter(MBUS-14)46038.463888888946038.463888888946038.5131944444</v>
      </c>
      <c r="Q752" s="32" t="str">
        <f aca="false">_xlfn.CONCAT(H752,I752,J752)</f>
        <v>DPRUFV</v>
      </c>
    </row>
    <row r="753" customFormat="false" ht="15" hidden="false" customHeight="false" outlineLevel="0" collapsed="false">
      <c r="B753" s="32" t="s">
        <v>323</v>
      </c>
      <c r="C753" s="32" t="s">
        <v>328</v>
      </c>
      <c r="D753" s="33" t="n">
        <v>46038.4638888889</v>
      </c>
      <c r="E753" s="33" t="n">
        <v>46038.4638888889</v>
      </c>
      <c r="F753" s="33" t="n">
        <v>46038.5131944444</v>
      </c>
      <c r="G753" s="34" t="n">
        <f aca="false">F753-E753</f>
        <v>0.0493055555555556</v>
      </c>
      <c r="H753" s="39" t="s">
        <v>384</v>
      </c>
      <c r="J753" s="39" t="s">
        <v>234</v>
      </c>
      <c r="K753" s="32" t="s">
        <v>234</v>
      </c>
      <c r="L753" s="32" t="s">
        <v>518</v>
      </c>
      <c r="M753" s="39" t="s">
        <v>386</v>
      </c>
      <c r="N753" s="39" t="s">
        <v>514</v>
      </c>
      <c r="O753" s="32" t="s">
        <v>515</v>
      </c>
      <c r="P753" s="40" t="str">
        <f aca="false">_xlfn.CONCAT(B753,C753,D753,E753,F753)</f>
        <v>BC Ibiuna 1.1Inverter(MBUS-15)46038.463888888946038.463888888946038.5131944444</v>
      </c>
      <c r="Q753" s="32" t="str">
        <f aca="false">_xlfn.CONCAT(H753,I753,J753)</f>
        <v>DPRUFV</v>
      </c>
    </row>
    <row r="754" customFormat="false" ht="15" hidden="false" customHeight="false" outlineLevel="0" collapsed="false">
      <c r="B754" s="32" t="s">
        <v>329</v>
      </c>
      <c r="C754" s="32" t="s">
        <v>324</v>
      </c>
      <c r="D754" s="33" t="n">
        <v>46038.4638888889</v>
      </c>
      <c r="E754" s="33" t="n">
        <v>46038.4638888889</v>
      </c>
      <c r="F754" s="33" t="n">
        <v>46038.5131944444</v>
      </c>
      <c r="G754" s="34" t="n">
        <f aca="false">F754-E754</f>
        <v>0.0493055555555556</v>
      </c>
      <c r="H754" s="39" t="s">
        <v>384</v>
      </c>
      <c r="J754" s="39" t="s">
        <v>234</v>
      </c>
      <c r="K754" s="32" t="s">
        <v>234</v>
      </c>
      <c r="L754" s="32" t="s">
        <v>518</v>
      </c>
      <c r="M754" s="39" t="s">
        <v>386</v>
      </c>
      <c r="N754" s="39" t="s">
        <v>514</v>
      </c>
      <c r="O754" s="32" t="s">
        <v>515</v>
      </c>
      <c r="P754" s="40" t="str">
        <f aca="false">_xlfn.CONCAT(B754,C754,D754,E754,F754)</f>
        <v>BC Ibiuna 1.2Inverter(MBUS-12)46038.463888888946038.463888888946038.5131944444</v>
      </c>
      <c r="Q754" s="32" t="str">
        <f aca="false">_xlfn.CONCAT(H754,I754,J754)</f>
        <v>DPRUFV</v>
      </c>
    </row>
    <row r="755" customFormat="false" ht="15" hidden="false" customHeight="false" outlineLevel="0" collapsed="false">
      <c r="B755" s="32" t="s">
        <v>329</v>
      </c>
      <c r="C755" s="32" t="s">
        <v>326</v>
      </c>
      <c r="D755" s="33" t="n">
        <v>46038.4638888889</v>
      </c>
      <c r="E755" s="33" t="n">
        <v>46038.4638888889</v>
      </c>
      <c r="F755" s="33" t="n">
        <v>46038.5131944444</v>
      </c>
      <c r="G755" s="34" t="n">
        <f aca="false">F755-E755</f>
        <v>0.0493055555555556</v>
      </c>
      <c r="H755" s="39" t="s">
        <v>384</v>
      </c>
      <c r="J755" s="39" t="s">
        <v>234</v>
      </c>
      <c r="K755" s="32" t="s">
        <v>234</v>
      </c>
      <c r="L755" s="32" t="s">
        <v>518</v>
      </c>
      <c r="M755" s="39" t="s">
        <v>386</v>
      </c>
      <c r="N755" s="39" t="s">
        <v>514</v>
      </c>
      <c r="O755" s="32" t="s">
        <v>515</v>
      </c>
      <c r="P755" s="40" t="str">
        <f aca="false">_xlfn.CONCAT(B755,C755,D755,E755,F755)</f>
        <v>BC Ibiuna 1.2Inverter(MBUS-13)46038.463888888946038.463888888946038.5131944444</v>
      </c>
      <c r="Q755" s="32" t="str">
        <f aca="false">_xlfn.CONCAT(H755,I755,J755)</f>
        <v>DPRUFV</v>
      </c>
    </row>
    <row r="756" customFormat="false" ht="15" hidden="false" customHeight="false" outlineLevel="0" collapsed="false">
      <c r="B756" s="32" t="s">
        <v>329</v>
      </c>
      <c r="C756" s="32" t="s">
        <v>327</v>
      </c>
      <c r="D756" s="33" t="n">
        <v>46038.4638888889</v>
      </c>
      <c r="E756" s="33" t="n">
        <v>46038.4638888889</v>
      </c>
      <c r="F756" s="33" t="n">
        <v>46038.5131944444</v>
      </c>
      <c r="G756" s="34" t="n">
        <f aca="false">F756-E756</f>
        <v>0.0493055555555556</v>
      </c>
      <c r="H756" s="39" t="s">
        <v>384</v>
      </c>
      <c r="J756" s="39" t="s">
        <v>234</v>
      </c>
      <c r="K756" s="32" t="s">
        <v>234</v>
      </c>
      <c r="L756" s="32" t="s">
        <v>518</v>
      </c>
      <c r="M756" s="39" t="s">
        <v>386</v>
      </c>
      <c r="N756" s="39" t="s">
        <v>514</v>
      </c>
      <c r="O756" s="32" t="s">
        <v>515</v>
      </c>
      <c r="P756" s="40" t="str">
        <f aca="false">_xlfn.CONCAT(B756,C756,D756,E756,F756)</f>
        <v>BC Ibiuna 1.2Inverter(MBUS-14)46038.463888888946038.463888888946038.5131944444</v>
      </c>
      <c r="Q756" s="32" t="str">
        <f aca="false">_xlfn.CONCAT(H756,I756,J756)</f>
        <v>DPRUFV</v>
      </c>
    </row>
    <row r="757" customFormat="false" ht="15" hidden="false" customHeight="false" outlineLevel="0" collapsed="false">
      <c r="B757" s="32" t="s">
        <v>329</v>
      </c>
      <c r="C757" s="32" t="s">
        <v>328</v>
      </c>
      <c r="D757" s="33" t="n">
        <v>46038.4638888889</v>
      </c>
      <c r="E757" s="33" t="n">
        <v>46038.4638888889</v>
      </c>
      <c r="F757" s="33" t="n">
        <v>46038.5131944444</v>
      </c>
      <c r="G757" s="34" t="n">
        <f aca="false">F757-E757</f>
        <v>0.0493055555555556</v>
      </c>
      <c r="H757" s="39" t="s">
        <v>384</v>
      </c>
      <c r="J757" s="39" t="s">
        <v>234</v>
      </c>
      <c r="K757" s="32" t="s">
        <v>234</v>
      </c>
      <c r="L757" s="32" t="s">
        <v>518</v>
      </c>
      <c r="M757" s="39" t="s">
        <v>386</v>
      </c>
      <c r="N757" s="39" t="s">
        <v>514</v>
      </c>
      <c r="O757" s="32" t="s">
        <v>515</v>
      </c>
      <c r="P757" s="40" t="str">
        <f aca="false">_xlfn.CONCAT(B757,C757,D757,E757,F757)</f>
        <v>BC Ibiuna 1.2Inverter(MBUS-15)46038.463888888946038.463888888946038.5131944444</v>
      </c>
      <c r="Q757" s="32" t="str">
        <f aca="false">_xlfn.CONCAT(H757,I757,J757)</f>
        <v>DPRUFV</v>
      </c>
    </row>
    <row r="758" customFormat="false" ht="15" hidden="false" customHeight="false" outlineLevel="0" collapsed="false">
      <c r="B758" s="32" t="s">
        <v>519</v>
      </c>
      <c r="C758" s="32" t="s">
        <v>416</v>
      </c>
      <c r="D758" s="33" t="n">
        <v>46038.5034722222</v>
      </c>
      <c r="E758" s="33" t="n">
        <v>46038.5034722222</v>
      </c>
      <c r="F758" s="33" t="n">
        <v>46038.5451388889</v>
      </c>
      <c r="G758" s="34" t="n">
        <f aca="false">F758-E758</f>
        <v>0.0416666666666667</v>
      </c>
      <c r="H758" s="39" t="s">
        <v>252</v>
      </c>
      <c r="J758" s="39" t="s">
        <v>333</v>
      </c>
      <c r="K758" s="32" t="s">
        <v>334</v>
      </c>
      <c r="L758" s="32" t="s">
        <v>520</v>
      </c>
      <c r="M758" s="39" t="s">
        <v>336</v>
      </c>
      <c r="N758" s="39" t="s">
        <v>289</v>
      </c>
      <c r="O758" s="32" t="s">
        <v>521</v>
      </c>
      <c r="P758" s="40" t="str">
        <f aca="false">_xlfn.CONCAT(B758,C758,D758,E758,F758)</f>
        <v>BC Varjao1.2215KTL-H0(MBUS-15)46038.503472222246038.503472222246038.5451388889</v>
      </c>
      <c r="Q758" s="32" t="str">
        <f aca="false">_xlfn.CONCAT(H758,I758,J758)</f>
        <v>DAUINV</v>
      </c>
    </row>
    <row r="759" customFormat="false" ht="15" hidden="false" customHeight="false" outlineLevel="0" collapsed="false">
      <c r="B759" s="32" t="s">
        <v>519</v>
      </c>
      <c r="C759" s="32" t="s">
        <v>414</v>
      </c>
      <c r="D759" s="33" t="n">
        <v>46038.5034722222</v>
      </c>
      <c r="E759" s="33" t="n">
        <v>46038.5034722222</v>
      </c>
      <c r="F759" s="33" t="n">
        <v>46038.5451388889</v>
      </c>
      <c r="G759" s="34" t="n">
        <f aca="false">F759-E759</f>
        <v>0.0416666666666667</v>
      </c>
      <c r="H759" s="39" t="s">
        <v>252</v>
      </c>
      <c r="J759" s="39" t="s">
        <v>333</v>
      </c>
      <c r="K759" s="32" t="s">
        <v>334</v>
      </c>
      <c r="L759" s="32" t="s">
        <v>520</v>
      </c>
      <c r="M759" s="39" t="s">
        <v>336</v>
      </c>
      <c r="N759" s="39" t="s">
        <v>289</v>
      </c>
      <c r="O759" s="32" t="s">
        <v>521</v>
      </c>
      <c r="P759" s="40" t="str">
        <f aca="false">_xlfn.CONCAT(B759,C759,D759,E759,F759)</f>
        <v>BC Varjao1.2215KTL-H0(MBUS-13)46038.503472222246038.503472222246038.5451388889</v>
      </c>
      <c r="Q759" s="32" t="str">
        <f aca="false">_xlfn.CONCAT(H759,I759,J759)</f>
        <v>DAUINV</v>
      </c>
    </row>
    <row r="760" customFormat="false" ht="15" hidden="false" customHeight="false" outlineLevel="0" collapsed="false">
      <c r="B760" s="32" t="s">
        <v>519</v>
      </c>
      <c r="C760" s="32" t="s">
        <v>417</v>
      </c>
      <c r="D760" s="33" t="n">
        <v>46038.56875</v>
      </c>
      <c r="E760" s="33" t="n">
        <v>46038.56875</v>
      </c>
      <c r="F760" s="33" t="n">
        <v>46038.6527777778</v>
      </c>
      <c r="G760" s="34" t="n">
        <f aca="false">F760-E760</f>
        <v>0.0840277777777778</v>
      </c>
      <c r="H760" s="39" t="s">
        <v>252</v>
      </c>
      <c r="J760" s="39" t="s">
        <v>333</v>
      </c>
      <c r="K760" s="32" t="s">
        <v>334</v>
      </c>
      <c r="L760" s="32" t="s">
        <v>520</v>
      </c>
      <c r="M760" s="39" t="s">
        <v>336</v>
      </c>
      <c r="N760" s="39" t="s">
        <v>289</v>
      </c>
      <c r="O760" s="32" t="s">
        <v>521</v>
      </c>
      <c r="P760" s="40" t="str">
        <f aca="false">_xlfn.CONCAT(B760,C760,D760,E760,F760)</f>
        <v>BC Varjao1.2215KTL-H0(MBUS-16)46038.5687546038.5687546038.6527777778</v>
      </c>
      <c r="Q760" s="32" t="str">
        <f aca="false">_xlfn.CONCAT(H760,I760,J760)</f>
        <v>DAUINV</v>
      </c>
    </row>
    <row r="761" customFormat="false" ht="15" hidden="false" customHeight="false" outlineLevel="0" collapsed="false">
      <c r="B761" s="32" t="s">
        <v>48</v>
      </c>
      <c r="C761" s="32" t="s">
        <v>294</v>
      </c>
      <c r="D761" s="33" t="n">
        <v>46038.7222222222</v>
      </c>
      <c r="E761" s="33" t="n">
        <v>46038.7222222222</v>
      </c>
      <c r="F761" s="33" t="n">
        <v>46038.7840277778</v>
      </c>
      <c r="G761" s="34" t="n">
        <f aca="false">F761-E761</f>
        <v>0.0618055555555556</v>
      </c>
      <c r="H761" s="39" t="s">
        <v>252</v>
      </c>
      <c r="J761" s="39" t="s">
        <v>253</v>
      </c>
      <c r="K761" s="32" t="s">
        <v>266</v>
      </c>
      <c r="L761" s="32" t="s">
        <v>275</v>
      </c>
      <c r="M761" s="39" t="s">
        <v>255</v>
      </c>
      <c r="N761" s="39" t="s">
        <v>268</v>
      </c>
      <c r="O761" s="32" t="s">
        <v>269</v>
      </c>
      <c r="P761" s="40" t="str">
        <f aca="false">_xlfn.CONCAT(B761,C761,D761,E761,F761)</f>
        <v>BC Caiaponia1SG60KTL(COM1-001)_001_00746038.722222222246038.722222222246038.7840277778</v>
      </c>
      <c r="Q761" s="32" t="str">
        <f aca="false">_xlfn.CONCAT(H761,I761,J761)</f>
        <v>DAURDE</v>
      </c>
    </row>
    <row r="762" customFormat="false" ht="15" hidden="false" customHeight="false" outlineLevel="0" collapsed="false">
      <c r="B762" s="32" t="s">
        <v>48</v>
      </c>
      <c r="C762" s="32" t="s">
        <v>295</v>
      </c>
      <c r="D762" s="33" t="n">
        <v>46038.7222222222</v>
      </c>
      <c r="E762" s="33" t="n">
        <v>46038.7222222222</v>
      </c>
      <c r="F762" s="33" t="n">
        <v>46038.7840277778</v>
      </c>
      <c r="G762" s="34" t="n">
        <f aca="false">F762-E762</f>
        <v>0.0618055555555556</v>
      </c>
      <c r="H762" s="39" t="s">
        <v>252</v>
      </c>
      <c r="J762" s="39" t="s">
        <v>253</v>
      </c>
      <c r="K762" s="32" t="s">
        <v>266</v>
      </c>
      <c r="L762" s="32" t="s">
        <v>275</v>
      </c>
      <c r="M762" s="39" t="s">
        <v>255</v>
      </c>
      <c r="N762" s="39" t="s">
        <v>268</v>
      </c>
      <c r="O762" s="32" t="s">
        <v>269</v>
      </c>
      <c r="P762" s="40" t="str">
        <f aca="false">_xlfn.CONCAT(B762,C762,D762,E762,F762)</f>
        <v>BC Caiaponia1SG60KTL(COM1-002)_001_01046038.722222222246038.722222222246038.7840277778</v>
      </c>
      <c r="Q762" s="32" t="str">
        <f aca="false">_xlfn.CONCAT(H762,I762,J762)</f>
        <v>DAURDE</v>
      </c>
    </row>
    <row r="763" customFormat="false" ht="15" hidden="false" customHeight="false" outlineLevel="0" collapsed="false">
      <c r="B763" s="32" t="s">
        <v>48</v>
      </c>
      <c r="C763" s="32" t="s">
        <v>296</v>
      </c>
      <c r="D763" s="33" t="n">
        <v>46038.7222222222</v>
      </c>
      <c r="E763" s="33" t="n">
        <v>46038.7222222222</v>
      </c>
      <c r="F763" s="33" t="n">
        <v>46038.7840277778</v>
      </c>
      <c r="G763" s="34" t="n">
        <f aca="false">F763-E763</f>
        <v>0.0618055555555556</v>
      </c>
      <c r="H763" s="39" t="s">
        <v>252</v>
      </c>
      <c r="J763" s="39" t="s">
        <v>253</v>
      </c>
      <c r="K763" s="32" t="s">
        <v>266</v>
      </c>
      <c r="L763" s="32" t="s">
        <v>275</v>
      </c>
      <c r="M763" s="39" t="s">
        <v>255</v>
      </c>
      <c r="N763" s="39" t="s">
        <v>268</v>
      </c>
      <c r="O763" s="32" t="s">
        <v>269</v>
      </c>
      <c r="P763" s="40" t="str">
        <f aca="false">_xlfn.CONCAT(B763,C763,D763,E763,F763)</f>
        <v>BC Caiaponia1SG60KTL(COM1-003)_001_01146038.722222222246038.722222222246038.7840277778</v>
      </c>
      <c r="Q763" s="32" t="str">
        <f aca="false">_xlfn.CONCAT(H763,I763,J763)</f>
        <v>DAURDE</v>
      </c>
    </row>
    <row r="764" customFormat="false" ht="15" hidden="false" customHeight="false" outlineLevel="0" collapsed="false">
      <c r="B764" s="32" t="s">
        <v>48</v>
      </c>
      <c r="C764" s="32" t="s">
        <v>297</v>
      </c>
      <c r="D764" s="33" t="n">
        <v>46038.7222222222</v>
      </c>
      <c r="E764" s="33" t="n">
        <v>46038.7222222222</v>
      </c>
      <c r="F764" s="33" t="n">
        <v>46038.7840277778</v>
      </c>
      <c r="G764" s="34" t="n">
        <f aca="false">F764-E764</f>
        <v>0.0618055555555556</v>
      </c>
      <c r="H764" s="39" t="s">
        <v>252</v>
      </c>
      <c r="J764" s="39" t="s">
        <v>253</v>
      </c>
      <c r="K764" s="32" t="s">
        <v>266</v>
      </c>
      <c r="L764" s="32" t="s">
        <v>275</v>
      </c>
      <c r="M764" s="39" t="s">
        <v>255</v>
      </c>
      <c r="N764" s="39" t="s">
        <v>268</v>
      </c>
      <c r="O764" s="32" t="s">
        <v>269</v>
      </c>
      <c r="P764" s="40" t="str">
        <f aca="false">_xlfn.CONCAT(B764,C764,D764,E764,F764)</f>
        <v>BC Caiaponia1SG60KTL(COM1-004)_001_01446038.722222222246038.722222222246038.7840277778</v>
      </c>
      <c r="Q764" s="32" t="str">
        <f aca="false">_xlfn.CONCAT(H764,I764,J764)</f>
        <v>DAURDE</v>
      </c>
    </row>
    <row r="765" customFormat="false" ht="15" hidden="false" customHeight="false" outlineLevel="0" collapsed="false">
      <c r="B765" s="32" t="s">
        <v>48</v>
      </c>
      <c r="C765" s="32" t="s">
        <v>298</v>
      </c>
      <c r="D765" s="33" t="n">
        <v>46038.7222222222</v>
      </c>
      <c r="E765" s="33" t="n">
        <v>46038.7222222222</v>
      </c>
      <c r="F765" s="33" t="n">
        <v>46038.7840277778</v>
      </c>
      <c r="G765" s="34" t="n">
        <f aca="false">F765-E765</f>
        <v>0.0618055555555556</v>
      </c>
      <c r="H765" s="39" t="s">
        <v>252</v>
      </c>
      <c r="J765" s="39" t="s">
        <v>253</v>
      </c>
      <c r="K765" s="32" t="s">
        <v>266</v>
      </c>
      <c r="L765" s="32" t="s">
        <v>275</v>
      </c>
      <c r="M765" s="39" t="s">
        <v>255</v>
      </c>
      <c r="N765" s="39" t="s">
        <v>268</v>
      </c>
      <c r="O765" s="32" t="s">
        <v>269</v>
      </c>
      <c r="P765" s="40" t="str">
        <f aca="false">_xlfn.CONCAT(B765,C765,D765,E765,F765)</f>
        <v>BC Caiaponia1SG60KTL(COM1-005)_001_01746038.722222222246038.722222222246038.7840277778</v>
      </c>
      <c r="Q765" s="32" t="str">
        <f aca="false">_xlfn.CONCAT(H765,I765,J765)</f>
        <v>DAURDE</v>
      </c>
    </row>
    <row r="766" customFormat="false" ht="15" hidden="false" customHeight="false" outlineLevel="0" collapsed="false">
      <c r="B766" s="32" t="s">
        <v>48</v>
      </c>
      <c r="C766" s="32" t="s">
        <v>299</v>
      </c>
      <c r="D766" s="33" t="n">
        <v>46038.7222222222</v>
      </c>
      <c r="E766" s="33" t="n">
        <v>46038.7222222222</v>
      </c>
      <c r="F766" s="33" t="n">
        <v>46038.7840277778</v>
      </c>
      <c r="G766" s="34" t="n">
        <f aca="false">F766-E766</f>
        <v>0.0618055555555556</v>
      </c>
      <c r="H766" s="39" t="s">
        <v>252</v>
      </c>
      <c r="J766" s="39" t="s">
        <v>253</v>
      </c>
      <c r="K766" s="32" t="s">
        <v>266</v>
      </c>
      <c r="L766" s="32" t="s">
        <v>275</v>
      </c>
      <c r="M766" s="39" t="s">
        <v>255</v>
      </c>
      <c r="N766" s="39" t="s">
        <v>268</v>
      </c>
      <c r="O766" s="32" t="s">
        <v>269</v>
      </c>
      <c r="P766" s="40" t="str">
        <f aca="false">_xlfn.CONCAT(B766,C766,D766,E766,F766)</f>
        <v>BC Caiaponia1SG60KTL(COM1-006)_001_01646038.722222222246038.722222222246038.7840277778</v>
      </c>
      <c r="Q766" s="32" t="str">
        <f aca="false">_xlfn.CONCAT(H766,I766,J766)</f>
        <v>DAURDE</v>
      </c>
    </row>
    <row r="767" customFormat="false" ht="15" hidden="false" customHeight="false" outlineLevel="0" collapsed="false">
      <c r="B767" s="32" t="s">
        <v>48</v>
      </c>
      <c r="C767" s="32" t="s">
        <v>300</v>
      </c>
      <c r="D767" s="33" t="n">
        <v>46038.7222222222</v>
      </c>
      <c r="E767" s="33" t="n">
        <v>46038.7222222222</v>
      </c>
      <c r="F767" s="33" t="n">
        <v>46038.7840277778</v>
      </c>
      <c r="G767" s="34" t="n">
        <f aca="false">F767-E767</f>
        <v>0.0618055555555556</v>
      </c>
      <c r="H767" s="39" t="s">
        <v>252</v>
      </c>
      <c r="J767" s="39" t="s">
        <v>253</v>
      </c>
      <c r="K767" s="32" t="s">
        <v>266</v>
      </c>
      <c r="L767" s="32" t="s">
        <v>275</v>
      </c>
      <c r="M767" s="39" t="s">
        <v>255</v>
      </c>
      <c r="N767" s="39" t="s">
        <v>268</v>
      </c>
      <c r="O767" s="32" t="s">
        <v>269</v>
      </c>
      <c r="P767" s="40" t="str">
        <f aca="false">_xlfn.CONCAT(B767,C767,D767,E767,F767)</f>
        <v>BC Caiaponia1SG60KTL(COM1-007)_001_01346038.722222222246038.722222222246038.7840277778</v>
      </c>
      <c r="Q767" s="32" t="str">
        <f aca="false">_xlfn.CONCAT(H767,I767,J767)</f>
        <v>DAURDE</v>
      </c>
    </row>
    <row r="768" customFormat="false" ht="15" hidden="false" customHeight="false" outlineLevel="0" collapsed="false">
      <c r="B768" s="32" t="s">
        <v>48</v>
      </c>
      <c r="C768" s="32" t="s">
        <v>301</v>
      </c>
      <c r="D768" s="33" t="n">
        <v>46038.7222222222</v>
      </c>
      <c r="E768" s="33" t="n">
        <v>46038.7222222222</v>
      </c>
      <c r="F768" s="33" t="n">
        <v>46038.7840277778</v>
      </c>
      <c r="G768" s="34" t="n">
        <f aca="false">F768-E768</f>
        <v>0.0618055555555556</v>
      </c>
      <c r="H768" s="39" t="s">
        <v>252</v>
      </c>
      <c r="J768" s="39" t="s">
        <v>253</v>
      </c>
      <c r="K768" s="32" t="s">
        <v>266</v>
      </c>
      <c r="L768" s="32" t="s">
        <v>275</v>
      </c>
      <c r="M768" s="39" t="s">
        <v>255</v>
      </c>
      <c r="N768" s="39" t="s">
        <v>268</v>
      </c>
      <c r="O768" s="32" t="s">
        <v>269</v>
      </c>
      <c r="P768" s="40" t="str">
        <f aca="false">_xlfn.CONCAT(B768,C768,D768,E768,F768)</f>
        <v>BC Caiaponia1SG60KTL(COM1-008)_001_00146038.722222222246038.722222222246038.7840277778</v>
      </c>
      <c r="Q768" s="32" t="str">
        <f aca="false">_xlfn.CONCAT(H768,I768,J768)</f>
        <v>DAURDE</v>
      </c>
    </row>
    <row r="769" customFormat="false" ht="15" hidden="false" customHeight="false" outlineLevel="0" collapsed="false">
      <c r="B769" s="32" t="s">
        <v>48</v>
      </c>
      <c r="C769" s="32" t="s">
        <v>302</v>
      </c>
      <c r="D769" s="33" t="n">
        <v>46038.7222222222</v>
      </c>
      <c r="E769" s="33" t="n">
        <v>46038.7222222222</v>
      </c>
      <c r="F769" s="33" t="n">
        <v>46038.7840277778</v>
      </c>
      <c r="G769" s="34" t="n">
        <f aca="false">F769-E769</f>
        <v>0.0618055555555556</v>
      </c>
      <c r="H769" s="39" t="s">
        <v>252</v>
      </c>
      <c r="J769" s="39" t="s">
        <v>253</v>
      </c>
      <c r="K769" s="32" t="s">
        <v>266</v>
      </c>
      <c r="L769" s="32" t="s">
        <v>275</v>
      </c>
      <c r="M769" s="39" t="s">
        <v>255</v>
      </c>
      <c r="N769" s="39" t="s">
        <v>268</v>
      </c>
      <c r="O769" s="32" t="s">
        <v>269</v>
      </c>
      <c r="P769" s="40" t="str">
        <f aca="false">_xlfn.CONCAT(B769,C769,D769,E769,F769)</f>
        <v>BC Caiaponia1SG60KTL(COM1-009)46038.722222222246038.722222222246038.7840277778</v>
      </c>
      <c r="Q769" s="32" t="str">
        <f aca="false">_xlfn.CONCAT(H769,I769,J769)</f>
        <v>DAURDE</v>
      </c>
    </row>
    <row r="770" customFormat="false" ht="15" hidden="false" customHeight="false" outlineLevel="0" collapsed="false">
      <c r="B770" s="32" t="s">
        <v>48</v>
      </c>
      <c r="C770" s="32" t="s">
        <v>303</v>
      </c>
      <c r="D770" s="33" t="n">
        <v>46038.7222222222</v>
      </c>
      <c r="E770" s="33" t="n">
        <v>46038.7222222222</v>
      </c>
      <c r="F770" s="33" t="n">
        <v>46038.7840277778</v>
      </c>
      <c r="G770" s="34" t="n">
        <f aca="false">F770-E770</f>
        <v>0.0618055555555556</v>
      </c>
      <c r="H770" s="39" t="s">
        <v>252</v>
      </c>
      <c r="J770" s="39" t="s">
        <v>253</v>
      </c>
      <c r="K770" s="32" t="s">
        <v>266</v>
      </c>
      <c r="L770" s="32" t="s">
        <v>275</v>
      </c>
      <c r="M770" s="39" t="s">
        <v>255</v>
      </c>
      <c r="N770" s="39" t="s">
        <v>268</v>
      </c>
      <c r="O770" s="32" t="s">
        <v>269</v>
      </c>
      <c r="P770" s="40" t="str">
        <f aca="false">_xlfn.CONCAT(B770,C770,D770,E770,F770)</f>
        <v>BC Caiaponia1SG60KTL(COM1-010)46038.722222222246038.722222222246038.7840277778</v>
      </c>
      <c r="Q770" s="32" t="str">
        <f aca="false">_xlfn.CONCAT(H770,I770,J770)</f>
        <v>DAURDE</v>
      </c>
    </row>
    <row r="771" customFormat="false" ht="15" hidden="false" customHeight="false" outlineLevel="0" collapsed="false">
      <c r="B771" s="32" t="s">
        <v>48</v>
      </c>
      <c r="C771" s="32" t="s">
        <v>304</v>
      </c>
      <c r="D771" s="33" t="n">
        <v>46038.7222222222</v>
      </c>
      <c r="E771" s="33" t="n">
        <v>46038.7222222222</v>
      </c>
      <c r="F771" s="33" t="n">
        <v>46038.7840277778</v>
      </c>
      <c r="G771" s="34" t="n">
        <f aca="false">F771-E771</f>
        <v>0.0618055555555556</v>
      </c>
      <c r="H771" s="39" t="s">
        <v>252</v>
      </c>
      <c r="J771" s="39" t="s">
        <v>253</v>
      </c>
      <c r="K771" s="32" t="s">
        <v>266</v>
      </c>
      <c r="L771" s="32" t="s">
        <v>275</v>
      </c>
      <c r="M771" s="39" t="s">
        <v>255</v>
      </c>
      <c r="N771" s="39" t="s">
        <v>268</v>
      </c>
      <c r="O771" s="32" t="s">
        <v>269</v>
      </c>
      <c r="P771" s="40" t="str">
        <f aca="false">_xlfn.CONCAT(B771,C771,D771,E771,F771)</f>
        <v>BC Caiaponia1SG60KTL(COM1-011)46038.722222222246038.722222222246038.7840277778</v>
      </c>
      <c r="Q771" s="32" t="str">
        <f aca="false">_xlfn.CONCAT(H771,I771,J771)</f>
        <v>DAURDE</v>
      </c>
    </row>
    <row r="772" customFormat="false" ht="15" hidden="false" customHeight="false" outlineLevel="0" collapsed="false">
      <c r="B772" s="32" t="s">
        <v>48</v>
      </c>
      <c r="C772" s="32" t="s">
        <v>305</v>
      </c>
      <c r="D772" s="33" t="n">
        <v>46038.7222222222</v>
      </c>
      <c r="E772" s="33" t="n">
        <v>46038.7222222222</v>
      </c>
      <c r="F772" s="33" t="n">
        <v>46038.7840277778</v>
      </c>
      <c r="G772" s="34" t="n">
        <f aca="false">F772-E772</f>
        <v>0.0618055555555556</v>
      </c>
      <c r="H772" s="39" t="s">
        <v>252</v>
      </c>
      <c r="J772" s="39" t="s">
        <v>253</v>
      </c>
      <c r="K772" s="32" t="s">
        <v>266</v>
      </c>
      <c r="L772" s="32" t="s">
        <v>275</v>
      </c>
      <c r="M772" s="39" t="s">
        <v>255</v>
      </c>
      <c r="N772" s="39" t="s">
        <v>268</v>
      </c>
      <c r="O772" s="32" t="s">
        <v>269</v>
      </c>
      <c r="P772" s="40" t="str">
        <f aca="false">_xlfn.CONCAT(B772,C772,D772,E772,F772)</f>
        <v>BC Caiaponia1SG60KTL(COM1-012)46038.722222222246038.722222222246038.7840277778</v>
      </c>
      <c r="Q772" s="32" t="str">
        <f aca="false">_xlfn.CONCAT(H772,I772,J772)</f>
        <v>DAURDE</v>
      </c>
    </row>
    <row r="773" customFormat="false" ht="15" hidden="false" customHeight="false" outlineLevel="0" collapsed="false">
      <c r="B773" s="32" t="s">
        <v>48</v>
      </c>
      <c r="C773" s="32" t="s">
        <v>306</v>
      </c>
      <c r="D773" s="33" t="n">
        <v>46038.7222222222</v>
      </c>
      <c r="E773" s="33" t="n">
        <v>46038.7222222222</v>
      </c>
      <c r="F773" s="33" t="n">
        <v>46038.7840277778</v>
      </c>
      <c r="G773" s="34" t="n">
        <f aca="false">F773-E773</f>
        <v>0.0618055555555556</v>
      </c>
      <c r="H773" s="39" t="s">
        <v>252</v>
      </c>
      <c r="J773" s="39" t="s">
        <v>253</v>
      </c>
      <c r="K773" s="32" t="s">
        <v>266</v>
      </c>
      <c r="L773" s="32" t="s">
        <v>275</v>
      </c>
      <c r="M773" s="39" t="s">
        <v>255</v>
      </c>
      <c r="N773" s="39" t="s">
        <v>268</v>
      </c>
      <c r="O773" s="32" t="s">
        <v>269</v>
      </c>
      <c r="P773" s="40" t="str">
        <f aca="false">_xlfn.CONCAT(B773,C773,D773,E773,F773)</f>
        <v>BC Caiaponia1SG60KTL(COM1-013)46038.722222222246038.722222222246038.7840277778</v>
      </c>
      <c r="Q773" s="32" t="str">
        <f aca="false">_xlfn.CONCAT(H773,I773,J773)</f>
        <v>DAURDE</v>
      </c>
    </row>
    <row r="774" customFormat="false" ht="15" hidden="false" customHeight="false" outlineLevel="0" collapsed="false">
      <c r="B774" s="32" t="s">
        <v>48</v>
      </c>
      <c r="C774" s="32" t="s">
        <v>307</v>
      </c>
      <c r="D774" s="33" t="n">
        <v>46038.7222222222</v>
      </c>
      <c r="E774" s="33" t="n">
        <v>46038.7222222222</v>
      </c>
      <c r="F774" s="33" t="n">
        <v>46038.7840277778</v>
      </c>
      <c r="G774" s="34" t="n">
        <f aca="false">F774-E774</f>
        <v>0.0618055555555556</v>
      </c>
      <c r="H774" s="39" t="s">
        <v>252</v>
      </c>
      <c r="J774" s="39" t="s">
        <v>253</v>
      </c>
      <c r="K774" s="32" t="s">
        <v>266</v>
      </c>
      <c r="L774" s="32" t="s">
        <v>275</v>
      </c>
      <c r="M774" s="39" t="s">
        <v>255</v>
      </c>
      <c r="N774" s="39" t="s">
        <v>268</v>
      </c>
      <c r="O774" s="32" t="s">
        <v>269</v>
      </c>
      <c r="P774" s="40" t="str">
        <f aca="false">_xlfn.CONCAT(B774,C774,D774,E774,F774)</f>
        <v>BC Caiaponia1SG60KTL(COM1-014)46038.722222222246038.722222222246038.7840277778</v>
      </c>
      <c r="Q774" s="32" t="str">
        <f aca="false">_xlfn.CONCAT(H774,I774,J774)</f>
        <v>DAURDE</v>
      </c>
    </row>
    <row r="775" customFormat="false" ht="15" hidden="false" customHeight="false" outlineLevel="0" collapsed="false">
      <c r="B775" s="32" t="s">
        <v>48</v>
      </c>
      <c r="C775" s="32" t="s">
        <v>308</v>
      </c>
      <c r="D775" s="33" t="n">
        <v>46038.7222222222</v>
      </c>
      <c r="E775" s="33" t="n">
        <v>46038.7222222222</v>
      </c>
      <c r="F775" s="33" t="n">
        <v>46038.7840277778</v>
      </c>
      <c r="G775" s="34" t="n">
        <f aca="false">F775-E775</f>
        <v>0.0618055555555556</v>
      </c>
      <c r="H775" s="39" t="s">
        <v>252</v>
      </c>
      <c r="J775" s="39" t="s">
        <v>253</v>
      </c>
      <c r="K775" s="32" t="s">
        <v>266</v>
      </c>
      <c r="L775" s="32" t="s">
        <v>275</v>
      </c>
      <c r="M775" s="39" t="s">
        <v>255</v>
      </c>
      <c r="N775" s="39" t="s">
        <v>268</v>
      </c>
      <c r="O775" s="32" t="s">
        <v>269</v>
      </c>
      <c r="P775" s="40" t="str">
        <f aca="false">_xlfn.CONCAT(B775,C775,D775,E775,F775)</f>
        <v>BC Caiaponia1SG60KTL(COM1-015)46038.722222222246038.722222222246038.7840277778</v>
      </c>
      <c r="Q775" s="32" t="str">
        <f aca="false">_xlfn.CONCAT(H775,I775,J775)</f>
        <v>DAURDE</v>
      </c>
    </row>
    <row r="776" customFormat="false" ht="15" hidden="false" customHeight="false" outlineLevel="0" collapsed="false">
      <c r="B776" s="32" t="s">
        <v>48</v>
      </c>
      <c r="C776" s="32" t="s">
        <v>309</v>
      </c>
      <c r="D776" s="33" t="n">
        <v>46038.7222222222</v>
      </c>
      <c r="E776" s="33" t="n">
        <v>46038.7222222222</v>
      </c>
      <c r="F776" s="33" t="n">
        <v>46038.7840277778</v>
      </c>
      <c r="G776" s="34" t="n">
        <f aca="false">F776-E776</f>
        <v>0.0618055555555556</v>
      </c>
      <c r="H776" s="39" t="s">
        <v>252</v>
      </c>
      <c r="J776" s="39" t="s">
        <v>253</v>
      </c>
      <c r="K776" s="32" t="s">
        <v>266</v>
      </c>
      <c r="L776" s="32" t="s">
        <v>275</v>
      </c>
      <c r="M776" s="39" t="s">
        <v>255</v>
      </c>
      <c r="N776" s="39" t="s">
        <v>268</v>
      </c>
      <c r="O776" s="32" t="s">
        <v>269</v>
      </c>
      <c r="P776" s="40" t="str">
        <f aca="false">_xlfn.CONCAT(B776,C776,D776,E776,F776)</f>
        <v>BC Caiaponia1SG60KTL(COM3-016)_001_00946038.722222222246038.722222222246038.7840277778</v>
      </c>
      <c r="Q776" s="32" t="str">
        <f aca="false">_xlfn.CONCAT(H776,I776,J776)</f>
        <v>DAURDE</v>
      </c>
    </row>
    <row r="777" customFormat="false" ht="15" hidden="false" customHeight="false" outlineLevel="0" collapsed="false">
      <c r="B777" s="32" t="s">
        <v>48</v>
      </c>
      <c r="C777" s="32" t="s">
        <v>310</v>
      </c>
      <c r="D777" s="33" t="n">
        <v>46038.7222222222</v>
      </c>
      <c r="E777" s="33" t="n">
        <v>46038.7222222222</v>
      </c>
      <c r="F777" s="33" t="n">
        <v>46038.7840277778</v>
      </c>
      <c r="G777" s="34" t="n">
        <f aca="false">F777-E777</f>
        <v>0.0618055555555556</v>
      </c>
      <c r="H777" s="39" t="s">
        <v>252</v>
      </c>
      <c r="J777" s="39" t="s">
        <v>253</v>
      </c>
      <c r="K777" s="32" t="s">
        <v>266</v>
      </c>
      <c r="L777" s="32" t="s">
        <v>275</v>
      </c>
      <c r="M777" s="39" t="s">
        <v>255</v>
      </c>
      <c r="N777" s="39" t="s">
        <v>268</v>
      </c>
      <c r="O777" s="32" t="s">
        <v>269</v>
      </c>
      <c r="P777" s="40" t="str">
        <f aca="false">_xlfn.CONCAT(B777,C777,D777,E777,F777)</f>
        <v>BC Caiaponia1SG60KTL(COM3-017)_001_01246038.722222222246038.722222222246038.7840277778</v>
      </c>
      <c r="Q777" s="32" t="str">
        <f aca="false">_xlfn.CONCAT(H777,I777,J777)</f>
        <v>DAURDE</v>
      </c>
    </row>
    <row r="778" customFormat="false" ht="15" hidden="false" customHeight="false" outlineLevel="0" collapsed="false">
      <c r="B778" s="32" t="s">
        <v>48</v>
      </c>
      <c r="C778" s="32" t="s">
        <v>311</v>
      </c>
      <c r="D778" s="33" t="n">
        <v>46038.7222222222</v>
      </c>
      <c r="E778" s="33" t="n">
        <v>46038.7222222222</v>
      </c>
      <c r="F778" s="33" t="n">
        <v>46038.7840277778</v>
      </c>
      <c r="G778" s="34" t="n">
        <f aca="false">F778-E778</f>
        <v>0.0618055555555556</v>
      </c>
      <c r="H778" s="39" t="s">
        <v>252</v>
      </c>
      <c r="J778" s="39" t="s">
        <v>253</v>
      </c>
      <c r="K778" s="32" t="s">
        <v>266</v>
      </c>
      <c r="L778" s="32" t="s">
        <v>275</v>
      </c>
      <c r="M778" s="39" t="s">
        <v>255</v>
      </c>
      <c r="N778" s="39" t="s">
        <v>268</v>
      </c>
      <c r="O778" s="32" t="s">
        <v>269</v>
      </c>
      <c r="P778" s="40" t="str">
        <f aca="false">_xlfn.CONCAT(B778,C778,D778,E778,F778)</f>
        <v>BC Caiaponia1SG60KTL(COM3-018)_001_00846038.722222222246038.722222222246038.7840277778</v>
      </c>
      <c r="Q778" s="32" t="str">
        <f aca="false">_xlfn.CONCAT(H778,I778,J778)</f>
        <v>DAURDE</v>
      </c>
    </row>
    <row r="779" customFormat="false" ht="15" hidden="false" customHeight="false" outlineLevel="0" collapsed="false">
      <c r="B779" s="32" t="s">
        <v>48</v>
      </c>
      <c r="C779" s="32" t="s">
        <v>312</v>
      </c>
      <c r="D779" s="33" t="n">
        <v>46038.7222222222</v>
      </c>
      <c r="E779" s="33" t="n">
        <v>46038.7222222222</v>
      </c>
      <c r="F779" s="33" t="n">
        <v>46038.7840277778</v>
      </c>
      <c r="G779" s="34" t="n">
        <f aca="false">F779-E779</f>
        <v>0.0618055555555556</v>
      </c>
      <c r="H779" s="39" t="s">
        <v>252</v>
      </c>
      <c r="J779" s="39" t="s">
        <v>253</v>
      </c>
      <c r="K779" s="32" t="s">
        <v>266</v>
      </c>
      <c r="L779" s="32" t="s">
        <v>275</v>
      </c>
      <c r="M779" s="39" t="s">
        <v>255</v>
      </c>
      <c r="N779" s="39" t="s">
        <v>268</v>
      </c>
      <c r="O779" s="32" t="s">
        <v>269</v>
      </c>
      <c r="P779" s="40" t="str">
        <f aca="false">_xlfn.CONCAT(B779,C779,D779,E779,F779)</f>
        <v>BC Caiaponia1SG60KTL(COM3-019)_001_01946038.722222222246038.722222222246038.7840277778</v>
      </c>
      <c r="Q779" s="32" t="str">
        <f aca="false">_xlfn.CONCAT(H779,I779,J779)</f>
        <v>DAURDE</v>
      </c>
    </row>
    <row r="780" customFormat="false" ht="15" hidden="false" customHeight="false" outlineLevel="0" collapsed="false">
      <c r="B780" s="32" t="s">
        <v>48</v>
      </c>
      <c r="C780" s="32" t="s">
        <v>313</v>
      </c>
      <c r="D780" s="33" t="n">
        <v>46038.7222222222</v>
      </c>
      <c r="E780" s="33" t="n">
        <v>46038.7222222222</v>
      </c>
      <c r="F780" s="33" t="n">
        <v>46038.7840277778</v>
      </c>
      <c r="G780" s="34" t="n">
        <f aca="false">F780-E780</f>
        <v>0.0618055555555556</v>
      </c>
      <c r="H780" s="39" t="s">
        <v>252</v>
      </c>
      <c r="J780" s="39" t="s">
        <v>253</v>
      </c>
      <c r="K780" s="32" t="s">
        <v>266</v>
      </c>
      <c r="L780" s="32" t="s">
        <v>275</v>
      </c>
      <c r="M780" s="39" t="s">
        <v>255</v>
      </c>
      <c r="N780" s="39" t="s">
        <v>268</v>
      </c>
      <c r="O780" s="32" t="s">
        <v>269</v>
      </c>
      <c r="P780" s="40" t="str">
        <f aca="false">_xlfn.CONCAT(B780,C780,D780,E780,F780)</f>
        <v>BC Caiaponia1SG60KTL(COM3-020)_001_02046038.722222222246038.722222222246038.7840277778</v>
      </c>
      <c r="Q780" s="32" t="str">
        <f aca="false">_xlfn.CONCAT(H780,I780,J780)</f>
        <v>DAURDE</v>
      </c>
    </row>
    <row r="781" customFormat="false" ht="15" hidden="false" customHeight="false" outlineLevel="0" collapsed="false">
      <c r="B781" s="32" t="s">
        <v>48</v>
      </c>
      <c r="C781" s="32" t="s">
        <v>314</v>
      </c>
      <c r="D781" s="33" t="n">
        <v>46038.7222222222</v>
      </c>
      <c r="E781" s="33" t="n">
        <v>46038.7222222222</v>
      </c>
      <c r="F781" s="33" t="n">
        <v>46038.7840277778</v>
      </c>
      <c r="G781" s="34" t="n">
        <f aca="false">F781-E781</f>
        <v>0.0618055555555556</v>
      </c>
      <c r="H781" s="39" t="s">
        <v>252</v>
      </c>
      <c r="J781" s="39" t="s">
        <v>253</v>
      </c>
      <c r="K781" s="32" t="s">
        <v>266</v>
      </c>
      <c r="L781" s="32" t="s">
        <v>275</v>
      </c>
      <c r="M781" s="39" t="s">
        <v>255</v>
      </c>
      <c r="N781" s="39" t="s">
        <v>268</v>
      </c>
      <c r="O781" s="32" t="s">
        <v>269</v>
      </c>
      <c r="P781" s="40" t="str">
        <f aca="false">_xlfn.CONCAT(B781,C781,D781,E781,F781)</f>
        <v>BC Caiaponia1SG60KTL(COM2-026)46038.722222222246038.722222222246038.7840277778</v>
      </c>
      <c r="Q781" s="32" t="str">
        <f aca="false">_xlfn.CONCAT(H781,I781,J781)</f>
        <v>DAURDE</v>
      </c>
    </row>
    <row r="782" customFormat="false" ht="15" hidden="false" customHeight="false" outlineLevel="0" collapsed="false">
      <c r="B782" s="32" t="s">
        <v>48</v>
      </c>
      <c r="C782" s="32" t="s">
        <v>315</v>
      </c>
      <c r="D782" s="33" t="n">
        <v>46038.7222222222</v>
      </c>
      <c r="E782" s="33" t="n">
        <v>46038.7222222222</v>
      </c>
      <c r="F782" s="33" t="n">
        <v>46038.7840277778</v>
      </c>
      <c r="G782" s="34" t="n">
        <f aca="false">F782-E782</f>
        <v>0.0618055555555556</v>
      </c>
      <c r="H782" s="39" t="s">
        <v>252</v>
      </c>
      <c r="J782" s="39" t="s">
        <v>253</v>
      </c>
      <c r="K782" s="32" t="s">
        <v>266</v>
      </c>
      <c r="L782" s="32" t="s">
        <v>275</v>
      </c>
      <c r="M782" s="39" t="s">
        <v>255</v>
      </c>
      <c r="N782" s="39" t="s">
        <v>268</v>
      </c>
      <c r="O782" s="32" t="s">
        <v>269</v>
      </c>
      <c r="P782" s="40" t="str">
        <f aca="false">_xlfn.CONCAT(B782,C782,D782,E782,F782)</f>
        <v>BC Caiaponia1SG60KTL(COM2-027)46038.722222222246038.722222222246038.7840277778</v>
      </c>
      <c r="Q782" s="32" t="str">
        <f aca="false">_xlfn.CONCAT(H782,I782,J782)</f>
        <v>DAURDE</v>
      </c>
    </row>
    <row r="783" customFormat="false" ht="15" hidden="false" customHeight="false" outlineLevel="0" collapsed="false">
      <c r="B783" s="32" t="s">
        <v>48</v>
      </c>
      <c r="C783" s="32" t="s">
        <v>316</v>
      </c>
      <c r="D783" s="33" t="n">
        <v>46038.7222222222</v>
      </c>
      <c r="E783" s="33" t="n">
        <v>46038.7222222222</v>
      </c>
      <c r="F783" s="33" t="n">
        <v>46038.7840277778</v>
      </c>
      <c r="G783" s="34" t="n">
        <f aca="false">F783-E783</f>
        <v>0.0618055555555556</v>
      </c>
      <c r="H783" s="39" t="s">
        <v>252</v>
      </c>
      <c r="J783" s="39" t="s">
        <v>253</v>
      </c>
      <c r="K783" s="32" t="s">
        <v>266</v>
      </c>
      <c r="L783" s="32" t="s">
        <v>275</v>
      </c>
      <c r="M783" s="39" t="s">
        <v>255</v>
      </c>
      <c r="N783" s="39" t="s">
        <v>268</v>
      </c>
      <c r="O783" s="32" t="s">
        <v>269</v>
      </c>
      <c r="P783" s="40" t="str">
        <f aca="false">_xlfn.CONCAT(B783,C783,D783,E783,F783)</f>
        <v>BC Caiaponia1SG60KTL(COM2-028)46038.722222222246038.722222222246038.7840277778</v>
      </c>
      <c r="Q783" s="32" t="str">
        <f aca="false">_xlfn.CONCAT(H783,I783,J783)</f>
        <v>DAURDE</v>
      </c>
    </row>
    <row r="784" customFormat="false" ht="15" hidden="false" customHeight="false" outlineLevel="0" collapsed="false">
      <c r="B784" s="32" t="s">
        <v>48</v>
      </c>
      <c r="C784" s="32" t="s">
        <v>317</v>
      </c>
      <c r="D784" s="33" t="n">
        <v>46038.7222222222</v>
      </c>
      <c r="E784" s="33" t="n">
        <v>46038.7222222222</v>
      </c>
      <c r="F784" s="33" t="n">
        <v>46038.7840277778</v>
      </c>
      <c r="G784" s="34" t="n">
        <f aca="false">F784-E784</f>
        <v>0.0618055555555556</v>
      </c>
      <c r="H784" s="39" t="s">
        <v>252</v>
      </c>
      <c r="J784" s="39" t="s">
        <v>253</v>
      </c>
      <c r="K784" s="32" t="s">
        <v>266</v>
      </c>
      <c r="L784" s="32" t="s">
        <v>275</v>
      </c>
      <c r="M784" s="39" t="s">
        <v>255</v>
      </c>
      <c r="N784" s="39" t="s">
        <v>268</v>
      </c>
      <c r="O784" s="32" t="s">
        <v>269</v>
      </c>
      <c r="P784" s="40" t="str">
        <f aca="false">_xlfn.CONCAT(B784,C784,D784,E784,F784)</f>
        <v>BC Caiaponia1SG60KTL(COM2-029)46038.722222222246038.722222222246038.7840277778</v>
      </c>
      <c r="Q784" s="32" t="str">
        <f aca="false">_xlfn.CONCAT(H784,I784,J784)</f>
        <v>DAURDE</v>
      </c>
    </row>
    <row r="785" customFormat="false" ht="15" hidden="false" customHeight="false" outlineLevel="0" collapsed="false">
      <c r="B785" s="32" t="s">
        <v>48</v>
      </c>
      <c r="C785" s="32" t="s">
        <v>318</v>
      </c>
      <c r="D785" s="33" t="n">
        <v>46038.7222222222</v>
      </c>
      <c r="E785" s="33" t="n">
        <v>46038.7222222222</v>
      </c>
      <c r="F785" s="33" t="n">
        <v>46038.7840277778</v>
      </c>
      <c r="G785" s="34" t="n">
        <f aca="false">F785-E785</f>
        <v>0.0618055555555556</v>
      </c>
      <c r="H785" s="39" t="s">
        <v>252</v>
      </c>
      <c r="J785" s="39" t="s">
        <v>253</v>
      </c>
      <c r="K785" s="32" t="s">
        <v>266</v>
      </c>
      <c r="L785" s="32" t="s">
        <v>275</v>
      </c>
      <c r="M785" s="39" t="s">
        <v>255</v>
      </c>
      <c r="N785" s="39" t="s">
        <v>268</v>
      </c>
      <c r="O785" s="32" t="s">
        <v>269</v>
      </c>
      <c r="P785" s="40" t="str">
        <f aca="false">_xlfn.CONCAT(B785,C785,D785,E785,F785)</f>
        <v>BC Caiaponia1SG50CX(COM1-021)46038.722222222246038.722222222246038.7840277778</v>
      </c>
      <c r="Q785" s="32" t="str">
        <f aca="false">_xlfn.CONCAT(H785,I785,J785)</f>
        <v>DAURDE</v>
      </c>
    </row>
    <row r="786" customFormat="false" ht="15" hidden="false" customHeight="false" outlineLevel="0" collapsed="false">
      <c r="B786" s="32" t="s">
        <v>48</v>
      </c>
      <c r="C786" s="32" t="s">
        <v>319</v>
      </c>
      <c r="D786" s="33" t="n">
        <v>46038.7222222222</v>
      </c>
      <c r="E786" s="33" t="n">
        <v>46038.7222222222</v>
      </c>
      <c r="F786" s="33" t="n">
        <v>46038.7840277778</v>
      </c>
      <c r="G786" s="34" t="n">
        <f aca="false">F786-E786</f>
        <v>0.0618055555555556</v>
      </c>
      <c r="H786" s="39" t="s">
        <v>252</v>
      </c>
      <c r="J786" s="39" t="s">
        <v>253</v>
      </c>
      <c r="K786" s="32" t="s">
        <v>266</v>
      </c>
      <c r="L786" s="32" t="s">
        <v>275</v>
      </c>
      <c r="M786" s="39" t="s">
        <v>255</v>
      </c>
      <c r="N786" s="39" t="s">
        <v>268</v>
      </c>
      <c r="O786" s="32" t="s">
        <v>269</v>
      </c>
      <c r="P786" s="40" t="str">
        <f aca="false">_xlfn.CONCAT(B786,C786,D786,E786,F786)</f>
        <v>BC Caiaponia1SG50CX(COM1-022)46038.722222222246038.722222222246038.7840277778</v>
      </c>
      <c r="Q786" s="32" t="str">
        <f aca="false">_xlfn.CONCAT(H786,I786,J786)</f>
        <v>DAURDE</v>
      </c>
    </row>
    <row r="787" customFormat="false" ht="15" hidden="false" customHeight="false" outlineLevel="0" collapsed="false">
      <c r="B787" s="32" t="s">
        <v>48</v>
      </c>
      <c r="C787" s="32" t="s">
        <v>320</v>
      </c>
      <c r="D787" s="33" t="n">
        <v>46038.7222222222</v>
      </c>
      <c r="E787" s="33" t="n">
        <v>46038.7222222222</v>
      </c>
      <c r="F787" s="33" t="n">
        <v>46038.7840277778</v>
      </c>
      <c r="G787" s="34" t="n">
        <f aca="false">F787-E787</f>
        <v>0.0618055555555556</v>
      </c>
      <c r="H787" s="39" t="s">
        <v>252</v>
      </c>
      <c r="J787" s="39" t="s">
        <v>253</v>
      </c>
      <c r="K787" s="32" t="s">
        <v>266</v>
      </c>
      <c r="L787" s="32" t="s">
        <v>275</v>
      </c>
      <c r="M787" s="39" t="s">
        <v>255</v>
      </c>
      <c r="N787" s="39" t="s">
        <v>268</v>
      </c>
      <c r="O787" s="32" t="s">
        <v>269</v>
      </c>
      <c r="P787" s="40" t="str">
        <f aca="false">_xlfn.CONCAT(B787,C787,D787,E787,F787)</f>
        <v>BC Caiaponia1SG50CX(COM1-023)46038.722222222246038.722222222246038.7840277778</v>
      </c>
      <c r="Q787" s="32" t="str">
        <f aca="false">_xlfn.CONCAT(H787,I787,J787)</f>
        <v>DAURDE</v>
      </c>
    </row>
    <row r="788" customFormat="false" ht="15" hidden="false" customHeight="false" outlineLevel="0" collapsed="false">
      <c r="B788" s="32" t="s">
        <v>48</v>
      </c>
      <c r="C788" s="32" t="s">
        <v>321</v>
      </c>
      <c r="D788" s="33" t="n">
        <v>46038.7222222222</v>
      </c>
      <c r="E788" s="33" t="n">
        <v>46038.7222222222</v>
      </c>
      <c r="F788" s="33" t="n">
        <v>46038.7840277778</v>
      </c>
      <c r="G788" s="34" t="n">
        <f aca="false">F788-E788</f>
        <v>0.0618055555555556</v>
      </c>
      <c r="H788" s="39" t="s">
        <v>252</v>
      </c>
      <c r="J788" s="39" t="s">
        <v>253</v>
      </c>
      <c r="K788" s="32" t="s">
        <v>266</v>
      </c>
      <c r="L788" s="32" t="s">
        <v>275</v>
      </c>
      <c r="M788" s="39" t="s">
        <v>255</v>
      </c>
      <c r="N788" s="39" t="s">
        <v>268</v>
      </c>
      <c r="O788" s="32" t="s">
        <v>269</v>
      </c>
      <c r="P788" s="40" t="str">
        <f aca="false">_xlfn.CONCAT(B788,C788,D788,E788,F788)</f>
        <v>BC Caiaponia1SG50CX(COM1-024)46038.722222222246038.722222222246038.7840277778</v>
      </c>
      <c r="Q788" s="32" t="str">
        <f aca="false">_xlfn.CONCAT(H788,I788,J788)</f>
        <v>DAURDE</v>
      </c>
    </row>
    <row r="789" customFormat="false" ht="15" hidden="false" customHeight="false" outlineLevel="0" collapsed="false">
      <c r="B789" s="32" t="s">
        <v>48</v>
      </c>
      <c r="C789" s="32" t="s">
        <v>322</v>
      </c>
      <c r="D789" s="33" t="n">
        <v>46038.7222222222</v>
      </c>
      <c r="E789" s="33" t="n">
        <v>46038.7222222222</v>
      </c>
      <c r="F789" s="33" t="n">
        <v>46038.7840277778</v>
      </c>
      <c r="G789" s="34" t="n">
        <f aca="false">F789-E789</f>
        <v>0.0618055555555556</v>
      </c>
      <c r="H789" s="39" t="s">
        <v>252</v>
      </c>
      <c r="J789" s="39" t="s">
        <v>253</v>
      </c>
      <c r="K789" s="32" t="s">
        <v>266</v>
      </c>
      <c r="L789" s="32" t="s">
        <v>275</v>
      </c>
      <c r="M789" s="39" t="s">
        <v>255</v>
      </c>
      <c r="N789" s="39" t="s">
        <v>268</v>
      </c>
      <c r="O789" s="32" t="s">
        <v>269</v>
      </c>
      <c r="P789" s="40" t="str">
        <f aca="false">_xlfn.CONCAT(B789,C789,D789,E789,F789)</f>
        <v>BC Caiaponia1SG50CX(COM1-025)46038.722222222246038.722222222246038.7840277778</v>
      </c>
      <c r="Q789" s="32" t="str">
        <f aca="false">_xlfn.CONCAT(H789,I789,J789)</f>
        <v>DAURDE</v>
      </c>
    </row>
    <row r="790" customFormat="false" ht="15" hidden="false" customHeight="false" outlineLevel="0" collapsed="false">
      <c r="B790" s="32" t="s">
        <v>250</v>
      </c>
      <c r="C790" s="32" t="s">
        <v>251</v>
      </c>
      <c r="D790" s="33" t="n">
        <v>46038.7222222222</v>
      </c>
      <c r="E790" s="33" t="n">
        <v>46038.7222222222</v>
      </c>
      <c r="F790" s="33" t="n">
        <v>46038.7840277778</v>
      </c>
      <c r="G790" s="34" t="n">
        <f aca="false">F790-E790</f>
        <v>0.0618055555555556</v>
      </c>
      <c r="H790" s="39" t="s">
        <v>252</v>
      </c>
      <c r="J790" s="39" t="s">
        <v>253</v>
      </c>
      <c r="K790" s="32" t="s">
        <v>266</v>
      </c>
      <c r="L790" s="32" t="s">
        <v>275</v>
      </c>
      <c r="M790" s="39" t="s">
        <v>255</v>
      </c>
      <c r="N790" s="39" t="s">
        <v>268</v>
      </c>
      <c r="O790" s="32" t="s">
        <v>269</v>
      </c>
      <c r="P790" s="40" t="str">
        <f aca="false">_xlfn.CONCAT(B790,C790,D790,E790,F790)</f>
        <v>BC Caiaponia2.1215KTL-H3(MBUS-12)46038.722222222246038.722222222246038.7840277778</v>
      </c>
      <c r="Q790" s="32" t="str">
        <f aca="false">_xlfn.CONCAT(H790,I790,J790)</f>
        <v>DAURDE</v>
      </c>
    </row>
    <row r="791" customFormat="false" ht="15" hidden="false" customHeight="false" outlineLevel="0" collapsed="false">
      <c r="B791" s="32" t="s">
        <v>250</v>
      </c>
      <c r="C791" s="32" t="s">
        <v>258</v>
      </c>
      <c r="D791" s="33" t="n">
        <v>46038.7222222222</v>
      </c>
      <c r="E791" s="33" t="n">
        <v>46038.7222222222</v>
      </c>
      <c r="F791" s="33" t="n">
        <v>46038.7840277778</v>
      </c>
      <c r="G791" s="34" t="n">
        <f aca="false">F791-E791</f>
        <v>0.0618055555555556</v>
      </c>
      <c r="H791" s="39" t="s">
        <v>252</v>
      </c>
      <c r="J791" s="39" t="s">
        <v>253</v>
      </c>
      <c r="K791" s="32" t="s">
        <v>266</v>
      </c>
      <c r="L791" s="32" t="s">
        <v>275</v>
      </c>
      <c r="M791" s="39" t="s">
        <v>255</v>
      </c>
      <c r="N791" s="39" t="s">
        <v>268</v>
      </c>
      <c r="O791" s="32" t="s">
        <v>269</v>
      </c>
      <c r="P791" s="40" t="str">
        <f aca="false">_xlfn.CONCAT(B791,C791,D791,E791,F791)</f>
        <v>BC Caiaponia2.1215KTL-H3(MBUS-13)46038.722222222246038.722222222246038.7840277778</v>
      </c>
      <c r="Q791" s="32" t="str">
        <f aca="false">_xlfn.CONCAT(H791,I791,J791)</f>
        <v>DAURDE</v>
      </c>
    </row>
    <row r="792" customFormat="false" ht="15" hidden="false" customHeight="false" outlineLevel="0" collapsed="false">
      <c r="B792" s="32" t="s">
        <v>250</v>
      </c>
      <c r="C792" s="32" t="s">
        <v>259</v>
      </c>
      <c r="D792" s="33" t="n">
        <v>46038.7222222222</v>
      </c>
      <c r="E792" s="33" t="n">
        <v>46038.7222222222</v>
      </c>
      <c r="F792" s="33" t="n">
        <v>46038.7840277778</v>
      </c>
      <c r="G792" s="34" t="n">
        <f aca="false">F792-E792</f>
        <v>0.0618055555555556</v>
      </c>
      <c r="H792" s="39" t="s">
        <v>252</v>
      </c>
      <c r="J792" s="39" t="s">
        <v>253</v>
      </c>
      <c r="K792" s="32" t="s">
        <v>266</v>
      </c>
      <c r="L792" s="32" t="s">
        <v>275</v>
      </c>
      <c r="M792" s="39" t="s">
        <v>255</v>
      </c>
      <c r="N792" s="39" t="s">
        <v>268</v>
      </c>
      <c r="O792" s="32" t="s">
        <v>269</v>
      </c>
      <c r="P792" s="40" t="str">
        <f aca="false">_xlfn.CONCAT(B792,C792,D792,E792,F792)</f>
        <v>BC Caiaponia2.1215KTL-H3(MBUS-14)46038.722222222246038.722222222246038.7840277778</v>
      </c>
      <c r="Q792" s="32" t="str">
        <f aca="false">_xlfn.CONCAT(H792,I792,J792)</f>
        <v>DAURDE</v>
      </c>
    </row>
    <row r="793" customFormat="false" ht="15" hidden="false" customHeight="false" outlineLevel="0" collapsed="false">
      <c r="B793" s="32" t="s">
        <v>250</v>
      </c>
      <c r="C793" s="32" t="s">
        <v>260</v>
      </c>
      <c r="D793" s="33" t="n">
        <v>46038.7222222222</v>
      </c>
      <c r="E793" s="33" t="n">
        <v>46038.7222222222</v>
      </c>
      <c r="F793" s="33" t="n">
        <v>46038.7840277778</v>
      </c>
      <c r="G793" s="34" t="n">
        <f aca="false">F793-E793</f>
        <v>0.0618055555555556</v>
      </c>
      <c r="H793" s="39" t="s">
        <v>252</v>
      </c>
      <c r="J793" s="39" t="s">
        <v>253</v>
      </c>
      <c r="K793" s="32" t="s">
        <v>266</v>
      </c>
      <c r="L793" s="32" t="s">
        <v>275</v>
      </c>
      <c r="M793" s="39" t="s">
        <v>255</v>
      </c>
      <c r="N793" s="39" t="s">
        <v>268</v>
      </c>
      <c r="O793" s="32" t="s">
        <v>269</v>
      </c>
      <c r="P793" s="40" t="str">
        <f aca="false">_xlfn.CONCAT(B793,C793,D793,E793,F793)</f>
        <v>BC Caiaponia2.1215KTL-H3(MBUS-15)46038.722222222246038.722222222246038.7840277778</v>
      </c>
      <c r="Q793" s="32" t="str">
        <f aca="false">_xlfn.CONCAT(H793,I793,J793)</f>
        <v>DAURDE</v>
      </c>
    </row>
    <row r="794" customFormat="false" ht="15" hidden="false" customHeight="false" outlineLevel="0" collapsed="false">
      <c r="B794" s="32" t="s">
        <v>250</v>
      </c>
      <c r="C794" s="32" t="s">
        <v>261</v>
      </c>
      <c r="D794" s="33" t="n">
        <v>46038.7222222222</v>
      </c>
      <c r="E794" s="33" t="n">
        <v>46038.7222222222</v>
      </c>
      <c r="F794" s="33" t="n">
        <v>46038.7840277778</v>
      </c>
      <c r="G794" s="34" t="n">
        <f aca="false">F794-E794</f>
        <v>0.0618055555555556</v>
      </c>
      <c r="H794" s="39" t="s">
        <v>252</v>
      </c>
      <c r="J794" s="39" t="s">
        <v>253</v>
      </c>
      <c r="K794" s="32" t="s">
        <v>266</v>
      </c>
      <c r="L794" s="32" t="s">
        <v>275</v>
      </c>
      <c r="M794" s="39" t="s">
        <v>255</v>
      </c>
      <c r="N794" s="39" t="s">
        <v>268</v>
      </c>
      <c r="O794" s="32" t="s">
        <v>269</v>
      </c>
      <c r="P794" s="40" t="str">
        <f aca="false">_xlfn.CONCAT(B794,C794,D794,E794,F794)</f>
        <v>BC Caiaponia2.1215KTL-H3(MBUS-16)46038.722222222246038.722222222246038.7840277778</v>
      </c>
      <c r="Q794" s="32" t="str">
        <f aca="false">_xlfn.CONCAT(H794,I794,J794)</f>
        <v>DAURDE</v>
      </c>
    </row>
    <row r="795" customFormat="false" ht="15" hidden="false" customHeight="false" outlineLevel="0" collapsed="false">
      <c r="B795" s="32" t="s">
        <v>262</v>
      </c>
      <c r="C795" s="32" t="s">
        <v>251</v>
      </c>
      <c r="D795" s="33" t="n">
        <v>46038.7222222222</v>
      </c>
      <c r="E795" s="33" t="n">
        <v>46038.7222222222</v>
      </c>
      <c r="F795" s="33" t="n">
        <v>46038.7840277778</v>
      </c>
      <c r="G795" s="34" t="n">
        <f aca="false">F795-E795</f>
        <v>0.0618055555555556</v>
      </c>
      <c r="H795" s="39" t="s">
        <v>252</v>
      </c>
      <c r="J795" s="39" t="s">
        <v>253</v>
      </c>
      <c r="K795" s="32" t="s">
        <v>266</v>
      </c>
      <c r="L795" s="32" t="s">
        <v>275</v>
      </c>
      <c r="M795" s="39" t="s">
        <v>255</v>
      </c>
      <c r="N795" s="39" t="s">
        <v>268</v>
      </c>
      <c r="O795" s="32" t="s">
        <v>269</v>
      </c>
      <c r="P795" s="40" t="str">
        <f aca="false">_xlfn.CONCAT(B795,C795,D795,E795,F795)</f>
        <v>BC Caiaponia2.2215KTL-H3(MBUS-12)46038.722222222246038.722222222246038.7840277778</v>
      </c>
      <c r="Q795" s="32" t="str">
        <f aca="false">_xlfn.CONCAT(H795,I795,J795)</f>
        <v>DAURDE</v>
      </c>
    </row>
    <row r="796" customFormat="false" ht="15" hidden="false" customHeight="false" outlineLevel="0" collapsed="false">
      <c r="B796" s="32" t="s">
        <v>262</v>
      </c>
      <c r="C796" s="32" t="s">
        <v>258</v>
      </c>
      <c r="D796" s="33" t="n">
        <v>46038.7222222222</v>
      </c>
      <c r="E796" s="33" t="n">
        <v>46038.7222222222</v>
      </c>
      <c r="F796" s="33" t="n">
        <v>46038.7840277778</v>
      </c>
      <c r="G796" s="34" t="n">
        <f aca="false">F796-E796</f>
        <v>0.0618055555555556</v>
      </c>
      <c r="H796" s="39" t="s">
        <v>252</v>
      </c>
      <c r="J796" s="39" t="s">
        <v>253</v>
      </c>
      <c r="K796" s="32" t="s">
        <v>266</v>
      </c>
      <c r="L796" s="32" t="s">
        <v>275</v>
      </c>
      <c r="M796" s="39" t="s">
        <v>255</v>
      </c>
      <c r="N796" s="39" t="s">
        <v>268</v>
      </c>
      <c r="O796" s="32" t="s">
        <v>269</v>
      </c>
      <c r="P796" s="40" t="str">
        <f aca="false">_xlfn.CONCAT(B796,C796,D796,E796,F796)</f>
        <v>BC Caiaponia2.2215KTL-H3(MBUS-13)46038.722222222246038.722222222246038.7840277778</v>
      </c>
      <c r="Q796" s="32" t="str">
        <f aca="false">_xlfn.CONCAT(H796,I796,J796)</f>
        <v>DAURDE</v>
      </c>
    </row>
    <row r="797" customFormat="false" ht="15" hidden="false" customHeight="false" outlineLevel="0" collapsed="false">
      <c r="B797" s="32" t="s">
        <v>262</v>
      </c>
      <c r="C797" s="32" t="s">
        <v>259</v>
      </c>
      <c r="D797" s="33" t="n">
        <v>46038.7222222222</v>
      </c>
      <c r="E797" s="33" t="n">
        <v>46038.7222222222</v>
      </c>
      <c r="F797" s="33" t="n">
        <v>46038.7840277778</v>
      </c>
      <c r="G797" s="34" t="n">
        <f aca="false">F797-E797</f>
        <v>0.0618055555555556</v>
      </c>
      <c r="H797" s="39" t="s">
        <v>252</v>
      </c>
      <c r="J797" s="39" t="s">
        <v>253</v>
      </c>
      <c r="K797" s="32" t="s">
        <v>266</v>
      </c>
      <c r="L797" s="32" t="s">
        <v>275</v>
      </c>
      <c r="M797" s="39" t="s">
        <v>255</v>
      </c>
      <c r="N797" s="39" t="s">
        <v>268</v>
      </c>
      <c r="O797" s="32" t="s">
        <v>269</v>
      </c>
      <c r="P797" s="40" t="str">
        <f aca="false">_xlfn.CONCAT(B797,C797,D797,E797,F797)</f>
        <v>BC Caiaponia2.2215KTL-H3(MBUS-14)46038.722222222246038.722222222246038.7840277778</v>
      </c>
      <c r="Q797" s="32" t="str">
        <f aca="false">_xlfn.CONCAT(H797,I797,J797)</f>
        <v>DAURDE</v>
      </c>
    </row>
    <row r="798" customFormat="false" ht="15" hidden="false" customHeight="false" outlineLevel="0" collapsed="false">
      <c r="B798" s="32" t="s">
        <v>262</v>
      </c>
      <c r="C798" s="32" t="s">
        <v>260</v>
      </c>
      <c r="D798" s="33" t="n">
        <v>46038.7222222222</v>
      </c>
      <c r="E798" s="33" t="n">
        <v>46038.7222222222</v>
      </c>
      <c r="F798" s="33" t="n">
        <v>46038.7840277778</v>
      </c>
      <c r="G798" s="34" t="n">
        <f aca="false">F798-E798</f>
        <v>0.0618055555555556</v>
      </c>
      <c r="H798" s="39" t="s">
        <v>252</v>
      </c>
      <c r="J798" s="39" t="s">
        <v>253</v>
      </c>
      <c r="K798" s="32" t="s">
        <v>266</v>
      </c>
      <c r="L798" s="32" t="s">
        <v>275</v>
      </c>
      <c r="M798" s="39" t="s">
        <v>255</v>
      </c>
      <c r="N798" s="39" t="s">
        <v>268</v>
      </c>
      <c r="O798" s="32" t="s">
        <v>269</v>
      </c>
      <c r="P798" s="40" t="str">
        <f aca="false">_xlfn.CONCAT(B798,C798,D798,E798,F798)</f>
        <v>BC Caiaponia2.2215KTL-H3(MBUS-15)46038.722222222246038.722222222246038.7840277778</v>
      </c>
      <c r="Q798" s="32" t="str">
        <f aca="false">_xlfn.CONCAT(H798,I798,J798)</f>
        <v>DAURDE</v>
      </c>
    </row>
    <row r="799" customFormat="false" ht="15" hidden="false" customHeight="false" outlineLevel="0" collapsed="false">
      <c r="B799" s="32" t="s">
        <v>262</v>
      </c>
      <c r="C799" s="32" t="s">
        <v>261</v>
      </c>
      <c r="D799" s="33" t="n">
        <v>46038.7222222222</v>
      </c>
      <c r="E799" s="33" t="n">
        <v>46038.7222222222</v>
      </c>
      <c r="F799" s="33" t="n">
        <v>46038.7840277778</v>
      </c>
      <c r="G799" s="34" t="n">
        <f aca="false">F799-E799</f>
        <v>0.0618055555555556</v>
      </c>
      <c r="H799" s="39" t="s">
        <v>252</v>
      </c>
      <c r="J799" s="39" t="s">
        <v>253</v>
      </c>
      <c r="K799" s="32" t="s">
        <v>266</v>
      </c>
      <c r="L799" s="32" t="s">
        <v>275</v>
      </c>
      <c r="M799" s="39" t="s">
        <v>255</v>
      </c>
      <c r="N799" s="39" t="s">
        <v>268</v>
      </c>
      <c r="O799" s="32" t="s">
        <v>269</v>
      </c>
      <c r="P799" s="40" t="str">
        <f aca="false">_xlfn.CONCAT(B799,C799,D799,E799,F799)</f>
        <v>BC Caiaponia2.2215KTL-H3(MBUS-16)46038.722222222246038.722222222246038.7840277778</v>
      </c>
      <c r="Q799" s="32" t="str">
        <f aca="false">_xlfn.CONCAT(H799,I799,J799)</f>
        <v>DAURDE</v>
      </c>
    </row>
    <row r="800" customFormat="false" ht="15" hidden="false" customHeight="false" outlineLevel="0" collapsed="false">
      <c r="B800" s="32" t="s">
        <v>263</v>
      </c>
      <c r="C800" s="32" t="s">
        <v>251</v>
      </c>
      <c r="D800" s="33" t="n">
        <v>46038.7222222222</v>
      </c>
      <c r="E800" s="33" t="n">
        <v>46038.7222222222</v>
      </c>
      <c r="F800" s="33" t="n">
        <v>46038.7840277778</v>
      </c>
      <c r="G800" s="34" t="n">
        <f aca="false">F800-E800</f>
        <v>0.0618055555555556</v>
      </c>
      <c r="H800" s="39" t="s">
        <v>252</v>
      </c>
      <c r="J800" s="39" t="s">
        <v>253</v>
      </c>
      <c r="K800" s="32" t="s">
        <v>266</v>
      </c>
      <c r="L800" s="32" t="s">
        <v>275</v>
      </c>
      <c r="M800" s="39" t="s">
        <v>255</v>
      </c>
      <c r="N800" s="39" t="s">
        <v>268</v>
      </c>
      <c r="O800" s="32" t="s">
        <v>269</v>
      </c>
      <c r="P800" s="40" t="str">
        <f aca="false">_xlfn.CONCAT(B800,C800,D800,E800,F800)</f>
        <v>BC Caiaponia2.3215KTL-H3(MBUS-12)46038.722222222246038.722222222246038.7840277778</v>
      </c>
      <c r="Q800" s="32" t="str">
        <f aca="false">_xlfn.CONCAT(H800,I800,J800)</f>
        <v>DAURDE</v>
      </c>
    </row>
    <row r="801" customFormat="false" ht="15" hidden="false" customHeight="false" outlineLevel="0" collapsed="false">
      <c r="B801" s="32" t="s">
        <v>263</v>
      </c>
      <c r="C801" s="32" t="s">
        <v>258</v>
      </c>
      <c r="D801" s="33" t="n">
        <v>46038.7222222222</v>
      </c>
      <c r="E801" s="33" t="n">
        <v>46038.7222222222</v>
      </c>
      <c r="F801" s="33" t="n">
        <v>46038.7840277778</v>
      </c>
      <c r="G801" s="34" t="n">
        <f aca="false">F801-E801</f>
        <v>0.0618055555555556</v>
      </c>
      <c r="H801" s="39" t="s">
        <v>252</v>
      </c>
      <c r="J801" s="39" t="s">
        <v>253</v>
      </c>
      <c r="K801" s="32" t="s">
        <v>266</v>
      </c>
      <c r="L801" s="32" t="s">
        <v>275</v>
      </c>
      <c r="M801" s="39" t="s">
        <v>255</v>
      </c>
      <c r="N801" s="39" t="s">
        <v>268</v>
      </c>
      <c r="O801" s="32" t="s">
        <v>269</v>
      </c>
      <c r="P801" s="40" t="str">
        <f aca="false">_xlfn.CONCAT(B801,C801,D801,E801,F801)</f>
        <v>BC Caiaponia2.3215KTL-H3(MBUS-13)46038.722222222246038.722222222246038.7840277778</v>
      </c>
      <c r="Q801" s="32" t="str">
        <f aca="false">_xlfn.CONCAT(H801,I801,J801)</f>
        <v>DAURDE</v>
      </c>
    </row>
    <row r="802" customFormat="false" ht="15" hidden="false" customHeight="false" outlineLevel="0" collapsed="false">
      <c r="B802" s="32" t="s">
        <v>263</v>
      </c>
      <c r="C802" s="32" t="s">
        <v>259</v>
      </c>
      <c r="D802" s="33" t="n">
        <v>46038.7222222222</v>
      </c>
      <c r="E802" s="33" t="n">
        <v>46038.7222222222</v>
      </c>
      <c r="F802" s="33" t="n">
        <v>46038.7840277778</v>
      </c>
      <c r="G802" s="34" t="n">
        <f aca="false">F802-E802</f>
        <v>0.0618055555555556</v>
      </c>
      <c r="H802" s="39" t="s">
        <v>252</v>
      </c>
      <c r="J802" s="39" t="s">
        <v>253</v>
      </c>
      <c r="K802" s="32" t="s">
        <v>266</v>
      </c>
      <c r="L802" s="32" t="s">
        <v>275</v>
      </c>
      <c r="M802" s="39" t="s">
        <v>255</v>
      </c>
      <c r="N802" s="39" t="s">
        <v>268</v>
      </c>
      <c r="O802" s="32" t="s">
        <v>269</v>
      </c>
      <c r="P802" s="40" t="str">
        <f aca="false">_xlfn.CONCAT(B802,C802,D802,E802,F802)</f>
        <v>BC Caiaponia2.3215KTL-H3(MBUS-14)46038.722222222246038.722222222246038.7840277778</v>
      </c>
      <c r="Q802" s="32" t="str">
        <f aca="false">_xlfn.CONCAT(H802,I802,J802)</f>
        <v>DAURDE</v>
      </c>
    </row>
    <row r="803" customFormat="false" ht="15" hidden="false" customHeight="false" outlineLevel="0" collapsed="false">
      <c r="B803" s="32" t="s">
        <v>263</v>
      </c>
      <c r="C803" s="32" t="s">
        <v>260</v>
      </c>
      <c r="D803" s="33" t="n">
        <v>46038.7222222222</v>
      </c>
      <c r="E803" s="33" t="n">
        <v>46038.7222222222</v>
      </c>
      <c r="F803" s="33" t="n">
        <v>46038.7840277778</v>
      </c>
      <c r="G803" s="34" t="n">
        <f aca="false">F803-E803</f>
        <v>0.0618055555555556</v>
      </c>
      <c r="H803" s="39" t="s">
        <v>252</v>
      </c>
      <c r="J803" s="39" t="s">
        <v>253</v>
      </c>
      <c r="K803" s="32" t="s">
        <v>266</v>
      </c>
      <c r="L803" s="32" t="s">
        <v>275</v>
      </c>
      <c r="M803" s="39" t="s">
        <v>255</v>
      </c>
      <c r="N803" s="39" t="s">
        <v>268</v>
      </c>
      <c r="O803" s="32" t="s">
        <v>269</v>
      </c>
      <c r="P803" s="40" t="str">
        <f aca="false">_xlfn.CONCAT(B803,C803,D803,E803,F803)</f>
        <v>BC Caiaponia2.3215KTL-H3(MBUS-15)46038.722222222246038.722222222246038.7840277778</v>
      </c>
      <c r="Q803" s="32" t="str">
        <f aca="false">_xlfn.CONCAT(H803,I803,J803)</f>
        <v>DAURDE</v>
      </c>
    </row>
    <row r="804" customFormat="false" ht="15" hidden="false" customHeight="false" outlineLevel="0" collapsed="false">
      <c r="B804" s="32" t="s">
        <v>263</v>
      </c>
      <c r="C804" s="32" t="s">
        <v>261</v>
      </c>
      <c r="D804" s="33" t="n">
        <v>46038.7222222222</v>
      </c>
      <c r="E804" s="33" t="n">
        <v>46038.7222222222</v>
      </c>
      <c r="F804" s="33" t="n">
        <v>46038.7840277778</v>
      </c>
      <c r="G804" s="34" t="n">
        <f aca="false">F804-E804</f>
        <v>0.0618055555555556</v>
      </c>
      <c r="H804" s="39" t="s">
        <v>252</v>
      </c>
      <c r="J804" s="39" t="s">
        <v>253</v>
      </c>
      <c r="K804" s="32" t="s">
        <v>266</v>
      </c>
      <c r="L804" s="32" t="s">
        <v>275</v>
      </c>
      <c r="M804" s="39" t="s">
        <v>255</v>
      </c>
      <c r="N804" s="39" t="s">
        <v>268</v>
      </c>
      <c r="O804" s="32" t="s">
        <v>269</v>
      </c>
      <c r="P804" s="40" t="str">
        <f aca="false">_xlfn.CONCAT(B804,C804,D804,E804,F804)</f>
        <v>BC Caiaponia2.3215KTL-H3(MBUS-16)46038.722222222246038.722222222246038.7840277778</v>
      </c>
      <c r="Q804" s="32" t="str">
        <f aca="false">_xlfn.CONCAT(H804,I804,J804)</f>
        <v>DAURDE</v>
      </c>
    </row>
    <row r="805" customFormat="false" ht="15" hidden="false" customHeight="false" outlineLevel="0" collapsed="false">
      <c r="B805" s="32" t="s">
        <v>48</v>
      </c>
      <c r="C805" s="32" t="s">
        <v>294</v>
      </c>
      <c r="D805" s="33" t="n">
        <v>46039.4201388889</v>
      </c>
      <c r="E805" s="33" t="n">
        <v>46039.4201388889</v>
      </c>
      <c r="F805" s="33" t="n">
        <v>46039.4756944444</v>
      </c>
      <c r="G805" s="34" t="n">
        <f aca="false">F805-E805</f>
        <v>0.0555555555555556</v>
      </c>
      <c r="H805" s="39" t="s">
        <v>252</v>
      </c>
      <c r="J805" s="39" t="s">
        <v>253</v>
      </c>
      <c r="K805" s="32" t="s">
        <v>266</v>
      </c>
      <c r="L805" s="32" t="s">
        <v>275</v>
      </c>
      <c r="M805" s="39" t="s">
        <v>255</v>
      </c>
      <c r="N805" s="39" t="s">
        <v>268</v>
      </c>
      <c r="O805" s="32" t="s">
        <v>269</v>
      </c>
      <c r="P805" s="40" t="str">
        <f aca="false">_xlfn.CONCAT(B805,C805,D805,E805,F805)</f>
        <v>BC Caiaponia1SG60KTL(COM1-001)_001_00746039.420138888946039.420138888946039.4756944444</v>
      </c>
      <c r="Q805" s="32" t="str">
        <f aca="false">_xlfn.CONCAT(H805,I805,J805)</f>
        <v>DAURDE</v>
      </c>
    </row>
    <row r="806" customFormat="false" ht="15" hidden="false" customHeight="false" outlineLevel="0" collapsed="false">
      <c r="B806" s="32" t="s">
        <v>48</v>
      </c>
      <c r="C806" s="32" t="s">
        <v>295</v>
      </c>
      <c r="D806" s="33" t="n">
        <v>46039.4201388889</v>
      </c>
      <c r="E806" s="33" t="n">
        <v>46039.4201388889</v>
      </c>
      <c r="F806" s="33" t="n">
        <v>46039.4756944444</v>
      </c>
      <c r="G806" s="34" t="n">
        <f aca="false">F806-E806</f>
        <v>0.0555555555555556</v>
      </c>
      <c r="H806" s="39" t="s">
        <v>252</v>
      </c>
      <c r="J806" s="39" t="s">
        <v>253</v>
      </c>
      <c r="K806" s="32" t="s">
        <v>266</v>
      </c>
      <c r="L806" s="32" t="s">
        <v>275</v>
      </c>
      <c r="M806" s="39" t="s">
        <v>255</v>
      </c>
      <c r="N806" s="39" t="s">
        <v>268</v>
      </c>
      <c r="O806" s="32" t="s">
        <v>269</v>
      </c>
      <c r="P806" s="40" t="str">
        <f aca="false">_xlfn.CONCAT(B806,C806,D806,E806,F806)</f>
        <v>BC Caiaponia1SG60KTL(COM1-002)_001_01046039.420138888946039.420138888946039.4756944444</v>
      </c>
      <c r="Q806" s="32" t="str">
        <f aca="false">_xlfn.CONCAT(H806,I806,J806)</f>
        <v>DAURDE</v>
      </c>
    </row>
    <row r="807" customFormat="false" ht="15" hidden="false" customHeight="false" outlineLevel="0" collapsed="false">
      <c r="B807" s="32" t="s">
        <v>48</v>
      </c>
      <c r="C807" s="32" t="s">
        <v>296</v>
      </c>
      <c r="D807" s="33" t="n">
        <v>46039.4201388889</v>
      </c>
      <c r="E807" s="33" t="n">
        <v>46039.4201388889</v>
      </c>
      <c r="F807" s="33" t="n">
        <v>46039.4756944444</v>
      </c>
      <c r="G807" s="34" t="n">
        <f aca="false">F807-E807</f>
        <v>0.0555555555555556</v>
      </c>
      <c r="H807" s="39" t="s">
        <v>252</v>
      </c>
      <c r="J807" s="39" t="s">
        <v>253</v>
      </c>
      <c r="K807" s="32" t="s">
        <v>266</v>
      </c>
      <c r="L807" s="32" t="s">
        <v>275</v>
      </c>
      <c r="M807" s="39" t="s">
        <v>255</v>
      </c>
      <c r="N807" s="39" t="s">
        <v>268</v>
      </c>
      <c r="O807" s="32" t="s">
        <v>269</v>
      </c>
      <c r="P807" s="40" t="str">
        <f aca="false">_xlfn.CONCAT(B807,C807,D807,E807,F807)</f>
        <v>BC Caiaponia1SG60KTL(COM1-003)_001_01146039.420138888946039.420138888946039.4756944444</v>
      </c>
      <c r="Q807" s="32" t="str">
        <f aca="false">_xlfn.CONCAT(H807,I807,J807)</f>
        <v>DAURDE</v>
      </c>
    </row>
    <row r="808" customFormat="false" ht="15" hidden="false" customHeight="false" outlineLevel="0" collapsed="false">
      <c r="B808" s="32" t="s">
        <v>48</v>
      </c>
      <c r="C808" s="32" t="s">
        <v>297</v>
      </c>
      <c r="D808" s="33" t="n">
        <v>46039.4201388889</v>
      </c>
      <c r="E808" s="33" t="n">
        <v>46039.4201388889</v>
      </c>
      <c r="F808" s="33" t="n">
        <v>46039.4756944444</v>
      </c>
      <c r="G808" s="34" t="n">
        <f aca="false">F808-E808</f>
        <v>0.0555555555555556</v>
      </c>
      <c r="H808" s="39" t="s">
        <v>252</v>
      </c>
      <c r="J808" s="39" t="s">
        <v>253</v>
      </c>
      <c r="K808" s="32" t="s">
        <v>266</v>
      </c>
      <c r="L808" s="32" t="s">
        <v>275</v>
      </c>
      <c r="M808" s="39" t="s">
        <v>255</v>
      </c>
      <c r="N808" s="39" t="s">
        <v>268</v>
      </c>
      <c r="O808" s="32" t="s">
        <v>269</v>
      </c>
      <c r="P808" s="40" t="str">
        <f aca="false">_xlfn.CONCAT(B808,C808,D808,E808,F808)</f>
        <v>BC Caiaponia1SG60KTL(COM1-004)_001_01446039.420138888946039.420138888946039.4756944444</v>
      </c>
      <c r="Q808" s="32" t="str">
        <f aca="false">_xlfn.CONCAT(H808,I808,J808)</f>
        <v>DAURDE</v>
      </c>
    </row>
    <row r="809" customFormat="false" ht="15" hidden="false" customHeight="false" outlineLevel="0" collapsed="false">
      <c r="B809" s="32" t="s">
        <v>48</v>
      </c>
      <c r="C809" s="32" t="s">
        <v>298</v>
      </c>
      <c r="D809" s="33" t="n">
        <v>46039.4201388889</v>
      </c>
      <c r="E809" s="33" t="n">
        <v>46039.4201388889</v>
      </c>
      <c r="F809" s="33" t="n">
        <v>46039.4756944444</v>
      </c>
      <c r="G809" s="34" t="n">
        <f aca="false">F809-E809</f>
        <v>0.0555555555555556</v>
      </c>
      <c r="H809" s="39" t="s">
        <v>252</v>
      </c>
      <c r="J809" s="39" t="s">
        <v>253</v>
      </c>
      <c r="K809" s="32" t="s">
        <v>266</v>
      </c>
      <c r="L809" s="32" t="s">
        <v>275</v>
      </c>
      <c r="M809" s="39" t="s">
        <v>255</v>
      </c>
      <c r="N809" s="39" t="s">
        <v>268</v>
      </c>
      <c r="O809" s="32" t="s">
        <v>269</v>
      </c>
      <c r="P809" s="40" t="str">
        <f aca="false">_xlfn.CONCAT(B809,C809,D809,E809,F809)</f>
        <v>BC Caiaponia1SG60KTL(COM1-005)_001_01746039.420138888946039.420138888946039.4756944444</v>
      </c>
      <c r="Q809" s="32" t="str">
        <f aca="false">_xlfn.CONCAT(H809,I809,J809)</f>
        <v>DAURDE</v>
      </c>
    </row>
    <row r="810" customFormat="false" ht="15" hidden="false" customHeight="false" outlineLevel="0" collapsed="false">
      <c r="B810" s="32" t="s">
        <v>48</v>
      </c>
      <c r="C810" s="32" t="s">
        <v>299</v>
      </c>
      <c r="D810" s="33" t="n">
        <v>46039.4201388889</v>
      </c>
      <c r="E810" s="33" t="n">
        <v>46039.4201388889</v>
      </c>
      <c r="F810" s="33" t="n">
        <v>46039.4756944444</v>
      </c>
      <c r="G810" s="34" t="n">
        <f aca="false">F810-E810</f>
        <v>0.0555555555555556</v>
      </c>
      <c r="H810" s="39" t="s">
        <v>252</v>
      </c>
      <c r="J810" s="39" t="s">
        <v>253</v>
      </c>
      <c r="K810" s="32" t="s">
        <v>266</v>
      </c>
      <c r="L810" s="32" t="s">
        <v>275</v>
      </c>
      <c r="M810" s="39" t="s">
        <v>255</v>
      </c>
      <c r="N810" s="39" t="s">
        <v>268</v>
      </c>
      <c r="O810" s="32" t="s">
        <v>269</v>
      </c>
      <c r="P810" s="40" t="str">
        <f aca="false">_xlfn.CONCAT(B810,C810,D810,E810,F810)</f>
        <v>BC Caiaponia1SG60KTL(COM1-006)_001_01646039.420138888946039.420138888946039.4756944444</v>
      </c>
      <c r="Q810" s="32" t="str">
        <f aca="false">_xlfn.CONCAT(H810,I810,J810)</f>
        <v>DAURDE</v>
      </c>
    </row>
    <row r="811" customFormat="false" ht="15" hidden="false" customHeight="false" outlineLevel="0" collapsed="false">
      <c r="B811" s="32" t="s">
        <v>48</v>
      </c>
      <c r="C811" s="32" t="s">
        <v>300</v>
      </c>
      <c r="D811" s="33" t="n">
        <v>46039.4201388889</v>
      </c>
      <c r="E811" s="33" t="n">
        <v>46039.4201388889</v>
      </c>
      <c r="F811" s="33" t="n">
        <v>46039.4756944444</v>
      </c>
      <c r="G811" s="34" t="n">
        <f aca="false">F811-E811</f>
        <v>0.0555555555555556</v>
      </c>
      <c r="H811" s="39" t="s">
        <v>252</v>
      </c>
      <c r="J811" s="39" t="s">
        <v>253</v>
      </c>
      <c r="K811" s="32" t="s">
        <v>266</v>
      </c>
      <c r="L811" s="32" t="s">
        <v>275</v>
      </c>
      <c r="M811" s="39" t="s">
        <v>255</v>
      </c>
      <c r="N811" s="39" t="s">
        <v>268</v>
      </c>
      <c r="O811" s="32" t="s">
        <v>269</v>
      </c>
      <c r="P811" s="40" t="str">
        <f aca="false">_xlfn.CONCAT(B811,C811,D811,E811,F811)</f>
        <v>BC Caiaponia1SG60KTL(COM1-007)_001_01346039.420138888946039.420138888946039.4756944444</v>
      </c>
      <c r="Q811" s="32" t="str">
        <f aca="false">_xlfn.CONCAT(H811,I811,J811)</f>
        <v>DAURDE</v>
      </c>
    </row>
    <row r="812" customFormat="false" ht="15" hidden="false" customHeight="false" outlineLevel="0" collapsed="false">
      <c r="B812" s="32" t="s">
        <v>48</v>
      </c>
      <c r="C812" s="32" t="s">
        <v>301</v>
      </c>
      <c r="D812" s="33" t="n">
        <v>46039.4201388889</v>
      </c>
      <c r="E812" s="33" t="n">
        <v>46039.4201388889</v>
      </c>
      <c r="F812" s="33" t="n">
        <v>46039.4756944444</v>
      </c>
      <c r="G812" s="34" t="n">
        <f aca="false">F812-E812</f>
        <v>0.0555555555555556</v>
      </c>
      <c r="H812" s="39" t="s">
        <v>252</v>
      </c>
      <c r="J812" s="39" t="s">
        <v>253</v>
      </c>
      <c r="K812" s="32" t="s">
        <v>266</v>
      </c>
      <c r="L812" s="32" t="s">
        <v>275</v>
      </c>
      <c r="M812" s="39" t="s">
        <v>255</v>
      </c>
      <c r="N812" s="39" t="s">
        <v>268</v>
      </c>
      <c r="O812" s="32" t="s">
        <v>269</v>
      </c>
      <c r="P812" s="40" t="str">
        <f aca="false">_xlfn.CONCAT(B812,C812,D812,E812,F812)</f>
        <v>BC Caiaponia1SG60KTL(COM1-008)_001_00146039.420138888946039.420138888946039.4756944444</v>
      </c>
      <c r="Q812" s="32" t="str">
        <f aca="false">_xlfn.CONCAT(H812,I812,J812)</f>
        <v>DAURDE</v>
      </c>
    </row>
    <row r="813" customFormat="false" ht="15" hidden="false" customHeight="false" outlineLevel="0" collapsed="false">
      <c r="B813" s="32" t="s">
        <v>48</v>
      </c>
      <c r="C813" s="32" t="s">
        <v>302</v>
      </c>
      <c r="D813" s="33" t="n">
        <v>46039.4201388889</v>
      </c>
      <c r="E813" s="33" t="n">
        <v>46039.4201388889</v>
      </c>
      <c r="F813" s="33" t="n">
        <v>46039.4756944444</v>
      </c>
      <c r="G813" s="34" t="n">
        <f aca="false">F813-E813</f>
        <v>0.0555555555555556</v>
      </c>
      <c r="H813" s="39" t="s">
        <v>252</v>
      </c>
      <c r="J813" s="39" t="s">
        <v>253</v>
      </c>
      <c r="K813" s="32" t="s">
        <v>266</v>
      </c>
      <c r="L813" s="32" t="s">
        <v>275</v>
      </c>
      <c r="M813" s="39" t="s">
        <v>255</v>
      </c>
      <c r="N813" s="39" t="s">
        <v>268</v>
      </c>
      <c r="O813" s="32" t="s">
        <v>269</v>
      </c>
      <c r="P813" s="40" t="str">
        <f aca="false">_xlfn.CONCAT(B813,C813,D813,E813,F813)</f>
        <v>BC Caiaponia1SG60KTL(COM1-009)46039.420138888946039.420138888946039.4756944444</v>
      </c>
      <c r="Q813" s="32" t="str">
        <f aca="false">_xlfn.CONCAT(H813,I813,J813)</f>
        <v>DAURDE</v>
      </c>
    </row>
    <row r="814" customFormat="false" ht="15" hidden="false" customHeight="false" outlineLevel="0" collapsed="false">
      <c r="B814" s="32" t="s">
        <v>48</v>
      </c>
      <c r="C814" s="32" t="s">
        <v>303</v>
      </c>
      <c r="D814" s="33" t="n">
        <v>46039.4201388889</v>
      </c>
      <c r="E814" s="33" t="n">
        <v>46039.4201388889</v>
      </c>
      <c r="F814" s="33" t="n">
        <v>46039.4756944444</v>
      </c>
      <c r="G814" s="34" t="n">
        <f aca="false">F814-E814</f>
        <v>0.0555555555555556</v>
      </c>
      <c r="H814" s="39" t="s">
        <v>252</v>
      </c>
      <c r="J814" s="39" t="s">
        <v>253</v>
      </c>
      <c r="K814" s="32" t="s">
        <v>266</v>
      </c>
      <c r="L814" s="32" t="s">
        <v>275</v>
      </c>
      <c r="M814" s="39" t="s">
        <v>255</v>
      </c>
      <c r="N814" s="39" t="s">
        <v>268</v>
      </c>
      <c r="O814" s="32" t="s">
        <v>269</v>
      </c>
      <c r="P814" s="40" t="str">
        <f aca="false">_xlfn.CONCAT(B814,C814,D814,E814,F814)</f>
        <v>BC Caiaponia1SG60KTL(COM1-010)46039.420138888946039.420138888946039.4756944444</v>
      </c>
      <c r="Q814" s="32" t="str">
        <f aca="false">_xlfn.CONCAT(H814,I814,J814)</f>
        <v>DAURDE</v>
      </c>
    </row>
    <row r="815" customFormat="false" ht="15" hidden="false" customHeight="false" outlineLevel="0" collapsed="false">
      <c r="B815" s="32" t="s">
        <v>48</v>
      </c>
      <c r="C815" s="32" t="s">
        <v>304</v>
      </c>
      <c r="D815" s="33" t="n">
        <v>46039.4201388889</v>
      </c>
      <c r="E815" s="33" t="n">
        <v>46039.4201388889</v>
      </c>
      <c r="F815" s="33" t="n">
        <v>46039.4756944444</v>
      </c>
      <c r="G815" s="34" t="n">
        <f aca="false">F815-E815</f>
        <v>0.0555555555555556</v>
      </c>
      <c r="H815" s="39" t="s">
        <v>252</v>
      </c>
      <c r="J815" s="39" t="s">
        <v>253</v>
      </c>
      <c r="K815" s="32" t="s">
        <v>266</v>
      </c>
      <c r="L815" s="32" t="s">
        <v>275</v>
      </c>
      <c r="M815" s="39" t="s">
        <v>255</v>
      </c>
      <c r="N815" s="39" t="s">
        <v>268</v>
      </c>
      <c r="O815" s="32" t="s">
        <v>269</v>
      </c>
      <c r="P815" s="40" t="str">
        <f aca="false">_xlfn.CONCAT(B815,C815,D815,E815,F815)</f>
        <v>BC Caiaponia1SG60KTL(COM1-011)46039.420138888946039.420138888946039.4756944444</v>
      </c>
      <c r="Q815" s="32" t="str">
        <f aca="false">_xlfn.CONCAT(H815,I815,J815)</f>
        <v>DAURDE</v>
      </c>
    </row>
    <row r="816" customFormat="false" ht="15" hidden="false" customHeight="false" outlineLevel="0" collapsed="false">
      <c r="B816" s="32" t="s">
        <v>48</v>
      </c>
      <c r="C816" s="32" t="s">
        <v>305</v>
      </c>
      <c r="D816" s="33" t="n">
        <v>46039.4201388889</v>
      </c>
      <c r="E816" s="33" t="n">
        <v>46039.4201388889</v>
      </c>
      <c r="F816" s="33" t="n">
        <v>46039.4756944444</v>
      </c>
      <c r="G816" s="34" t="n">
        <f aca="false">F816-E816</f>
        <v>0.0555555555555556</v>
      </c>
      <c r="H816" s="39" t="s">
        <v>252</v>
      </c>
      <c r="J816" s="39" t="s">
        <v>253</v>
      </c>
      <c r="K816" s="32" t="s">
        <v>266</v>
      </c>
      <c r="L816" s="32" t="s">
        <v>275</v>
      </c>
      <c r="M816" s="39" t="s">
        <v>255</v>
      </c>
      <c r="N816" s="39" t="s">
        <v>268</v>
      </c>
      <c r="O816" s="32" t="s">
        <v>269</v>
      </c>
      <c r="P816" s="40" t="str">
        <f aca="false">_xlfn.CONCAT(B816,C816,D816,E816,F816)</f>
        <v>BC Caiaponia1SG60KTL(COM1-012)46039.420138888946039.420138888946039.4756944444</v>
      </c>
      <c r="Q816" s="32" t="str">
        <f aca="false">_xlfn.CONCAT(H816,I816,J816)</f>
        <v>DAURDE</v>
      </c>
    </row>
    <row r="817" customFormat="false" ht="15" hidden="false" customHeight="false" outlineLevel="0" collapsed="false">
      <c r="B817" s="32" t="s">
        <v>48</v>
      </c>
      <c r="C817" s="32" t="s">
        <v>306</v>
      </c>
      <c r="D817" s="33" t="n">
        <v>46039.4201388889</v>
      </c>
      <c r="E817" s="33" t="n">
        <v>46039.4201388889</v>
      </c>
      <c r="F817" s="33" t="n">
        <v>46039.4756944444</v>
      </c>
      <c r="G817" s="34" t="n">
        <f aca="false">F817-E817</f>
        <v>0.0555555555555556</v>
      </c>
      <c r="H817" s="39" t="s">
        <v>252</v>
      </c>
      <c r="J817" s="39" t="s">
        <v>253</v>
      </c>
      <c r="K817" s="32" t="s">
        <v>266</v>
      </c>
      <c r="L817" s="32" t="s">
        <v>275</v>
      </c>
      <c r="M817" s="39" t="s">
        <v>255</v>
      </c>
      <c r="N817" s="39" t="s">
        <v>268</v>
      </c>
      <c r="O817" s="32" t="s">
        <v>269</v>
      </c>
      <c r="P817" s="40" t="str">
        <f aca="false">_xlfn.CONCAT(B817,C817,D817,E817,F817)</f>
        <v>BC Caiaponia1SG60KTL(COM1-013)46039.420138888946039.420138888946039.4756944444</v>
      </c>
      <c r="Q817" s="32" t="str">
        <f aca="false">_xlfn.CONCAT(H817,I817,J817)</f>
        <v>DAURDE</v>
      </c>
    </row>
    <row r="818" customFormat="false" ht="15" hidden="false" customHeight="false" outlineLevel="0" collapsed="false">
      <c r="B818" s="32" t="s">
        <v>48</v>
      </c>
      <c r="C818" s="32" t="s">
        <v>307</v>
      </c>
      <c r="D818" s="33" t="n">
        <v>46039.4201388889</v>
      </c>
      <c r="E818" s="33" t="n">
        <v>46039.4201388889</v>
      </c>
      <c r="F818" s="33" t="n">
        <v>46039.4756944444</v>
      </c>
      <c r="G818" s="34" t="n">
        <f aca="false">F818-E818</f>
        <v>0.0555555555555556</v>
      </c>
      <c r="H818" s="39" t="s">
        <v>252</v>
      </c>
      <c r="J818" s="39" t="s">
        <v>253</v>
      </c>
      <c r="K818" s="32" t="s">
        <v>266</v>
      </c>
      <c r="L818" s="32" t="s">
        <v>275</v>
      </c>
      <c r="M818" s="39" t="s">
        <v>255</v>
      </c>
      <c r="N818" s="39" t="s">
        <v>268</v>
      </c>
      <c r="O818" s="32" t="s">
        <v>269</v>
      </c>
      <c r="P818" s="40" t="str">
        <f aca="false">_xlfn.CONCAT(B818,C818,D818,E818,F818)</f>
        <v>BC Caiaponia1SG60KTL(COM1-014)46039.420138888946039.420138888946039.4756944444</v>
      </c>
      <c r="Q818" s="32" t="str">
        <f aca="false">_xlfn.CONCAT(H818,I818,J818)</f>
        <v>DAURDE</v>
      </c>
    </row>
    <row r="819" customFormat="false" ht="15" hidden="false" customHeight="false" outlineLevel="0" collapsed="false">
      <c r="B819" s="32" t="s">
        <v>48</v>
      </c>
      <c r="C819" s="32" t="s">
        <v>308</v>
      </c>
      <c r="D819" s="33" t="n">
        <v>46039.4201388889</v>
      </c>
      <c r="E819" s="33" t="n">
        <v>46039.4201388889</v>
      </c>
      <c r="F819" s="33" t="n">
        <v>46039.4756944444</v>
      </c>
      <c r="G819" s="34" t="n">
        <f aca="false">F819-E819</f>
        <v>0.0555555555555556</v>
      </c>
      <c r="H819" s="39" t="s">
        <v>252</v>
      </c>
      <c r="J819" s="39" t="s">
        <v>253</v>
      </c>
      <c r="K819" s="32" t="s">
        <v>266</v>
      </c>
      <c r="L819" s="32" t="s">
        <v>275</v>
      </c>
      <c r="M819" s="39" t="s">
        <v>255</v>
      </c>
      <c r="N819" s="39" t="s">
        <v>268</v>
      </c>
      <c r="O819" s="32" t="s">
        <v>269</v>
      </c>
      <c r="P819" s="40" t="str">
        <f aca="false">_xlfn.CONCAT(B819,C819,D819,E819,F819)</f>
        <v>BC Caiaponia1SG60KTL(COM1-015)46039.420138888946039.420138888946039.4756944444</v>
      </c>
      <c r="Q819" s="32" t="str">
        <f aca="false">_xlfn.CONCAT(H819,I819,J819)</f>
        <v>DAURDE</v>
      </c>
    </row>
    <row r="820" customFormat="false" ht="15" hidden="false" customHeight="false" outlineLevel="0" collapsed="false">
      <c r="B820" s="32" t="s">
        <v>48</v>
      </c>
      <c r="C820" s="32" t="s">
        <v>309</v>
      </c>
      <c r="D820" s="33" t="n">
        <v>46039.4201388889</v>
      </c>
      <c r="E820" s="33" t="n">
        <v>46039.4201388889</v>
      </c>
      <c r="F820" s="33" t="n">
        <v>46039.4756944444</v>
      </c>
      <c r="G820" s="34" t="n">
        <f aca="false">F820-E820</f>
        <v>0.0555555555555556</v>
      </c>
      <c r="H820" s="39" t="s">
        <v>252</v>
      </c>
      <c r="J820" s="39" t="s">
        <v>253</v>
      </c>
      <c r="K820" s="32" t="s">
        <v>266</v>
      </c>
      <c r="L820" s="32" t="s">
        <v>275</v>
      </c>
      <c r="M820" s="39" t="s">
        <v>255</v>
      </c>
      <c r="N820" s="39" t="s">
        <v>268</v>
      </c>
      <c r="O820" s="32" t="s">
        <v>269</v>
      </c>
      <c r="P820" s="40" t="str">
        <f aca="false">_xlfn.CONCAT(B820,C820,D820,E820,F820)</f>
        <v>BC Caiaponia1SG60KTL(COM3-016)_001_00946039.420138888946039.420138888946039.4756944444</v>
      </c>
      <c r="Q820" s="32" t="str">
        <f aca="false">_xlfn.CONCAT(H820,I820,J820)</f>
        <v>DAURDE</v>
      </c>
    </row>
    <row r="821" customFormat="false" ht="15" hidden="false" customHeight="false" outlineLevel="0" collapsed="false">
      <c r="B821" s="32" t="s">
        <v>48</v>
      </c>
      <c r="C821" s="32" t="s">
        <v>310</v>
      </c>
      <c r="D821" s="33" t="n">
        <v>46039.4201388889</v>
      </c>
      <c r="E821" s="33" t="n">
        <v>46039.4201388889</v>
      </c>
      <c r="F821" s="33" t="n">
        <v>46039.4756944444</v>
      </c>
      <c r="G821" s="34" t="n">
        <f aca="false">F821-E821</f>
        <v>0.0555555555555556</v>
      </c>
      <c r="H821" s="39" t="s">
        <v>252</v>
      </c>
      <c r="J821" s="39" t="s">
        <v>253</v>
      </c>
      <c r="K821" s="32" t="s">
        <v>266</v>
      </c>
      <c r="L821" s="32" t="s">
        <v>275</v>
      </c>
      <c r="M821" s="39" t="s">
        <v>255</v>
      </c>
      <c r="N821" s="39" t="s">
        <v>268</v>
      </c>
      <c r="O821" s="32" t="s">
        <v>269</v>
      </c>
      <c r="P821" s="40" t="str">
        <f aca="false">_xlfn.CONCAT(B821,C821,D821,E821,F821)</f>
        <v>BC Caiaponia1SG60KTL(COM3-017)_001_01246039.420138888946039.420138888946039.4756944444</v>
      </c>
      <c r="Q821" s="32" t="str">
        <f aca="false">_xlfn.CONCAT(H821,I821,J821)</f>
        <v>DAURDE</v>
      </c>
    </row>
    <row r="822" customFormat="false" ht="15" hidden="false" customHeight="false" outlineLevel="0" collapsed="false">
      <c r="B822" s="32" t="s">
        <v>48</v>
      </c>
      <c r="C822" s="32" t="s">
        <v>311</v>
      </c>
      <c r="D822" s="33" t="n">
        <v>46039.4201388889</v>
      </c>
      <c r="E822" s="33" t="n">
        <v>46039.4201388889</v>
      </c>
      <c r="F822" s="33" t="n">
        <v>46039.4756944444</v>
      </c>
      <c r="G822" s="34" t="n">
        <f aca="false">F822-E822</f>
        <v>0.0555555555555556</v>
      </c>
      <c r="H822" s="39" t="s">
        <v>252</v>
      </c>
      <c r="J822" s="39" t="s">
        <v>253</v>
      </c>
      <c r="K822" s="32" t="s">
        <v>266</v>
      </c>
      <c r="L822" s="32" t="s">
        <v>275</v>
      </c>
      <c r="M822" s="39" t="s">
        <v>255</v>
      </c>
      <c r="N822" s="39" t="s">
        <v>268</v>
      </c>
      <c r="O822" s="32" t="s">
        <v>269</v>
      </c>
      <c r="P822" s="40" t="str">
        <f aca="false">_xlfn.CONCAT(B822,C822,D822,E822,F822)</f>
        <v>BC Caiaponia1SG60KTL(COM3-018)_001_00846039.420138888946039.420138888946039.4756944444</v>
      </c>
      <c r="Q822" s="32" t="str">
        <f aca="false">_xlfn.CONCAT(H822,I822,J822)</f>
        <v>DAURDE</v>
      </c>
    </row>
    <row r="823" customFormat="false" ht="15" hidden="false" customHeight="false" outlineLevel="0" collapsed="false">
      <c r="B823" s="32" t="s">
        <v>48</v>
      </c>
      <c r="C823" s="32" t="s">
        <v>312</v>
      </c>
      <c r="D823" s="33" t="n">
        <v>46039.4201388889</v>
      </c>
      <c r="E823" s="33" t="n">
        <v>46039.4201388889</v>
      </c>
      <c r="F823" s="33" t="n">
        <v>46039.4756944444</v>
      </c>
      <c r="G823" s="34" t="n">
        <f aca="false">F823-E823</f>
        <v>0.0555555555555556</v>
      </c>
      <c r="H823" s="39" t="s">
        <v>252</v>
      </c>
      <c r="J823" s="39" t="s">
        <v>253</v>
      </c>
      <c r="K823" s="32" t="s">
        <v>266</v>
      </c>
      <c r="L823" s="32" t="s">
        <v>275</v>
      </c>
      <c r="M823" s="39" t="s">
        <v>255</v>
      </c>
      <c r="N823" s="39" t="s">
        <v>268</v>
      </c>
      <c r="O823" s="32" t="s">
        <v>269</v>
      </c>
      <c r="P823" s="40" t="str">
        <f aca="false">_xlfn.CONCAT(B823,C823,D823,E823,F823)</f>
        <v>BC Caiaponia1SG60KTL(COM3-019)_001_01946039.420138888946039.420138888946039.4756944444</v>
      </c>
      <c r="Q823" s="32" t="str">
        <f aca="false">_xlfn.CONCAT(H823,I823,J823)</f>
        <v>DAURDE</v>
      </c>
    </row>
    <row r="824" customFormat="false" ht="15" hidden="false" customHeight="false" outlineLevel="0" collapsed="false">
      <c r="B824" s="32" t="s">
        <v>48</v>
      </c>
      <c r="C824" s="32" t="s">
        <v>313</v>
      </c>
      <c r="D824" s="33" t="n">
        <v>46039.4201388889</v>
      </c>
      <c r="E824" s="33" t="n">
        <v>46039.4201388889</v>
      </c>
      <c r="F824" s="33" t="n">
        <v>46039.4756944444</v>
      </c>
      <c r="G824" s="34" t="n">
        <f aca="false">F824-E824</f>
        <v>0.0555555555555556</v>
      </c>
      <c r="H824" s="39" t="s">
        <v>252</v>
      </c>
      <c r="J824" s="39" t="s">
        <v>253</v>
      </c>
      <c r="K824" s="32" t="s">
        <v>266</v>
      </c>
      <c r="L824" s="32" t="s">
        <v>275</v>
      </c>
      <c r="M824" s="39" t="s">
        <v>255</v>
      </c>
      <c r="N824" s="39" t="s">
        <v>268</v>
      </c>
      <c r="O824" s="32" t="s">
        <v>269</v>
      </c>
      <c r="P824" s="40" t="str">
        <f aca="false">_xlfn.CONCAT(B824,C824,D824,E824,F824)</f>
        <v>BC Caiaponia1SG60KTL(COM3-020)_001_02046039.420138888946039.420138888946039.4756944444</v>
      </c>
      <c r="Q824" s="32" t="str">
        <f aca="false">_xlfn.CONCAT(H824,I824,J824)</f>
        <v>DAURDE</v>
      </c>
    </row>
    <row r="825" customFormat="false" ht="15" hidden="false" customHeight="false" outlineLevel="0" collapsed="false">
      <c r="B825" s="32" t="s">
        <v>48</v>
      </c>
      <c r="C825" s="32" t="s">
        <v>314</v>
      </c>
      <c r="D825" s="33" t="n">
        <v>46039.4201388889</v>
      </c>
      <c r="E825" s="33" t="n">
        <v>46039.4201388889</v>
      </c>
      <c r="F825" s="33" t="n">
        <v>46039.4756944444</v>
      </c>
      <c r="G825" s="34" t="n">
        <f aca="false">F825-E825</f>
        <v>0.0555555555555556</v>
      </c>
      <c r="H825" s="39" t="s">
        <v>252</v>
      </c>
      <c r="J825" s="39" t="s">
        <v>253</v>
      </c>
      <c r="K825" s="32" t="s">
        <v>266</v>
      </c>
      <c r="L825" s="32" t="s">
        <v>275</v>
      </c>
      <c r="M825" s="39" t="s">
        <v>255</v>
      </c>
      <c r="N825" s="39" t="s">
        <v>268</v>
      </c>
      <c r="O825" s="32" t="s">
        <v>269</v>
      </c>
      <c r="P825" s="40" t="str">
        <f aca="false">_xlfn.CONCAT(B825,C825,D825,E825,F825)</f>
        <v>BC Caiaponia1SG60KTL(COM2-026)46039.420138888946039.420138888946039.4756944444</v>
      </c>
      <c r="Q825" s="32" t="str">
        <f aca="false">_xlfn.CONCAT(H825,I825,J825)</f>
        <v>DAURDE</v>
      </c>
    </row>
    <row r="826" customFormat="false" ht="15" hidden="false" customHeight="false" outlineLevel="0" collapsed="false">
      <c r="B826" s="32" t="s">
        <v>48</v>
      </c>
      <c r="C826" s="32" t="s">
        <v>315</v>
      </c>
      <c r="D826" s="33" t="n">
        <v>46039.4201388889</v>
      </c>
      <c r="E826" s="33" t="n">
        <v>46039.4201388889</v>
      </c>
      <c r="F826" s="33" t="n">
        <v>46039.4756944444</v>
      </c>
      <c r="G826" s="34" t="n">
        <f aca="false">F826-E826</f>
        <v>0.0555555555555556</v>
      </c>
      <c r="H826" s="39" t="s">
        <v>252</v>
      </c>
      <c r="J826" s="39" t="s">
        <v>253</v>
      </c>
      <c r="K826" s="32" t="s">
        <v>266</v>
      </c>
      <c r="L826" s="32" t="s">
        <v>275</v>
      </c>
      <c r="M826" s="39" t="s">
        <v>255</v>
      </c>
      <c r="N826" s="39" t="s">
        <v>268</v>
      </c>
      <c r="O826" s="32" t="s">
        <v>269</v>
      </c>
      <c r="P826" s="40" t="str">
        <f aca="false">_xlfn.CONCAT(B826,C826,D826,E826,F826)</f>
        <v>BC Caiaponia1SG60KTL(COM2-027)46039.420138888946039.420138888946039.4756944444</v>
      </c>
      <c r="Q826" s="32" t="str">
        <f aca="false">_xlfn.CONCAT(H826,I826,J826)</f>
        <v>DAURDE</v>
      </c>
    </row>
    <row r="827" customFormat="false" ht="15" hidden="false" customHeight="false" outlineLevel="0" collapsed="false">
      <c r="B827" s="32" t="s">
        <v>48</v>
      </c>
      <c r="C827" s="32" t="s">
        <v>316</v>
      </c>
      <c r="D827" s="33" t="n">
        <v>46039.4201388889</v>
      </c>
      <c r="E827" s="33" t="n">
        <v>46039.4201388889</v>
      </c>
      <c r="F827" s="33" t="n">
        <v>46039.4756944444</v>
      </c>
      <c r="G827" s="34" t="n">
        <f aca="false">F827-E827</f>
        <v>0.0555555555555556</v>
      </c>
      <c r="H827" s="39" t="s">
        <v>252</v>
      </c>
      <c r="J827" s="39" t="s">
        <v>253</v>
      </c>
      <c r="K827" s="32" t="s">
        <v>266</v>
      </c>
      <c r="L827" s="32" t="s">
        <v>275</v>
      </c>
      <c r="M827" s="39" t="s">
        <v>255</v>
      </c>
      <c r="N827" s="39" t="s">
        <v>268</v>
      </c>
      <c r="O827" s="32" t="s">
        <v>269</v>
      </c>
      <c r="P827" s="40" t="str">
        <f aca="false">_xlfn.CONCAT(B827,C827,D827,E827,F827)</f>
        <v>BC Caiaponia1SG60KTL(COM2-028)46039.420138888946039.420138888946039.4756944444</v>
      </c>
      <c r="Q827" s="32" t="str">
        <f aca="false">_xlfn.CONCAT(H827,I827,J827)</f>
        <v>DAURDE</v>
      </c>
    </row>
    <row r="828" customFormat="false" ht="15" hidden="false" customHeight="false" outlineLevel="0" collapsed="false">
      <c r="B828" s="32" t="s">
        <v>48</v>
      </c>
      <c r="C828" s="32" t="s">
        <v>317</v>
      </c>
      <c r="D828" s="33" t="n">
        <v>46039.4201388889</v>
      </c>
      <c r="E828" s="33" t="n">
        <v>46039.4201388889</v>
      </c>
      <c r="F828" s="33" t="n">
        <v>46039.4756944444</v>
      </c>
      <c r="G828" s="34" t="n">
        <f aca="false">F828-E828</f>
        <v>0.0555555555555556</v>
      </c>
      <c r="H828" s="39" t="s">
        <v>252</v>
      </c>
      <c r="J828" s="39" t="s">
        <v>253</v>
      </c>
      <c r="K828" s="32" t="s">
        <v>266</v>
      </c>
      <c r="L828" s="32" t="s">
        <v>275</v>
      </c>
      <c r="M828" s="39" t="s">
        <v>255</v>
      </c>
      <c r="N828" s="39" t="s">
        <v>268</v>
      </c>
      <c r="O828" s="32" t="s">
        <v>269</v>
      </c>
      <c r="P828" s="40" t="str">
        <f aca="false">_xlfn.CONCAT(B828,C828,D828,E828,F828)</f>
        <v>BC Caiaponia1SG60KTL(COM2-029)46039.420138888946039.420138888946039.4756944444</v>
      </c>
      <c r="Q828" s="32" t="str">
        <f aca="false">_xlfn.CONCAT(H828,I828,J828)</f>
        <v>DAURDE</v>
      </c>
    </row>
    <row r="829" customFormat="false" ht="15" hidden="false" customHeight="false" outlineLevel="0" collapsed="false">
      <c r="B829" s="32" t="s">
        <v>48</v>
      </c>
      <c r="C829" s="32" t="s">
        <v>318</v>
      </c>
      <c r="D829" s="33" t="n">
        <v>46039.4201388889</v>
      </c>
      <c r="E829" s="33" t="n">
        <v>46039.4201388889</v>
      </c>
      <c r="F829" s="33" t="n">
        <v>46039.4756944444</v>
      </c>
      <c r="G829" s="34" t="n">
        <f aca="false">F829-E829</f>
        <v>0.0555555555555556</v>
      </c>
      <c r="H829" s="39" t="s">
        <v>252</v>
      </c>
      <c r="J829" s="39" t="s">
        <v>253</v>
      </c>
      <c r="K829" s="32" t="s">
        <v>266</v>
      </c>
      <c r="L829" s="32" t="s">
        <v>275</v>
      </c>
      <c r="M829" s="39" t="s">
        <v>255</v>
      </c>
      <c r="N829" s="39" t="s">
        <v>268</v>
      </c>
      <c r="O829" s="32" t="s">
        <v>269</v>
      </c>
      <c r="P829" s="40" t="str">
        <f aca="false">_xlfn.CONCAT(B829,C829,D829,E829,F829)</f>
        <v>BC Caiaponia1SG50CX(COM1-021)46039.420138888946039.420138888946039.4756944444</v>
      </c>
      <c r="Q829" s="32" t="str">
        <f aca="false">_xlfn.CONCAT(H829,I829,J829)</f>
        <v>DAURDE</v>
      </c>
    </row>
    <row r="830" customFormat="false" ht="15" hidden="false" customHeight="false" outlineLevel="0" collapsed="false">
      <c r="B830" s="32" t="s">
        <v>48</v>
      </c>
      <c r="C830" s="32" t="s">
        <v>319</v>
      </c>
      <c r="D830" s="33" t="n">
        <v>46039.4201388889</v>
      </c>
      <c r="E830" s="33" t="n">
        <v>46039.4201388889</v>
      </c>
      <c r="F830" s="33" t="n">
        <v>46039.4756944444</v>
      </c>
      <c r="G830" s="34" t="n">
        <f aca="false">F830-E830</f>
        <v>0.0555555555555556</v>
      </c>
      <c r="H830" s="39" t="s">
        <v>252</v>
      </c>
      <c r="J830" s="39" t="s">
        <v>253</v>
      </c>
      <c r="K830" s="32" t="s">
        <v>266</v>
      </c>
      <c r="L830" s="32" t="s">
        <v>275</v>
      </c>
      <c r="M830" s="39" t="s">
        <v>255</v>
      </c>
      <c r="N830" s="39" t="s">
        <v>268</v>
      </c>
      <c r="O830" s="32" t="s">
        <v>269</v>
      </c>
      <c r="P830" s="40" t="str">
        <f aca="false">_xlfn.CONCAT(B830,C830,D830,E830,F830)</f>
        <v>BC Caiaponia1SG50CX(COM1-022)46039.420138888946039.420138888946039.4756944444</v>
      </c>
      <c r="Q830" s="32" t="str">
        <f aca="false">_xlfn.CONCAT(H830,I830,J830)</f>
        <v>DAURDE</v>
      </c>
    </row>
    <row r="831" customFormat="false" ht="15" hidden="false" customHeight="false" outlineLevel="0" collapsed="false">
      <c r="B831" s="32" t="s">
        <v>48</v>
      </c>
      <c r="C831" s="32" t="s">
        <v>320</v>
      </c>
      <c r="D831" s="33" t="n">
        <v>46039.4201388889</v>
      </c>
      <c r="E831" s="33" t="n">
        <v>46039.4201388889</v>
      </c>
      <c r="F831" s="33" t="n">
        <v>46039.4756944444</v>
      </c>
      <c r="G831" s="34" t="n">
        <f aca="false">F831-E831</f>
        <v>0.0555555555555556</v>
      </c>
      <c r="H831" s="39" t="s">
        <v>252</v>
      </c>
      <c r="J831" s="39" t="s">
        <v>253</v>
      </c>
      <c r="K831" s="32" t="s">
        <v>266</v>
      </c>
      <c r="L831" s="32" t="s">
        <v>275</v>
      </c>
      <c r="M831" s="39" t="s">
        <v>255</v>
      </c>
      <c r="N831" s="39" t="s">
        <v>268</v>
      </c>
      <c r="O831" s="32" t="s">
        <v>269</v>
      </c>
      <c r="P831" s="40" t="str">
        <f aca="false">_xlfn.CONCAT(B831,C831,D831,E831,F831)</f>
        <v>BC Caiaponia1SG50CX(COM1-023)46039.420138888946039.420138888946039.4756944444</v>
      </c>
      <c r="Q831" s="32" t="str">
        <f aca="false">_xlfn.CONCAT(H831,I831,J831)</f>
        <v>DAURDE</v>
      </c>
    </row>
    <row r="832" customFormat="false" ht="15" hidden="false" customHeight="false" outlineLevel="0" collapsed="false">
      <c r="B832" s="32" t="s">
        <v>48</v>
      </c>
      <c r="C832" s="32" t="s">
        <v>321</v>
      </c>
      <c r="D832" s="33" t="n">
        <v>46039.4201388889</v>
      </c>
      <c r="E832" s="33" t="n">
        <v>46039.4201388889</v>
      </c>
      <c r="F832" s="33" t="n">
        <v>46039.4756944444</v>
      </c>
      <c r="G832" s="34" t="n">
        <f aca="false">F832-E832</f>
        <v>0.0555555555555556</v>
      </c>
      <c r="H832" s="39" t="s">
        <v>252</v>
      </c>
      <c r="J832" s="39" t="s">
        <v>253</v>
      </c>
      <c r="K832" s="32" t="s">
        <v>266</v>
      </c>
      <c r="L832" s="32" t="s">
        <v>275</v>
      </c>
      <c r="M832" s="39" t="s">
        <v>255</v>
      </c>
      <c r="N832" s="39" t="s">
        <v>268</v>
      </c>
      <c r="O832" s="32" t="s">
        <v>269</v>
      </c>
      <c r="P832" s="40" t="str">
        <f aca="false">_xlfn.CONCAT(B832,C832,D832,E832,F832)</f>
        <v>BC Caiaponia1SG50CX(COM1-024)46039.420138888946039.420138888946039.4756944444</v>
      </c>
      <c r="Q832" s="32" t="str">
        <f aca="false">_xlfn.CONCAT(H832,I832,J832)</f>
        <v>DAURDE</v>
      </c>
    </row>
    <row r="833" customFormat="false" ht="15" hidden="false" customHeight="false" outlineLevel="0" collapsed="false">
      <c r="B833" s="32" t="s">
        <v>48</v>
      </c>
      <c r="C833" s="32" t="s">
        <v>322</v>
      </c>
      <c r="D833" s="33" t="n">
        <v>46039.4201388889</v>
      </c>
      <c r="E833" s="33" t="n">
        <v>46039.4201388889</v>
      </c>
      <c r="F833" s="33" t="n">
        <v>46039.4756944444</v>
      </c>
      <c r="G833" s="34" t="n">
        <f aca="false">F833-E833</f>
        <v>0.0555555555555556</v>
      </c>
      <c r="H833" s="39" t="s">
        <v>252</v>
      </c>
      <c r="J833" s="39" t="s">
        <v>253</v>
      </c>
      <c r="K833" s="32" t="s">
        <v>266</v>
      </c>
      <c r="L833" s="32" t="s">
        <v>275</v>
      </c>
      <c r="M833" s="39" t="s">
        <v>255</v>
      </c>
      <c r="N833" s="39" t="s">
        <v>268</v>
      </c>
      <c r="O833" s="32" t="s">
        <v>269</v>
      </c>
      <c r="P833" s="40" t="str">
        <f aca="false">_xlfn.CONCAT(B833,C833,D833,E833,F833)</f>
        <v>BC Caiaponia1SG50CX(COM1-025)46039.420138888946039.420138888946039.4756944444</v>
      </c>
      <c r="Q833" s="32" t="str">
        <f aca="false">_xlfn.CONCAT(H833,I833,J833)</f>
        <v>DAURDE</v>
      </c>
    </row>
    <row r="834" customFormat="false" ht="15" hidden="false" customHeight="false" outlineLevel="0" collapsed="false">
      <c r="B834" s="32" t="s">
        <v>250</v>
      </c>
      <c r="C834" s="32" t="s">
        <v>251</v>
      </c>
      <c r="D834" s="33" t="n">
        <v>46039.4201388889</v>
      </c>
      <c r="E834" s="33" t="n">
        <v>46039.4201388889</v>
      </c>
      <c r="F834" s="33" t="n">
        <v>46039.4756944444</v>
      </c>
      <c r="G834" s="34" t="n">
        <f aca="false">F834-E834</f>
        <v>0.0555555555555556</v>
      </c>
      <c r="H834" s="39" t="s">
        <v>252</v>
      </c>
      <c r="J834" s="39" t="s">
        <v>253</v>
      </c>
      <c r="K834" s="32" t="s">
        <v>266</v>
      </c>
      <c r="L834" s="32" t="s">
        <v>275</v>
      </c>
      <c r="M834" s="39" t="s">
        <v>255</v>
      </c>
      <c r="N834" s="39" t="s">
        <v>268</v>
      </c>
      <c r="O834" s="32" t="s">
        <v>269</v>
      </c>
      <c r="P834" s="40" t="str">
        <f aca="false">_xlfn.CONCAT(B834,C834,D834,E834,F834)</f>
        <v>BC Caiaponia2.1215KTL-H3(MBUS-12)46039.420138888946039.420138888946039.4756944444</v>
      </c>
      <c r="Q834" s="32" t="str">
        <f aca="false">_xlfn.CONCAT(H834,I834,J834)</f>
        <v>DAURDE</v>
      </c>
    </row>
    <row r="835" customFormat="false" ht="15" hidden="false" customHeight="false" outlineLevel="0" collapsed="false">
      <c r="B835" s="32" t="s">
        <v>250</v>
      </c>
      <c r="C835" s="32" t="s">
        <v>258</v>
      </c>
      <c r="D835" s="33" t="n">
        <v>46039.4201388889</v>
      </c>
      <c r="E835" s="33" t="n">
        <v>46039.4201388889</v>
      </c>
      <c r="F835" s="33" t="n">
        <v>46039.4756944444</v>
      </c>
      <c r="G835" s="34" t="n">
        <f aca="false">F835-E835</f>
        <v>0.0555555555555556</v>
      </c>
      <c r="H835" s="39" t="s">
        <v>252</v>
      </c>
      <c r="J835" s="39" t="s">
        <v>253</v>
      </c>
      <c r="K835" s="32" t="s">
        <v>266</v>
      </c>
      <c r="L835" s="32" t="s">
        <v>275</v>
      </c>
      <c r="M835" s="39" t="s">
        <v>255</v>
      </c>
      <c r="N835" s="39" t="s">
        <v>268</v>
      </c>
      <c r="O835" s="32" t="s">
        <v>269</v>
      </c>
      <c r="P835" s="40" t="str">
        <f aca="false">_xlfn.CONCAT(B835,C835,D835,E835,F835)</f>
        <v>BC Caiaponia2.1215KTL-H3(MBUS-13)46039.420138888946039.420138888946039.4756944444</v>
      </c>
      <c r="Q835" s="32" t="str">
        <f aca="false">_xlfn.CONCAT(H835,I835,J835)</f>
        <v>DAURDE</v>
      </c>
    </row>
    <row r="836" customFormat="false" ht="15" hidden="false" customHeight="false" outlineLevel="0" collapsed="false">
      <c r="B836" s="32" t="s">
        <v>250</v>
      </c>
      <c r="C836" s="32" t="s">
        <v>259</v>
      </c>
      <c r="D836" s="33" t="n">
        <v>46039.4201388889</v>
      </c>
      <c r="E836" s="33" t="n">
        <v>46039.4201388889</v>
      </c>
      <c r="F836" s="33" t="n">
        <v>46039.4756944444</v>
      </c>
      <c r="G836" s="34" t="n">
        <f aca="false">F836-E836</f>
        <v>0.0555555555555556</v>
      </c>
      <c r="H836" s="39" t="s">
        <v>252</v>
      </c>
      <c r="J836" s="39" t="s">
        <v>253</v>
      </c>
      <c r="K836" s="32" t="s">
        <v>266</v>
      </c>
      <c r="L836" s="32" t="s">
        <v>275</v>
      </c>
      <c r="M836" s="39" t="s">
        <v>255</v>
      </c>
      <c r="N836" s="39" t="s">
        <v>268</v>
      </c>
      <c r="O836" s="32" t="s">
        <v>269</v>
      </c>
      <c r="P836" s="40" t="str">
        <f aca="false">_xlfn.CONCAT(B836,C836,D836,E836,F836)</f>
        <v>BC Caiaponia2.1215KTL-H3(MBUS-14)46039.420138888946039.420138888946039.4756944444</v>
      </c>
      <c r="Q836" s="32" t="str">
        <f aca="false">_xlfn.CONCAT(H836,I836,J836)</f>
        <v>DAURDE</v>
      </c>
    </row>
    <row r="837" customFormat="false" ht="15" hidden="false" customHeight="false" outlineLevel="0" collapsed="false">
      <c r="B837" s="32" t="s">
        <v>250</v>
      </c>
      <c r="C837" s="32" t="s">
        <v>260</v>
      </c>
      <c r="D837" s="33" t="n">
        <v>46039.4201388889</v>
      </c>
      <c r="E837" s="33" t="n">
        <v>46039.4201388889</v>
      </c>
      <c r="F837" s="33" t="n">
        <v>46039.4756944444</v>
      </c>
      <c r="G837" s="34" t="n">
        <f aca="false">F837-E837</f>
        <v>0.0555555555555556</v>
      </c>
      <c r="H837" s="39" t="s">
        <v>252</v>
      </c>
      <c r="J837" s="39" t="s">
        <v>253</v>
      </c>
      <c r="K837" s="32" t="s">
        <v>266</v>
      </c>
      <c r="L837" s="32" t="s">
        <v>275</v>
      </c>
      <c r="M837" s="39" t="s">
        <v>255</v>
      </c>
      <c r="N837" s="39" t="s">
        <v>268</v>
      </c>
      <c r="O837" s="32" t="s">
        <v>269</v>
      </c>
      <c r="P837" s="40" t="str">
        <f aca="false">_xlfn.CONCAT(B837,C837,D837,E837,F837)</f>
        <v>BC Caiaponia2.1215KTL-H3(MBUS-15)46039.420138888946039.420138888946039.4756944444</v>
      </c>
      <c r="Q837" s="32" t="str">
        <f aca="false">_xlfn.CONCAT(H837,I837,J837)</f>
        <v>DAURDE</v>
      </c>
    </row>
    <row r="838" customFormat="false" ht="15" hidden="false" customHeight="false" outlineLevel="0" collapsed="false">
      <c r="B838" s="32" t="s">
        <v>250</v>
      </c>
      <c r="C838" s="32" t="s">
        <v>261</v>
      </c>
      <c r="D838" s="33" t="n">
        <v>46039.4201388889</v>
      </c>
      <c r="E838" s="33" t="n">
        <v>46039.4201388889</v>
      </c>
      <c r="F838" s="33" t="n">
        <v>46039.4756944444</v>
      </c>
      <c r="G838" s="34" t="n">
        <f aca="false">F838-E838</f>
        <v>0.0555555555555556</v>
      </c>
      <c r="H838" s="39" t="s">
        <v>252</v>
      </c>
      <c r="J838" s="39" t="s">
        <v>253</v>
      </c>
      <c r="K838" s="32" t="s">
        <v>266</v>
      </c>
      <c r="L838" s="32" t="s">
        <v>275</v>
      </c>
      <c r="M838" s="39" t="s">
        <v>255</v>
      </c>
      <c r="N838" s="39" t="s">
        <v>268</v>
      </c>
      <c r="O838" s="32" t="s">
        <v>269</v>
      </c>
      <c r="P838" s="40" t="str">
        <f aca="false">_xlfn.CONCAT(B838,C838,D838,E838,F838)</f>
        <v>BC Caiaponia2.1215KTL-H3(MBUS-16)46039.420138888946039.420138888946039.4756944444</v>
      </c>
      <c r="Q838" s="32" t="str">
        <f aca="false">_xlfn.CONCAT(H838,I838,J838)</f>
        <v>DAURDE</v>
      </c>
    </row>
    <row r="839" customFormat="false" ht="15" hidden="false" customHeight="false" outlineLevel="0" collapsed="false">
      <c r="B839" s="32" t="s">
        <v>262</v>
      </c>
      <c r="C839" s="32" t="s">
        <v>251</v>
      </c>
      <c r="D839" s="33" t="n">
        <v>46039.4201388889</v>
      </c>
      <c r="E839" s="33" t="n">
        <v>46039.4201388889</v>
      </c>
      <c r="F839" s="33" t="n">
        <v>46039.4756944444</v>
      </c>
      <c r="G839" s="34" t="n">
        <f aca="false">F839-E839</f>
        <v>0.0555555555555556</v>
      </c>
      <c r="H839" s="39" t="s">
        <v>252</v>
      </c>
      <c r="J839" s="39" t="s">
        <v>253</v>
      </c>
      <c r="K839" s="32" t="s">
        <v>266</v>
      </c>
      <c r="L839" s="32" t="s">
        <v>275</v>
      </c>
      <c r="M839" s="39" t="s">
        <v>255</v>
      </c>
      <c r="N839" s="39" t="s">
        <v>268</v>
      </c>
      <c r="O839" s="32" t="s">
        <v>269</v>
      </c>
      <c r="P839" s="40" t="str">
        <f aca="false">_xlfn.CONCAT(B839,C839,D839,E839,F839)</f>
        <v>BC Caiaponia2.2215KTL-H3(MBUS-12)46039.420138888946039.420138888946039.4756944444</v>
      </c>
      <c r="Q839" s="32" t="str">
        <f aca="false">_xlfn.CONCAT(H839,I839,J839)</f>
        <v>DAURDE</v>
      </c>
    </row>
    <row r="840" customFormat="false" ht="15" hidden="false" customHeight="false" outlineLevel="0" collapsed="false">
      <c r="B840" s="32" t="s">
        <v>262</v>
      </c>
      <c r="C840" s="32" t="s">
        <v>258</v>
      </c>
      <c r="D840" s="33" t="n">
        <v>46039.4201388889</v>
      </c>
      <c r="E840" s="33" t="n">
        <v>46039.4201388889</v>
      </c>
      <c r="F840" s="33" t="n">
        <v>46039.4756944444</v>
      </c>
      <c r="G840" s="34" t="n">
        <f aca="false">F840-E840</f>
        <v>0.0555555555555556</v>
      </c>
      <c r="H840" s="39" t="s">
        <v>252</v>
      </c>
      <c r="J840" s="39" t="s">
        <v>253</v>
      </c>
      <c r="K840" s="32" t="s">
        <v>266</v>
      </c>
      <c r="L840" s="32" t="s">
        <v>275</v>
      </c>
      <c r="M840" s="39" t="s">
        <v>255</v>
      </c>
      <c r="N840" s="39" t="s">
        <v>268</v>
      </c>
      <c r="O840" s="32" t="s">
        <v>269</v>
      </c>
      <c r="P840" s="40" t="str">
        <f aca="false">_xlfn.CONCAT(B840,C840,D840,E840,F840)</f>
        <v>BC Caiaponia2.2215KTL-H3(MBUS-13)46039.420138888946039.420138888946039.4756944444</v>
      </c>
      <c r="Q840" s="32" t="str">
        <f aca="false">_xlfn.CONCAT(H840,I840,J840)</f>
        <v>DAURDE</v>
      </c>
    </row>
    <row r="841" customFormat="false" ht="15" hidden="false" customHeight="false" outlineLevel="0" collapsed="false">
      <c r="B841" s="32" t="s">
        <v>262</v>
      </c>
      <c r="C841" s="32" t="s">
        <v>259</v>
      </c>
      <c r="D841" s="33" t="n">
        <v>46039.4201388889</v>
      </c>
      <c r="E841" s="33" t="n">
        <v>46039.4201388889</v>
      </c>
      <c r="F841" s="33" t="n">
        <v>46039.4756944444</v>
      </c>
      <c r="G841" s="34" t="n">
        <f aca="false">F841-E841</f>
        <v>0.0555555555555556</v>
      </c>
      <c r="H841" s="39" t="s">
        <v>252</v>
      </c>
      <c r="J841" s="39" t="s">
        <v>253</v>
      </c>
      <c r="K841" s="32" t="s">
        <v>266</v>
      </c>
      <c r="L841" s="32" t="s">
        <v>275</v>
      </c>
      <c r="M841" s="39" t="s">
        <v>255</v>
      </c>
      <c r="N841" s="39" t="s">
        <v>268</v>
      </c>
      <c r="O841" s="32" t="s">
        <v>269</v>
      </c>
      <c r="P841" s="40" t="str">
        <f aca="false">_xlfn.CONCAT(B841,C841,D841,E841,F841)</f>
        <v>BC Caiaponia2.2215KTL-H3(MBUS-14)46039.420138888946039.420138888946039.4756944444</v>
      </c>
      <c r="Q841" s="32" t="str">
        <f aca="false">_xlfn.CONCAT(H841,I841,J841)</f>
        <v>DAURDE</v>
      </c>
    </row>
    <row r="842" customFormat="false" ht="15" hidden="false" customHeight="false" outlineLevel="0" collapsed="false">
      <c r="B842" s="32" t="s">
        <v>262</v>
      </c>
      <c r="C842" s="32" t="s">
        <v>260</v>
      </c>
      <c r="D842" s="33" t="n">
        <v>46039.4201388889</v>
      </c>
      <c r="E842" s="33" t="n">
        <v>46039.4201388889</v>
      </c>
      <c r="F842" s="33" t="n">
        <v>46039.4756944444</v>
      </c>
      <c r="G842" s="34" t="n">
        <f aca="false">F842-E842</f>
        <v>0.0555555555555556</v>
      </c>
      <c r="H842" s="39" t="s">
        <v>252</v>
      </c>
      <c r="J842" s="39" t="s">
        <v>253</v>
      </c>
      <c r="K842" s="32" t="s">
        <v>266</v>
      </c>
      <c r="L842" s="32" t="s">
        <v>275</v>
      </c>
      <c r="M842" s="39" t="s">
        <v>255</v>
      </c>
      <c r="N842" s="39" t="s">
        <v>268</v>
      </c>
      <c r="O842" s="32" t="s">
        <v>269</v>
      </c>
      <c r="P842" s="40" t="str">
        <f aca="false">_xlfn.CONCAT(B842,C842,D842,E842,F842)</f>
        <v>BC Caiaponia2.2215KTL-H3(MBUS-15)46039.420138888946039.420138888946039.4756944444</v>
      </c>
      <c r="Q842" s="32" t="str">
        <f aca="false">_xlfn.CONCAT(H842,I842,J842)</f>
        <v>DAURDE</v>
      </c>
    </row>
    <row r="843" customFormat="false" ht="15" hidden="false" customHeight="false" outlineLevel="0" collapsed="false">
      <c r="B843" s="32" t="s">
        <v>262</v>
      </c>
      <c r="C843" s="32" t="s">
        <v>261</v>
      </c>
      <c r="D843" s="33" t="n">
        <v>46039.4201388889</v>
      </c>
      <c r="E843" s="33" t="n">
        <v>46039.4201388889</v>
      </c>
      <c r="F843" s="33" t="n">
        <v>46039.4756944444</v>
      </c>
      <c r="G843" s="34" t="n">
        <f aca="false">F843-E843</f>
        <v>0.0555555555555556</v>
      </c>
      <c r="H843" s="39" t="s">
        <v>252</v>
      </c>
      <c r="J843" s="39" t="s">
        <v>253</v>
      </c>
      <c r="K843" s="32" t="s">
        <v>266</v>
      </c>
      <c r="L843" s="32" t="s">
        <v>275</v>
      </c>
      <c r="M843" s="39" t="s">
        <v>255</v>
      </c>
      <c r="N843" s="39" t="s">
        <v>268</v>
      </c>
      <c r="O843" s="32" t="s">
        <v>269</v>
      </c>
      <c r="P843" s="40" t="str">
        <f aca="false">_xlfn.CONCAT(B843,C843,D843,E843,F843)</f>
        <v>BC Caiaponia2.2215KTL-H3(MBUS-16)46039.420138888946039.420138888946039.4756944444</v>
      </c>
      <c r="Q843" s="32" t="str">
        <f aca="false">_xlfn.CONCAT(H843,I843,J843)</f>
        <v>DAURDE</v>
      </c>
    </row>
    <row r="844" customFormat="false" ht="15" hidden="false" customHeight="false" outlineLevel="0" collapsed="false">
      <c r="B844" s="32" t="s">
        <v>263</v>
      </c>
      <c r="C844" s="32" t="s">
        <v>251</v>
      </c>
      <c r="D844" s="33" t="n">
        <v>46039.4201388889</v>
      </c>
      <c r="E844" s="33" t="n">
        <v>46039.4201388889</v>
      </c>
      <c r="F844" s="33" t="n">
        <v>46039.4756944444</v>
      </c>
      <c r="G844" s="34" t="n">
        <f aca="false">F844-E844</f>
        <v>0.0555555555555556</v>
      </c>
      <c r="H844" s="39" t="s">
        <v>252</v>
      </c>
      <c r="J844" s="39" t="s">
        <v>253</v>
      </c>
      <c r="K844" s="32" t="s">
        <v>266</v>
      </c>
      <c r="L844" s="32" t="s">
        <v>275</v>
      </c>
      <c r="M844" s="39" t="s">
        <v>255</v>
      </c>
      <c r="N844" s="39" t="s">
        <v>268</v>
      </c>
      <c r="O844" s="32" t="s">
        <v>269</v>
      </c>
      <c r="P844" s="40" t="str">
        <f aca="false">_xlfn.CONCAT(B844,C844,D844,E844,F844)</f>
        <v>BC Caiaponia2.3215KTL-H3(MBUS-12)46039.420138888946039.420138888946039.4756944444</v>
      </c>
      <c r="Q844" s="32" t="str">
        <f aca="false">_xlfn.CONCAT(H844,I844,J844)</f>
        <v>DAURDE</v>
      </c>
    </row>
    <row r="845" customFormat="false" ht="15" hidden="false" customHeight="false" outlineLevel="0" collapsed="false">
      <c r="B845" s="32" t="s">
        <v>263</v>
      </c>
      <c r="C845" s="32" t="s">
        <v>258</v>
      </c>
      <c r="D845" s="33" t="n">
        <v>46039.4201388889</v>
      </c>
      <c r="E845" s="33" t="n">
        <v>46039.4201388889</v>
      </c>
      <c r="F845" s="33" t="n">
        <v>46039.4756944444</v>
      </c>
      <c r="G845" s="34" t="n">
        <f aca="false">F845-E845</f>
        <v>0.0555555555555556</v>
      </c>
      <c r="H845" s="39" t="s">
        <v>252</v>
      </c>
      <c r="J845" s="39" t="s">
        <v>253</v>
      </c>
      <c r="K845" s="32" t="s">
        <v>266</v>
      </c>
      <c r="L845" s="32" t="s">
        <v>275</v>
      </c>
      <c r="M845" s="39" t="s">
        <v>255</v>
      </c>
      <c r="N845" s="39" t="s">
        <v>268</v>
      </c>
      <c r="O845" s="32" t="s">
        <v>269</v>
      </c>
      <c r="P845" s="40" t="str">
        <f aca="false">_xlfn.CONCAT(B845,C845,D845,E845,F845)</f>
        <v>BC Caiaponia2.3215KTL-H3(MBUS-13)46039.420138888946039.420138888946039.4756944444</v>
      </c>
      <c r="Q845" s="32" t="str">
        <f aca="false">_xlfn.CONCAT(H845,I845,J845)</f>
        <v>DAURDE</v>
      </c>
    </row>
    <row r="846" customFormat="false" ht="15" hidden="false" customHeight="false" outlineLevel="0" collapsed="false">
      <c r="B846" s="32" t="s">
        <v>263</v>
      </c>
      <c r="C846" s="32" t="s">
        <v>259</v>
      </c>
      <c r="D846" s="33" t="n">
        <v>46039.4201388889</v>
      </c>
      <c r="E846" s="33" t="n">
        <v>46039.4201388889</v>
      </c>
      <c r="F846" s="33" t="n">
        <v>46039.4756944444</v>
      </c>
      <c r="G846" s="34" t="n">
        <f aca="false">F846-E846</f>
        <v>0.0555555555555556</v>
      </c>
      <c r="H846" s="39" t="s">
        <v>252</v>
      </c>
      <c r="J846" s="39" t="s">
        <v>253</v>
      </c>
      <c r="K846" s="32" t="s">
        <v>266</v>
      </c>
      <c r="L846" s="32" t="s">
        <v>275</v>
      </c>
      <c r="M846" s="39" t="s">
        <v>255</v>
      </c>
      <c r="N846" s="39" t="s">
        <v>268</v>
      </c>
      <c r="O846" s="32" t="s">
        <v>269</v>
      </c>
      <c r="P846" s="40" t="str">
        <f aca="false">_xlfn.CONCAT(B846,C846,D846,E846,F846)</f>
        <v>BC Caiaponia2.3215KTL-H3(MBUS-14)46039.420138888946039.420138888946039.4756944444</v>
      </c>
      <c r="Q846" s="32" t="str">
        <f aca="false">_xlfn.CONCAT(H846,I846,J846)</f>
        <v>DAURDE</v>
      </c>
    </row>
    <row r="847" customFormat="false" ht="15" hidden="false" customHeight="false" outlineLevel="0" collapsed="false">
      <c r="B847" s="32" t="s">
        <v>263</v>
      </c>
      <c r="C847" s="32" t="s">
        <v>260</v>
      </c>
      <c r="D847" s="33" t="n">
        <v>46039.4201388889</v>
      </c>
      <c r="E847" s="33" t="n">
        <v>46039.4201388889</v>
      </c>
      <c r="F847" s="33" t="n">
        <v>46039.4756944444</v>
      </c>
      <c r="G847" s="34" t="n">
        <f aca="false">F847-E847</f>
        <v>0.0555555555555556</v>
      </c>
      <c r="H847" s="39" t="s">
        <v>252</v>
      </c>
      <c r="J847" s="39" t="s">
        <v>253</v>
      </c>
      <c r="K847" s="32" t="s">
        <v>266</v>
      </c>
      <c r="L847" s="32" t="s">
        <v>275</v>
      </c>
      <c r="M847" s="39" t="s">
        <v>255</v>
      </c>
      <c r="N847" s="39" t="s">
        <v>268</v>
      </c>
      <c r="O847" s="32" t="s">
        <v>269</v>
      </c>
      <c r="P847" s="40" t="str">
        <f aca="false">_xlfn.CONCAT(B847,C847,D847,E847,F847)</f>
        <v>BC Caiaponia2.3215KTL-H3(MBUS-15)46039.420138888946039.420138888946039.4756944444</v>
      </c>
      <c r="Q847" s="32" t="str">
        <f aca="false">_xlfn.CONCAT(H847,I847,J847)</f>
        <v>DAURDE</v>
      </c>
    </row>
    <row r="848" customFormat="false" ht="15" hidden="false" customHeight="false" outlineLevel="0" collapsed="false">
      <c r="B848" s="32" t="s">
        <v>263</v>
      </c>
      <c r="C848" s="32" t="s">
        <v>261</v>
      </c>
      <c r="D848" s="33" t="n">
        <v>46039.4201388889</v>
      </c>
      <c r="E848" s="33" t="n">
        <v>46039.4201388889</v>
      </c>
      <c r="F848" s="33" t="n">
        <v>46039.4756944444</v>
      </c>
      <c r="G848" s="34" t="n">
        <f aca="false">F848-E848</f>
        <v>0.0555555555555556</v>
      </c>
      <c r="H848" s="39" t="s">
        <v>252</v>
      </c>
      <c r="J848" s="39" t="s">
        <v>253</v>
      </c>
      <c r="K848" s="32" t="s">
        <v>266</v>
      </c>
      <c r="L848" s="32" t="s">
        <v>275</v>
      </c>
      <c r="M848" s="39" t="s">
        <v>255</v>
      </c>
      <c r="N848" s="39" t="s">
        <v>268</v>
      </c>
      <c r="O848" s="32" t="s">
        <v>269</v>
      </c>
      <c r="P848" s="40" t="str">
        <f aca="false">_xlfn.CONCAT(B848,C848,D848,E848,F848)</f>
        <v>BC Caiaponia2.3215KTL-H3(MBUS-16)46039.420138888946039.420138888946039.4756944444</v>
      </c>
      <c r="Q848" s="32" t="str">
        <f aca="false">_xlfn.CONCAT(H848,I848,J848)</f>
        <v>DAURDE</v>
      </c>
    </row>
    <row r="849" customFormat="false" ht="15" hidden="false" customHeight="false" outlineLevel="0" collapsed="false">
      <c r="B849" s="32" t="s">
        <v>323</v>
      </c>
      <c r="C849" s="32" t="s">
        <v>326</v>
      </c>
      <c r="D849" s="33" t="n">
        <v>46039.4930555556</v>
      </c>
      <c r="E849" s="33" t="n">
        <v>46039.4930555556</v>
      </c>
      <c r="F849" s="33" t="n">
        <v>46039.5409722222</v>
      </c>
      <c r="G849" s="34" t="n">
        <f aca="false">F849-E849</f>
        <v>0.0479166666666667</v>
      </c>
      <c r="H849" s="39" t="s">
        <v>252</v>
      </c>
      <c r="J849" s="39" t="s">
        <v>253</v>
      </c>
      <c r="K849" s="32" t="s">
        <v>266</v>
      </c>
      <c r="L849" s="32" t="s">
        <v>522</v>
      </c>
      <c r="M849" s="39" t="s">
        <v>255</v>
      </c>
      <c r="N849" s="39" t="s">
        <v>268</v>
      </c>
      <c r="O849" s="32" t="s">
        <v>523</v>
      </c>
      <c r="P849" s="40" t="str">
        <f aca="false">_xlfn.CONCAT(B849,C849,D849,E849,F849)</f>
        <v>BC Ibiuna 1.1Inverter(MBUS-13)46039.493055555646039.493055555646039.5409722222</v>
      </c>
      <c r="Q849" s="32" t="str">
        <f aca="false">_xlfn.CONCAT(H849,I849,J849)</f>
        <v>DAURDE</v>
      </c>
    </row>
    <row r="850" customFormat="false" ht="15" hidden="false" customHeight="false" outlineLevel="0" collapsed="false">
      <c r="B850" s="32" t="s">
        <v>323</v>
      </c>
      <c r="C850" s="32" t="s">
        <v>327</v>
      </c>
      <c r="D850" s="33" t="n">
        <v>46039.4930555556</v>
      </c>
      <c r="E850" s="33" t="n">
        <v>46039.4930555556</v>
      </c>
      <c r="F850" s="33" t="n">
        <v>46039.5409722222</v>
      </c>
      <c r="G850" s="34" t="n">
        <f aca="false">F850-E850</f>
        <v>0.0479166666666667</v>
      </c>
      <c r="H850" s="39" t="s">
        <v>252</v>
      </c>
      <c r="J850" s="39" t="s">
        <v>253</v>
      </c>
      <c r="K850" s="32" t="s">
        <v>266</v>
      </c>
      <c r="L850" s="32" t="s">
        <v>522</v>
      </c>
      <c r="M850" s="39" t="s">
        <v>255</v>
      </c>
      <c r="N850" s="39" t="s">
        <v>268</v>
      </c>
      <c r="O850" s="32" t="s">
        <v>523</v>
      </c>
      <c r="P850" s="40" t="str">
        <f aca="false">_xlfn.CONCAT(B850,C850,D850,E850,F850)</f>
        <v>BC Ibiuna 1.1Inverter(MBUS-14)46039.493055555646039.493055555646039.5409722222</v>
      </c>
      <c r="Q850" s="32" t="str">
        <f aca="false">_xlfn.CONCAT(H850,I850,J850)</f>
        <v>DAURDE</v>
      </c>
    </row>
    <row r="851" customFormat="false" ht="15" hidden="false" customHeight="false" outlineLevel="0" collapsed="false">
      <c r="B851" s="32" t="s">
        <v>323</v>
      </c>
      <c r="C851" s="32" t="s">
        <v>328</v>
      </c>
      <c r="D851" s="33" t="n">
        <v>46039.4930555556</v>
      </c>
      <c r="E851" s="33" t="n">
        <v>46039.4930555556</v>
      </c>
      <c r="F851" s="33" t="n">
        <v>46039.5409722222</v>
      </c>
      <c r="G851" s="34" t="n">
        <f aca="false">F851-E851</f>
        <v>0.0479166666666667</v>
      </c>
      <c r="H851" s="39" t="s">
        <v>252</v>
      </c>
      <c r="J851" s="39" t="s">
        <v>253</v>
      </c>
      <c r="K851" s="32" t="s">
        <v>266</v>
      </c>
      <c r="L851" s="32" t="s">
        <v>522</v>
      </c>
      <c r="M851" s="39" t="s">
        <v>255</v>
      </c>
      <c r="N851" s="39" t="s">
        <v>268</v>
      </c>
      <c r="O851" s="39" t="s">
        <v>523</v>
      </c>
      <c r="P851" s="40" t="str">
        <f aca="false">_xlfn.CONCAT(B851,C851,D851,E851,F851)</f>
        <v>BC Ibiuna 1.1Inverter(MBUS-15)46039.493055555646039.493055555646039.5409722222</v>
      </c>
      <c r="Q851" s="32" t="str">
        <f aca="false">_xlfn.CONCAT(H851,I851,J851)</f>
        <v>DAURDE</v>
      </c>
    </row>
    <row r="852" customFormat="false" ht="15" hidden="false" customHeight="false" outlineLevel="0" collapsed="false">
      <c r="B852" s="32" t="s">
        <v>329</v>
      </c>
      <c r="C852" s="32" t="s">
        <v>324</v>
      </c>
      <c r="D852" s="33" t="n">
        <v>46039.4930555556</v>
      </c>
      <c r="E852" s="33" t="n">
        <v>46039.4930555556</v>
      </c>
      <c r="F852" s="33" t="n">
        <v>46039.5409722222</v>
      </c>
      <c r="G852" s="34" t="n">
        <f aca="false">F852-E852</f>
        <v>0.0479166666666667</v>
      </c>
      <c r="H852" s="39" t="s">
        <v>252</v>
      </c>
      <c r="J852" s="39" t="s">
        <v>253</v>
      </c>
      <c r="K852" s="32" t="s">
        <v>266</v>
      </c>
      <c r="L852" s="32" t="s">
        <v>522</v>
      </c>
      <c r="M852" s="39" t="s">
        <v>255</v>
      </c>
      <c r="N852" s="39" t="s">
        <v>268</v>
      </c>
      <c r="O852" s="39" t="s">
        <v>523</v>
      </c>
      <c r="P852" s="40" t="str">
        <f aca="false">_xlfn.CONCAT(B852,C852,D852,E852,F852)</f>
        <v>BC Ibiuna 1.2Inverter(MBUS-12)46039.493055555646039.493055555646039.5409722222</v>
      </c>
      <c r="Q852" s="32" t="str">
        <f aca="false">_xlfn.CONCAT(H852,I852,J852)</f>
        <v>DAURDE</v>
      </c>
    </row>
    <row r="853" customFormat="false" ht="15" hidden="false" customHeight="false" outlineLevel="0" collapsed="false">
      <c r="B853" s="32" t="s">
        <v>329</v>
      </c>
      <c r="C853" s="32" t="s">
        <v>326</v>
      </c>
      <c r="D853" s="33" t="n">
        <v>46039.4930555556</v>
      </c>
      <c r="E853" s="33" t="n">
        <v>46039.4930555556</v>
      </c>
      <c r="F853" s="33" t="n">
        <v>46039.5409722222</v>
      </c>
      <c r="G853" s="34" t="n">
        <f aca="false">F853-E853</f>
        <v>0.0479166666666667</v>
      </c>
      <c r="H853" s="39" t="s">
        <v>252</v>
      </c>
      <c r="J853" s="39" t="s">
        <v>253</v>
      </c>
      <c r="K853" s="32" t="s">
        <v>266</v>
      </c>
      <c r="L853" s="32" t="s">
        <v>522</v>
      </c>
      <c r="M853" s="39" t="s">
        <v>255</v>
      </c>
      <c r="N853" s="39" t="s">
        <v>268</v>
      </c>
      <c r="O853" s="39" t="s">
        <v>523</v>
      </c>
      <c r="P853" s="40" t="str">
        <f aca="false">_xlfn.CONCAT(B853,C853,D853,E853,F853)</f>
        <v>BC Ibiuna 1.2Inverter(MBUS-13)46039.493055555646039.493055555646039.5409722222</v>
      </c>
      <c r="Q853" s="32" t="str">
        <f aca="false">_xlfn.CONCAT(H853,I853,J853)</f>
        <v>DAURDE</v>
      </c>
    </row>
    <row r="854" customFormat="false" ht="15" hidden="false" customHeight="false" outlineLevel="0" collapsed="false">
      <c r="B854" s="32" t="s">
        <v>329</v>
      </c>
      <c r="C854" s="32" t="s">
        <v>327</v>
      </c>
      <c r="D854" s="33" t="n">
        <v>46039.4930555556</v>
      </c>
      <c r="E854" s="33" t="n">
        <v>46039.4930555556</v>
      </c>
      <c r="F854" s="33" t="n">
        <v>46039.5409722222</v>
      </c>
      <c r="G854" s="34" t="n">
        <f aca="false">F854-E854</f>
        <v>0.0479166666666667</v>
      </c>
      <c r="H854" s="39" t="s">
        <v>252</v>
      </c>
      <c r="J854" s="39" t="s">
        <v>253</v>
      </c>
      <c r="K854" s="32" t="s">
        <v>266</v>
      </c>
      <c r="L854" s="32" t="s">
        <v>522</v>
      </c>
      <c r="M854" s="39" t="s">
        <v>255</v>
      </c>
      <c r="N854" s="39" t="s">
        <v>268</v>
      </c>
      <c r="O854" s="39" t="s">
        <v>523</v>
      </c>
      <c r="P854" s="40" t="str">
        <f aca="false">_xlfn.CONCAT(B854,C854,D854,E854,F854)</f>
        <v>BC Ibiuna 1.2Inverter(MBUS-14)46039.493055555646039.493055555646039.5409722222</v>
      </c>
      <c r="Q854" s="32" t="str">
        <f aca="false">_xlfn.CONCAT(H854,I854,J854)</f>
        <v>DAURDE</v>
      </c>
    </row>
    <row r="855" customFormat="false" ht="15" hidden="false" customHeight="false" outlineLevel="0" collapsed="false">
      <c r="B855" s="32" t="s">
        <v>329</v>
      </c>
      <c r="C855" s="32" t="s">
        <v>328</v>
      </c>
      <c r="D855" s="33" t="n">
        <v>46039.4930555556</v>
      </c>
      <c r="E855" s="33" t="n">
        <v>46039.4930555556</v>
      </c>
      <c r="F855" s="33" t="n">
        <v>46039.5409722222</v>
      </c>
      <c r="G855" s="34" t="n">
        <f aca="false">F855-E855</f>
        <v>0.0479166666666667</v>
      </c>
      <c r="H855" s="39" t="s">
        <v>252</v>
      </c>
      <c r="J855" s="39" t="s">
        <v>253</v>
      </c>
      <c r="K855" s="32" t="s">
        <v>266</v>
      </c>
      <c r="L855" s="32" t="s">
        <v>522</v>
      </c>
      <c r="M855" s="39" t="s">
        <v>255</v>
      </c>
      <c r="N855" s="39" t="s">
        <v>268</v>
      </c>
      <c r="O855" s="39" t="s">
        <v>523</v>
      </c>
      <c r="P855" s="40" t="str">
        <f aca="false">_xlfn.CONCAT(B855,C855,D855,E855,F855)</f>
        <v>BC Ibiuna 1.2Inverter(MBUS-15)46039.493055555646039.493055555646039.5409722222</v>
      </c>
      <c r="Q855" s="32" t="str">
        <f aca="false">_xlfn.CONCAT(H855,I855,J855)</f>
        <v>DAURDE</v>
      </c>
    </row>
    <row r="856" customFormat="false" ht="15" hidden="false" customHeight="false" outlineLevel="0" collapsed="false">
      <c r="B856" s="32" t="s">
        <v>264</v>
      </c>
      <c r="C856" s="32" t="s">
        <v>265</v>
      </c>
      <c r="D856" s="33" t="n">
        <v>46039.4965277778</v>
      </c>
      <c r="E856" s="33" t="n">
        <v>46039.4965277778</v>
      </c>
      <c r="F856" s="33" t="n">
        <v>46039.5756944444</v>
      </c>
      <c r="G856" s="34" t="n">
        <f aca="false">F856-E856</f>
        <v>0.0791666666666667</v>
      </c>
      <c r="H856" s="39" t="s">
        <v>252</v>
      </c>
      <c r="J856" s="39" t="s">
        <v>253</v>
      </c>
      <c r="K856" s="32" t="s">
        <v>266</v>
      </c>
      <c r="L856" s="32" t="s">
        <v>267</v>
      </c>
      <c r="M856" s="39" t="s">
        <v>255</v>
      </c>
      <c r="N856" s="39" t="s">
        <v>268</v>
      </c>
      <c r="O856" s="32" t="s">
        <v>269</v>
      </c>
      <c r="P856" s="40" t="str">
        <f aca="false">_xlfn.CONCAT(B856,C856,D856,E856,F856)</f>
        <v>BC Aracu5.1Inverter(MBUS-1)46039.496527777846039.496527777846039.5756944444</v>
      </c>
      <c r="Q856" s="32" t="str">
        <f aca="false">_xlfn.CONCAT(H856,I856,J856)</f>
        <v>DAURDE</v>
      </c>
    </row>
    <row r="857" customFormat="false" ht="15" hidden="false" customHeight="false" outlineLevel="0" collapsed="false">
      <c r="B857" s="32" t="s">
        <v>270</v>
      </c>
      <c r="C857" s="32" t="s">
        <v>265</v>
      </c>
      <c r="D857" s="33" t="n">
        <v>46039.4965277778</v>
      </c>
      <c r="E857" s="33" t="n">
        <v>46039.4965277778</v>
      </c>
      <c r="F857" s="33" t="n">
        <v>46039.5756944444</v>
      </c>
      <c r="G857" s="34" t="n">
        <f aca="false">F857-E857</f>
        <v>0.0791666666666667</v>
      </c>
      <c r="H857" s="39" t="s">
        <v>252</v>
      </c>
      <c r="J857" s="39" t="s">
        <v>253</v>
      </c>
      <c r="K857" s="32" t="s">
        <v>266</v>
      </c>
      <c r="L857" s="32" t="s">
        <v>267</v>
      </c>
      <c r="M857" s="39" t="s">
        <v>255</v>
      </c>
      <c r="N857" s="39" t="s">
        <v>268</v>
      </c>
      <c r="O857" s="32" t="s">
        <v>269</v>
      </c>
      <c r="P857" s="40" t="str">
        <f aca="false">_xlfn.CONCAT(B857,C857,D857,E857,F857)</f>
        <v>BC Aracu5.2Inverter(MBUS-1)46039.496527777846039.496527777846039.5756944444</v>
      </c>
      <c r="Q857" s="32" t="str">
        <f aca="false">_xlfn.CONCAT(H857,I857,J857)</f>
        <v>DAURDE</v>
      </c>
    </row>
    <row r="858" customFormat="false" ht="15" hidden="false" customHeight="false" outlineLevel="0" collapsed="false">
      <c r="B858" s="32" t="s">
        <v>271</v>
      </c>
      <c r="C858" s="32" t="s">
        <v>265</v>
      </c>
      <c r="D858" s="33" t="n">
        <v>46039.4965277778</v>
      </c>
      <c r="E858" s="33" t="n">
        <v>46039.4965277778</v>
      </c>
      <c r="F858" s="33" t="n">
        <v>46039.5756944444</v>
      </c>
      <c r="G858" s="34" t="n">
        <f aca="false">F858-E858</f>
        <v>0.0791666666666667</v>
      </c>
      <c r="H858" s="39" t="s">
        <v>252</v>
      </c>
      <c r="J858" s="39" t="s">
        <v>253</v>
      </c>
      <c r="K858" s="32" t="s">
        <v>266</v>
      </c>
      <c r="L858" s="32" t="s">
        <v>267</v>
      </c>
      <c r="M858" s="39" t="s">
        <v>255</v>
      </c>
      <c r="N858" s="39" t="s">
        <v>268</v>
      </c>
      <c r="O858" s="32" t="s">
        <v>269</v>
      </c>
      <c r="P858" s="40" t="str">
        <f aca="false">_xlfn.CONCAT(B858,C858,D858,E858,F858)</f>
        <v>BC Aracu5.3Inverter(MBUS-1)46039.496527777846039.496527777846039.5756944444</v>
      </c>
      <c r="Q858" s="32" t="str">
        <f aca="false">_xlfn.CONCAT(H858,I858,J858)</f>
        <v>DAURDE</v>
      </c>
    </row>
    <row r="859" customFormat="false" ht="15" hidden="false" customHeight="false" outlineLevel="0" collapsed="false">
      <c r="B859" s="32" t="s">
        <v>272</v>
      </c>
      <c r="C859" s="32" t="s">
        <v>265</v>
      </c>
      <c r="D859" s="33" t="n">
        <v>46039.4965277778</v>
      </c>
      <c r="E859" s="33" t="n">
        <v>46039.4965277778</v>
      </c>
      <c r="F859" s="33" t="n">
        <v>46039.5756944444</v>
      </c>
      <c r="G859" s="34" t="n">
        <f aca="false">F859-E859</f>
        <v>0.0791666666666667</v>
      </c>
      <c r="H859" s="39" t="s">
        <v>252</v>
      </c>
      <c r="J859" s="39" t="s">
        <v>253</v>
      </c>
      <c r="K859" s="32" t="s">
        <v>266</v>
      </c>
      <c r="L859" s="32" t="s">
        <v>267</v>
      </c>
      <c r="M859" s="39" t="s">
        <v>255</v>
      </c>
      <c r="N859" s="39" t="s">
        <v>268</v>
      </c>
      <c r="O859" s="32" t="s">
        <v>269</v>
      </c>
      <c r="P859" s="40" t="str">
        <f aca="false">_xlfn.CONCAT(B859,C859,D859,E859,F859)</f>
        <v>BC Aracu5.4Inverter(MBUS-1)46039.496527777846039.496527777846039.5756944444</v>
      </c>
      <c r="Q859" s="32" t="str">
        <f aca="false">_xlfn.CONCAT(H859,I859,J859)</f>
        <v>DAURDE</v>
      </c>
    </row>
    <row r="860" customFormat="false" ht="15" hidden="false" customHeight="false" outlineLevel="0" collapsed="false">
      <c r="B860" s="32" t="s">
        <v>273</v>
      </c>
      <c r="C860" s="32" t="s">
        <v>265</v>
      </c>
      <c r="D860" s="33" t="n">
        <v>46039.4965277778</v>
      </c>
      <c r="E860" s="33" t="n">
        <v>46039.4965277778</v>
      </c>
      <c r="F860" s="33" t="n">
        <v>46039.5756944444</v>
      </c>
      <c r="G860" s="34" t="n">
        <f aca="false">F860-E860</f>
        <v>0.0791666666666667</v>
      </c>
      <c r="H860" s="39" t="s">
        <v>252</v>
      </c>
      <c r="J860" s="39" t="s">
        <v>253</v>
      </c>
      <c r="K860" s="32" t="s">
        <v>266</v>
      </c>
      <c r="L860" s="32" t="s">
        <v>267</v>
      </c>
      <c r="M860" s="39" t="s">
        <v>255</v>
      </c>
      <c r="N860" s="39" t="s">
        <v>268</v>
      </c>
      <c r="O860" s="32" t="s">
        <v>269</v>
      </c>
      <c r="P860" s="40" t="str">
        <f aca="false">_xlfn.CONCAT(B860,C860,D860,E860,F860)</f>
        <v>BC Aracu5.5Inverter(MBUS-1)46039.496527777846039.496527777846039.5756944444</v>
      </c>
      <c r="Q860" s="32" t="str">
        <f aca="false">_xlfn.CONCAT(H860,I860,J860)</f>
        <v>DAURDE</v>
      </c>
    </row>
    <row r="861" customFormat="false" ht="15" hidden="false" customHeight="false" outlineLevel="0" collapsed="false">
      <c r="B861" s="32" t="s">
        <v>112</v>
      </c>
      <c r="C861" s="32" t="s">
        <v>524</v>
      </c>
      <c r="D861" s="33" t="n">
        <v>46039.5798611111</v>
      </c>
      <c r="E861" s="33" t="n">
        <v>46039.5798611111</v>
      </c>
      <c r="F861" s="33" t="n">
        <v>46039.6534722222</v>
      </c>
      <c r="G861" s="34" t="n">
        <f aca="false">F861-E861</f>
        <v>0.0736111111111111</v>
      </c>
      <c r="H861" s="39" t="s">
        <v>252</v>
      </c>
      <c r="J861" s="39" t="s">
        <v>253</v>
      </c>
      <c r="K861" s="32" t="s">
        <v>266</v>
      </c>
      <c r="L861" s="32" t="s">
        <v>525</v>
      </c>
      <c r="M861" s="39" t="s">
        <v>255</v>
      </c>
      <c r="N861" s="39" t="s">
        <v>268</v>
      </c>
      <c r="O861" s="32" t="s">
        <v>523</v>
      </c>
      <c r="P861" s="40" t="str">
        <f aca="false">_xlfn.CONCAT(B861,C861,D861,E861,F861)</f>
        <v>BC ParanoaSG60KTL(COM1-014)_001_01346039.579861111146039.579861111146039.6534722222</v>
      </c>
      <c r="Q861" s="32" t="str">
        <f aca="false">_xlfn.CONCAT(H861,I861,J861)</f>
        <v>DAURDE</v>
      </c>
    </row>
    <row r="862" customFormat="false" ht="15" hidden="false" customHeight="false" outlineLevel="0" collapsed="false">
      <c r="B862" s="32" t="s">
        <v>112</v>
      </c>
      <c r="C862" s="32" t="s">
        <v>526</v>
      </c>
      <c r="D862" s="33" t="n">
        <v>46039.5798611111</v>
      </c>
      <c r="E862" s="33" t="n">
        <v>46039.5798611111</v>
      </c>
      <c r="F862" s="33" t="n">
        <v>46039.6534722222</v>
      </c>
      <c r="G862" s="34" t="n">
        <f aca="false">F862-E862</f>
        <v>0.0736111111111111</v>
      </c>
      <c r="H862" s="39" t="s">
        <v>252</v>
      </c>
      <c r="J862" s="39" t="s">
        <v>253</v>
      </c>
      <c r="K862" s="32" t="s">
        <v>266</v>
      </c>
      <c r="L862" s="32" t="s">
        <v>525</v>
      </c>
      <c r="M862" s="39" t="s">
        <v>255</v>
      </c>
      <c r="N862" s="39" t="s">
        <v>268</v>
      </c>
      <c r="O862" s="32" t="s">
        <v>523</v>
      </c>
      <c r="P862" s="40" t="str">
        <f aca="false">_xlfn.CONCAT(B862,C862,D862,E862,F862)</f>
        <v>BC ParanoaSG60KTL(COM1-013)_001_01046039.579861111146039.579861111146039.6534722222</v>
      </c>
      <c r="Q862" s="32" t="str">
        <f aca="false">_xlfn.CONCAT(H862,I862,J862)</f>
        <v>DAURDE</v>
      </c>
    </row>
    <row r="863" customFormat="false" ht="15" hidden="false" customHeight="false" outlineLevel="0" collapsed="false">
      <c r="B863" s="32" t="s">
        <v>112</v>
      </c>
      <c r="C863" s="32" t="s">
        <v>527</v>
      </c>
      <c r="D863" s="33" t="n">
        <v>46039.5798611111</v>
      </c>
      <c r="E863" s="33" t="n">
        <v>46039.5798611111</v>
      </c>
      <c r="F863" s="33" t="n">
        <v>46039.6534722222</v>
      </c>
      <c r="G863" s="34" t="n">
        <f aca="false">F863-E863</f>
        <v>0.0736111111111111</v>
      </c>
      <c r="H863" s="39" t="s">
        <v>252</v>
      </c>
      <c r="J863" s="39" t="s">
        <v>253</v>
      </c>
      <c r="K863" s="32" t="s">
        <v>266</v>
      </c>
      <c r="L863" s="32" t="s">
        <v>525</v>
      </c>
      <c r="M863" s="39" t="s">
        <v>255</v>
      </c>
      <c r="N863" s="39" t="s">
        <v>268</v>
      </c>
      <c r="O863" s="32" t="s">
        <v>523</v>
      </c>
      <c r="P863" s="40" t="str">
        <f aca="false">_xlfn.CONCAT(B863,C863,D863,E863,F863)</f>
        <v>BC ParanoaSG60KTL(COM1-012)_001_01146039.579861111146039.579861111146039.6534722222</v>
      </c>
      <c r="Q863" s="32" t="str">
        <f aca="false">_xlfn.CONCAT(H863,I863,J863)</f>
        <v>DAURDE</v>
      </c>
    </row>
    <row r="864" customFormat="false" ht="15" hidden="false" customHeight="false" outlineLevel="0" collapsed="false">
      <c r="B864" s="32" t="s">
        <v>112</v>
      </c>
      <c r="C864" s="32" t="s">
        <v>528</v>
      </c>
      <c r="D864" s="33" t="n">
        <v>46039.5798611111</v>
      </c>
      <c r="E864" s="33" t="n">
        <v>46039.5798611111</v>
      </c>
      <c r="F864" s="33" t="n">
        <v>46039.6534722222</v>
      </c>
      <c r="G864" s="34" t="n">
        <f aca="false">F864-E864</f>
        <v>0.0736111111111111</v>
      </c>
      <c r="H864" s="39" t="s">
        <v>252</v>
      </c>
      <c r="J864" s="39" t="s">
        <v>253</v>
      </c>
      <c r="K864" s="32" t="s">
        <v>266</v>
      </c>
      <c r="L864" s="32" t="s">
        <v>525</v>
      </c>
      <c r="M864" s="39" t="s">
        <v>255</v>
      </c>
      <c r="N864" s="39" t="s">
        <v>268</v>
      </c>
      <c r="O864" s="32" t="s">
        <v>523</v>
      </c>
      <c r="P864" s="40" t="str">
        <f aca="false">_xlfn.CONCAT(B864,C864,D864,E864,F864)</f>
        <v>BC ParanoaSG60KTL(COM1-011)_001_00546039.579861111146039.579861111146039.6534722222</v>
      </c>
      <c r="Q864" s="32" t="str">
        <f aca="false">_xlfn.CONCAT(H864,I864,J864)</f>
        <v>DAURDE</v>
      </c>
    </row>
    <row r="865" customFormat="false" ht="15" hidden="false" customHeight="false" outlineLevel="0" collapsed="false">
      <c r="B865" s="32" t="s">
        <v>112</v>
      </c>
      <c r="C865" s="32" t="s">
        <v>529</v>
      </c>
      <c r="D865" s="33" t="n">
        <v>46039.5798611111</v>
      </c>
      <c r="E865" s="33" t="n">
        <v>46039.5798611111</v>
      </c>
      <c r="F865" s="33" t="n">
        <v>46039.6534722222</v>
      </c>
      <c r="G865" s="34" t="n">
        <f aca="false">F865-E865</f>
        <v>0.0736111111111111</v>
      </c>
      <c r="H865" s="39" t="s">
        <v>252</v>
      </c>
      <c r="J865" s="39" t="s">
        <v>253</v>
      </c>
      <c r="K865" s="32" t="s">
        <v>266</v>
      </c>
      <c r="L865" s="32" t="s">
        <v>525</v>
      </c>
      <c r="M865" s="39" t="s">
        <v>255</v>
      </c>
      <c r="N865" s="39" t="s">
        <v>268</v>
      </c>
      <c r="O865" s="32" t="s">
        <v>523</v>
      </c>
      <c r="P865" s="40" t="str">
        <f aca="false">_xlfn.CONCAT(B865,C865,D865,E865,F865)</f>
        <v>BC ParanoaSG60KTL(COM1-010)_001_00346039.579861111146039.579861111146039.6534722222</v>
      </c>
      <c r="Q865" s="32" t="str">
        <f aca="false">_xlfn.CONCAT(H865,I865,J865)</f>
        <v>DAURDE</v>
      </c>
    </row>
    <row r="866" customFormat="false" ht="15" hidden="false" customHeight="false" outlineLevel="0" collapsed="false">
      <c r="B866" s="32" t="s">
        <v>112</v>
      </c>
      <c r="C866" s="32" t="s">
        <v>530</v>
      </c>
      <c r="D866" s="33" t="n">
        <v>46039.5798611111</v>
      </c>
      <c r="E866" s="33" t="n">
        <v>46039.5798611111</v>
      </c>
      <c r="F866" s="33" t="n">
        <v>46039.6534722222</v>
      </c>
      <c r="G866" s="34" t="n">
        <f aca="false">F866-E866</f>
        <v>0.0736111111111111</v>
      </c>
      <c r="H866" s="39" t="s">
        <v>252</v>
      </c>
      <c r="J866" s="39" t="s">
        <v>253</v>
      </c>
      <c r="K866" s="32" t="s">
        <v>266</v>
      </c>
      <c r="L866" s="32" t="s">
        <v>525</v>
      </c>
      <c r="M866" s="39" t="s">
        <v>255</v>
      </c>
      <c r="N866" s="39" t="s">
        <v>268</v>
      </c>
      <c r="O866" s="32" t="s">
        <v>523</v>
      </c>
      <c r="P866" s="40" t="str">
        <f aca="false">_xlfn.CONCAT(B866,C866,D866,E866,F866)</f>
        <v>BC ParanoaSG60KTL(COM1-018)_001_01246039.579861111146039.579861111146039.6534722222</v>
      </c>
      <c r="Q866" s="32" t="str">
        <f aca="false">_xlfn.CONCAT(H866,I866,J866)</f>
        <v>DAURDE</v>
      </c>
    </row>
    <row r="867" customFormat="false" ht="15" hidden="false" customHeight="false" outlineLevel="0" collapsed="false">
      <c r="B867" s="32" t="s">
        <v>112</v>
      </c>
      <c r="C867" s="32" t="s">
        <v>531</v>
      </c>
      <c r="D867" s="33" t="n">
        <v>46039.5798611111</v>
      </c>
      <c r="E867" s="33" t="n">
        <v>46039.5798611111</v>
      </c>
      <c r="F867" s="33" t="n">
        <v>46039.6534722222</v>
      </c>
      <c r="G867" s="34" t="n">
        <f aca="false">F867-E867</f>
        <v>0.0736111111111111</v>
      </c>
      <c r="H867" s="39" t="s">
        <v>252</v>
      </c>
      <c r="J867" s="39" t="s">
        <v>253</v>
      </c>
      <c r="K867" s="32" t="s">
        <v>266</v>
      </c>
      <c r="L867" s="32" t="s">
        <v>525</v>
      </c>
      <c r="M867" s="39" t="s">
        <v>255</v>
      </c>
      <c r="N867" s="39" t="s">
        <v>268</v>
      </c>
      <c r="O867" s="32" t="s">
        <v>523</v>
      </c>
      <c r="P867" s="40" t="str">
        <f aca="false">_xlfn.CONCAT(B867,C867,D867,E867,F867)</f>
        <v>BC ParanoaSG60KTL(COM1-017)_001_00746039.579861111146039.579861111146039.6534722222</v>
      </c>
      <c r="Q867" s="32" t="str">
        <f aca="false">_xlfn.CONCAT(H867,I867,J867)</f>
        <v>DAURDE</v>
      </c>
    </row>
    <row r="868" customFormat="false" ht="15" hidden="false" customHeight="false" outlineLevel="0" collapsed="false">
      <c r="B868" s="32" t="s">
        <v>112</v>
      </c>
      <c r="C868" s="32" t="s">
        <v>532</v>
      </c>
      <c r="D868" s="33" t="n">
        <v>46039.5798611111</v>
      </c>
      <c r="E868" s="33" t="n">
        <v>46039.5798611111</v>
      </c>
      <c r="F868" s="33" t="n">
        <v>46039.6534722222</v>
      </c>
      <c r="G868" s="34" t="n">
        <f aca="false">F868-E868</f>
        <v>0.0736111111111111</v>
      </c>
      <c r="H868" s="39" t="s">
        <v>252</v>
      </c>
      <c r="J868" s="39" t="s">
        <v>253</v>
      </c>
      <c r="K868" s="32" t="s">
        <v>266</v>
      </c>
      <c r="L868" s="32" t="s">
        <v>525</v>
      </c>
      <c r="M868" s="39" t="s">
        <v>255</v>
      </c>
      <c r="N868" s="39" t="s">
        <v>268</v>
      </c>
      <c r="O868" s="32" t="s">
        <v>523</v>
      </c>
      <c r="P868" s="40" t="str">
        <f aca="false">_xlfn.CONCAT(B868,C868,D868,E868,F868)</f>
        <v>BC ParanoaSG60KTL(COM1-016)_001_00646039.579861111146039.579861111146039.6534722222</v>
      </c>
      <c r="Q868" s="32" t="str">
        <f aca="false">_xlfn.CONCAT(H868,I868,J868)</f>
        <v>DAURDE</v>
      </c>
    </row>
    <row r="869" customFormat="false" ht="15" hidden="false" customHeight="false" outlineLevel="0" collapsed="false">
      <c r="B869" s="32" t="s">
        <v>112</v>
      </c>
      <c r="C869" s="32" t="s">
        <v>533</v>
      </c>
      <c r="D869" s="33" t="n">
        <v>46039.5798611111</v>
      </c>
      <c r="E869" s="33" t="n">
        <v>46039.5798611111</v>
      </c>
      <c r="F869" s="33" t="n">
        <v>46039.6534722222</v>
      </c>
      <c r="G869" s="34" t="n">
        <f aca="false">F869-E869</f>
        <v>0.0736111111111111</v>
      </c>
      <c r="H869" s="39" t="s">
        <v>252</v>
      </c>
      <c r="J869" s="39" t="s">
        <v>253</v>
      </c>
      <c r="K869" s="32" t="s">
        <v>266</v>
      </c>
      <c r="L869" s="32" t="s">
        <v>525</v>
      </c>
      <c r="M869" s="39" t="s">
        <v>255</v>
      </c>
      <c r="N869" s="39" t="s">
        <v>268</v>
      </c>
      <c r="O869" s="32" t="s">
        <v>523</v>
      </c>
      <c r="P869" s="40" t="str">
        <f aca="false">_xlfn.CONCAT(B869,C869,D869,E869,F869)</f>
        <v>BC ParanoaSG50CX(COM2-015)_001_01746039.579861111146039.579861111146039.6534722222</v>
      </c>
      <c r="Q869" s="32" t="str">
        <f aca="false">_xlfn.CONCAT(H869,I869,J869)</f>
        <v>DAURDE</v>
      </c>
    </row>
    <row r="870" customFormat="false" ht="15" hidden="false" customHeight="false" outlineLevel="0" collapsed="false">
      <c r="B870" s="32" t="s">
        <v>112</v>
      </c>
      <c r="C870" s="32" t="s">
        <v>534</v>
      </c>
      <c r="D870" s="33" t="n">
        <v>46039.5798611111</v>
      </c>
      <c r="E870" s="33" t="n">
        <v>46039.5798611111</v>
      </c>
      <c r="F870" s="33" t="n">
        <v>46039.6534722222</v>
      </c>
      <c r="G870" s="34" t="n">
        <f aca="false">F870-E870</f>
        <v>0.0736111111111111</v>
      </c>
      <c r="H870" s="39" t="s">
        <v>252</v>
      </c>
      <c r="J870" s="39" t="s">
        <v>253</v>
      </c>
      <c r="K870" s="32" t="s">
        <v>266</v>
      </c>
      <c r="L870" s="32" t="s">
        <v>525</v>
      </c>
      <c r="M870" s="39" t="s">
        <v>255</v>
      </c>
      <c r="N870" s="39" t="s">
        <v>268</v>
      </c>
      <c r="O870" s="32" t="s">
        <v>523</v>
      </c>
      <c r="P870" s="40" t="str">
        <f aca="false">_xlfn.CONCAT(B870,C870,D870,E870,F870)</f>
        <v>BC ParanoaSG60KTL(COM1-009)_001_00246039.579861111146039.579861111146039.6534722222</v>
      </c>
      <c r="Q870" s="32" t="str">
        <f aca="false">_xlfn.CONCAT(H870,I870,J870)</f>
        <v>DAURDE</v>
      </c>
    </row>
    <row r="871" customFormat="false" ht="15" hidden="false" customHeight="false" outlineLevel="0" collapsed="false">
      <c r="B871" s="32" t="s">
        <v>112</v>
      </c>
      <c r="C871" s="32" t="s">
        <v>535</v>
      </c>
      <c r="D871" s="33" t="n">
        <v>46039.5798611111</v>
      </c>
      <c r="E871" s="33" t="n">
        <v>46039.5798611111</v>
      </c>
      <c r="F871" s="33" t="n">
        <v>46039.6534722222</v>
      </c>
      <c r="G871" s="34" t="n">
        <f aca="false">F871-E871</f>
        <v>0.0736111111111111</v>
      </c>
      <c r="H871" s="39" t="s">
        <v>252</v>
      </c>
      <c r="J871" s="39" t="s">
        <v>253</v>
      </c>
      <c r="K871" s="32" t="s">
        <v>266</v>
      </c>
      <c r="L871" s="32" t="s">
        <v>525</v>
      </c>
      <c r="M871" s="39" t="s">
        <v>255</v>
      </c>
      <c r="N871" s="39" t="s">
        <v>268</v>
      </c>
      <c r="O871" s="32" t="s">
        <v>523</v>
      </c>
      <c r="P871" s="40" t="str">
        <f aca="false">_xlfn.CONCAT(B871,C871,D871,E871,F871)</f>
        <v>BC ParanoaSG60KTL(COM1-008)_001_00946039.579861111146039.579861111146039.6534722222</v>
      </c>
      <c r="Q871" s="32" t="str">
        <f aca="false">_xlfn.CONCAT(H871,I871,J871)</f>
        <v>DAURDE</v>
      </c>
    </row>
    <row r="872" customFormat="false" ht="15" hidden="false" customHeight="false" outlineLevel="0" collapsed="false">
      <c r="B872" s="32" t="s">
        <v>112</v>
      </c>
      <c r="C872" s="32" t="s">
        <v>536</v>
      </c>
      <c r="D872" s="33" t="n">
        <v>46039.5798611111</v>
      </c>
      <c r="E872" s="33" t="n">
        <v>46039.5798611111</v>
      </c>
      <c r="F872" s="33" t="n">
        <v>46039.6534722222</v>
      </c>
      <c r="G872" s="34" t="n">
        <f aca="false">F872-E872</f>
        <v>0.0736111111111111</v>
      </c>
      <c r="H872" s="39" t="s">
        <v>252</v>
      </c>
      <c r="J872" s="39" t="s">
        <v>253</v>
      </c>
      <c r="K872" s="32" t="s">
        <v>266</v>
      </c>
      <c r="L872" s="32" t="s">
        <v>525</v>
      </c>
      <c r="M872" s="39" t="s">
        <v>255</v>
      </c>
      <c r="N872" s="39" t="s">
        <v>268</v>
      </c>
      <c r="O872" s="32" t="s">
        <v>523</v>
      </c>
      <c r="P872" s="40" t="str">
        <f aca="false">_xlfn.CONCAT(B872,C872,D872,E872,F872)</f>
        <v>BC ParanoaSG60KTL(COM1-007)_001_00446039.579861111146039.579861111146039.6534722222</v>
      </c>
      <c r="Q872" s="32" t="str">
        <f aca="false">_xlfn.CONCAT(H872,I872,J872)</f>
        <v>DAURDE</v>
      </c>
    </row>
    <row r="873" customFormat="false" ht="15" hidden="false" customHeight="false" outlineLevel="0" collapsed="false">
      <c r="B873" s="32" t="s">
        <v>112</v>
      </c>
      <c r="C873" s="32" t="s">
        <v>537</v>
      </c>
      <c r="D873" s="33" t="n">
        <v>46039.5798611111</v>
      </c>
      <c r="E873" s="33" t="n">
        <v>46039.5798611111</v>
      </c>
      <c r="F873" s="33" t="n">
        <v>46039.6534722222</v>
      </c>
      <c r="G873" s="34" t="n">
        <f aca="false">F873-E873</f>
        <v>0.0736111111111111</v>
      </c>
      <c r="H873" s="39" t="s">
        <v>252</v>
      </c>
      <c r="J873" s="39" t="s">
        <v>253</v>
      </c>
      <c r="K873" s="32" t="s">
        <v>266</v>
      </c>
      <c r="L873" s="32" t="s">
        <v>525</v>
      </c>
      <c r="M873" s="39" t="s">
        <v>255</v>
      </c>
      <c r="N873" s="39" t="s">
        <v>268</v>
      </c>
      <c r="O873" s="32" t="s">
        <v>523</v>
      </c>
      <c r="P873" s="40" t="str">
        <f aca="false">_xlfn.CONCAT(B873,C873,D873,E873,F873)</f>
        <v>BC ParanoaSG60KTL(COM1-006)_001_01446039.579861111146039.579861111146039.6534722222</v>
      </c>
      <c r="Q873" s="32" t="str">
        <f aca="false">_xlfn.CONCAT(H873,I873,J873)</f>
        <v>DAURDE</v>
      </c>
    </row>
    <row r="874" customFormat="false" ht="15" hidden="false" customHeight="false" outlineLevel="0" collapsed="false">
      <c r="B874" s="32" t="s">
        <v>112</v>
      </c>
      <c r="C874" s="32" t="s">
        <v>538</v>
      </c>
      <c r="D874" s="33" t="n">
        <v>46039.5798611111</v>
      </c>
      <c r="E874" s="33" t="n">
        <v>46039.5798611111</v>
      </c>
      <c r="F874" s="33" t="n">
        <v>46039.6534722222</v>
      </c>
      <c r="G874" s="34" t="n">
        <f aca="false">F874-E874</f>
        <v>0.0736111111111111</v>
      </c>
      <c r="H874" s="39" t="s">
        <v>252</v>
      </c>
      <c r="J874" s="39" t="s">
        <v>253</v>
      </c>
      <c r="K874" s="32" t="s">
        <v>266</v>
      </c>
      <c r="L874" s="32" t="s">
        <v>525</v>
      </c>
      <c r="M874" s="39" t="s">
        <v>255</v>
      </c>
      <c r="N874" s="39" t="s">
        <v>268</v>
      </c>
      <c r="O874" s="32" t="s">
        <v>523</v>
      </c>
      <c r="P874" s="40" t="str">
        <f aca="false">_xlfn.CONCAT(B874,C874,D874,E874,F874)</f>
        <v>BC ParanoaSG40CX(COM2-005)_001_01546039.579861111146039.579861111146039.6534722222</v>
      </c>
      <c r="Q874" s="32" t="str">
        <f aca="false">_xlfn.CONCAT(H874,I874,J874)</f>
        <v>DAURDE</v>
      </c>
    </row>
    <row r="875" customFormat="false" ht="15" hidden="false" customHeight="false" outlineLevel="0" collapsed="false">
      <c r="B875" s="32" t="s">
        <v>112</v>
      </c>
      <c r="C875" s="32" t="s">
        <v>539</v>
      </c>
      <c r="D875" s="33" t="n">
        <v>46039.5798611111</v>
      </c>
      <c r="E875" s="33" t="n">
        <v>46039.5798611111</v>
      </c>
      <c r="F875" s="33" t="n">
        <v>46039.6534722222</v>
      </c>
      <c r="G875" s="34" t="n">
        <f aca="false">F875-E875</f>
        <v>0.0736111111111111</v>
      </c>
      <c r="H875" s="39" t="s">
        <v>252</v>
      </c>
      <c r="J875" s="39" t="s">
        <v>253</v>
      </c>
      <c r="K875" s="32" t="s">
        <v>266</v>
      </c>
      <c r="L875" s="32" t="s">
        <v>525</v>
      </c>
      <c r="M875" s="39" t="s">
        <v>255</v>
      </c>
      <c r="N875" s="39" t="s">
        <v>268</v>
      </c>
      <c r="O875" s="32" t="s">
        <v>523</v>
      </c>
      <c r="P875" s="40" t="str">
        <f aca="false">_xlfn.CONCAT(B875,C875,D875,E875,F875)</f>
        <v>BC ParanoaSG60KTL(COM1-019)_002_00746039.579861111146039.579861111146039.6534722222</v>
      </c>
      <c r="Q875" s="32" t="str">
        <f aca="false">_xlfn.CONCAT(H875,I875,J875)</f>
        <v>DAURDE</v>
      </c>
    </row>
    <row r="876" customFormat="false" ht="15" hidden="false" customHeight="false" outlineLevel="0" collapsed="false">
      <c r="B876" s="32" t="s">
        <v>112</v>
      </c>
      <c r="C876" s="32" t="s">
        <v>540</v>
      </c>
      <c r="D876" s="33" t="n">
        <v>46039.5798611111</v>
      </c>
      <c r="E876" s="33" t="n">
        <v>46039.5798611111</v>
      </c>
      <c r="F876" s="33" t="n">
        <v>46039.6534722222</v>
      </c>
      <c r="G876" s="34" t="n">
        <f aca="false">F876-E876</f>
        <v>0.0736111111111111</v>
      </c>
      <c r="H876" s="39" t="s">
        <v>252</v>
      </c>
      <c r="J876" s="39" t="s">
        <v>253</v>
      </c>
      <c r="K876" s="32" t="s">
        <v>266</v>
      </c>
      <c r="L876" s="32" t="s">
        <v>525</v>
      </c>
      <c r="M876" s="39" t="s">
        <v>255</v>
      </c>
      <c r="N876" s="39" t="s">
        <v>268</v>
      </c>
      <c r="O876" s="32" t="s">
        <v>523</v>
      </c>
      <c r="P876" s="40" t="str">
        <f aca="false">_xlfn.CONCAT(B876,C876,D876,E876,F876)</f>
        <v>BC ParanoaSG60KTL(COM1-020)_002_01146039.579861111146039.579861111146039.6534722222</v>
      </c>
      <c r="Q876" s="32" t="str">
        <f aca="false">_xlfn.CONCAT(H876,I876,J876)</f>
        <v>DAURDE</v>
      </c>
    </row>
    <row r="877" customFormat="false" ht="15" hidden="false" customHeight="false" outlineLevel="0" collapsed="false">
      <c r="B877" s="32" t="s">
        <v>112</v>
      </c>
      <c r="C877" s="32" t="s">
        <v>541</v>
      </c>
      <c r="D877" s="33" t="n">
        <v>46039.5798611111</v>
      </c>
      <c r="E877" s="33" t="n">
        <v>46039.5798611111</v>
      </c>
      <c r="F877" s="33" t="n">
        <v>46039.6534722222</v>
      </c>
      <c r="G877" s="34" t="n">
        <f aca="false">F877-E877</f>
        <v>0.0736111111111111</v>
      </c>
      <c r="H877" s="39" t="s">
        <v>252</v>
      </c>
      <c r="J877" s="39" t="s">
        <v>253</v>
      </c>
      <c r="K877" s="32" t="s">
        <v>266</v>
      </c>
      <c r="L877" s="32" t="s">
        <v>525</v>
      </c>
      <c r="M877" s="39" t="s">
        <v>255</v>
      </c>
      <c r="N877" s="39" t="s">
        <v>268</v>
      </c>
      <c r="O877" s="32" t="s">
        <v>523</v>
      </c>
      <c r="P877" s="40" t="str">
        <f aca="false">_xlfn.CONCAT(B877,C877,D877,E877,F877)</f>
        <v>BC ParanoaSG60KTL(COM1-021)_002_01746039.579861111146039.579861111146039.6534722222</v>
      </c>
      <c r="Q877" s="32" t="str">
        <f aca="false">_xlfn.CONCAT(H877,I877,J877)</f>
        <v>DAURDE</v>
      </c>
    </row>
    <row r="878" customFormat="false" ht="15" hidden="false" customHeight="false" outlineLevel="0" collapsed="false">
      <c r="B878" s="32" t="s">
        <v>112</v>
      </c>
      <c r="C878" s="32" t="s">
        <v>542</v>
      </c>
      <c r="D878" s="33" t="n">
        <v>46039.5798611111</v>
      </c>
      <c r="E878" s="33" t="n">
        <v>46039.5798611111</v>
      </c>
      <c r="F878" s="33" t="n">
        <v>46039.6534722222</v>
      </c>
      <c r="G878" s="34" t="n">
        <f aca="false">F878-E878</f>
        <v>0.0736111111111111</v>
      </c>
      <c r="H878" s="39" t="s">
        <v>252</v>
      </c>
      <c r="J878" s="39" t="s">
        <v>253</v>
      </c>
      <c r="K878" s="32" t="s">
        <v>266</v>
      </c>
      <c r="L878" s="32" t="s">
        <v>525</v>
      </c>
      <c r="M878" s="39" t="s">
        <v>255</v>
      </c>
      <c r="N878" s="39" t="s">
        <v>268</v>
      </c>
      <c r="O878" s="32" t="s">
        <v>523</v>
      </c>
      <c r="P878" s="40" t="str">
        <f aca="false">_xlfn.CONCAT(B878,C878,D878,E878,F878)</f>
        <v>BC ParanoaSG60KTL(COM1-022)_002_02046039.579861111146039.579861111146039.6534722222</v>
      </c>
      <c r="Q878" s="32" t="str">
        <f aca="false">_xlfn.CONCAT(H878,I878,J878)</f>
        <v>DAURDE</v>
      </c>
    </row>
    <row r="879" customFormat="false" ht="15" hidden="false" customHeight="false" outlineLevel="0" collapsed="false">
      <c r="B879" s="32" t="s">
        <v>112</v>
      </c>
      <c r="C879" s="32" t="s">
        <v>543</v>
      </c>
      <c r="D879" s="33" t="n">
        <v>46039.5798611111</v>
      </c>
      <c r="E879" s="33" t="n">
        <v>46039.5798611111</v>
      </c>
      <c r="F879" s="33" t="n">
        <v>46039.6534722222</v>
      </c>
      <c r="G879" s="34" t="n">
        <f aca="false">F879-E879</f>
        <v>0.0736111111111111</v>
      </c>
      <c r="H879" s="39" t="s">
        <v>252</v>
      </c>
      <c r="J879" s="39" t="s">
        <v>253</v>
      </c>
      <c r="K879" s="32" t="s">
        <v>266</v>
      </c>
      <c r="L879" s="32" t="s">
        <v>525</v>
      </c>
      <c r="M879" s="39" t="s">
        <v>255</v>
      </c>
      <c r="N879" s="39" t="s">
        <v>268</v>
      </c>
      <c r="O879" s="32" t="s">
        <v>523</v>
      </c>
      <c r="P879" s="40" t="str">
        <f aca="false">_xlfn.CONCAT(B879,C879,D879,E879,F879)</f>
        <v>BC ParanoaSG40CX(COM2-023)_002_02446039.579861111146039.579861111146039.6534722222</v>
      </c>
      <c r="Q879" s="32" t="str">
        <f aca="false">_xlfn.CONCAT(H879,I879,J879)</f>
        <v>DAURDE</v>
      </c>
    </row>
    <row r="880" customFormat="false" ht="15" hidden="false" customHeight="false" outlineLevel="0" collapsed="false">
      <c r="B880" s="32" t="s">
        <v>112</v>
      </c>
      <c r="C880" s="32" t="s">
        <v>544</v>
      </c>
      <c r="D880" s="33" t="n">
        <v>46039.5798611111</v>
      </c>
      <c r="E880" s="33" t="n">
        <v>46039.5798611111</v>
      </c>
      <c r="F880" s="33" t="n">
        <v>46039.6534722222</v>
      </c>
      <c r="G880" s="34" t="n">
        <f aca="false">F880-E880</f>
        <v>0.0736111111111111</v>
      </c>
      <c r="H880" s="39" t="s">
        <v>252</v>
      </c>
      <c r="J880" s="39" t="s">
        <v>253</v>
      </c>
      <c r="K880" s="32" t="s">
        <v>266</v>
      </c>
      <c r="L880" s="32" t="s">
        <v>525</v>
      </c>
      <c r="M880" s="39" t="s">
        <v>255</v>
      </c>
      <c r="N880" s="39" t="s">
        <v>268</v>
      </c>
      <c r="O880" s="32" t="s">
        <v>523</v>
      </c>
      <c r="P880" s="40" t="str">
        <f aca="false">_xlfn.CONCAT(B880,C880,D880,E880,F880)</f>
        <v>BC ParanoaSG40CX(COM2-024)_002_02246039.579861111146039.579861111146039.6534722222</v>
      </c>
      <c r="Q880" s="32" t="str">
        <f aca="false">_xlfn.CONCAT(H880,I880,J880)</f>
        <v>DAURDE</v>
      </c>
    </row>
    <row r="881" customFormat="false" ht="15" hidden="false" customHeight="false" outlineLevel="0" collapsed="false">
      <c r="B881" s="32" t="s">
        <v>112</v>
      </c>
      <c r="C881" s="32" t="s">
        <v>545</v>
      </c>
      <c r="D881" s="33" t="n">
        <v>46039.5798611111</v>
      </c>
      <c r="E881" s="33" t="n">
        <v>46039.5798611111</v>
      </c>
      <c r="F881" s="33" t="n">
        <v>46039.6534722222</v>
      </c>
      <c r="G881" s="34" t="n">
        <f aca="false">F881-E881</f>
        <v>0.0736111111111111</v>
      </c>
      <c r="H881" s="39" t="s">
        <v>252</v>
      </c>
      <c r="J881" s="39" t="s">
        <v>253</v>
      </c>
      <c r="K881" s="32" t="s">
        <v>266</v>
      </c>
      <c r="L881" s="32" t="s">
        <v>525</v>
      </c>
      <c r="M881" s="39" t="s">
        <v>255</v>
      </c>
      <c r="N881" s="39" t="s">
        <v>268</v>
      </c>
      <c r="O881" s="32" t="s">
        <v>523</v>
      </c>
      <c r="P881" s="40" t="str">
        <f aca="false">_xlfn.CONCAT(B881,C881,D881,E881,F881)</f>
        <v>BC ParanoaSG60KTL(COM1-007)_002_01346039.579861111146039.579861111146039.6534722222</v>
      </c>
      <c r="Q881" s="32" t="str">
        <f aca="false">_xlfn.CONCAT(H881,I881,J881)</f>
        <v>DAURDE</v>
      </c>
    </row>
    <row r="882" customFormat="false" ht="15" hidden="false" customHeight="false" outlineLevel="0" collapsed="false">
      <c r="B882" s="32" t="s">
        <v>112</v>
      </c>
      <c r="C882" s="32" t="s">
        <v>546</v>
      </c>
      <c r="D882" s="33" t="n">
        <v>46039.5798611111</v>
      </c>
      <c r="E882" s="33" t="n">
        <v>46039.5798611111</v>
      </c>
      <c r="F882" s="33" t="n">
        <v>46039.6534722222</v>
      </c>
      <c r="G882" s="34" t="n">
        <f aca="false">F882-E882</f>
        <v>0.0736111111111111</v>
      </c>
      <c r="H882" s="39" t="s">
        <v>252</v>
      </c>
      <c r="J882" s="39" t="s">
        <v>253</v>
      </c>
      <c r="K882" s="32" t="s">
        <v>266</v>
      </c>
      <c r="L882" s="32" t="s">
        <v>525</v>
      </c>
      <c r="M882" s="39" t="s">
        <v>255</v>
      </c>
      <c r="N882" s="39" t="s">
        <v>268</v>
      </c>
      <c r="O882" s="32" t="s">
        <v>523</v>
      </c>
      <c r="P882" s="40" t="str">
        <f aca="false">_xlfn.CONCAT(B882,C882,D882,E882,F882)</f>
        <v>BC ParanoaSG60KTL(COM1-008)_002_00246039.579861111146039.579861111146039.6534722222</v>
      </c>
      <c r="Q882" s="32" t="str">
        <f aca="false">_xlfn.CONCAT(H882,I882,J882)</f>
        <v>DAURDE</v>
      </c>
    </row>
    <row r="883" customFormat="false" ht="15" hidden="false" customHeight="false" outlineLevel="0" collapsed="false">
      <c r="B883" s="32" t="s">
        <v>112</v>
      </c>
      <c r="C883" s="32" t="s">
        <v>547</v>
      </c>
      <c r="D883" s="33" t="n">
        <v>46039.5798611111</v>
      </c>
      <c r="E883" s="33" t="n">
        <v>46039.5798611111</v>
      </c>
      <c r="F883" s="33" t="n">
        <v>46039.6534722222</v>
      </c>
      <c r="G883" s="34" t="n">
        <f aca="false">F883-E883</f>
        <v>0.0736111111111111</v>
      </c>
      <c r="H883" s="39" t="s">
        <v>252</v>
      </c>
      <c r="J883" s="39" t="s">
        <v>253</v>
      </c>
      <c r="K883" s="32" t="s">
        <v>266</v>
      </c>
      <c r="L883" s="32" t="s">
        <v>525</v>
      </c>
      <c r="M883" s="39" t="s">
        <v>255</v>
      </c>
      <c r="N883" s="39" t="s">
        <v>268</v>
      </c>
      <c r="O883" s="32" t="s">
        <v>523</v>
      </c>
      <c r="P883" s="40" t="str">
        <f aca="false">_xlfn.CONCAT(B883,C883,D883,E883,F883)</f>
        <v>BC ParanoaSG60KTL(COM1-009)_002_00846039.579861111146039.579861111146039.6534722222</v>
      </c>
      <c r="Q883" s="32" t="str">
        <f aca="false">_xlfn.CONCAT(H883,I883,J883)</f>
        <v>DAURDE</v>
      </c>
    </row>
    <row r="884" customFormat="false" ht="15" hidden="false" customHeight="false" outlineLevel="0" collapsed="false">
      <c r="B884" s="32" t="s">
        <v>112</v>
      </c>
      <c r="C884" s="32" t="s">
        <v>548</v>
      </c>
      <c r="D884" s="33" t="n">
        <v>46039.5798611111</v>
      </c>
      <c r="E884" s="33" t="n">
        <v>46039.5798611111</v>
      </c>
      <c r="F884" s="33" t="n">
        <v>46039.6534722222</v>
      </c>
      <c r="G884" s="34" t="n">
        <f aca="false">F884-E884</f>
        <v>0.0736111111111111</v>
      </c>
      <c r="H884" s="39" t="s">
        <v>252</v>
      </c>
      <c r="J884" s="39" t="s">
        <v>253</v>
      </c>
      <c r="K884" s="32" t="s">
        <v>266</v>
      </c>
      <c r="L884" s="32" t="s">
        <v>525</v>
      </c>
      <c r="M884" s="39" t="s">
        <v>255</v>
      </c>
      <c r="N884" s="39" t="s">
        <v>268</v>
      </c>
      <c r="O884" s="32" t="s">
        <v>523</v>
      </c>
      <c r="P884" s="40" t="str">
        <f aca="false">_xlfn.CONCAT(B884,C884,D884,E884,F884)</f>
        <v>BC ParanoaSG60KTL(COM1-010)_002_00346039.579861111146039.579861111146039.6534722222</v>
      </c>
      <c r="Q884" s="32" t="str">
        <f aca="false">_xlfn.CONCAT(H884,I884,J884)</f>
        <v>DAURDE</v>
      </c>
    </row>
    <row r="885" customFormat="false" ht="15" hidden="false" customHeight="false" outlineLevel="0" collapsed="false">
      <c r="B885" s="32" t="s">
        <v>112</v>
      </c>
      <c r="C885" s="32" t="s">
        <v>549</v>
      </c>
      <c r="D885" s="33" t="n">
        <v>46039.5798611111</v>
      </c>
      <c r="E885" s="33" t="n">
        <v>46039.5798611111</v>
      </c>
      <c r="F885" s="33" t="n">
        <v>46039.6534722222</v>
      </c>
      <c r="G885" s="34" t="n">
        <f aca="false">F885-E885</f>
        <v>0.0736111111111111</v>
      </c>
      <c r="H885" s="39" t="s">
        <v>252</v>
      </c>
      <c r="J885" s="39" t="s">
        <v>253</v>
      </c>
      <c r="K885" s="32" t="s">
        <v>266</v>
      </c>
      <c r="L885" s="32" t="s">
        <v>525</v>
      </c>
      <c r="M885" s="39" t="s">
        <v>255</v>
      </c>
      <c r="N885" s="39" t="s">
        <v>268</v>
      </c>
      <c r="O885" s="32" t="s">
        <v>523</v>
      </c>
      <c r="P885" s="40" t="str">
        <f aca="false">_xlfn.CONCAT(B885,C885,D885,E885,F885)</f>
        <v>BC ParanoaSG60KTL(COM1-011)_002_01046039.579861111146039.579861111146039.6534722222</v>
      </c>
      <c r="Q885" s="32" t="str">
        <f aca="false">_xlfn.CONCAT(H885,I885,J885)</f>
        <v>DAURDE</v>
      </c>
    </row>
    <row r="886" customFormat="false" ht="15" hidden="false" customHeight="false" outlineLevel="0" collapsed="false">
      <c r="B886" s="32" t="s">
        <v>112</v>
      </c>
      <c r="C886" s="32" t="s">
        <v>550</v>
      </c>
      <c r="D886" s="33" t="n">
        <v>46039.5798611111</v>
      </c>
      <c r="E886" s="33" t="n">
        <v>46039.5798611111</v>
      </c>
      <c r="F886" s="33" t="n">
        <v>46039.6534722222</v>
      </c>
      <c r="G886" s="34" t="n">
        <f aca="false">F886-E886</f>
        <v>0.0736111111111111</v>
      </c>
      <c r="H886" s="39" t="s">
        <v>252</v>
      </c>
      <c r="J886" s="39" t="s">
        <v>253</v>
      </c>
      <c r="K886" s="32" t="s">
        <v>266</v>
      </c>
      <c r="L886" s="32" t="s">
        <v>525</v>
      </c>
      <c r="M886" s="39" t="s">
        <v>255</v>
      </c>
      <c r="N886" s="39" t="s">
        <v>268</v>
      </c>
      <c r="O886" s="32" t="s">
        <v>523</v>
      </c>
      <c r="P886" s="40" t="str">
        <f aca="false">_xlfn.CONCAT(B886,C886,D886,E886,F886)</f>
        <v>BC ParanoaSG60KTL(COM1-012)_002_00546039.579861111146039.579861111146039.6534722222</v>
      </c>
      <c r="Q886" s="32" t="str">
        <f aca="false">_xlfn.CONCAT(H886,I886,J886)</f>
        <v>DAURDE</v>
      </c>
    </row>
    <row r="887" customFormat="false" ht="15" hidden="false" customHeight="false" outlineLevel="0" collapsed="false">
      <c r="B887" s="32" t="s">
        <v>112</v>
      </c>
      <c r="C887" s="32" t="s">
        <v>551</v>
      </c>
      <c r="D887" s="33" t="n">
        <v>46039.5798611111</v>
      </c>
      <c r="E887" s="33" t="n">
        <v>46039.5798611111</v>
      </c>
      <c r="F887" s="33" t="n">
        <v>46039.6534722222</v>
      </c>
      <c r="G887" s="34" t="n">
        <f aca="false">F887-E887</f>
        <v>0.0736111111111111</v>
      </c>
      <c r="H887" s="39" t="s">
        <v>252</v>
      </c>
      <c r="J887" s="39" t="s">
        <v>253</v>
      </c>
      <c r="K887" s="32" t="s">
        <v>266</v>
      </c>
      <c r="L887" s="32" t="s">
        <v>525</v>
      </c>
      <c r="M887" s="39" t="s">
        <v>255</v>
      </c>
      <c r="N887" s="39" t="s">
        <v>268</v>
      </c>
      <c r="O887" s="32" t="s">
        <v>523</v>
      </c>
      <c r="P887" s="40" t="str">
        <f aca="false">_xlfn.CONCAT(B887,C887,D887,E887,F887)</f>
        <v>BC ParanoaSG60KTL(COM1-001)_002_00646039.579861111146039.579861111146039.6534722222</v>
      </c>
      <c r="Q887" s="32" t="str">
        <f aca="false">_xlfn.CONCAT(H887,I887,J887)</f>
        <v>DAURDE</v>
      </c>
    </row>
    <row r="888" customFormat="false" ht="15" hidden="false" customHeight="false" outlineLevel="0" collapsed="false">
      <c r="B888" s="32" t="s">
        <v>112</v>
      </c>
      <c r="C888" s="32" t="s">
        <v>552</v>
      </c>
      <c r="D888" s="33" t="n">
        <v>46039.5798611111</v>
      </c>
      <c r="E888" s="33" t="n">
        <v>46039.5798611111</v>
      </c>
      <c r="F888" s="33" t="n">
        <v>46039.6534722222</v>
      </c>
      <c r="G888" s="34" t="n">
        <f aca="false">F888-E888</f>
        <v>0.0736111111111111</v>
      </c>
      <c r="H888" s="39" t="s">
        <v>252</v>
      </c>
      <c r="J888" s="39" t="s">
        <v>253</v>
      </c>
      <c r="K888" s="32" t="s">
        <v>266</v>
      </c>
      <c r="L888" s="32" t="s">
        <v>525</v>
      </c>
      <c r="M888" s="39" t="s">
        <v>255</v>
      </c>
      <c r="N888" s="39" t="s">
        <v>268</v>
      </c>
      <c r="O888" s="32" t="s">
        <v>523</v>
      </c>
      <c r="P888" s="40" t="str">
        <f aca="false">_xlfn.CONCAT(B888,C888,D888,E888,F888)</f>
        <v>BC ParanoaSG60KTL(COM1-002)_002_01646039.579861111146039.579861111146039.6534722222</v>
      </c>
      <c r="Q888" s="32" t="str">
        <f aca="false">_xlfn.CONCAT(H888,I888,J888)</f>
        <v>DAURDE</v>
      </c>
    </row>
    <row r="889" customFormat="false" ht="15" hidden="false" customHeight="false" outlineLevel="0" collapsed="false">
      <c r="B889" s="32" t="s">
        <v>112</v>
      </c>
      <c r="C889" s="32" t="s">
        <v>553</v>
      </c>
      <c r="D889" s="33" t="n">
        <v>46039.5798611111</v>
      </c>
      <c r="E889" s="33" t="n">
        <v>46039.5798611111</v>
      </c>
      <c r="F889" s="33" t="n">
        <v>46039.6534722222</v>
      </c>
      <c r="G889" s="34" t="n">
        <f aca="false">F889-E889</f>
        <v>0.0736111111111111</v>
      </c>
      <c r="H889" s="39" t="s">
        <v>252</v>
      </c>
      <c r="J889" s="39" t="s">
        <v>253</v>
      </c>
      <c r="K889" s="32" t="s">
        <v>266</v>
      </c>
      <c r="L889" s="32" t="s">
        <v>525</v>
      </c>
      <c r="M889" s="39" t="s">
        <v>255</v>
      </c>
      <c r="N889" s="39" t="s">
        <v>268</v>
      </c>
      <c r="O889" s="32" t="s">
        <v>523</v>
      </c>
      <c r="P889" s="40" t="str">
        <f aca="false">_xlfn.CONCAT(B889,C889,D889,E889,F889)</f>
        <v>BC ParanoaSG50CX(COM2-003)_002_02146039.579861111146039.579861111146039.6534722222</v>
      </c>
      <c r="Q889" s="32" t="str">
        <f aca="false">_xlfn.CONCAT(H889,I889,J889)</f>
        <v>DAURDE</v>
      </c>
    </row>
    <row r="890" customFormat="false" ht="15" hidden="false" customHeight="false" outlineLevel="0" collapsed="false">
      <c r="B890" s="32" t="s">
        <v>112</v>
      </c>
      <c r="C890" s="32" t="s">
        <v>554</v>
      </c>
      <c r="D890" s="33" t="n">
        <v>46039.5798611111</v>
      </c>
      <c r="E890" s="33" t="n">
        <v>46039.5798611111</v>
      </c>
      <c r="F890" s="33" t="n">
        <v>46039.6534722222</v>
      </c>
      <c r="G890" s="34" t="n">
        <f aca="false">F890-E890</f>
        <v>0.0736111111111111</v>
      </c>
      <c r="H890" s="39" t="s">
        <v>252</v>
      </c>
      <c r="J890" s="39" t="s">
        <v>253</v>
      </c>
      <c r="K890" s="32" t="s">
        <v>266</v>
      </c>
      <c r="L890" s="32" t="s">
        <v>525</v>
      </c>
      <c r="M890" s="39" t="s">
        <v>255</v>
      </c>
      <c r="N890" s="39" t="s">
        <v>268</v>
      </c>
      <c r="O890" s="32" t="s">
        <v>523</v>
      </c>
      <c r="P890" s="40" t="str">
        <f aca="false">_xlfn.CONCAT(B890,C890,D890,E890,F890)</f>
        <v>BC ParanoaSG50CX(COM2-004)_002_02346039.579861111146039.579861111146039.6534722222</v>
      </c>
      <c r="Q890" s="32" t="str">
        <f aca="false">_xlfn.CONCAT(H890,I890,J890)</f>
        <v>DAURDE</v>
      </c>
    </row>
    <row r="891" customFormat="false" ht="15" hidden="false" customHeight="false" outlineLevel="0" collapsed="false">
      <c r="B891" s="32" t="s">
        <v>112</v>
      </c>
      <c r="C891" s="32" t="s">
        <v>555</v>
      </c>
      <c r="D891" s="33" t="n">
        <v>46039.5798611111</v>
      </c>
      <c r="E891" s="33" t="n">
        <v>46039.5798611111</v>
      </c>
      <c r="F891" s="33" t="n">
        <v>46039.6534722222</v>
      </c>
      <c r="G891" s="34" t="n">
        <f aca="false">F891-E891</f>
        <v>0.0736111111111111</v>
      </c>
      <c r="H891" s="39" t="s">
        <v>252</v>
      </c>
      <c r="J891" s="39" t="s">
        <v>253</v>
      </c>
      <c r="K891" s="32" t="s">
        <v>266</v>
      </c>
      <c r="L891" s="32" t="s">
        <v>525</v>
      </c>
      <c r="M891" s="39" t="s">
        <v>255</v>
      </c>
      <c r="N891" s="39" t="s">
        <v>268</v>
      </c>
      <c r="O891" s="32" t="s">
        <v>523</v>
      </c>
      <c r="P891" s="40" t="str">
        <f aca="false">_xlfn.CONCAT(B891,C891,D891,E891,F891)</f>
        <v>BC ParanoaSG60KTL(COM1-005)_002_00946039.579861111146039.579861111146039.6534722222</v>
      </c>
      <c r="Q891" s="32" t="str">
        <f aca="false">_xlfn.CONCAT(H891,I891,J891)</f>
        <v>DAURDE</v>
      </c>
    </row>
    <row r="892" customFormat="false" ht="15" hidden="false" customHeight="false" outlineLevel="0" collapsed="false">
      <c r="B892" s="32" t="s">
        <v>112</v>
      </c>
      <c r="C892" s="32" t="s">
        <v>556</v>
      </c>
      <c r="D892" s="33" t="n">
        <v>46039.5798611111</v>
      </c>
      <c r="E892" s="33" t="n">
        <v>46039.5798611111</v>
      </c>
      <c r="F892" s="33" t="n">
        <v>46039.6534722222</v>
      </c>
      <c r="G892" s="34" t="n">
        <f aca="false">F892-E892</f>
        <v>0.0736111111111111</v>
      </c>
      <c r="H892" s="39" t="s">
        <v>252</v>
      </c>
      <c r="J892" s="39" t="s">
        <v>253</v>
      </c>
      <c r="K892" s="32" t="s">
        <v>266</v>
      </c>
      <c r="L892" s="32" t="s">
        <v>525</v>
      </c>
      <c r="M892" s="39" t="s">
        <v>255</v>
      </c>
      <c r="N892" s="39" t="s">
        <v>268</v>
      </c>
      <c r="O892" s="32" t="s">
        <v>523</v>
      </c>
      <c r="P892" s="40" t="str">
        <f aca="false">_xlfn.CONCAT(B892,C892,D892,E892,F892)</f>
        <v>BC ParanoaSG60KTL(COM1-006)_002_00146039.579861111146039.579861111146039.6534722222</v>
      </c>
      <c r="Q892" s="32" t="str">
        <f aca="false">_xlfn.CONCAT(H892,I892,J892)</f>
        <v>DAURDE</v>
      </c>
    </row>
    <row r="893" customFormat="false" ht="15" hidden="false" customHeight="false" outlineLevel="0" collapsed="false">
      <c r="B893" s="32" t="s">
        <v>112</v>
      </c>
      <c r="C893" s="32" t="s">
        <v>557</v>
      </c>
      <c r="D893" s="33" t="n">
        <v>46039.5798611111</v>
      </c>
      <c r="E893" s="33" t="n">
        <v>46039.5798611111</v>
      </c>
      <c r="F893" s="33" t="n">
        <v>46039.6534722222</v>
      </c>
      <c r="G893" s="34" t="n">
        <f aca="false">F893-E893</f>
        <v>0.0736111111111111</v>
      </c>
      <c r="H893" s="39" t="s">
        <v>252</v>
      </c>
      <c r="J893" s="39" t="s">
        <v>253</v>
      </c>
      <c r="K893" s="32" t="s">
        <v>266</v>
      </c>
      <c r="L893" s="32" t="s">
        <v>525</v>
      </c>
      <c r="M893" s="39" t="s">
        <v>255</v>
      </c>
      <c r="N893" s="39" t="s">
        <v>268</v>
      </c>
      <c r="O893" s="32" t="s">
        <v>523</v>
      </c>
      <c r="P893" s="40" t="str">
        <f aca="false">_xlfn.CONCAT(B893,C893,D893,E893,F893)</f>
        <v>BC ParanoaSG60KTL(COM1-013)_002_00446039.579861111146039.579861111146039.6534722222</v>
      </c>
      <c r="Q893" s="32" t="str">
        <f aca="false">_xlfn.CONCAT(H893,I893,J893)</f>
        <v>DAURDE</v>
      </c>
    </row>
    <row r="894" customFormat="false" ht="15" hidden="false" customHeight="false" outlineLevel="0" collapsed="false">
      <c r="B894" s="32" t="s">
        <v>112</v>
      </c>
      <c r="C894" s="32" t="s">
        <v>558</v>
      </c>
      <c r="D894" s="33" t="n">
        <v>46039.5798611111</v>
      </c>
      <c r="E894" s="33" t="n">
        <v>46039.5798611111</v>
      </c>
      <c r="F894" s="33" t="n">
        <v>46039.6534722222</v>
      </c>
      <c r="G894" s="34" t="n">
        <f aca="false">F894-E894</f>
        <v>0.0736111111111111</v>
      </c>
      <c r="H894" s="39" t="s">
        <v>252</v>
      </c>
      <c r="J894" s="39" t="s">
        <v>253</v>
      </c>
      <c r="K894" s="32" t="s">
        <v>266</v>
      </c>
      <c r="L894" s="32" t="s">
        <v>525</v>
      </c>
      <c r="M894" s="39" t="s">
        <v>255</v>
      </c>
      <c r="N894" s="39" t="s">
        <v>268</v>
      </c>
      <c r="O894" s="32" t="s">
        <v>523</v>
      </c>
      <c r="P894" s="40" t="str">
        <f aca="false">_xlfn.CONCAT(B894,C894,D894,E894,F894)</f>
        <v>BC ParanoaSG60KTL(COM1-014)_002_01946039.579861111146039.579861111146039.6534722222</v>
      </c>
      <c r="Q894" s="32" t="str">
        <f aca="false">_xlfn.CONCAT(H894,I894,J894)</f>
        <v>DAURDE</v>
      </c>
    </row>
    <row r="895" customFormat="false" ht="15" hidden="false" customHeight="false" outlineLevel="0" collapsed="false">
      <c r="B895" s="32" t="s">
        <v>112</v>
      </c>
      <c r="C895" s="32" t="s">
        <v>559</v>
      </c>
      <c r="D895" s="33" t="n">
        <v>46039.5798611111</v>
      </c>
      <c r="E895" s="33" t="n">
        <v>46039.5798611111</v>
      </c>
      <c r="F895" s="33" t="n">
        <v>46039.6534722222</v>
      </c>
      <c r="G895" s="34" t="n">
        <f aca="false">F895-E895</f>
        <v>0.0736111111111111</v>
      </c>
      <c r="H895" s="39" t="s">
        <v>252</v>
      </c>
      <c r="J895" s="39" t="s">
        <v>253</v>
      </c>
      <c r="K895" s="32" t="s">
        <v>266</v>
      </c>
      <c r="L895" s="32" t="s">
        <v>525</v>
      </c>
      <c r="M895" s="39" t="s">
        <v>255</v>
      </c>
      <c r="N895" s="39" t="s">
        <v>268</v>
      </c>
      <c r="O895" s="32" t="s">
        <v>523</v>
      </c>
      <c r="P895" s="40" t="str">
        <f aca="false">_xlfn.CONCAT(B895,C895,D895,E895,F895)</f>
        <v>BC ParanoaSG60KTL(COM1-015)_002_01846039.579861111146039.579861111146039.6534722222</v>
      </c>
      <c r="Q895" s="32" t="str">
        <f aca="false">_xlfn.CONCAT(H895,I895,J895)</f>
        <v>DAURDE</v>
      </c>
    </row>
    <row r="896" customFormat="false" ht="15" hidden="false" customHeight="false" outlineLevel="0" collapsed="false">
      <c r="B896" s="32" t="s">
        <v>112</v>
      </c>
      <c r="C896" s="32" t="s">
        <v>560</v>
      </c>
      <c r="D896" s="33" t="n">
        <v>46039.5798611111</v>
      </c>
      <c r="E896" s="33" t="n">
        <v>46039.5798611111</v>
      </c>
      <c r="F896" s="33" t="n">
        <v>46039.6534722222</v>
      </c>
      <c r="G896" s="34" t="n">
        <f aca="false">F896-E896</f>
        <v>0.0736111111111111</v>
      </c>
      <c r="H896" s="39" t="s">
        <v>252</v>
      </c>
      <c r="J896" s="39" t="s">
        <v>253</v>
      </c>
      <c r="K896" s="32" t="s">
        <v>266</v>
      </c>
      <c r="L896" s="32" t="s">
        <v>525</v>
      </c>
      <c r="M896" s="39" t="s">
        <v>255</v>
      </c>
      <c r="N896" s="39" t="s">
        <v>268</v>
      </c>
      <c r="O896" s="32" t="s">
        <v>523</v>
      </c>
      <c r="P896" s="40" t="str">
        <f aca="false">_xlfn.CONCAT(B896,C896,D896,E896,F896)</f>
        <v>BC ParanoaSG60KTL(COM1-016)_002_01446039.579861111146039.579861111146039.6534722222</v>
      </c>
      <c r="Q896" s="32" t="str">
        <f aca="false">_xlfn.CONCAT(H896,I896,J896)</f>
        <v>DAURDE</v>
      </c>
    </row>
    <row r="897" customFormat="false" ht="15" hidden="false" customHeight="false" outlineLevel="0" collapsed="false">
      <c r="B897" s="32" t="s">
        <v>112</v>
      </c>
      <c r="C897" s="32" t="s">
        <v>561</v>
      </c>
      <c r="D897" s="33" t="n">
        <v>46039.5798611111</v>
      </c>
      <c r="E897" s="33" t="n">
        <v>46039.5798611111</v>
      </c>
      <c r="F897" s="33" t="n">
        <v>46039.6534722222</v>
      </c>
      <c r="G897" s="34" t="n">
        <f aca="false">F897-E897</f>
        <v>0.0736111111111111</v>
      </c>
      <c r="H897" s="39" t="s">
        <v>252</v>
      </c>
      <c r="J897" s="39" t="s">
        <v>253</v>
      </c>
      <c r="K897" s="32" t="s">
        <v>266</v>
      </c>
      <c r="L897" s="32" t="s">
        <v>525</v>
      </c>
      <c r="M897" s="39" t="s">
        <v>255</v>
      </c>
      <c r="N897" s="39" t="s">
        <v>268</v>
      </c>
      <c r="O897" s="32" t="s">
        <v>523</v>
      </c>
      <c r="P897" s="40" t="str">
        <f aca="false">_xlfn.CONCAT(B897,C897,D897,E897,F897)</f>
        <v>BC ParanoaSG60KTL(COM1-017)_002_01546039.579861111146039.579861111146039.6534722222</v>
      </c>
      <c r="Q897" s="32" t="str">
        <f aca="false">_xlfn.CONCAT(H897,I897,J897)</f>
        <v>DAURDE</v>
      </c>
    </row>
    <row r="898" customFormat="false" ht="15" hidden="false" customHeight="false" outlineLevel="0" collapsed="false">
      <c r="B898" s="32" t="s">
        <v>112</v>
      </c>
      <c r="C898" s="32" t="s">
        <v>562</v>
      </c>
      <c r="D898" s="33" t="n">
        <v>46039.5798611111</v>
      </c>
      <c r="E898" s="33" t="n">
        <v>46039.5798611111</v>
      </c>
      <c r="F898" s="33" t="n">
        <v>46039.6534722222</v>
      </c>
      <c r="G898" s="34" t="n">
        <f aca="false">F898-E898</f>
        <v>0.0736111111111111</v>
      </c>
      <c r="H898" s="39" t="s">
        <v>252</v>
      </c>
      <c r="J898" s="39" t="s">
        <v>253</v>
      </c>
      <c r="K898" s="32" t="s">
        <v>266</v>
      </c>
      <c r="L898" s="32" t="s">
        <v>525</v>
      </c>
      <c r="M898" s="39" t="s">
        <v>255</v>
      </c>
      <c r="N898" s="39" t="s">
        <v>268</v>
      </c>
      <c r="O898" s="32" t="s">
        <v>523</v>
      </c>
      <c r="P898" s="40" t="str">
        <f aca="false">_xlfn.CONCAT(B898,C898,D898,E898,F898)</f>
        <v>BC ParanoaSG60KTL(COM1-018)_002_01246039.579861111146039.579861111146039.6534722222</v>
      </c>
      <c r="Q898" s="32" t="str">
        <f aca="false">_xlfn.CONCAT(H898,I898,J898)</f>
        <v>DAURDE</v>
      </c>
    </row>
    <row r="899" customFormat="false" ht="15" hidden="false" customHeight="false" outlineLevel="0" collapsed="false">
      <c r="B899" s="32" t="s">
        <v>112</v>
      </c>
      <c r="C899" s="32" t="s">
        <v>563</v>
      </c>
      <c r="D899" s="33" t="n">
        <v>46039.5798611111</v>
      </c>
      <c r="E899" s="33" t="n">
        <v>46039.5798611111</v>
      </c>
      <c r="F899" s="33" t="n">
        <v>46039.6534722222</v>
      </c>
      <c r="G899" s="34" t="n">
        <f aca="false">F899-E899</f>
        <v>0.0736111111111111</v>
      </c>
      <c r="H899" s="39" t="s">
        <v>252</v>
      </c>
      <c r="J899" s="39" t="s">
        <v>253</v>
      </c>
      <c r="K899" s="32" t="s">
        <v>266</v>
      </c>
      <c r="L899" s="32" t="s">
        <v>525</v>
      </c>
      <c r="M899" s="39" t="s">
        <v>255</v>
      </c>
      <c r="N899" s="39" t="s">
        <v>268</v>
      </c>
      <c r="O899" s="32" t="s">
        <v>523</v>
      </c>
      <c r="P899" s="40" t="str">
        <f aca="false">_xlfn.CONCAT(B899,C899,D899,E899,F899)</f>
        <v>BC ParanoaSG50CX(COM2-004)_001_01846039.579861111146039.579861111146039.6534722222</v>
      </c>
      <c r="Q899" s="32" t="str">
        <f aca="false">_xlfn.CONCAT(H899,I899,J899)</f>
        <v>DAURDE</v>
      </c>
    </row>
    <row r="900" customFormat="false" ht="15" hidden="false" customHeight="false" outlineLevel="0" collapsed="false">
      <c r="B900" s="32" t="s">
        <v>112</v>
      </c>
      <c r="C900" s="32" t="s">
        <v>564</v>
      </c>
      <c r="D900" s="33" t="n">
        <v>46039.5798611111</v>
      </c>
      <c r="E900" s="33" t="n">
        <v>46039.5798611111</v>
      </c>
      <c r="F900" s="33" t="n">
        <v>46039.6534722222</v>
      </c>
      <c r="G900" s="34" t="n">
        <f aca="false">F900-E900</f>
        <v>0.0736111111111111</v>
      </c>
      <c r="H900" s="39" t="s">
        <v>252</v>
      </c>
      <c r="J900" s="39" t="s">
        <v>253</v>
      </c>
      <c r="K900" s="32" t="s">
        <v>266</v>
      </c>
      <c r="L900" s="32" t="s">
        <v>525</v>
      </c>
      <c r="M900" s="39" t="s">
        <v>255</v>
      </c>
      <c r="N900" s="39" t="s">
        <v>268</v>
      </c>
      <c r="O900" s="32" t="s">
        <v>523</v>
      </c>
      <c r="P900" s="40" t="str">
        <f aca="false">_xlfn.CONCAT(B900,C900,D900,E900,F900)</f>
        <v>BC ParanoaSG50CX(COM2-003)_001_01646039.579861111146039.579861111146039.6534722222</v>
      </c>
      <c r="Q900" s="32" t="str">
        <f aca="false">_xlfn.CONCAT(H900,I900,J900)</f>
        <v>DAURDE</v>
      </c>
    </row>
    <row r="901" customFormat="false" ht="15" hidden="false" customHeight="false" outlineLevel="0" collapsed="false">
      <c r="B901" s="32" t="s">
        <v>112</v>
      </c>
      <c r="C901" s="32" t="s">
        <v>565</v>
      </c>
      <c r="D901" s="33" t="n">
        <v>46039.5798611111</v>
      </c>
      <c r="E901" s="33" t="n">
        <v>46039.5798611111</v>
      </c>
      <c r="F901" s="33" t="n">
        <v>46039.6534722222</v>
      </c>
      <c r="G901" s="34" t="n">
        <f aca="false">F901-E901</f>
        <v>0.0736111111111111</v>
      </c>
      <c r="H901" s="39" t="s">
        <v>252</v>
      </c>
      <c r="J901" s="39" t="s">
        <v>253</v>
      </c>
      <c r="K901" s="32" t="s">
        <v>266</v>
      </c>
      <c r="L901" s="32" t="s">
        <v>525</v>
      </c>
      <c r="M901" s="39" t="s">
        <v>255</v>
      </c>
      <c r="N901" s="39" t="s">
        <v>268</v>
      </c>
      <c r="O901" s="32" t="s">
        <v>523</v>
      </c>
      <c r="P901" s="40" t="str">
        <f aca="false">_xlfn.CONCAT(B901,C901,D901,E901,F901)</f>
        <v>BC ParanoaSG60KTL(COM1-002)_001_00846039.579861111146039.579861111146039.6534722222</v>
      </c>
      <c r="Q901" s="32" t="str">
        <f aca="false">_xlfn.CONCAT(H901,I901,J901)</f>
        <v>DAURDE</v>
      </c>
    </row>
    <row r="902" customFormat="false" ht="15" hidden="false" customHeight="false" outlineLevel="0" collapsed="false">
      <c r="B902" s="32" t="s">
        <v>48</v>
      </c>
      <c r="C902" s="32" t="s">
        <v>294</v>
      </c>
      <c r="D902" s="33" t="n">
        <v>46039.5972222222</v>
      </c>
      <c r="E902" s="33" t="n">
        <v>46039.5972222222</v>
      </c>
      <c r="F902" s="33" t="n">
        <v>46039.6590277778</v>
      </c>
      <c r="G902" s="34" t="n">
        <f aca="false">F902-E902</f>
        <v>0.0618055555555556</v>
      </c>
      <c r="H902" s="39" t="s">
        <v>252</v>
      </c>
      <c r="J902" s="39" t="s">
        <v>253</v>
      </c>
      <c r="K902" s="32" t="s">
        <v>266</v>
      </c>
      <c r="L902" s="32" t="s">
        <v>275</v>
      </c>
      <c r="M902" s="39" t="s">
        <v>255</v>
      </c>
      <c r="N902" s="39" t="s">
        <v>268</v>
      </c>
      <c r="O902" s="32" t="s">
        <v>269</v>
      </c>
      <c r="P902" s="40" t="str">
        <f aca="false">_xlfn.CONCAT(B902,C902,D902,E902,F902)</f>
        <v>BC Caiaponia1SG60KTL(COM1-001)_001_00746039.597222222246039.597222222246039.6590277778</v>
      </c>
      <c r="Q902" s="32" t="str">
        <f aca="false">_xlfn.CONCAT(H902,I902,J902)</f>
        <v>DAURDE</v>
      </c>
    </row>
    <row r="903" customFormat="false" ht="15" hidden="false" customHeight="false" outlineLevel="0" collapsed="false">
      <c r="B903" s="32" t="s">
        <v>48</v>
      </c>
      <c r="C903" s="32" t="s">
        <v>295</v>
      </c>
      <c r="D903" s="33" t="n">
        <v>46039.5972222222</v>
      </c>
      <c r="E903" s="33" t="n">
        <v>46039.5972222222</v>
      </c>
      <c r="F903" s="33" t="n">
        <v>46039.6590277778</v>
      </c>
      <c r="G903" s="34" t="n">
        <f aca="false">F903-E903</f>
        <v>0.0618055555555556</v>
      </c>
      <c r="H903" s="39" t="s">
        <v>252</v>
      </c>
      <c r="J903" s="39" t="s">
        <v>253</v>
      </c>
      <c r="K903" s="32" t="s">
        <v>266</v>
      </c>
      <c r="L903" s="32" t="s">
        <v>275</v>
      </c>
      <c r="M903" s="39" t="s">
        <v>255</v>
      </c>
      <c r="N903" s="39" t="s">
        <v>268</v>
      </c>
      <c r="O903" s="32" t="s">
        <v>269</v>
      </c>
      <c r="P903" s="40" t="str">
        <f aca="false">_xlfn.CONCAT(B903,C903,D903,E903,F903)</f>
        <v>BC Caiaponia1SG60KTL(COM1-002)_001_01046039.597222222246039.597222222246039.6590277778</v>
      </c>
      <c r="Q903" s="32" t="str">
        <f aca="false">_xlfn.CONCAT(H903,I903,J903)</f>
        <v>DAURDE</v>
      </c>
    </row>
    <row r="904" customFormat="false" ht="15" hidden="false" customHeight="false" outlineLevel="0" collapsed="false">
      <c r="B904" s="32" t="s">
        <v>48</v>
      </c>
      <c r="C904" s="32" t="s">
        <v>296</v>
      </c>
      <c r="D904" s="33" t="n">
        <v>46039.5972222222</v>
      </c>
      <c r="E904" s="33" t="n">
        <v>46039.5972222222</v>
      </c>
      <c r="F904" s="33" t="n">
        <v>46039.6590277778</v>
      </c>
      <c r="G904" s="34" t="n">
        <f aca="false">F904-E904</f>
        <v>0.0618055555555556</v>
      </c>
      <c r="H904" s="39" t="s">
        <v>252</v>
      </c>
      <c r="J904" s="39" t="s">
        <v>253</v>
      </c>
      <c r="K904" s="32" t="s">
        <v>266</v>
      </c>
      <c r="L904" s="32" t="s">
        <v>275</v>
      </c>
      <c r="M904" s="39" t="s">
        <v>255</v>
      </c>
      <c r="N904" s="39" t="s">
        <v>268</v>
      </c>
      <c r="O904" s="32" t="s">
        <v>269</v>
      </c>
      <c r="P904" s="40" t="str">
        <f aca="false">_xlfn.CONCAT(B904,C904,D904,E904,F904)</f>
        <v>BC Caiaponia1SG60KTL(COM1-003)_001_01146039.597222222246039.597222222246039.6590277778</v>
      </c>
      <c r="Q904" s="32" t="str">
        <f aca="false">_xlfn.CONCAT(H904,I904,J904)</f>
        <v>DAURDE</v>
      </c>
    </row>
    <row r="905" customFormat="false" ht="15" hidden="false" customHeight="false" outlineLevel="0" collapsed="false">
      <c r="B905" s="32" t="s">
        <v>48</v>
      </c>
      <c r="C905" s="32" t="s">
        <v>297</v>
      </c>
      <c r="D905" s="33" t="n">
        <v>46039.5972222222</v>
      </c>
      <c r="E905" s="33" t="n">
        <v>46039.5972222222</v>
      </c>
      <c r="F905" s="33" t="n">
        <v>46039.6590277778</v>
      </c>
      <c r="G905" s="34" t="n">
        <f aca="false">F905-E905</f>
        <v>0.0618055555555556</v>
      </c>
      <c r="H905" s="39" t="s">
        <v>252</v>
      </c>
      <c r="J905" s="39" t="s">
        <v>253</v>
      </c>
      <c r="K905" s="32" t="s">
        <v>266</v>
      </c>
      <c r="L905" s="32" t="s">
        <v>275</v>
      </c>
      <c r="M905" s="39" t="s">
        <v>255</v>
      </c>
      <c r="N905" s="39" t="s">
        <v>268</v>
      </c>
      <c r="O905" s="32" t="s">
        <v>269</v>
      </c>
      <c r="P905" s="40" t="str">
        <f aca="false">_xlfn.CONCAT(B905,C905,D905,E905,F905)</f>
        <v>BC Caiaponia1SG60KTL(COM1-004)_001_01446039.597222222246039.597222222246039.6590277778</v>
      </c>
      <c r="Q905" s="32" t="str">
        <f aca="false">_xlfn.CONCAT(H905,I905,J905)</f>
        <v>DAURDE</v>
      </c>
    </row>
    <row r="906" customFormat="false" ht="15" hidden="false" customHeight="false" outlineLevel="0" collapsed="false">
      <c r="B906" s="32" t="s">
        <v>48</v>
      </c>
      <c r="C906" s="32" t="s">
        <v>298</v>
      </c>
      <c r="D906" s="33" t="n">
        <v>46039.5972222222</v>
      </c>
      <c r="E906" s="33" t="n">
        <v>46039.5972222222</v>
      </c>
      <c r="F906" s="33" t="n">
        <v>46039.6590277778</v>
      </c>
      <c r="G906" s="34" t="n">
        <f aca="false">F906-E906</f>
        <v>0.0618055555555556</v>
      </c>
      <c r="H906" s="39" t="s">
        <v>252</v>
      </c>
      <c r="J906" s="39" t="s">
        <v>253</v>
      </c>
      <c r="K906" s="32" t="s">
        <v>266</v>
      </c>
      <c r="L906" s="32" t="s">
        <v>275</v>
      </c>
      <c r="M906" s="39" t="s">
        <v>255</v>
      </c>
      <c r="N906" s="39" t="s">
        <v>268</v>
      </c>
      <c r="O906" s="32" t="s">
        <v>269</v>
      </c>
      <c r="P906" s="40" t="str">
        <f aca="false">_xlfn.CONCAT(B906,C906,D906,E906,F906)</f>
        <v>BC Caiaponia1SG60KTL(COM1-005)_001_01746039.597222222246039.597222222246039.6590277778</v>
      </c>
      <c r="Q906" s="32" t="str">
        <f aca="false">_xlfn.CONCAT(H906,I906,J906)</f>
        <v>DAURDE</v>
      </c>
    </row>
    <row r="907" customFormat="false" ht="15" hidden="false" customHeight="false" outlineLevel="0" collapsed="false">
      <c r="B907" s="32" t="s">
        <v>48</v>
      </c>
      <c r="C907" s="32" t="s">
        <v>299</v>
      </c>
      <c r="D907" s="33" t="n">
        <v>46039.5972222222</v>
      </c>
      <c r="E907" s="33" t="n">
        <v>46039.5972222222</v>
      </c>
      <c r="F907" s="33" t="n">
        <v>46039.6590277778</v>
      </c>
      <c r="G907" s="34" t="n">
        <f aca="false">F907-E907</f>
        <v>0.0618055555555556</v>
      </c>
      <c r="H907" s="39" t="s">
        <v>252</v>
      </c>
      <c r="J907" s="39" t="s">
        <v>253</v>
      </c>
      <c r="K907" s="32" t="s">
        <v>266</v>
      </c>
      <c r="L907" s="32" t="s">
        <v>275</v>
      </c>
      <c r="M907" s="39" t="s">
        <v>255</v>
      </c>
      <c r="N907" s="39" t="s">
        <v>268</v>
      </c>
      <c r="O907" s="32" t="s">
        <v>269</v>
      </c>
      <c r="P907" s="40" t="str">
        <f aca="false">_xlfn.CONCAT(B907,C907,D907,E907,F907)</f>
        <v>BC Caiaponia1SG60KTL(COM1-006)_001_01646039.597222222246039.597222222246039.6590277778</v>
      </c>
      <c r="Q907" s="32" t="str">
        <f aca="false">_xlfn.CONCAT(H907,I907,J907)</f>
        <v>DAURDE</v>
      </c>
    </row>
    <row r="908" customFormat="false" ht="15" hidden="false" customHeight="false" outlineLevel="0" collapsed="false">
      <c r="B908" s="32" t="s">
        <v>48</v>
      </c>
      <c r="C908" s="32" t="s">
        <v>300</v>
      </c>
      <c r="D908" s="33" t="n">
        <v>46039.5972222222</v>
      </c>
      <c r="E908" s="33" t="n">
        <v>46039.5972222222</v>
      </c>
      <c r="F908" s="33" t="n">
        <v>46039.6590277778</v>
      </c>
      <c r="G908" s="34" t="n">
        <f aca="false">F908-E908</f>
        <v>0.0618055555555556</v>
      </c>
      <c r="H908" s="39" t="s">
        <v>252</v>
      </c>
      <c r="J908" s="39" t="s">
        <v>253</v>
      </c>
      <c r="K908" s="32" t="s">
        <v>266</v>
      </c>
      <c r="L908" s="32" t="s">
        <v>275</v>
      </c>
      <c r="M908" s="39" t="s">
        <v>255</v>
      </c>
      <c r="N908" s="39" t="s">
        <v>268</v>
      </c>
      <c r="O908" s="32" t="s">
        <v>269</v>
      </c>
      <c r="P908" s="40" t="str">
        <f aca="false">_xlfn.CONCAT(B908,C908,D908,E908,F908)</f>
        <v>BC Caiaponia1SG60KTL(COM1-007)_001_01346039.597222222246039.597222222246039.6590277778</v>
      </c>
      <c r="Q908" s="32" t="str">
        <f aca="false">_xlfn.CONCAT(H908,I908,J908)</f>
        <v>DAURDE</v>
      </c>
    </row>
    <row r="909" customFormat="false" ht="15" hidden="false" customHeight="false" outlineLevel="0" collapsed="false">
      <c r="B909" s="32" t="s">
        <v>48</v>
      </c>
      <c r="C909" s="32" t="s">
        <v>301</v>
      </c>
      <c r="D909" s="33" t="n">
        <v>46039.5972222222</v>
      </c>
      <c r="E909" s="33" t="n">
        <v>46039.5972222222</v>
      </c>
      <c r="F909" s="33" t="n">
        <v>46039.6590277778</v>
      </c>
      <c r="G909" s="34" t="n">
        <f aca="false">F909-E909</f>
        <v>0.0618055555555556</v>
      </c>
      <c r="H909" s="39" t="s">
        <v>252</v>
      </c>
      <c r="J909" s="39" t="s">
        <v>253</v>
      </c>
      <c r="K909" s="32" t="s">
        <v>266</v>
      </c>
      <c r="L909" s="32" t="s">
        <v>275</v>
      </c>
      <c r="M909" s="39" t="s">
        <v>255</v>
      </c>
      <c r="N909" s="39" t="s">
        <v>268</v>
      </c>
      <c r="O909" s="32" t="s">
        <v>269</v>
      </c>
      <c r="P909" s="40" t="str">
        <f aca="false">_xlfn.CONCAT(B909,C909,D909,E909,F909)</f>
        <v>BC Caiaponia1SG60KTL(COM1-008)_001_00146039.597222222246039.597222222246039.6590277778</v>
      </c>
      <c r="Q909" s="32" t="str">
        <f aca="false">_xlfn.CONCAT(H909,I909,J909)</f>
        <v>DAURDE</v>
      </c>
    </row>
    <row r="910" customFormat="false" ht="15" hidden="false" customHeight="false" outlineLevel="0" collapsed="false">
      <c r="B910" s="32" t="s">
        <v>48</v>
      </c>
      <c r="C910" s="32" t="s">
        <v>302</v>
      </c>
      <c r="D910" s="33" t="n">
        <v>46039.5972222222</v>
      </c>
      <c r="E910" s="33" t="n">
        <v>46039.5972222222</v>
      </c>
      <c r="F910" s="33" t="n">
        <v>46039.6590277778</v>
      </c>
      <c r="G910" s="34" t="n">
        <f aca="false">F910-E910</f>
        <v>0.0618055555555556</v>
      </c>
      <c r="H910" s="39" t="s">
        <v>252</v>
      </c>
      <c r="J910" s="39" t="s">
        <v>253</v>
      </c>
      <c r="K910" s="32" t="s">
        <v>266</v>
      </c>
      <c r="L910" s="32" t="s">
        <v>275</v>
      </c>
      <c r="M910" s="39" t="s">
        <v>255</v>
      </c>
      <c r="N910" s="39" t="s">
        <v>268</v>
      </c>
      <c r="O910" s="32" t="s">
        <v>269</v>
      </c>
      <c r="P910" s="40" t="str">
        <f aca="false">_xlfn.CONCAT(B910,C910,D910,E910,F910)</f>
        <v>BC Caiaponia1SG60KTL(COM1-009)46039.597222222246039.597222222246039.6590277778</v>
      </c>
      <c r="Q910" s="32" t="str">
        <f aca="false">_xlfn.CONCAT(H910,I910,J910)</f>
        <v>DAURDE</v>
      </c>
    </row>
    <row r="911" customFormat="false" ht="15" hidden="false" customHeight="false" outlineLevel="0" collapsed="false">
      <c r="B911" s="32" t="s">
        <v>48</v>
      </c>
      <c r="C911" s="32" t="s">
        <v>303</v>
      </c>
      <c r="D911" s="33" t="n">
        <v>46039.5972222222</v>
      </c>
      <c r="E911" s="33" t="n">
        <v>46039.5972222222</v>
      </c>
      <c r="F911" s="33" t="n">
        <v>46039.6590277778</v>
      </c>
      <c r="G911" s="34" t="n">
        <f aca="false">F911-E911</f>
        <v>0.0618055555555556</v>
      </c>
      <c r="H911" s="39" t="s">
        <v>252</v>
      </c>
      <c r="J911" s="39" t="s">
        <v>253</v>
      </c>
      <c r="K911" s="32" t="s">
        <v>266</v>
      </c>
      <c r="L911" s="32" t="s">
        <v>275</v>
      </c>
      <c r="M911" s="39" t="s">
        <v>255</v>
      </c>
      <c r="N911" s="39" t="s">
        <v>268</v>
      </c>
      <c r="O911" s="32" t="s">
        <v>269</v>
      </c>
      <c r="P911" s="40" t="str">
        <f aca="false">_xlfn.CONCAT(B911,C911,D911,E911,F911)</f>
        <v>BC Caiaponia1SG60KTL(COM1-010)46039.597222222246039.597222222246039.6590277778</v>
      </c>
      <c r="Q911" s="32" t="str">
        <f aca="false">_xlfn.CONCAT(H911,I911,J911)</f>
        <v>DAURDE</v>
      </c>
    </row>
    <row r="912" customFormat="false" ht="15" hidden="false" customHeight="false" outlineLevel="0" collapsed="false">
      <c r="B912" s="32" t="s">
        <v>48</v>
      </c>
      <c r="C912" s="32" t="s">
        <v>304</v>
      </c>
      <c r="D912" s="33" t="n">
        <v>46039.5972222222</v>
      </c>
      <c r="E912" s="33" t="n">
        <v>46039.5972222222</v>
      </c>
      <c r="F912" s="33" t="n">
        <v>46039.6590277778</v>
      </c>
      <c r="G912" s="34" t="n">
        <f aca="false">F912-E912</f>
        <v>0.0618055555555556</v>
      </c>
      <c r="H912" s="39" t="s">
        <v>252</v>
      </c>
      <c r="J912" s="39" t="s">
        <v>253</v>
      </c>
      <c r="K912" s="32" t="s">
        <v>266</v>
      </c>
      <c r="L912" s="32" t="s">
        <v>275</v>
      </c>
      <c r="M912" s="39" t="s">
        <v>255</v>
      </c>
      <c r="N912" s="39" t="s">
        <v>268</v>
      </c>
      <c r="O912" s="32" t="s">
        <v>269</v>
      </c>
      <c r="P912" s="40" t="str">
        <f aca="false">_xlfn.CONCAT(B912,C912,D912,E912,F912)</f>
        <v>BC Caiaponia1SG60KTL(COM1-011)46039.597222222246039.597222222246039.6590277778</v>
      </c>
      <c r="Q912" s="32" t="str">
        <f aca="false">_xlfn.CONCAT(H912,I912,J912)</f>
        <v>DAURDE</v>
      </c>
    </row>
    <row r="913" customFormat="false" ht="15" hidden="false" customHeight="false" outlineLevel="0" collapsed="false">
      <c r="B913" s="32" t="s">
        <v>48</v>
      </c>
      <c r="C913" s="32" t="s">
        <v>305</v>
      </c>
      <c r="D913" s="33" t="n">
        <v>46039.5972222222</v>
      </c>
      <c r="E913" s="33" t="n">
        <v>46039.5972222222</v>
      </c>
      <c r="F913" s="33" t="n">
        <v>46039.6590277778</v>
      </c>
      <c r="G913" s="34" t="n">
        <f aca="false">F913-E913</f>
        <v>0.0618055555555556</v>
      </c>
      <c r="H913" s="39" t="s">
        <v>252</v>
      </c>
      <c r="J913" s="39" t="s">
        <v>253</v>
      </c>
      <c r="K913" s="32" t="s">
        <v>266</v>
      </c>
      <c r="L913" s="32" t="s">
        <v>275</v>
      </c>
      <c r="M913" s="39" t="s">
        <v>255</v>
      </c>
      <c r="N913" s="39" t="s">
        <v>268</v>
      </c>
      <c r="O913" s="32" t="s">
        <v>269</v>
      </c>
      <c r="P913" s="40" t="str">
        <f aca="false">_xlfn.CONCAT(B913,C913,D913,E913,F913)</f>
        <v>BC Caiaponia1SG60KTL(COM1-012)46039.597222222246039.597222222246039.6590277778</v>
      </c>
      <c r="Q913" s="32" t="str">
        <f aca="false">_xlfn.CONCAT(H913,I913,J913)</f>
        <v>DAURDE</v>
      </c>
    </row>
    <row r="914" customFormat="false" ht="15" hidden="false" customHeight="false" outlineLevel="0" collapsed="false">
      <c r="B914" s="32" t="s">
        <v>48</v>
      </c>
      <c r="C914" s="32" t="s">
        <v>306</v>
      </c>
      <c r="D914" s="33" t="n">
        <v>46039.5972222222</v>
      </c>
      <c r="E914" s="33" t="n">
        <v>46039.5972222222</v>
      </c>
      <c r="F914" s="33" t="n">
        <v>46039.6590277778</v>
      </c>
      <c r="G914" s="34" t="n">
        <f aca="false">F914-E914</f>
        <v>0.0618055555555556</v>
      </c>
      <c r="H914" s="39" t="s">
        <v>252</v>
      </c>
      <c r="J914" s="39" t="s">
        <v>253</v>
      </c>
      <c r="K914" s="32" t="s">
        <v>266</v>
      </c>
      <c r="L914" s="32" t="s">
        <v>275</v>
      </c>
      <c r="M914" s="39" t="s">
        <v>255</v>
      </c>
      <c r="N914" s="39" t="s">
        <v>268</v>
      </c>
      <c r="O914" s="32" t="s">
        <v>269</v>
      </c>
      <c r="P914" s="40" t="str">
        <f aca="false">_xlfn.CONCAT(B914,C914,D914,E914,F914)</f>
        <v>BC Caiaponia1SG60KTL(COM1-013)46039.597222222246039.597222222246039.6590277778</v>
      </c>
      <c r="Q914" s="32" t="str">
        <f aca="false">_xlfn.CONCAT(H914,I914,J914)</f>
        <v>DAURDE</v>
      </c>
    </row>
    <row r="915" customFormat="false" ht="15" hidden="false" customHeight="false" outlineLevel="0" collapsed="false">
      <c r="B915" s="32" t="s">
        <v>48</v>
      </c>
      <c r="C915" s="32" t="s">
        <v>307</v>
      </c>
      <c r="D915" s="33" t="n">
        <v>46039.5972222222</v>
      </c>
      <c r="E915" s="33" t="n">
        <v>46039.5972222222</v>
      </c>
      <c r="F915" s="33" t="n">
        <v>46039.6590277778</v>
      </c>
      <c r="G915" s="34" t="n">
        <f aca="false">F915-E915</f>
        <v>0.0618055555555556</v>
      </c>
      <c r="H915" s="39" t="s">
        <v>252</v>
      </c>
      <c r="J915" s="39" t="s">
        <v>253</v>
      </c>
      <c r="K915" s="32" t="s">
        <v>266</v>
      </c>
      <c r="L915" s="32" t="s">
        <v>275</v>
      </c>
      <c r="M915" s="39" t="s">
        <v>255</v>
      </c>
      <c r="N915" s="39" t="s">
        <v>268</v>
      </c>
      <c r="O915" s="32" t="s">
        <v>269</v>
      </c>
      <c r="P915" s="40" t="str">
        <f aca="false">_xlfn.CONCAT(B915,C915,D915,E915,F915)</f>
        <v>BC Caiaponia1SG60KTL(COM1-014)46039.597222222246039.597222222246039.6590277778</v>
      </c>
      <c r="Q915" s="32" t="str">
        <f aca="false">_xlfn.CONCAT(H915,I915,J915)</f>
        <v>DAURDE</v>
      </c>
    </row>
    <row r="916" customFormat="false" ht="15" hidden="false" customHeight="false" outlineLevel="0" collapsed="false">
      <c r="B916" s="32" t="s">
        <v>48</v>
      </c>
      <c r="C916" s="32" t="s">
        <v>308</v>
      </c>
      <c r="D916" s="33" t="n">
        <v>46039.5972222222</v>
      </c>
      <c r="E916" s="33" t="n">
        <v>46039.5972222222</v>
      </c>
      <c r="F916" s="33" t="n">
        <v>46039.6590277778</v>
      </c>
      <c r="G916" s="34" t="n">
        <f aca="false">F916-E916</f>
        <v>0.0618055555555556</v>
      </c>
      <c r="H916" s="39" t="s">
        <v>252</v>
      </c>
      <c r="J916" s="39" t="s">
        <v>253</v>
      </c>
      <c r="K916" s="32" t="s">
        <v>266</v>
      </c>
      <c r="L916" s="32" t="s">
        <v>275</v>
      </c>
      <c r="M916" s="39" t="s">
        <v>255</v>
      </c>
      <c r="N916" s="39" t="s">
        <v>268</v>
      </c>
      <c r="O916" s="32" t="s">
        <v>269</v>
      </c>
      <c r="P916" s="40" t="str">
        <f aca="false">_xlfn.CONCAT(B916,C916,D916,E916,F916)</f>
        <v>BC Caiaponia1SG60KTL(COM1-015)46039.597222222246039.597222222246039.6590277778</v>
      </c>
      <c r="Q916" s="32" t="str">
        <f aca="false">_xlfn.CONCAT(H916,I916,J916)</f>
        <v>DAURDE</v>
      </c>
    </row>
    <row r="917" customFormat="false" ht="15" hidden="false" customHeight="false" outlineLevel="0" collapsed="false">
      <c r="B917" s="32" t="s">
        <v>48</v>
      </c>
      <c r="C917" s="32" t="s">
        <v>309</v>
      </c>
      <c r="D917" s="33" t="n">
        <v>46039.5972222222</v>
      </c>
      <c r="E917" s="33" t="n">
        <v>46039.5972222222</v>
      </c>
      <c r="F917" s="33" t="n">
        <v>46039.6590277778</v>
      </c>
      <c r="G917" s="34" t="n">
        <f aca="false">F917-E917</f>
        <v>0.0618055555555556</v>
      </c>
      <c r="H917" s="39" t="s">
        <v>252</v>
      </c>
      <c r="J917" s="39" t="s">
        <v>253</v>
      </c>
      <c r="K917" s="32" t="s">
        <v>266</v>
      </c>
      <c r="L917" s="32" t="s">
        <v>275</v>
      </c>
      <c r="M917" s="39" t="s">
        <v>255</v>
      </c>
      <c r="N917" s="39" t="s">
        <v>268</v>
      </c>
      <c r="O917" s="32" t="s">
        <v>269</v>
      </c>
      <c r="P917" s="40" t="str">
        <f aca="false">_xlfn.CONCAT(B917,C917,D917,E917,F917)</f>
        <v>BC Caiaponia1SG60KTL(COM3-016)_001_00946039.597222222246039.597222222246039.6590277778</v>
      </c>
      <c r="Q917" s="32" t="str">
        <f aca="false">_xlfn.CONCAT(H917,I917,J917)</f>
        <v>DAURDE</v>
      </c>
    </row>
    <row r="918" customFormat="false" ht="15" hidden="false" customHeight="false" outlineLevel="0" collapsed="false">
      <c r="B918" s="32" t="s">
        <v>48</v>
      </c>
      <c r="C918" s="32" t="s">
        <v>310</v>
      </c>
      <c r="D918" s="33" t="n">
        <v>46039.5972222222</v>
      </c>
      <c r="E918" s="33" t="n">
        <v>46039.5972222222</v>
      </c>
      <c r="F918" s="33" t="n">
        <v>46039.6590277778</v>
      </c>
      <c r="G918" s="34" t="n">
        <f aca="false">F918-E918</f>
        <v>0.0618055555555556</v>
      </c>
      <c r="H918" s="39" t="s">
        <v>252</v>
      </c>
      <c r="J918" s="39" t="s">
        <v>253</v>
      </c>
      <c r="K918" s="32" t="s">
        <v>266</v>
      </c>
      <c r="L918" s="32" t="s">
        <v>275</v>
      </c>
      <c r="M918" s="39" t="s">
        <v>255</v>
      </c>
      <c r="N918" s="39" t="s">
        <v>268</v>
      </c>
      <c r="O918" s="32" t="s">
        <v>269</v>
      </c>
      <c r="P918" s="40" t="str">
        <f aca="false">_xlfn.CONCAT(B918,C918,D918,E918,F918)</f>
        <v>BC Caiaponia1SG60KTL(COM3-017)_001_01246039.597222222246039.597222222246039.6590277778</v>
      </c>
      <c r="Q918" s="32" t="str">
        <f aca="false">_xlfn.CONCAT(H918,I918,J918)</f>
        <v>DAURDE</v>
      </c>
    </row>
    <row r="919" customFormat="false" ht="15" hidden="false" customHeight="false" outlineLevel="0" collapsed="false">
      <c r="B919" s="32" t="s">
        <v>48</v>
      </c>
      <c r="C919" s="32" t="s">
        <v>311</v>
      </c>
      <c r="D919" s="33" t="n">
        <v>46039.5972222222</v>
      </c>
      <c r="E919" s="33" t="n">
        <v>46039.5972222222</v>
      </c>
      <c r="F919" s="33" t="n">
        <v>46039.6590277778</v>
      </c>
      <c r="G919" s="34" t="n">
        <f aca="false">F919-E919</f>
        <v>0.0618055555555556</v>
      </c>
      <c r="H919" s="39" t="s">
        <v>252</v>
      </c>
      <c r="J919" s="39" t="s">
        <v>253</v>
      </c>
      <c r="K919" s="32" t="s">
        <v>266</v>
      </c>
      <c r="L919" s="32" t="s">
        <v>275</v>
      </c>
      <c r="M919" s="39" t="s">
        <v>255</v>
      </c>
      <c r="N919" s="39" t="s">
        <v>268</v>
      </c>
      <c r="O919" s="32" t="s">
        <v>269</v>
      </c>
      <c r="P919" s="40" t="str">
        <f aca="false">_xlfn.CONCAT(B919,C919,D919,E919,F919)</f>
        <v>BC Caiaponia1SG60KTL(COM3-018)_001_00846039.597222222246039.597222222246039.6590277778</v>
      </c>
      <c r="Q919" s="32" t="str">
        <f aca="false">_xlfn.CONCAT(H919,I919,J919)</f>
        <v>DAURDE</v>
      </c>
    </row>
    <row r="920" customFormat="false" ht="15" hidden="false" customHeight="false" outlineLevel="0" collapsed="false">
      <c r="B920" s="32" t="s">
        <v>48</v>
      </c>
      <c r="C920" s="32" t="s">
        <v>312</v>
      </c>
      <c r="D920" s="33" t="n">
        <v>46039.5972222222</v>
      </c>
      <c r="E920" s="33" t="n">
        <v>46039.5972222222</v>
      </c>
      <c r="F920" s="33" t="n">
        <v>46039.6590277778</v>
      </c>
      <c r="G920" s="34" t="n">
        <f aca="false">F920-E920</f>
        <v>0.0618055555555556</v>
      </c>
      <c r="H920" s="39" t="s">
        <v>252</v>
      </c>
      <c r="J920" s="39" t="s">
        <v>253</v>
      </c>
      <c r="K920" s="32" t="s">
        <v>266</v>
      </c>
      <c r="L920" s="32" t="s">
        <v>275</v>
      </c>
      <c r="M920" s="39" t="s">
        <v>255</v>
      </c>
      <c r="N920" s="39" t="s">
        <v>268</v>
      </c>
      <c r="O920" s="32" t="s">
        <v>269</v>
      </c>
      <c r="P920" s="40" t="str">
        <f aca="false">_xlfn.CONCAT(B920,C920,D920,E920,F920)</f>
        <v>BC Caiaponia1SG60KTL(COM3-019)_001_01946039.597222222246039.597222222246039.6590277778</v>
      </c>
      <c r="Q920" s="32" t="str">
        <f aca="false">_xlfn.CONCAT(H920,I920,J920)</f>
        <v>DAURDE</v>
      </c>
    </row>
    <row r="921" customFormat="false" ht="15" hidden="false" customHeight="false" outlineLevel="0" collapsed="false">
      <c r="B921" s="32" t="s">
        <v>48</v>
      </c>
      <c r="C921" s="32" t="s">
        <v>313</v>
      </c>
      <c r="D921" s="33" t="n">
        <v>46039.5972222222</v>
      </c>
      <c r="E921" s="33" t="n">
        <v>46039.5972222222</v>
      </c>
      <c r="F921" s="33" t="n">
        <v>46039.6590277778</v>
      </c>
      <c r="G921" s="34" t="n">
        <f aca="false">F921-E921</f>
        <v>0.0618055555555556</v>
      </c>
      <c r="H921" s="39" t="s">
        <v>252</v>
      </c>
      <c r="J921" s="39" t="s">
        <v>253</v>
      </c>
      <c r="K921" s="32" t="s">
        <v>266</v>
      </c>
      <c r="L921" s="32" t="s">
        <v>275</v>
      </c>
      <c r="M921" s="39" t="s">
        <v>255</v>
      </c>
      <c r="N921" s="39" t="s">
        <v>268</v>
      </c>
      <c r="O921" s="32" t="s">
        <v>269</v>
      </c>
      <c r="P921" s="40" t="str">
        <f aca="false">_xlfn.CONCAT(B921,C921,D921,E921,F921)</f>
        <v>BC Caiaponia1SG60KTL(COM3-020)_001_02046039.597222222246039.597222222246039.6590277778</v>
      </c>
      <c r="Q921" s="32" t="str">
        <f aca="false">_xlfn.CONCAT(H921,I921,J921)</f>
        <v>DAURDE</v>
      </c>
    </row>
    <row r="922" customFormat="false" ht="15" hidden="false" customHeight="false" outlineLevel="0" collapsed="false">
      <c r="B922" s="32" t="s">
        <v>48</v>
      </c>
      <c r="C922" s="32" t="s">
        <v>314</v>
      </c>
      <c r="D922" s="33" t="n">
        <v>46039.5972222222</v>
      </c>
      <c r="E922" s="33" t="n">
        <v>46039.5972222222</v>
      </c>
      <c r="F922" s="33" t="n">
        <v>46039.6590277778</v>
      </c>
      <c r="G922" s="34" t="n">
        <f aca="false">F922-E922</f>
        <v>0.0618055555555556</v>
      </c>
      <c r="H922" s="39" t="s">
        <v>252</v>
      </c>
      <c r="J922" s="39" t="s">
        <v>253</v>
      </c>
      <c r="K922" s="32" t="s">
        <v>266</v>
      </c>
      <c r="L922" s="32" t="s">
        <v>275</v>
      </c>
      <c r="M922" s="39" t="s">
        <v>255</v>
      </c>
      <c r="N922" s="39" t="s">
        <v>268</v>
      </c>
      <c r="O922" s="32" t="s">
        <v>269</v>
      </c>
      <c r="P922" s="40" t="str">
        <f aca="false">_xlfn.CONCAT(B922,C922,D922,E922,F922)</f>
        <v>BC Caiaponia1SG60KTL(COM2-026)46039.597222222246039.597222222246039.6590277778</v>
      </c>
      <c r="Q922" s="32" t="str">
        <f aca="false">_xlfn.CONCAT(H922,I922,J922)</f>
        <v>DAURDE</v>
      </c>
    </row>
    <row r="923" customFormat="false" ht="15" hidden="false" customHeight="false" outlineLevel="0" collapsed="false">
      <c r="B923" s="32" t="s">
        <v>48</v>
      </c>
      <c r="C923" s="32" t="s">
        <v>315</v>
      </c>
      <c r="D923" s="33" t="n">
        <v>46039.5972222222</v>
      </c>
      <c r="E923" s="33" t="n">
        <v>46039.5972222222</v>
      </c>
      <c r="F923" s="33" t="n">
        <v>46039.6590277778</v>
      </c>
      <c r="G923" s="34" t="n">
        <f aca="false">F923-E923</f>
        <v>0.0618055555555556</v>
      </c>
      <c r="H923" s="39" t="s">
        <v>252</v>
      </c>
      <c r="J923" s="39" t="s">
        <v>253</v>
      </c>
      <c r="K923" s="32" t="s">
        <v>266</v>
      </c>
      <c r="L923" s="32" t="s">
        <v>275</v>
      </c>
      <c r="M923" s="39" t="s">
        <v>255</v>
      </c>
      <c r="N923" s="39" t="s">
        <v>268</v>
      </c>
      <c r="O923" s="32" t="s">
        <v>269</v>
      </c>
      <c r="P923" s="40" t="str">
        <f aca="false">_xlfn.CONCAT(B923,C923,D923,E923,F923)</f>
        <v>BC Caiaponia1SG60KTL(COM2-027)46039.597222222246039.597222222246039.6590277778</v>
      </c>
      <c r="Q923" s="32" t="str">
        <f aca="false">_xlfn.CONCAT(H923,I923,J923)</f>
        <v>DAURDE</v>
      </c>
    </row>
    <row r="924" customFormat="false" ht="15" hidden="false" customHeight="false" outlineLevel="0" collapsed="false">
      <c r="B924" s="32" t="s">
        <v>48</v>
      </c>
      <c r="C924" s="32" t="s">
        <v>316</v>
      </c>
      <c r="D924" s="33" t="n">
        <v>46039.5972222222</v>
      </c>
      <c r="E924" s="33" t="n">
        <v>46039.5972222222</v>
      </c>
      <c r="F924" s="33" t="n">
        <v>46039.6590277778</v>
      </c>
      <c r="G924" s="34" t="n">
        <f aca="false">F924-E924</f>
        <v>0.0618055555555556</v>
      </c>
      <c r="H924" s="39" t="s">
        <v>252</v>
      </c>
      <c r="J924" s="39" t="s">
        <v>253</v>
      </c>
      <c r="K924" s="32" t="s">
        <v>266</v>
      </c>
      <c r="L924" s="32" t="s">
        <v>275</v>
      </c>
      <c r="M924" s="39" t="s">
        <v>255</v>
      </c>
      <c r="N924" s="39" t="s">
        <v>268</v>
      </c>
      <c r="O924" s="32" t="s">
        <v>269</v>
      </c>
      <c r="P924" s="40" t="str">
        <f aca="false">_xlfn.CONCAT(B924,C924,D924,E924,F924)</f>
        <v>BC Caiaponia1SG60KTL(COM2-028)46039.597222222246039.597222222246039.6590277778</v>
      </c>
      <c r="Q924" s="32" t="str">
        <f aca="false">_xlfn.CONCAT(H924,I924,J924)</f>
        <v>DAURDE</v>
      </c>
    </row>
    <row r="925" customFormat="false" ht="15" hidden="false" customHeight="false" outlineLevel="0" collapsed="false">
      <c r="B925" s="32" t="s">
        <v>48</v>
      </c>
      <c r="C925" s="32" t="s">
        <v>317</v>
      </c>
      <c r="D925" s="33" t="n">
        <v>46039.5972222222</v>
      </c>
      <c r="E925" s="33" t="n">
        <v>46039.5972222222</v>
      </c>
      <c r="F925" s="33" t="n">
        <v>46039.6590277778</v>
      </c>
      <c r="G925" s="34" t="n">
        <f aca="false">F925-E925</f>
        <v>0.0618055555555556</v>
      </c>
      <c r="H925" s="39" t="s">
        <v>252</v>
      </c>
      <c r="J925" s="39" t="s">
        <v>253</v>
      </c>
      <c r="K925" s="32" t="s">
        <v>266</v>
      </c>
      <c r="L925" s="32" t="s">
        <v>275</v>
      </c>
      <c r="M925" s="39" t="s">
        <v>255</v>
      </c>
      <c r="N925" s="39" t="s">
        <v>268</v>
      </c>
      <c r="O925" s="32" t="s">
        <v>269</v>
      </c>
      <c r="P925" s="40" t="str">
        <f aca="false">_xlfn.CONCAT(B925,C925,D925,E925,F925)</f>
        <v>BC Caiaponia1SG60KTL(COM2-029)46039.597222222246039.597222222246039.6590277778</v>
      </c>
      <c r="Q925" s="32" t="str">
        <f aca="false">_xlfn.CONCAT(H925,I925,J925)</f>
        <v>DAURDE</v>
      </c>
    </row>
    <row r="926" customFormat="false" ht="15" hidden="false" customHeight="false" outlineLevel="0" collapsed="false">
      <c r="B926" s="32" t="s">
        <v>48</v>
      </c>
      <c r="C926" s="32" t="s">
        <v>318</v>
      </c>
      <c r="D926" s="33" t="n">
        <v>46039.5972222222</v>
      </c>
      <c r="E926" s="33" t="n">
        <v>46039.5972222222</v>
      </c>
      <c r="F926" s="33" t="n">
        <v>46039.6590277778</v>
      </c>
      <c r="G926" s="34" t="n">
        <f aca="false">F926-E926</f>
        <v>0.0618055555555556</v>
      </c>
      <c r="H926" s="39" t="s">
        <v>252</v>
      </c>
      <c r="J926" s="39" t="s">
        <v>253</v>
      </c>
      <c r="K926" s="32" t="s">
        <v>266</v>
      </c>
      <c r="L926" s="32" t="s">
        <v>275</v>
      </c>
      <c r="M926" s="39" t="s">
        <v>255</v>
      </c>
      <c r="N926" s="39" t="s">
        <v>268</v>
      </c>
      <c r="O926" s="32" t="s">
        <v>269</v>
      </c>
      <c r="P926" s="40" t="str">
        <f aca="false">_xlfn.CONCAT(B926,C926,D926,E926,F926)</f>
        <v>BC Caiaponia1SG50CX(COM1-021)46039.597222222246039.597222222246039.6590277778</v>
      </c>
      <c r="Q926" s="32" t="str">
        <f aca="false">_xlfn.CONCAT(H926,I926,J926)</f>
        <v>DAURDE</v>
      </c>
    </row>
    <row r="927" customFormat="false" ht="15" hidden="false" customHeight="false" outlineLevel="0" collapsed="false">
      <c r="B927" s="32" t="s">
        <v>48</v>
      </c>
      <c r="C927" s="32" t="s">
        <v>319</v>
      </c>
      <c r="D927" s="33" t="n">
        <v>46039.5972222222</v>
      </c>
      <c r="E927" s="33" t="n">
        <v>46039.5972222222</v>
      </c>
      <c r="F927" s="33" t="n">
        <v>46039.6590277778</v>
      </c>
      <c r="G927" s="34" t="n">
        <f aca="false">F927-E927</f>
        <v>0.0618055555555556</v>
      </c>
      <c r="H927" s="39" t="s">
        <v>252</v>
      </c>
      <c r="J927" s="39" t="s">
        <v>253</v>
      </c>
      <c r="K927" s="32" t="s">
        <v>266</v>
      </c>
      <c r="L927" s="32" t="s">
        <v>275</v>
      </c>
      <c r="M927" s="39" t="s">
        <v>255</v>
      </c>
      <c r="N927" s="39" t="s">
        <v>268</v>
      </c>
      <c r="O927" s="32" t="s">
        <v>269</v>
      </c>
      <c r="P927" s="40" t="str">
        <f aca="false">_xlfn.CONCAT(B927,C927,D927,E927,F927)</f>
        <v>BC Caiaponia1SG50CX(COM1-022)46039.597222222246039.597222222246039.6590277778</v>
      </c>
      <c r="Q927" s="32" t="str">
        <f aca="false">_xlfn.CONCAT(H927,I927,J927)</f>
        <v>DAURDE</v>
      </c>
    </row>
    <row r="928" customFormat="false" ht="15" hidden="false" customHeight="false" outlineLevel="0" collapsed="false">
      <c r="B928" s="32" t="s">
        <v>48</v>
      </c>
      <c r="C928" s="32" t="s">
        <v>320</v>
      </c>
      <c r="D928" s="33" t="n">
        <v>46039.5972222222</v>
      </c>
      <c r="E928" s="33" t="n">
        <v>46039.5972222222</v>
      </c>
      <c r="F928" s="33" t="n">
        <v>46039.6590277778</v>
      </c>
      <c r="G928" s="34" t="n">
        <f aca="false">F928-E928</f>
        <v>0.0618055555555556</v>
      </c>
      <c r="H928" s="39" t="s">
        <v>252</v>
      </c>
      <c r="J928" s="39" t="s">
        <v>253</v>
      </c>
      <c r="K928" s="32" t="s">
        <v>266</v>
      </c>
      <c r="L928" s="32" t="s">
        <v>275</v>
      </c>
      <c r="M928" s="39" t="s">
        <v>255</v>
      </c>
      <c r="N928" s="39" t="s">
        <v>268</v>
      </c>
      <c r="O928" s="32" t="s">
        <v>269</v>
      </c>
      <c r="P928" s="40" t="str">
        <f aca="false">_xlfn.CONCAT(B928,C928,D928,E928,F928)</f>
        <v>BC Caiaponia1SG50CX(COM1-023)46039.597222222246039.597222222246039.6590277778</v>
      </c>
      <c r="Q928" s="32" t="str">
        <f aca="false">_xlfn.CONCAT(H928,I928,J928)</f>
        <v>DAURDE</v>
      </c>
    </row>
    <row r="929" customFormat="false" ht="15" hidden="false" customHeight="false" outlineLevel="0" collapsed="false">
      <c r="B929" s="32" t="s">
        <v>48</v>
      </c>
      <c r="C929" s="32" t="s">
        <v>321</v>
      </c>
      <c r="D929" s="33" t="n">
        <v>46039.5972222222</v>
      </c>
      <c r="E929" s="33" t="n">
        <v>46039.5972222222</v>
      </c>
      <c r="F929" s="33" t="n">
        <v>46039.6590277778</v>
      </c>
      <c r="G929" s="34" t="n">
        <f aca="false">F929-E929</f>
        <v>0.0618055555555556</v>
      </c>
      <c r="H929" s="39" t="s">
        <v>252</v>
      </c>
      <c r="J929" s="39" t="s">
        <v>253</v>
      </c>
      <c r="K929" s="32" t="s">
        <v>266</v>
      </c>
      <c r="L929" s="32" t="s">
        <v>275</v>
      </c>
      <c r="M929" s="39" t="s">
        <v>255</v>
      </c>
      <c r="N929" s="39" t="s">
        <v>268</v>
      </c>
      <c r="O929" s="32" t="s">
        <v>269</v>
      </c>
      <c r="P929" s="40" t="str">
        <f aca="false">_xlfn.CONCAT(B929,C929,D929,E929,F929)</f>
        <v>BC Caiaponia1SG50CX(COM1-024)46039.597222222246039.597222222246039.6590277778</v>
      </c>
      <c r="Q929" s="32" t="str">
        <f aca="false">_xlfn.CONCAT(H929,I929,J929)</f>
        <v>DAURDE</v>
      </c>
    </row>
    <row r="930" customFormat="false" ht="15" hidden="false" customHeight="false" outlineLevel="0" collapsed="false">
      <c r="B930" s="32" t="s">
        <v>48</v>
      </c>
      <c r="C930" s="32" t="s">
        <v>322</v>
      </c>
      <c r="D930" s="33" t="n">
        <v>46039.5972222222</v>
      </c>
      <c r="E930" s="33" t="n">
        <v>46039.5972222222</v>
      </c>
      <c r="F930" s="33" t="n">
        <v>46039.6590277778</v>
      </c>
      <c r="G930" s="34" t="n">
        <f aca="false">F930-E930</f>
        <v>0.0618055555555556</v>
      </c>
      <c r="H930" s="39" t="s">
        <v>252</v>
      </c>
      <c r="J930" s="39" t="s">
        <v>253</v>
      </c>
      <c r="K930" s="32" t="s">
        <v>266</v>
      </c>
      <c r="L930" s="32" t="s">
        <v>275</v>
      </c>
      <c r="M930" s="39" t="s">
        <v>255</v>
      </c>
      <c r="N930" s="39" t="s">
        <v>268</v>
      </c>
      <c r="O930" s="32" t="s">
        <v>269</v>
      </c>
      <c r="P930" s="40" t="str">
        <f aca="false">_xlfn.CONCAT(B930,C930,D930,E930,F930)</f>
        <v>BC Caiaponia1SG50CX(COM1-025)46039.597222222246039.597222222246039.6590277778</v>
      </c>
      <c r="Q930" s="32" t="str">
        <f aca="false">_xlfn.CONCAT(H930,I930,J930)</f>
        <v>DAURDE</v>
      </c>
    </row>
    <row r="931" customFormat="false" ht="15" hidden="false" customHeight="false" outlineLevel="0" collapsed="false">
      <c r="B931" s="32" t="s">
        <v>250</v>
      </c>
      <c r="C931" s="32" t="s">
        <v>251</v>
      </c>
      <c r="D931" s="33" t="n">
        <v>46039.5972222222</v>
      </c>
      <c r="E931" s="33" t="n">
        <v>46039.5972222222</v>
      </c>
      <c r="F931" s="33" t="n">
        <v>46039.6590277778</v>
      </c>
      <c r="G931" s="34" t="n">
        <f aca="false">F931-E931</f>
        <v>0.0618055555555556</v>
      </c>
      <c r="H931" s="39" t="s">
        <v>252</v>
      </c>
      <c r="J931" s="39" t="s">
        <v>253</v>
      </c>
      <c r="K931" s="32" t="s">
        <v>266</v>
      </c>
      <c r="L931" s="32" t="s">
        <v>275</v>
      </c>
      <c r="M931" s="39" t="s">
        <v>255</v>
      </c>
      <c r="N931" s="39" t="s">
        <v>268</v>
      </c>
      <c r="O931" s="32" t="s">
        <v>269</v>
      </c>
      <c r="P931" s="40" t="str">
        <f aca="false">_xlfn.CONCAT(B931,C931,D931,E931,F931)</f>
        <v>BC Caiaponia2.1215KTL-H3(MBUS-12)46039.597222222246039.597222222246039.6590277778</v>
      </c>
      <c r="Q931" s="32" t="str">
        <f aca="false">_xlfn.CONCAT(H931,I931,J931)</f>
        <v>DAURDE</v>
      </c>
    </row>
    <row r="932" customFormat="false" ht="15" hidden="false" customHeight="false" outlineLevel="0" collapsed="false">
      <c r="B932" s="32" t="s">
        <v>250</v>
      </c>
      <c r="C932" s="32" t="s">
        <v>258</v>
      </c>
      <c r="D932" s="33" t="n">
        <v>46039.5972222222</v>
      </c>
      <c r="E932" s="33" t="n">
        <v>46039.5972222222</v>
      </c>
      <c r="F932" s="33" t="n">
        <v>46039.6590277778</v>
      </c>
      <c r="G932" s="34" t="n">
        <f aca="false">F932-E932</f>
        <v>0.0618055555555556</v>
      </c>
      <c r="H932" s="39" t="s">
        <v>252</v>
      </c>
      <c r="J932" s="39" t="s">
        <v>253</v>
      </c>
      <c r="K932" s="32" t="s">
        <v>266</v>
      </c>
      <c r="L932" s="32" t="s">
        <v>275</v>
      </c>
      <c r="M932" s="39" t="s">
        <v>255</v>
      </c>
      <c r="N932" s="39" t="s">
        <v>268</v>
      </c>
      <c r="O932" s="32" t="s">
        <v>269</v>
      </c>
      <c r="P932" s="40" t="str">
        <f aca="false">_xlfn.CONCAT(B932,C932,D932,E932,F932)</f>
        <v>BC Caiaponia2.1215KTL-H3(MBUS-13)46039.597222222246039.597222222246039.6590277778</v>
      </c>
      <c r="Q932" s="32" t="str">
        <f aca="false">_xlfn.CONCAT(H932,I932,J932)</f>
        <v>DAURDE</v>
      </c>
    </row>
    <row r="933" customFormat="false" ht="15" hidden="false" customHeight="false" outlineLevel="0" collapsed="false">
      <c r="B933" s="32" t="s">
        <v>250</v>
      </c>
      <c r="C933" s="32" t="s">
        <v>259</v>
      </c>
      <c r="D933" s="33" t="n">
        <v>46039.5972222222</v>
      </c>
      <c r="E933" s="33" t="n">
        <v>46039.5972222222</v>
      </c>
      <c r="F933" s="33" t="n">
        <v>46039.6590277778</v>
      </c>
      <c r="G933" s="34" t="n">
        <f aca="false">F933-E933</f>
        <v>0.0618055555555556</v>
      </c>
      <c r="H933" s="39" t="s">
        <v>252</v>
      </c>
      <c r="J933" s="39" t="s">
        <v>253</v>
      </c>
      <c r="K933" s="32" t="s">
        <v>266</v>
      </c>
      <c r="L933" s="32" t="s">
        <v>275</v>
      </c>
      <c r="M933" s="39" t="s">
        <v>255</v>
      </c>
      <c r="N933" s="39" t="s">
        <v>268</v>
      </c>
      <c r="O933" s="32" t="s">
        <v>269</v>
      </c>
      <c r="P933" s="40" t="str">
        <f aca="false">_xlfn.CONCAT(B933,C933,D933,E933,F933)</f>
        <v>BC Caiaponia2.1215KTL-H3(MBUS-14)46039.597222222246039.597222222246039.6590277778</v>
      </c>
      <c r="Q933" s="32" t="str">
        <f aca="false">_xlfn.CONCAT(H933,I933,J933)</f>
        <v>DAURDE</v>
      </c>
    </row>
    <row r="934" customFormat="false" ht="15" hidden="false" customHeight="false" outlineLevel="0" collapsed="false">
      <c r="B934" s="32" t="s">
        <v>250</v>
      </c>
      <c r="C934" s="32" t="s">
        <v>260</v>
      </c>
      <c r="D934" s="33" t="n">
        <v>46039.5972222222</v>
      </c>
      <c r="E934" s="33" t="n">
        <v>46039.5972222222</v>
      </c>
      <c r="F934" s="33" t="n">
        <v>46039.6590277778</v>
      </c>
      <c r="G934" s="34" t="n">
        <f aca="false">F934-E934</f>
        <v>0.0618055555555556</v>
      </c>
      <c r="H934" s="39" t="s">
        <v>252</v>
      </c>
      <c r="J934" s="39" t="s">
        <v>253</v>
      </c>
      <c r="K934" s="32" t="s">
        <v>266</v>
      </c>
      <c r="L934" s="32" t="s">
        <v>275</v>
      </c>
      <c r="M934" s="39" t="s">
        <v>255</v>
      </c>
      <c r="N934" s="39" t="s">
        <v>268</v>
      </c>
      <c r="O934" s="32" t="s">
        <v>269</v>
      </c>
      <c r="P934" s="40" t="str">
        <f aca="false">_xlfn.CONCAT(B934,C934,D934,E934,F934)</f>
        <v>BC Caiaponia2.1215KTL-H3(MBUS-15)46039.597222222246039.597222222246039.6590277778</v>
      </c>
      <c r="Q934" s="32" t="str">
        <f aca="false">_xlfn.CONCAT(H934,I934,J934)</f>
        <v>DAURDE</v>
      </c>
    </row>
    <row r="935" customFormat="false" ht="15" hidden="false" customHeight="false" outlineLevel="0" collapsed="false">
      <c r="B935" s="32" t="s">
        <v>250</v>
      </c>
      <c r="C935" s="32" t="s">
        <v>261</v>
      </c>
      <c r="D935" s="33" t="n">
        <v>46039.5972222222</v>
      </c>
      <c r="E935" s="33" t="n">
        <v>46039.5972222222</v>
      </c>
      <c r="F935" s="33" t="n">
        <v>46039.6590277778</v>
      </c>
      <c r="G935" s="34" t="n">
        <f aca="false">F935-E935</f>
        <v>0.0618055555555556</v>
      </c>
      <c r="H935" s="39" t="s">
        <v>252</v>
      </c>
      <c r="J935" s="39" t="s">
        <v>253</v>
      </c>
      <c r="K935" s="32" t="s">
        <v>266</v>
      </c>
      <c r="L935" s="32" t="s">
        <v>275</v>
      </c>
      <c r="M935" s="39" t="s">
        <v>255</v>
      </c>
      <c r="N935" s="39" t="s">
        <v>268</v>
      </c>
      <c r="O935" s="32" t="s">
        <v>269</v>
      </c>
      <c r="P935" s="40" t="str">
        <f aca="false">_xlfn.CONCAT(B935,C935,D935,E935,F935)</f>
        <v>BC Caiaponia2.1215KTL-H3(MBUS-16)46039.597222222246039.597222222246039.6590277778</v>
      </c>
      <c r="Q935" s="32" t="str">
        <f aca="false">_xlfn.CONCAT(H935,I935,J935)</f>
        <v>DAURDE</v>
      </c>
    </row>
    <row r="936" customFormat="false" ht="15" hidden="false" customHeight="false" outlineLevel="0" collapsed="false">
      <c r="B936" s="32" t="s">
        <v>262</v>
      </c>
      <c r="C936" s="32" t="s">
        <v>251</v>
      </c>
      <c r="D936" s="33" t="n">
        <v>46039.5972222222</v>
      </c>
      <c r="E936" s="33" t="n">
        <v>46039.5972222222</v>
      </c>
      <c r="F936" s="33" t="n">
        <v>46039.6590277778</v>
      </c>
      <c r="G936" s="34" t="n">
        <f aca="false">F936-E936</f>
        <v>0.0618055555555556</v>
      </c>
      <c r="H936" s="39" t="s">
        <v>252</v>
      </c>
      <c r="J936" s="39" t="s">
        <v>253</v>
      </c>
      <c r="K936" s="32" t="s">
        <v>266</v>
      </c>
      <c r="L936" s="32" t="s">
        <v>275</v>
      </c>
      <c r="M936" s="39" t="s">
        <v>255</v>
      </c>
      <c r="N936" s="39" t="s">
        <v>268</v>
      </c>
      <c r="O936" s="32" t="s">
        <v>269</v>
      </c>
      <c r="P936" s="40" t="str">
        <f aca="false">_xlfn.CONCAT(B936,C936,D936,E936,F936)</f>
        <v>BC Caiaponia2.2215KTL-H3(MBUS-12)46039.597222222246039.597222222246039.6590277778</v>
      </c>
      <c r="Q936" s="32" t="str">
        <f aca="false">_xlfn.CONCAT(H936,I936,J936)</f>
        <v>DAURDE</v>
      </c>
    </row>
    <row r="937" customFormat="false" ht="15" hidden="false" customHeight="false" outlineLevel="0" collapsed="false">
      <c r="B937" s="32" t="s">
        <v>262</v>
      </c>
      <c r="C937" s="32" t="s">
        <v>258</v>
      </c>
      <c r="D937" s="33" t="n">
        <v>46039.5972222222</v>
      </c>
      <c r="E937" s="33" t="n">
        <v>46039.5972222222</v>
      </c>
      <c r="F937" s="33" t="n">
        <v>46039.6590277778</v>
      </c>
      <c r="G937" s="34" t="n">
        <f aca="false">F937-E937</f>
        <v>0.0618055555555556</v>
      </c>
      <c r="H937" s="39" t="s">
        <v>252</v>
      </c>
      <c r="J937" s="39" t="s">
        <v>253</v>
      </c>
      <c r="K937" s="32" t="s">
        <v>266</v>
      </c>
      <c r="L937" s="32" t="s">
        <v>275</v>
      </c>
      <c r="M937" s="39" t="s">
        <v>255</v>
      </c>
      <c r="N937" s="39" t="s">
        <v>268</v>
      </c>
      <c r="O937" s="32" t="s">
        <v>269</v>
      </c>
      <c r="P937" s="40" t="str">
        <f aca="false">_xlfn.CONCAT(B937,C937,D937,E937,F937)</f>
        <v>BC Caiaponia2.2215KTL-H3(MBUS-13)46039.597222222246039.597222222246039.6590277778</v>
      </c>
      <c r="Q937" s="32" t="str">
        <f aca="false">_xlfn.CONCAT(H937,I937,J937)</f>
        <v>DAURDE</v>
      </c>
    </row>
    <row r="938" customFormat="false" ht="15" hidden="false" customHeight="false" outlineLevel="0" collapsed="false">
      <c r="B938" s="32" t="s">
        <v>262</v>
      </c>
      <c r="C938" s="32" t="s">
        <v>259</v>
      </c>
      <c r="D938" s="33" t="n">
        <v>46039.5972222222</v>
      </c>
      <c r="E938" s="33" t="n">
        <v>46039.5972222222</v>
      </c>
      <c r="F938" s="33" t="n">
        <v>46039.6590277778</v>
      </c>
      <c r="G938" s="34" t="n">
        <f aca="false">F938-E938</f>
        <v>0.0618055555555556</v>
      </c>
      <c r="H938" s="39" t="s">
        <v>252</v>
      </c>
      <c r="J938" s="39" t="s">
        <v>253</v>
      </c>
      <c r="K938" s="32" t="s">
        <v>266</v>
      </c>
      <c r="L938" s="32" t="s">
        <v>275</v>
      </c>
      <c r="M938" s="39" t="s">
        <v>255</v>
      </c>
      <c r="N938" s="39" t="s">
        <v>268</v>
      </c>
      <c r="O938" s="32" t="s">
        <v>269</v>
      </c>
      <c r="P938" s="40" t="str">
        <f aca="false">_xlfn.CONCAT(B938,C938,D938,E938,F938)</f>
        <v>BC Caiaponia2.2215KTL-H3(MBUS-14)46039.597222222246039.597222222246039.6590277778</v>
      </c>
      <c r="Q938" s="32" t="str">
        <f aca="false">_xlfn.CONCAT(H938,I938,J938)</f>
        <v>DAURDE</v>
      </c>
    </row>
    <row r="939" customFormat="false" ht="15" hidden="false" customHeight="false" outlineLevel="0" collapsed="false">
      <c r="B939" s="32" t="s">
        <v>262</v>
      </c>
      <c r="C939" s="32" t="s">
        <v>260</v>
      </c>
      <c r="D939" s="33" t="n">
        <v>46039.5972222222</v>
      </c>
      <c r="E939" s="33" t="n">
        <v>46039.5972222222</v>
      </c>
      <c r="F939" s="33" t="n">
        <v>46039.6590277778</v>
      </c>
      <c r="G939" s="34" t="n">
        <f aca="false">F939-E939</f>
        <v>0.0618055555555556</v>
      </c>
      <c r="H939" s="39" t="s">
        <v>252</v>
      </c>
      <c r="J939" s="39" t="s">
        <v>253</v>
      </c>
      <c r="K939" s="32" t="s">
        <v>266</v>
      </c>
      <c r="L939" s="32" t="s">
        <v>275</v>
      </c>
      <c r="M939" s="39" t="s">
        <v>255</v>
      </c>
      <c r="N939" s="39" t="s">
        <v>268</v>
      </c>
      <c r="O939" s="32" t="s">
        <v>269</v>
      </c>
      <c r="P939" s="40" t="str">
        <f aca="false">_xlfn.CONCAT(B939,C939,D939,E939,F939)</f>
        <v>BC Caiaponia2.2215KTL-H3(MBUS-15)46039.597222222246039.597222222246039.6590277778</v>
      </c>
      <c r="Q939" s="32" t="str">
        <f aca="false">_xlfn.CONCAT(H939,I939,J939)</f>
        <v>DAURDE</v>
      </c>
    </row>
    <row r="940" customFormat="false" ht="15" hidden="false" customHeight="false" outlineLevel="0" collapsed="false">
      <c r="B940" s="32" t="s">
        <v>262</v>
      </c>
      <c r="C940" s="32" t="s">
        <v>261</v>
      </c>
      <c r="D940" s="33" t="n">
        <v>46039.5972222222</v>
      </c>
      <c r="E940" s="33" t="n">
        <v>46039.5972222222</v>
      </c>
      <c r="F940" s="33" t="n">
        <v>46039.6590277778</v>
      </c>
      <c r="G940" s="34" t="n">
        <f aca="false">F940-E940</f>
        <v>0.0618055555555556</v>
      </c>
      <c r="H940" s="39" t="s">
        <v>252</v>
      </c>
      <c r="J940" s="39" t="s">
        <v>253</v>
      </c>
      <c r="K940" s="32" t="s">
        <v>266</v>
      </c>
      <c r="L940" s="32" t="s">
        <v>275</v>
      </c>
      <c r="M940" s="39" t="s">
        <v>255</v>
      </c>
      <c r="N940" s="39" t="s">
        <v>268</v>
      </c>
      <c r="O940" s="32" t="s">
        <v>269</v>
      </c>
      <c r="P940" s="40" t="str">
        <f aca="false">_xlfn.CONCAT(B940,C940,D940,E940,F940)</f>
        <v>BC Caiaponia2.2215KTL-H3(MBUS-16)46039.597222222246039.597222222246039.6590277778</v>
      </c>
      <c r="Q940" s="32" t="str">
        <f aca="false">_xlfn.CONCAT(H940,I940,J940)</f>
        <v>DAURDE</v>
      </c>
    </row>
    <row r="941" customFormat="false" ht="15" hidden="false" customHeight="false" outlineLevel="0" collapsed="false">
      <c r="B941" s="32" t="s">
        <v>263</v>
      </c>
      <c r="C941" s="32" t="s">
        <v>251</v>
      </c>
      <c r="D941" s="33" t="n">
        <v>46039.5972222222</v>
      </c>
      <c r="E941" s="33" t="n">
        <v>46039.5972222222</v>
      </c>
      <c r="F941" s="33" t="n">
        <v>46039.6590277778</v>
      </c>
      <c r="G941" s="34" t="n">
        <f aca="false">F941-E941</f>
        <v>0.0618055555555556</v>
      </c>
      <c r="H941" s="39" t="s">
        <v>252</v>
      </c>
      <c r="J941" s="39" t="s">
        <v>253</v>
      </c>
      <c r="K941" s="32" t="s">
        <v>266</v>
      </c>
      <c r="L941" s="32" t="s">
        <v>275</v>
      </c>
      <c r="M941" s="39" t="s">
        <v>255</v>
      </c>
      <c r="N941" s="39" t="s">
        <v>268</v>
      </c>
      <c r="O941" s="32" t="s">
        <v>269</v>
      </c>
      <c r="P941" s="40" t="str">
        <f aca="false">_xlfn.CONCAT(B941,C941,D941,E941,F941)</f>
        <v>BC Caiaponia2.3215KTL-H3(MBUS-12)46039.597222222246039.597222222246039.6590277778</v>
      </c>
      <c r="Q941" s="32" t="str">
        <f aca="false">_xlfn.CONCAT(H941,I941,J941)</f>
        <v>DAURDE</v>
      </c>
    </row>
    <row r="942" customFormat="false" ht="15" hidden="false" customHeight="false" outlineLevel="0" collapsed="false">
      <c r="B942" s="32" t="s">
        <v>263</v>
      </c>
      <c r="C942" s="32" t="s">
        <v>258</v>
      </c>
      <c r="D942" s="33" t="n">
        <v>46039.5972222222</v>
      </c>
      <c r="E942" s="33" t="n">
        <v>46039.5972222222</v>
      </c>
      <c r="F942" s="33" t="n">
        <v>46039.6590277778</v>
      </c>
      <c r="G942" s="34" t="n">
        <f aca="false">F942-E942</f>
        <v>0.0618055555555556</v>
      </c>
      <c r="H942" s="39" t="s">
        <v>252</v>
      </c>
      <c r="J942" s="39" t="s">
        <v>253</v>
      </c>
      <c r="K942" s="32" t="s">
        <v>266</v>
      </c>
      <c r="L942" s="32" t="s">
        <v>275</v>
      </c>
      <c r="M942" s="39" t="s">
        <v>255</v>
      </c>
      <c r="N942" s="39" t="s">
        <v>268</v>
      </c>
      <c r="O942" s="32" t="s">
        <v>269</v>
      </c>
      <c r="P942" s="40" t="str">
        <f aca="false">_xlfn.CONCAT(B942,C942,D942,E942,F942)</f>
        <v>BC Caiaponia2.3215KTL-H3(MBUS-13)46039.597222222246039.597222222246039.6590277778</v>
      </c>
      <c r="Q942" s="32" t="str">
        <f aca="false">_xlfn.CONCAT(H942,I942,J942)</f>
        <v>DAURDE</v>
      </c>
    </row>
    <row r="943" customFormat="false" ht="15" hidden="false" customHeight="false" outlineLevel="0" collapsed="false">
      <c r="B943" s="32" t="s">
        <v>263</v>
      </c>
      <c r="C943" s="32" t="s">
        <v>259</v>
      </c>
      <c r="D943" s="33" t="n">
        <v>46039.5972222222</v>
      </c>
      <c r="E943" s="33" t="n">
        <v>46039.5972222222</v>
      </c>
      <c r="F943" s="33" t="n">
        <v>46039.6590277778</v>
      </c>
      <c r="G943" s="34" t="n">
        <f aca="false">F943-E943</f>
        <v>0.0618055555555556</v>
      </c>
      <c r="H943" s="39" t="s">
        <v>252</v>
      </c>
      <c r="J943" s="39" t="s">
        <v>253</v>
      </c>
      <c r="K943" s="32" t="s">
        <v>266</v>
      </c>
      <c r="L943" s="32" t="s">
        <v>275</v>
      </c>
      <c r="M943" s="39" t="s">
        <v>255</v>
      </c>
      <c r="N943" s="39" t="s">
        <v>268</v>
      </c>
      <c r="O943" s="32" t="s">
        <v>269</v>
      </c>
      <c r="P943" s="40" t="str">
        <f aca="false">_xlfn.CONCAT(B943,C943,D943,E943,F943)</f>
        <v>BC Caiaponia2.3215KTL-H3(MBUS-14)46039.597222222246039.597222222246039.6590277778</v>
      </c>
      <c r="Q943" s="32" t="str">
        <f aca="false">_xlfn.CONCAT(H943,I943,J943)</f>
        <v>DAURDE</v>
      </c>
    </row>
    <row r="944" customFormat="false" ht="15" hidden="false" customHeight="false" outlineLevel="0" collapsed="false">
      <c r="B944" s="32" t="s">
        <v>263</v>
      </c>
      <c r="C944" s="32" t="s">
        <v>260</v>
      </c>
      <c r="D944" s="33" t="n">
        <v>46039.5972222222</v>
      </c>
      <c r="E944" s="33" t="n">
        <v>46039.5972222222</v>
      </c>
      <c r="F944" s="33" t="n">
        <v>46039.6590277778</v>
      </c>
      <c r="G944" s="34" t="n">
        <f aca="false">F944-E944</f>
        <v>0.0618055555555556</v>
      </c>
      <c r="H944" s="39" t="s">
        <v>252</v>
      </c>
      <c r="J944" s="39" t="s">
        <v>253</v>
      </c>
      <c r="K944" s="32" t="s">
        <v>266</v>
      </c>
      <c r="L944" s="32" t="s">
        <v>275</v>
      </c>
      <c r="M944" s="39" t="s">
        <v>255</v>
      </c>
      <c r="N944" s="39" t="s">
        <v>268</v>
      </c>
      <c r="O944" s="32" t="s">
        <v>269</v>
      </c>
      <c r="P944" s="40" t="str">
        <f aca="false">_xlfn.CONCAT(B944,C944,D944,E944,F944)</f>
        <v>BC Caiaponia2.3215KTL-H3(MBUS-15)46039.597222222246039.597222222246039.6590277778</v>
      </c>
      <c r="Q944" s="32" t="str">
        <f aca="false">_xlfn.CONCAT(H944,I944,J944)</f>
        <v>DAURDE</v>
      </c>
    </row>
    <row r="945" customFormat="false" ht="15" hidden="false" customHeight="false" outlineLevel="0" collapsed="false">
      <c r="B945" s="32" t="s">
        <v>263</v>
      </c>
      <c r="C945" s="32" t="s">
        <v>261</v>
      </c>
      <c r="D945" s="33" t="n">
        <v>46039.5972222222</v>
      </c>
      <c r="E945" s="33" t="n">
        <v>46039.5972222222</v>
      </c>
      <c r="F945" s="33" t="n">
        <v>46039.6590277778</v>
      </c>
      <c r="G945" s="34" t="n">
        <f aca="false">F945-E945</f>
        <v>0.0618055555555556</v>
      </c>
      <c r="H945" s="39" t="s">
        <v>252</v>
      </c>
      <c r="J945" s="39" t="s">
        <v>253</v>
      </c>
      <c r="K945" s="32" t="s">
        <v>266</v>
      </c>
      <c r="L945" s="32" t="s">
        <v>275</v>
      </c>
      <c r="M945" s="39" t="s">
        <v>255</v>
      </c>
      <c r="N945" s="39" t="s">
        <v>268</v>
      </c>
      <c r="O945" s="32" t="s">
        <v>269</v>
      </c>
      <c r="P945" s="40" t="str">
        <f aca="false">_xlfn.CONCAT(B945,C945,D945,E945,F945)</f>
        <v>BC Caiaponia2.3215KTL-H3(MBUS-16)46039.597222222246039.597222222246039.6590277778</v>
      </c>
      <c r="Q945" s="32" t="str">
        <f aca="false">_xlfn.CONCAT(H945,I945,J945)</f>
        <v>DAURDE</v>
      </c>
    </row>
    <row r="946" customFormat="false" ht="15" hidden="false" customHeight="false" outlineLevel="0" collapsed="false">
      <c r="B946" s="32" t="s">
        <v>323</v>
      </c>
      <c r="C946" s="32" t="s">
        <v>326</v>
      </c>
      <c r="D946" s="33" t="n">
        <v>46040.5729166667</v>
      </c>
      <c r="E946" s="33" t="n">
        <v>46040.5729166667</v>
      </c>
      <c r="F946" s="33" t="n">
        <v>46040.6180555556</v>
      </c>
      <c r="G946" s="34" t="n">
        <f aca="false">F946-E946</f>
        <v>0.0451388888888889</v>
      </c>
      <c r="H946" s="39" t="s">
        <v>252</v>
      </c>
      <c r="J946" s="39" t="s">
        <v>253</v>
      </c>
      <c r="K946" s="32" t="s">
        <v>266</v>
      </c>
      <c r="L946" s="32" t="s">
        <v>522</v>
      </c>
      <c r="M946" s="39" t="s">
        <v>255</v>
      </c>
      <c r="N946" s="39" t="s">
        <v>268</v>
      </c>
      <c r="O946" s="32" t="s">
        <v>523</v>
      </c>
      <c r="P946" s="40" t="str">
        <f aca="false">_xlfn.CONCAT(B946,C946,D946,E946,F946)</f>
        <v>BC Ibiuna 1.1Inverter(MBUS-13)46040.572916666746040.572916666746040.6180555556</v>
      </c>
      <c r="Q946" s="32" t="str">
        <f aca="false">_xlfn.CONCAT(H946,I946,J946)</f>
        <v>DAURDE</v>
      </c>
    </row>
    <row r="947" customFormat="false" ht="15" hidden="false" customHeight="false" outlineLevel="0" collapsed="false">
      <c r="B947" s="32" t="s">
        <v>323</v>
      </c>
      <c r="C947" s="32" t="s">
        <v>327</v>
      </c>
      <c r="D947" s="33" t="n">
        <v>46040.5729166667</v>
      </c>
      <c r="E947" s="33" t="n">
        <v>46040.5729166667</v>
      </c>
      <c r="F947" s="33" t="n">
        <v>46040.6180555556</v>
      </c>
      <c r="G947" s="34" t="n">
        <f aca="false">F947-E947</f>
        <v>0.0451388888888889</v>
      </c>
      <c r="H947" s="39" t="s">
        <v>252</v>
      </c>
      <c r="J947" s="39" t="s">
        <v>253</v>
      </c>
      <c r="K947" s="32" t="s">
        <v>266</v>
      </c>
      <c r="L947" s="32" t="s">
        <v>522</v>
      </c>
      <c r="M947" s="39" t="s">
        <v>255</v>
      </c>
      <c r="N947" s="39" t="s">
        <v>268</v>
      </c>
      <c r="O947" s="32" t="s">
        <v>523</v>
      </c>
      <c r="P947" s="40" t="str">
        <f aca="false">_xlfn.CONCAT(B947,C947,D947,E947,F947)</f>
        <v>BC Ibiuna 1.1Inverter(MBUS-14)46040.572916666746040.572916666746040.6180555556</v>
      </c>
      <c r="Q947" s="32" t="str">
        <f aca="false">_xlfn.CONCAT(H947,I947,J947)</f>
        <v>DAURDE</v>
      </c>
    </row>
    <row r="948" customFormat="false" ht="15" hidden="false" customHeight="false" outlineLevel="0" collapsed="false">
      <c r="B948" s="32" t="s">
        <v>323</v>
      </c>
      <c r="C948" s="32" t="s">
        <v>328</v>
      </c>
      <c r="D948" s="33" t="n">
        <v>46040.5729166667</v>
      </c>
      <c r="E948" s="33" t="n">
        <v>46040.5729166667</v>
      </c>
      <c r="F948" s="33" t="n">
        <v>46040.6180555556</v>
      </c>
      <c r="G948" s="34" t="n">
        <f aca="false">F948-E948</f>
        <v>0.0451388888888889</v>
      </c>
      <c r="H948" s="39" t="s">
        <v>252</v>
      </c>
      <c r="J948" s="39" t="s">
        <v>253</v>
      </c>
      <c r="K948" s="32" t="s">
        <v>266</v>
      </c>
      <c r="L948" s="32" t="s">
        <v>522</v>
      </c>
      <c r="M948" s="39" t="s">
        <v>255</v>
      </c>
      <c r="N948" s="39" t="s">
        <v>268</v>
      </c>
      <c r="O948" s="32" t="s">
        <v>523</v>
      </c>
      <c r="P948" s="40" t="str">
        <f aca="false">_xlfn.CONCAT(B948,C948,D948,E948,F948)</f>
        <v>BC Ibiuna 1.1Inverter(MBUS-15)46040.572916666746040.572916666746040.6180555556</v>
      </c>
      <c r="Q948" s="32" t="str">
        <f aca="false">_xlfn.CONCAT(H948,I948,J948)</f>
        <v>DAURDE</v>
      </c>
    </row>
    <row r="949" customFormat="false" ht="15" hidden="false" customHeight="false" outlineLevel="0" collapsed="false">
      <c r="B949" s="32" t="s">
        <v>329</v>
      </c>
      <c r="C949" s="32" t="s">
        <v>324</v>
      </c>
      <c r="D949" s="33" t="n">
        <v>46040.5729166667</v>
      </c>
      <c r="E949" s="33" t="n">
        <v>46040.5729166667</v>
      </c>
      <c r="F949" s="33" t="n">
        <v>46040.6180555556</v>
      </c>
      <c r="G949" s="34" t="n">
        <f aca="false">F949-E949</f>
        <v>0.0451388888888889</v>
      </c>
      <c r="H949" s="39" t="s">
        <v>252</v>
      </c>
      <c r="J949" s="39" t="s">
        <v>253</v>
      </c>
      <c r="K949" s="32" t="s">
        <v>266</v>
      </c>
      <c r="L949" s="32" t="s">
        <v>522</v>
      </c>
      <c r="M949" s="39" t="s">
        <v>255</v>
      </c>
      <c r="N949" s="39" t="s">
        <v>268</v>
      </c>
      <c r="O949" s="32" t="s">
        <v>523</v>
      </c>
      <c r="P949" s="40" t="str">
        <f aca="false">_xlfn.CONCAT(B949,C949,D949,E949,F949)</f>
        <v>BC Ibiuna 1.2Inverter(MBUS-12)46040.572916666746040.572916666746040.6180555556</v>
      </c>
      <c r="Q949" s="32" t="str">
        <f aca="false">_xlfn.CONCAT(H949,I949,J949)</f>
        <v>DAURDE</v>
      </c>
    </row>
    <row r="950" customFormat="false" ht="15" hidden="false" customHeight="false" outlineLevel="0" collapsed="false">
      <c r="B950" s="32" t="s">
        <v>329</v>
      </c>
      <c r="C950" s="32" t="s">
        <v>326</v>
      </c>
      <c r="D950" s="33" t="n">
        <v>46040.5729166667</v>
      </c>
      <c r="E950" s="33" t="n">
        <v>46040.5729166667</v>
      </c>
      <c r="F950" s="33" t="n">
        <v>46040.6180555556</v>
      </c>
      <c r="G950" s="34" t="n">
        <f aca="false">F950-E950</f>
        <v>0.0451388888888889</v>
      </c>
      <c r="H950" s="39" t="s">
        <v>252</v>
      </c>
      <c r="J950" s="39" t="s">
        <v>253</v>
      </c>
      <c r="K950" s="32" t="s">
        <v>266</v>
      </c>
      <c r="L950" s="32" t="s">
        <v>522</v>
      </c>
      <c r="M950" s="39" t="s">
        <v>255</v>
      </c>
      <c r="N950" s="39" t="s">
        <v>268</v>
      </c>
      <c r="O950" s="32" t="s">
        <v>523</v>
      </c>
      <c r="P950" s="40" t="str">
        <f aca="false">_xlfn.CONCAT(B950,C950,D950,E950,F950)</f>
        <v>BC Ibiuna 1.2Inverter(MBUS-13)46040.572916666746040.572916666746040.6180555556</v>
      </c>
      <c r="Q950" s="32" t="str">
        <f aca="false">_xlfn.CONCAT(H950,I950,J950)</f>
        <v>DAURDE</v>
      </c>
    </row>
    <row r="951" customFormat="false" ht="15" hidden="false" customHeight="false" outlineLevel="0" collapsed="false">
      <c r="B951" s="32" t="s">
        <v>329</v>
      </c>
      <c r="C951" s="32" t="s">
        <v>327</v>
      </c>
      <c r="D951" s="33" t="n">
        <v>46040.5729166667</v>
      </c>
      <c r="E951" s="33" t="n">
        <v>46040.5729166667</v>
      </c>
      <c r="F951" s="33" t="n">
        <v>46040.6180555556</v>
      </c>
      <c r="G951" s="34" t="n">
        <f aca="false">F951-E951</f>
        <v>0.0451388888888889</v>
      </c>
      <c r="H951" s="39" t="s">
        <v>252</v>
      </c>
      <c r="J951" s="39" t="s">
        <v>253</v>
      </c>
      <c r="K951" s="32" t="s">
        <v>266</v>
      </c>
      <c r="L951" s="32" t="s">
        <v>522</v>
      </c>
      <c r="M951" s="39" t="s">
        <v>255</v>
      </c>
      <c r="N951" s="39" t="s">
        <v>268</v>
      </c>
      <c r="O951" s="32" t="s">
        <v>523</v>
      </c>
      <c r="P951" s="40" t="str">
        <f aca="false">_xlfn.CONCAT(B951,C951,D951,E951,F951)</f>
        <v>BC Ibiuna 1.2Inverter(MBUS-14)46040.572916666746040.572916666746040.6180555556</v>
      </c>
      <c r="Q951" s="32" t="str">
        <f aca="false">_xlfn.CONCAT(H951,I951,J951)</f>
        <v>DAURDE</v>
      </c>
    </row>
    <row r="952" customFormat="false" ht="15" hidden="false" customHeight="false" outlineLevel="0" collapsed="false">
      <c r="B952" s="32" t="s">
        <v>329</v>
      </c>
      <c r="C952" s="32" t="s">
        <v>328</v>
      </c>
      <c r="D952" s="33" t="n">
        <v>46040.5729166667</v>
      </c>
      <c r="E952" s="33" t="n">
        <v>46040.5729166667</v>
      </c>
      <c r="F952" s="33" t="n">
        <v>46040.6180555556</v>
      </c>
      <c r="G952" s="34" t="n">
        <f aca="false">F952-E952</f>
        <v>0.0451388888888889</v>
      </c>
      <c r="H952" s="39" t="s">
        <v>252</v>
      </c>
      <c r="J952" s="39" t="s">
        <v>253</v>
      </c>
      <c r="K952" s="32" t="s">
        <v>266</v>
      </c>
      <c r="L952" s="32" t="s">
        <v>522</v>
      </c>
      <c r="M952" s="39" t="s">
        <v>255</v>
      </c>
      <c r="N952" s="39" t="s">
        <v>268</v>
      </c>
      <c r="O952" s="32" t="s">
        <v>523</v>
      </c>
      <c r="P952" s="40" t="str">
        <f aca="false">_xlfn.CONCAT(B952,C952,D952,E952,F952)</f>
        <v>BC Ibiuna 1.2Inverter(MBUS-15)46040.572916666746040.572916666746040.6180555556</v>
      </c>
      <c r="Q952" s="32" t="str">
        <f aca="false">_xlfn.CONCAT(H952,I952,J952)</f>
        <v>DAURDE</v>
      </c>
    </row>
    <row r="953" customFormat="false" ht="15" hidden="false" customHeight="false" outlineLevel="0" collapsed="false">
      <c r="B953" s="32" t="s">
        <v>323</v>
      </c>
      <c r="C953" s="32" t="s">
        <v>326</v>
      </c>
      <c r="D953" s="33" t="n">
        <v>46040.6694444444</v>
      </c>
      <c r="E953" s="33" t="n">
        <v>46040.6694444444</v>
      </c>
      <c r="F953" s="33" t="n">
        <v>46040.725</v>
      </c>
      <c r="G953" s="34" t="n">
        <f aca="false">F953-E953</f>
        <v>0.0555555555555556</v>
      </c>
      <c r="H953" s="39" t="s">
        <v>252</v>
      </c>
      <c r="J953" s="39" t="s">
        <v>253</v>
      </c>
      <c r="K953" s="32" t="s">
        <v>266</v>
      </c>
      <c r="L953" s="32" t="s">
        <v>522</v>
      </c>
      <c r="M953" s="39" t="s">
        <v>255</v>
      </c>
      <c r="N953" s="39" t="s">
        <v>268</v>
      </c>
      <c r="O953" s="32" t="s">
        <v>523</v>
      </c>
      <c r="P953" s="40" t="str">
        <f aca="false">_xlfn.CONCAT(B953,C953,D953,E953,F953)</f>
        <v>BC Ibiuna 1.1Inverter(MBUS-13)46040.669444444446040.669444444446040.725</v>
      </c>
      <c r="Q953" s="32" t="str">
        <f aca="false">_xlfn.CONCAT(H953,I953,J953)</f>
        <v>DAURDE</v>
      </c>
    </row>
    <row r="954" customFormat="false" ht="15" hidden="false" customHeight="false" outlineLevel="0" collapsed="false">
      <c r="B954" s="32" t="s">
        <v>323</v>
      </c>
      <c r="C954" s="32" t="s">
        <v>327</v>
      </c>
      <c r="D954" s="33" t="n">
        <v>46040.6694444444</v>
      </c>
      <c r="E954" s="33" t="n">
        <v>46040.6694444444</v>
      </c>
      <c r="F954" s="33" t="n">
        <v>46040.725</v>
      </c>
      <c r="G954" s="34" t="n">
        <f aca="false">F954-E954</f>
        <v>0.0555555555555556</v>
      </c>
      <c r="H954" s="39" t="s">
        <v>252</v>
      </c>
      <c r="J954" s="39" t="s">
        <v>253</v>
      </c>
      <c r="K954" s="32" t="s">
        <v>266</v>
      </c>
      <c r="L954" s="32" t="s">
        <v>522</v>
      </c>
      <c r="M954" s="39" t="s">
        <v>255</v>
      </c>
      <c r="N954" s="39" t="s">
        <v>268</v>
      </c>
      <c r="O954" s="32" t="s">
        <v>523</v>
      </c>
      <c r="P954" s="40" t="str">
        <f aca="false">_xlfn.CONCAT(B954,C954,D954,E954,F954)</f>
        <v>BC Ibiuna 1.1Inverter(MBUS-14)46040.669444444446040.669444444446040.725</v>
      </c>
      <c r="Q954" s="32" t="str">
        <f aca="false">_xlfn.CONCAT(H954,I954,J954)</f>
        <v>DAURDE</v>
      </c>
    </row>
    <row r="955" customFormat="false" ht="15" hidden="false" customHeight="false" outlineLevel="0" collapsed="false">
      <c r="B955" s="32" t="s">
        <v>323</v>
      </c>
      <c r="C955" s="32" t="s">
        <v>328</v>
      </c>
      <c r="D955" s="33" t="n">
        <v>46040.6694444444</v>
      </c>
      <c r="E955" s="33" t="n">
        <v>46040.6694444444</v>
      </c>
      <c r="F955" s="33" t="n">
        <v>46040.725</v>
      </c>
      <c r="G955" s="34" t="n">
        <f aca="false">F955-E955</f>
        <v>0.0555555555555556</v>
      </c>
      <c r="H955" s="39" t="s">
        <v>252</v>
      </c>
      <c r="J955" s="39" t="s">
        <v>253</v>
      </c>
      <c r="K955" s="32" t="s">
        <v>266</v>
      </c>
      <c r="L955" s="32" t="s">
        <v>522</v>
      </c>
      <c r="M955" s="39" t="s">
        <v>255</v>
      </c>
      <c r="N955" s="39" t="s">
        <v>268</v>
      </c>
      <c r="O955" s="32" t="s">
        <v>523</v>
      </c>
      <c r="P955" s="40" t="str">
        <f aca="false">_xlfn.CONCAT(B955,C955,D955,E955,F955)</f>
        <v>BC Ibiuna 1.1Inverter(MBUS-15)46040.669444444446040.669444444446040.725</v>
      </c>
      <c r="Q955" s="32" t="str">
        <f aca="false">_xlfn.CONCAT(H955,I955,J955)</f>
        <v>DAURDE</v>
      </c>
    </row>
    <row r="956" customFormat="false" ht="15" hidden="false" customHeight="false" outlineLevel="0" collapsed="false">
      <c r="B956" s="32" t="s">
        <v>329</v>
      </c>
      <c r="C956" s="32" t="s">
        <v>324</v>
      </c>
      <c r="D956" s="33" t="n">
        <v>46040.6694444444</v>
      </c>
      <c r="E956" s="33" t="n">
        <v>46040.6694444444</v>
      </c>
      <c r="F956" s="33" t="n">
        <v>46040.725</v>
      </c>
      <c r="G956" s="34" t="n">
        <f aca="false">F956-E956</f>
        <v>0.0555555555555556</v>
      </c>
      <c r="H956" s="39" t="s">
        <v>252</v>
      </c>
      <c r="J956" s="39" t="s">
        <v>253</v>
      </c>
      <c r="K956" s="32" t="s">
        <v>266</v>
      </c>
      <c r="L956" s="32" t="s">
        <v>522</v>
      </c>
      <c r="M956" s="39" t="s">
        <v>255</v>
      </c>
      <c r="N956" s="39" t="s">
        <v>268</v>
      </c>
      <c r="O956" s="32" t="s">
        <v>523</v>
      </c>
      <c r="P956" s="40" t="str">
        <f aca="false">_xlfn.CONCAT(B956,C956,D956,E956,F956)</f>
        <v>BC Ibiuna 1.2Inverter(MBUS-12)46040.669444444446040.669444444446040.725</v>
      </c>
      <c r="Q956" s="32" t="str">
        <f aca="false">_xlfn.CONCAT(H956,I956,J956)</f>
        <v>DAURDE</v>
      </c>
    </row>
    <row r="957" customFormat="false" ht="15" hidden="false" customHeight="false" outlineLevel="0" collapsed="false">
      <c r="B957" s="32" t="s">
        <v>329</v>
      </c>
      <c r="C957" s="32" t="s">
        <v>326</v>
      </c>
      <c r="D957" s="33" t="n">
        <v>46040.6694444444</v>
      </c>
      <c r="E957" s="33" t="n">
        <v>46040.6694444444</v>
      </c>
      <c r="F957" s="33" t="n">
        <v>46040.725</v>
      </c>
      <c r="G957" s="34" t="n">
        <f aca="false">F957-E957</f>
        <v>0.0555555555555556</v>
      </c>
      <c r="H957" s="39" t="s">
        <v>252</v>
      </c>
      <c r="J957" s="39" t="s">
        <v>253</v>
      </c>
      <c r="K957" s="32" t="s">
        <v>266</v>
      </c>
      <c r="L957" s="32" t="s">
        <v>522</v>
      </c>
      <c r="M957" s="39" t="s">
        <v>255</v>
      </c>
      <c r="N957" s="39" t="s">
        <v>268</v>
      </c>
      <c r="O957" s="32" t="s">
        <v>523</v>
      </c>
      <c r="P957" s="40" t="str">
        <f aca="false">_xlfn.CONCAT(B957,C957,D957,E957,F957)</f>
        <v>BC Ibiuna 1.2Inverter(MBUS-13)46040.669444444446040.669444444446040.725</v>
      </c>
      <c r="Q957" s="32" t="str">
        <f aca="false">_xlfn.CONCAT(H957,I957,J957)</f>
        <v>DAURDE</v>
      </c>
    </row>
    <row r="958" customFormat="false" ht="15" hidden="false" customHeight="false" outlineLevel="0" collapsed="false">
      <c r="B958" s="32" t="s">
        <v>329</v>
      </c>
      <c r="C958" s="32" t="s">
        <v>327</v>
      </c>
      <c r="D958" s="33" t="n">
        <v>46040.6694444444</v>
      </c>
      <c r="E958" s="33" t="n">
        <v>46040.6694444444</v>
      </c>
      <c r="F958" s="33" t="n">
        <v>46040.725</v>
      </c>
      <c r="G958" s="34" t="n">
        <f aca="false">F958-E958</f>
        <v>0.0555555555555556</v>
      </c>
      <c r="H958" s="39" t="s">
        <v>252</v>
      </c>
      <c r="J958" s="39" t="s">
        <v>253</v>
      </c>
      <c r="K958" s="32" t="s">
        <v>266</v>
      </c>
      <c r="L958" s="32" t="s">
        <v>522</v>
      </c>
      <c r="M958" s="39" t="s">
        <v>255</v>
      </c>
      <c r="N958" s="39" t="s">
        <v>268</v>
      </c>
      <c r="O958" s="32" t="s">
        <v>523</v>
      </c>
      <c r="P958" s="40" t="str">
        <f aca="false">_xlfn.CONCAT(B958,C958,D958,E958,F958)</f>
        <v>BC Ibiuna 1.2Inverter(MBUS-14)46040.669444444446040.669444444446040.725</v>
      </c>
      <c r="Q958" s="32" t="str">
        <f aca="false">_xlfn.CONCAT(H958,I958,J958)</f>
        <v>DAURDE</v>
      </c>
    </row>
    <row r="959" customFormat="false" ht="15" hidden="false" customHeight="false" outlineLevel="0" collapsed="false">
      <c r="B959" s="32" t="s">
        <v>329</v>
      </c>
      <c r="C959" s="32" t="s">
        <v>328</v>
      </c>
      <c r="D959" s="33" t="n">
        <v>46040.6694444444</v>
      </c>
      <c r="E959" s="33" t="n">
        <v>46040.6694444444</v>
      </c>
      <c r="F959" s="33" t="n">
        <v>46040.725</v>
      </c>
      <c r="G959" s="34" t="n">
        <f aca="false">F959-E959</f>
        <v>0.0555555555555556</v>
      </c>
      <c r="H959" s="39" t="s">
        <v>252</v>
      </c>
      <c r="J959" s="39" t="s">
        <v>253</v>
      </c>
      <c r="K959" s="32" t="s">
        <v>266</v>
      </c>
      <c r="L959" s="32" t="s">
        <v>522</v>
      </c>
      <c r="M959" s="39" t="s">
        <v>255</v>
      </c>
      <c r="N959" s="39" t="s">
        <v>268</v>
      </c>
      <c r="O959" s="32" t="s">
        <v>523</v>
      </c>
      <c r="P959" s="40" t="str">
        <f aca="false">_xlfn.CONCAT(B959,C959,D959,E959,F959)</f>
        <v>BC Ibiuna 1.2Inverter(MBUS-15)46040.669444444446040.669444444446040.725</v>
      </c>
      <c r="Q959" s="32" t="str">
        <f aca="false">_xlfn.CONCAT(H959,I959,J959)</f>
        <v>DAURDE</v>
      </c>
    </row>
    <row r="960" customFormat="false" ht="15" hidden="false" customHeight="false" outlineLevel="0" collapsed="false">
      <c r="B960" s="41" t="s">
        <v>177</v>
      </c>
      <c r="C960" s="41" t="s">
        <v>326</v>
      </c>
      <c r="D960" s="42" t="n">
        <v>46041.3958333333</v>
      </c>
      <c r="E960" s="42" t="n">
        <v>46041.3958333333</v>
      </c>
      <c r="F960" s="42" t="n">
        <v>46042.5555555556</v>
      </c>
      <c r="G960" s="43" t="n">
        <f aca="false">F960-E960</f>
        <v>1.15972222222222</v>
      </c>
      <c r="H960" s="41" t="s">
        <v>384</v>
      </c>
      <c r="I960" s="41"/>
      <c r="J960" s="41" t="s">
        <v>234</v>
      </c>
      <c r="K960" s="41" t="s">
        <v>234</v>
      </c>
      <c r="L960" s="41" t="s">
        <v>566</v>
      </c>
      <c r="M960" s="41" t="s">
        <v>483</v>
      </c>
      <c r="N960" s="41" t="s">
        <v>440</v>
      </c>
      <c r="O960" s="41" t="s">
        <v>567</v>
      </c>
      <c r="P960" s="44"/>
      <c r="Q960" s="41"/>
    </row>
    <row r="961" customFormat="false" ht="15" hidden="false" customHeight="false" outlineLevel="0" collapsed="false">
      <c r="B961" s="41" t="s">
        <v>177</v>
      </c>
      <c r="C961" s="41" t="s">
        <v>324</v>
      </c>
      <c r="D961" s="42" t="n">
        <v>46041.3958333333</v>
      </c>
      <c r="E961" s="42" t="n">
        <v>46041.3958333333</v>
      </c>
      <c r="F961" s="42" t="n">
        <v>46044.6736111111</v>
      </c>
      <c r="G961" s="43" t="n">
        <f aca="false">F961-E961</f>
        <v>3.27777777777778</v>
      </c>
      <c r="H961" s="41" t="s">
        <v>384</v>
      </c>
      <c r="I961" s="41"/>
      <c r="J961" s="41" t="s">
        <v>234</v>
      </c>
      <c r="K961" s="41" t="s">
        <v>234</v>
      </c>
      <c r="L961" s="41" t="s">
        <v>568</v>
      </c>
      <c r="M961" s="41" t="s">
        <v>483</v>
      </c>
      <c r="N961" s="41" t="s">
        <v>440</v>
      </c>
      <c r="O961" s="41" t="s">
        <v>567</v>
      </c>
      <c r="P961" s="44"/>
      <c r="Q961" s="41"/>
    </row>
    <row r="962" customFormat="false" ht="15" hidden="false" customHeight="false" outlineLevel="0" collapsed="false">
      <c r="B962" s="41" t="s">
        <v>177</v>
      </c>
      <c r="C962" s="41" t="s">
        <v>328</v>
      </c>
      <c r="D962" s="42" t="n">
        <v>46041.3958333333</v>
      </c>
      <c r="E962" s="42" t="n">
        <v>46041.3958333333</v>
      </c>
      <c r="F962" s="42" t="n">
        <v>46053.9999884259</v>
      </c>
      <c r="G962" s="43" t="n">
        <f aca="false">F962-E962</f>
        <v>12.6041550925926</v>
      </c>
      <c r="H962" s="41" t="s">
        <v>384</v>
      </c>
      <c r="I962" s="41"/>
      <c r="J962" s="41" t="s">
        <v>333</v>
      </c>
      <c r="K962" s="41" t="s">
        <v>334</v>
      </c>
      <c r="L962" s="41" t="s">
        <v>569</v>
      </c>
      <c r="M962" s="41" t="s">
        <v>336</v>
      </c>
      <c r="N962" s="41" t="s">
        <v>381</v>
      </c>
      <c r="O962" s="41" t="s">
        <v>570</v>
      </c>
      <c r="P962" s="44"/>
      <c r="Q962" s="32" t="str">
        <f aca="false">_xlfn.CONCAT(H962,I962,J962)</f>
        <v>DPRINV</v>
      </c>
    </row>
    <row r="963" customFormat="false" ht="15" hidden="false" customHeight="false" outlineLevel="0" collapsed="false">
      <c r="B963" s="32" t="s">
        <v>339</v>
      </c>
      <c r="C963" s="32" t="s">
        <v>327</v>
      </c>
      <c r="D963" s="33" t="n">
        <v>46041.4597222222</v>
      </c>
      <c r="E963" s="33" t="n">
        <v>46041.4597222222</v>
      </c>
      <c r="F963" s="33" t="n">
        <v>46041.46875</v>
      </c>
      <c r="G963" s="34" t="n">
        <f aca="false">F963-E963</f>
        <v>0.00902777777777778</v>
      </c>
      <c r="H963" s="39" t="s">
        <v>384</v>
      </c>
      <c r="J963" s="39" t="s">
        <v>333</v>
      </c>
      <c r="K963" s="32" t="s">
        <v>334</v>
      </c>
      <c r="L963" s="32" t="s">
        <v>571</v>
      </c>
      <c r="M963" s="39" t="s">
        <v>336</v>
      </c>
      <c r="N963" s="39" t="s">
        <v>289</v>
      </c>
      <c r="O963" s="32" t="s">
        <v>572</v>
      </c>
      <c r="P963" s="40" t="str">
        <f aca="false">_xlfn.CONCAT(B963,C963,D963,E963,F963)</f>
        <v>BC Formoso2.1Inverter(MBUS-14)46041.459722222246041.459722222246041.46875</v>
      </c>
      <c r="Q963" s="32" t="str">
        <f aca="false">_xlfn.CONCAT(H963,I963,J963)</f>
        <v>DPRINV</v>
      </c>
    </row>
    <row r="964" customFormat="false" ht="15" hidden="false" customHeight="false" outlineLevel="0" collapsed="false">
      <c r="B964" s="32" t="s">
        <v>264</v>
      </c>
      <c r="C964" s="32" t="s">
        <v>265</v>
      </c>
      <c r="D964" s="33" t="n">
        <v>46041.5451388889</v>
      </c>
      <c r="E964" s="33" t="n">
        <v>46041.5451388889</v>
      </c>
      <c r="F964" s="33" t="n">
        <v>46041.5506944444</v>
      </c>
      <c r="G964" s="34" t="n">
        <f aca="false">F964-E964</f>
        <v>0.00555555555555556</v>
      </c>
      <c r="H964" s="39" t="s">
        <v>252</v>
      </c>
      <c r="J964" s="39" t="s">
        <v>253</v>
      </c>
      <c r="K964" s="32" t="s">
        <v>266</v>
      </c>
      <c r="L964" s="32" t="s">
        <v>267</v>
      </c>
      <c r="M964" s="39" t="s">
        <v>255</v>
      </c>
      <c r="N964" s="39" t="s">
        <v>256</v>
      </c>
      <c r="O964" s="32" t="s">
        <v>573</v>
      </c>
      <c r="P964" s="40" t="str">
        <f aca="false">_xlfn.CONCAT(B964,C964,D964,E964,F964)</f>
        <v>BC Aracu5.1Inverter(MBUS-1)46041.545138888946041.545138888946041.5506944444</v>
      </c>
      <c r="Q964" s="32" t="str">
        <f aca="false">_xlfn.CONCAT(H964,I964,J964)</f>
        <v>DAURDE</v>
      </c>
    </row>
    <row r="965" customFormat="false" ht="15" hidden="false" customHeight="false" outlineLevel="0" collapsed="false">
      <c r="B965" s="32" t="s">
        <v>270</v>
      </c>
      <c r="C965" s="32" t="s">
        <v>265</v>
      </c>
      <c r="D965" s="33" t="n">
        <v>46041.5451388889</v>
      </c>
      <c r="E965" s="33" t="n">
        <v>46041.5451388889</v>
      </c>
      <c r="F965" s="33" t="n">
        <v>46041.5506944444</v>
      </c>
      <c r="G965" s="34" t="n">
        <f aca="false">F965-E965</f>
        <v>0.00555555555555556</v>
      </c>
      <c r="H965" s="39" t="s">
        <v>252</v>
      </c>
      <c r="J965" s="39" t="s">
        <v>253</v>
      </c>
      <c r="K965" s="32" t="s">
        <v>266</v>
      </c>
      <c r="L965" s="32" t="s">
        <v>267</v>
      </c>
      <c r="M965" s="39" t="s">
        <v>255</v>
      </c>
      <c r="N965" s="39" t="s">
        <v>256</v>
      </c>
      <c r="O965" s="32" t="s">
        <v>573</v>
      </c>
      <c r="P965" s="40" t="str">
        <f aca="false">_xlfn.CONCAT(B965,C965,D965,E965,F965)</f>
        <v>BC Aracu5.2Inverter(MBUS-1)46041.545138888946041.545138888946041.5506944444</v>
      </c>
      <c r="Q965" s="32" t="str">
        <f aca="false">_xlfn.CONCAT(H965,I965,J965)</f>
        <v>DAURDE</v>
      </c>
    </row>
    <row r="966" customFormat="false" ht="15" hidden="false" customHeight="false" outlineLevel="0" collapsed="false">
      <c r="B966" s="32" t="s">
        <v>271</v>
      </c>
      <c r="C966" s="32" t="s">
        <v>265</v>
      </c>
      <c r="D966" s="33" t="n">
        <v>46041.5451388889</v>
      </c>
      <c r="E966" s="33" t="n">
        <v>46041.5451388889</v>
      </c>
      <c r="F966" s="33" t="n">
        <v>46041.5506944444</v>
      </c>
      <c r="G966" s="34" t="n">
        <f aca="false">F966-E966</f>
        <v>0.00555555555555556</v>
      </c>
      <c r="H966" s="39" t="s">
        <v>252</v>
      </c>
      <c r="J966" s="39" t="s">
        <v>253</v>
      </c>
      <c r="K966" s="32" t="s">
        <v>266</v>
      </c>
      <c r="L966" s="32" t="s">
        <v>267</v>
      </c>
      <c r="M966" s="39" t="s">
        <v>255</v>
      </c>
      <c r="N966" s="39" t="s">
        <v>256</v>
      </c>
      <c r="O966" s="32" t="s">
        <v>573</v>
      </c>
      <c r="P966" s="40" t="str">
        <f aca="false">_xlfn.CONCAT(B966,C966,D966,E966,F966)</f>
        <v>BC Aracu5.3Inverter(MBUS-1)46041.545138888946041.545138888946041.5506944444</v>
      </c>
      <c r="Q966" s="32" t="str">
        <f aca="false">_xlfn.CONCAT(H966,I966,J966)</f>
        <v>DAURDE</v>
      </c>
    </row>
    <row r="967" customFormat="false" ht="15" hidden="false" customHeight="false" outlineLevel="0" collapsed="false">
      <c r="B967" s="32" t="s">
        <v>272</v>
      </c>
      <c r="C967" s="32" t="s">
        <v>265</v>
      </c>
      <c r="D967" s="33" t="n">
        <v>46041.5451388889</v>
      </c>
      <c r="E967" s="33" t="n">
        <v>46041.5451388889</v>
      </c>
      <c r="F967" s="33" t="n">
        <v>46041.5506944444</v>
      </c>
      <c r="G967" s="34" t="n">
        <f aca="false">F967-E967</f>
        <v>0.00555555555555556</v>
      </c>
      <c r="H967" s="39" t="s">
        <v>252</v>
      </c>
      <c r="J967" s="39" t="s">
        <v>253</v>
      </c>
      <c r="K967" s="32" t="s">
        <v>266</v>
      </c>
      <c r="L967" s="32" t="s">
        <v>267</v>
      </c>
      <c r="M967" s="39" t="s">
        <v>255</v>
      </c>
      <c r="N967" s="39" t="s">
        <v>256</v>
      </c>
      <c r="O967" s="32" t="s">
        <v>573</v>
      </c>
      <c r="P967" s="40" t="str">
        <f aca="false">_xlfn.CONCAT(B967,C967,D967,E967,F967)</f>
        <v>BC Aracu5.4Inverter(MBUS-1)46041.545138888946041.545138888946041.5506944444</v>
      </c>
      <c r="Q967" s="32" t="str">
        <f aca="false">_xlfn.CONCAT(H967,I967,J967)</f>
        <v>DAURDE</v>
      </c>
    </row>
    <row r="968" customFormat="false" ht="15" hidden="false" customHeight="false" outlineLevel="0" collapsed="false">
      <c r="B968" s="32" t="s">
        <v>273</v>
      </c>
      <c r="C968" s="32" t="s">
        <v>265</v>
      </c>
      <c r="D968" s="33" t="n">
        <v>46041.5451388889</v>
      </c>
      <c r="E968" s="33" t="n">
        <v>46041.5451388889</v>
      </c>
      <c r="F968" s="33" t="n">
        <v>46041.5506944444</v>
      </c>
      <c r="G968" s="34" t="n">
        <f aca="false">F968-E968</f>
        <v>0.00555555555555556</v>
      </c>
      <c r="H968" s="39" t="s">
        <v>252</v>
      </c>
      <c r="J968" s="39" t="s">
        <v>253</v>
      </c>
      <c r="K968" s="32" t="s">
        <v>266</v>
      </c>
      <c r="L968" s="32" t="s">
        <v>267</v>
      </c>
      <c r="M968" s="39" t="s">
        <v>255</v>
      </c>
      <c r="N968" s="39" t="s">
        <v>256</v>
      </c>
      <c r="O968" s="32" t="s">
        <v>573</v>
      </c>
      <c r="P968" s="40" t="str">
        <f aca="false">_xlfn.CONCAT(B968,C968,D968,E968,F968)</f>
        <v>BC Aracu5.5Inverter(MBUS-1)46041.545138888946041.545138888946041.5506944444</v>
      </c>
      <c r="Q968" s="32" t="str">
        <f aca="false">_xlfn.CONCAT(H968,I968,J968)</f>
        <v>DAURDE</v>
      </c>
    </row>
    <row r="969" customFormat="false" ht="15" hidden="false" customHeight="false" outlineLevel="0" collapsed="false">
      <c r="B969" s="32" t="s">
        <v>410</v>
      </c>
      <c r="C969" s="32" t="s">
        <v>411</v>
      </c>
      <c r="D969" s="33" t="n">
        <v>46041.7034722222</v>
      </c>
      <c r="E969" s="33" t="n">
        <v>46041.7034722222</v>
      </c>
      <c r="F969" s="33" t="n">
        <v>46041.7083333333</v>
      </c>
      <c r="G969" s="34" t="n">
        <f aca="false">F969-E969</f>
        <v>0.00486111111111111</v>
      </c>
      <c r="H969" s="39" t="s">
        <v>283</v>
      </c>
      <c r="I969" s="32" t="s">
        <v>284</v>
      </c>
      <c r="J969" s="39" t="s">
        <v>285</v>
      </c>
      <c r="K969" s="32" t="s">
        <v>286</v>
      </c>
      <c r="L969" s="32" t="s">
        <v>574</v>
      </c>
      <c r="M969" s="39" t="s">
        <v>288</v>
      </c>
      <c r="N969" s="39" t="s">
        <v>289</v>
      </c>
      <c r="O969" s="32" t="s">
        <v>575</v>
      </c>
      <c r="P969" s="40" t="str">
        <f aca="false">_xlfn.CONCAT(B969,C969,D969,E969,F969)</f>
        <v>BC Varjao2.1215KTL-H0(MBUS-12)46041.703472222246041.703472222246041.7083333333</v>
      </c>
      <c r="Q969" s="32" t="str">
        <f aca="false">_xlfn.CONCAT(H969,I969,J969)</f>
        <v>LIGRFOCOM</v>
      </c>
    </row>
    <row r="970" customFormat="false" ht="15" hidden="false" customHeight="false" outlineLevel="0" collapsed="false">
      <c r="B970" s="32" t="s">
        <v>410</v>
      </c>
      <c r="C970" s="32" t="s">
        <v>414</v>
      </c>
      <c r="D970" s="33" t="n">
        <v>46041.7034722222</v>
      </c>
      <c r="E970" s="33" t="n">
        <v>46041.7034722222</v>
      </c>
      <c r="F970" s="33" t="n">
        <v>46041.7083333333</v>
      </c>
      <c r="G970" s="34" t="n">
        <f aca="false">F970-E970</f>
        <v>0.00486111111111111</v>
      </c>
      <c r="H970" s="39" t="s">
        <v>283</v>
      </c>
      <c r="I970" s="32" t="s">
        <v>284</v>
      </c>
      <c r="J970" s="39" t="s">
        <v>285</v>
      </c>
      <c r="K970" s="32" t="s">
        <v>286</v>
      </c>
      <c r="L970" s="32" t="s">
        <v>574</v>
      </c>
      <c r="M970" s="39" t="s">
        <v>288</v>
      </c>
      <c r="N970" s="39" t="s">
        <v>289</v>
      </c>
      <c r="O970" s="32" t="s">
        <v>575</v>
      </c>
      <c r="P970" s="40" t="str">
        <f aca="false">_xlfn.CONCAT(B970,C970,D970,E970,F970)</f>
        <v>BC Varjao2.1215KTL-H0(MBUS-13)46041.703472222246041.703472222246041.7083333333</v>
      </c>
      <c r="Q970" s="32" t="str">
        <f aca="false">_xlfn.CONCAT(H970,I970,J970)</f>
        <v>LIGRFOCOM</v>
      </c>
    </row>
    <row r="971" customFormat="false" ht="15" hidden="false" customHeight="false" outlineLevel="0" collapsed="false">
      <c r="B971" s="32" t="s">
        <v>410</v>
      </c>
      <c r="C971" s="32" t="s">
        <v>415</v>
      </c>
      <c r="D971" s="33" t="n">
        <v>46041.7034722222</v>
      </c>
      <c r="E971" s="33" t="n">
        <v>46041.7034722222</v>
      </c>
      <c r="F971" s="33" t="n">
        <v>46041.7083333333</v>
      </c>
      <c r="G971" s="34" t="n">
        <f aca="false">F971-E971</f>
        <v>0.00486111111111111</v>
      </c>
      <c r="H971" s="39" t="s">
        <v>283</v>
      </c>
      <c r="I971" s="32" t="s">
        <v>284</v>
      </c>
      <c r="J971" s="39" t="s">
        <v>285</v>
      </c>
      <c r="K971" s="32" t="s">
        <v>286</v>
      </c>
      <c r="L971" s="32" t="s">
        <v>574</v>
      </c>
      <c r="M971" s="39" t="s">
        <v>288</v>
      </c>
      <c r="N971" s="39" t="s">
        <v>289</v>
      </c>
      <c r="O971" s="32" t="s">
        <v>575</v>
      </c>
      <c r="P971" s="40" t="str">
        <f aca="false">_xlfn.CONCAT(B971,C971,D971,E971,F971)</f>
        <v>BC Varjao2.1215KTL-H0(MBUS-14)46041.703472222246041.703472222246041.7083333333</v>
      </c>
      <c r="Q971" s="32" t="str">
        <f aca="false">_xlfn.CONCAT(H971,I971,J971)</f>
        <v>LIGRFOCOM</v>
      </c>
    </row>
    <row r="972" customFormat="false" ht="15" hidden="false" customHeight="false" outlineLevel="0" collapsed="false">
      <c r="B972" s="32" t="s">
        <v>410</v>
      </c>
      <c r="C972" s="32" t="s">
        <v>416</v>
      </c>
      <c r="D972" s="33" t="n">
        <v>46041.7034722222</v>
      </c>
      <c r="E972" s="33" t="n">
        <v>46041.7034722222</v>
      </c>
      <c r="F972" s="33" t="n">
        <v>46041.7083333333</v>
      </c>
      <c r="G972" s="34" t="n">
        <f aca="false">F972-E972</f>
        <v>0.00486111111111111</v>
      </c>
      <c r="H972" s="39" t="s">
        <v>283</v>
      </c>
      <c r="I972" s="32" t="s">
        <v>284</v>
      </c>
      <c r="J972" s="39" t="s">
        <v>285</v>
      </c>
      <c r="K972" s="32" t="s">
        <v>286</v>
      </c>
      <c r="L972" s="32" t="s">
        <v>574</v>
      </c>
      <c r="M972" s="39" t="s">
        <v>288</v>
      </c>
      <c r="N972" s="39" t="s">
        <v>289</v>
      </c>
      <c r="O972" s="32" t="s">
        <v>575</v>
      </c>
      <c r="P972" s="40" t="str">
        <f aca="false">_xlfn.CONCAT(B972,C972,D972,E972,F972)</f>
        <v>BC Varjao2.1215KTL-H0(MBUS-15)46041.703472222246041.703472222246041.7083333333</v>
      </c>
      <c r="Q972" s="32" t="str">
        <f aca="false">_xlfn.CONCAT(H972,I972,J972)</f>
        <v>LIGRFOCOM</v>
      </c>
    </row>
    <row r="973" customFormat="false" ht="15" hidden="false" customHeight="false" outlineLevel="0" collapsed="false">
      <c r="B973" s="32" t="s">
        <v>410</v>
      </c>
      <c r="C973" s="32" t="s">
        <v>417</v>
      </c>
      <c r="D973" s="33" t="n">
        <v>46041.7034722222</v>
      </c>
      <c r="E973" s="33" t="n">
        <v>46041.7034722222</v>
      </c>
      <c r="F973" s="33" t="n">
        <v>46041.7083333333</v>
      </c>
      <c r="G973" s="34" t="n">
        <f aca="false">F973-E973</f>
        <v>0.00486111111111111</v>
      </c>
      <c r="H973" s="39" t="s">
        <v>283</v>
      </c>
      <c r="I973" s="32" t="s">
        <v>284</v>
      </c>
      <c r="J973" s="39" t="s">
        <v>285</v>
      </c>
      <c r="K973" s="32" t="s">
        <v>286</v>
      </c>
      <c r="L973" s="32" t="s">
        <v>574</v>
      </c>
      <c r="M973" s="39" t="s">
        <v>288</v>
      </c>
      <c r="N973" s="39" t="s">
        <v>289</v>
      </c>
      <c r="O973" s="32" t="s">
        <v>575</v>
      </c>
      <c r="P973" s="40" t="str">
        <f aca="false">_xlfn.CONCAT(B973,C973,D973,E973,F973)</f>
        <v>BC Varjao2.1215KTL-H0(MBUS-16)46041.703472222246041.703472222246041.7083333333</v>
      </c>
      <c r="Q973" s="32" t="str">
        <f aca="false">_xlfn.CONCAT(H973,I973,J973)</f>
        <v>LIGRFOCOM</v>
      </c>
    </row>
    <row r="974" customFormat="false" ht="15" hidden="false" customHeight="false" outlineLevel="0" collapsed="false">
      <c r="B974" s="32" t="s">
        <v>418</v>
      </c>
      <c r="C974" s="32" t="s">
        <v>414</v>
      </c>
      <c r="D974" s="33" t="n">
        <v>46041.7034722222</v>
      </c>
      <c r="E974" s="33" t="n">
        <v>46041.7034722222</v>
      </c>
      <c r="F974" s="33" t="n">
        <v>46041.7083333333</v>
      </c>
      <c r="G974" s="34" t="n">
        <f aca="false">F974-E974</f>
        <v>0.00486111111111111</v>
      </c>
      <c r="H974" s="39" t="s">
        <v>283</v>
      </c>
      <c r="I974" s="32" t="s">
        <v>284</v>
      </c>
      <c r="J974" s="39" t="s">
        <v>285</v>
      </c>
      <c r="K974" s="32" t="s">
        <v>286</v>
      </c>
      <c r="L974" s="32" t="s">
        <v>574</v>
      </c>
      <c r="M974" s="39" t="s">
        <v>288</v>
      </c>
      <c r="N974" s="39" t="s">
        <v>289</v>
      </c>
      <c r="O974" s="32" t="s">
        <v>575</v>
      </c>
      <c r="P974" s="40" t="str">
        <f aca="false">_xlfn.CONCAT(B974,C974,D974,E974,F974)</f>
        <v>BC Varjao2.2215KTL-H0(MBUS-13)46041.703472222246041.703472222246041.7083333333</v>
      </c>
      <c r="Q974" s="32" t="str">
        <f aca="false">_xlfn.CONCAT(H974,I974,J974)</f>
        <v>LIGRFOCOM</v>
      </c>
    </row>
    <row r="975" customFormat="false" ht="15" hidden="false" customHeight="false" outlineLevel="0" collapsed="false">
      <c r="B975" s="32" t="s">
        <v>418</v>
      </c>
      <c r="C975" s="32" t="s">
        <v>415</v>
      </c>
      <c r="D975" s="33" t="n">
        <v>46041.7034722222</v>
      </c>
      <c r="E975" s="33" t="n">
        <v>46041.7034722222</v>
      </c>
      <c r="F975" s="33" t="n">
        <v>46041.7083333333</v>
      </c>
      <c r="G975" s="34" t="n">
        <f aca="false">F975-E975</f>
        <v>0.00486111111111111</v>
      </c>
      <c r="H975" s="39" t="s">
        <v>283</v>
      </c>
      <c r="I975" s="32" t="s">
        <v>284</v>
      </c>
      <c r="J975" s="39" t="s">
        <v>285</v>
      </c>
      <c r="K975" s="32" t="s">
        <v>286</v>
      </c>
      <c r="L975" s="32" t="s">
        <v>574</v>
      </c>
      <c r="M975" s="39" t="s">
        <v>288</v>
      </c>
      <c r="N975" s="39" t="s">
        <v>289</v>
      </c>
      <c r="O975" s="32" t="s">
        <v>575</v>
      </c>
      <c r="P975" s="40" t="str">
        <f aca="false">_xlfn.CONCAT(B975,C975,D975,E975,F975)</f>
        <v>BC Varjao2.2215KTL-H0(MBUS-14)46041.703472222246041.703472222246041.7083333333</v>
      </c>
      <c r="Q975" s="32" t="str">
        <f aca="false">_xlfn.CONCAT(H975,I975,J975)</f>
        <v>LIGRFOCOM</v>
      </c>
    </row>
    <row r="976" customFormat="false" ht="15" hidden="false" customHeight="false" outlineLevel="0" collapsed="false">
      <c r="B976" s="32" t="s">
        <v>418</v>
      </c>
      <c r="C976" s="32" t="s">
        <v>416</v>
      </c>
      <c r="D976" s="33" t="n">
        <v>46041.7034722222</v>
      </c>
      <c r="E976" s="33" t="n">
        <v>46041.7034722222</v>
      </c>
      <c r="F976" s="33" t="n">
        <v>46041.7083333333</v>
      </c>
      <c r="G976" s="34" t="n">
        <f aca="false">F976-E976</f>
        <v>0.00486111111111111</v>
      </c>
      <c r="H976" s="39" t="s">
        <v>283</v>
      </c>
      <c r="I976" s="32" t="s">
        <v>284</v>
      </c>
      <c r="J976" s="39" t="s">
        <v>285</v>
      </c>
      <c r="K976" s="32" t="s">
        <v>286</v>
      </c>
      <c r="L976" s="32" t="s">
        <v>574</v>
      </c>
      <c r="M976" s="39" t="s">
        <v>288</v>
      </c>
      <c r="N976" s="39" t="s">
        <v>289</v>
      </c>
      <c r="O976" s="32" t="s">
        <v>575</v>
      </c>
      <c r="P976" s="40" t="str">
        <f aca="false">_xlfn.CONCAT(B976,C976,D976,E976,F976)</f>
        <v>BC Varjao2.2215KTL-H0(MBUS-15)46041.703472222246041.703472222246041.7083333333</v>
      </c>
      <c r="Q976" s="32" t="str">
        <f aca="false">_xlfn.CONCAT(H976,I976,J976)</f>
        <v>LIGRFOCOM</v>
      </c>
    </row>
    <row r="977" customFormat="false" ht="15" hidden="false" customHeight="false" outlineLevel="0" collapsed="false">
      <c r="B977" s="32" t="s">
        <v>418</v>
      </c>
      <c r="C977" s="32" t="s">
        <v>417</v>
      </c>
      <c r="D977" s="33" t="n">
        <v>46041.7034722222</v>
      </c>
      <c r="E977" s="33" t="n">
        <v>46041.7034722222</v>
      </c>
      <c r="F977" s="33" t="n">
        <v>46041.7083333333</v>
      </c>
      <c r="G977" s="34" t="n">
        <f aca="false">F977-E977</f>
        <v>0.00486111111111111</v>
      </c>
      <c r="H977" s="39" t="s">
        <v>283</v>
      </c>
      <c r="I977" s="32" t="s">
        <v>284</v>
      </c>
      <c r="J977" s="39" t="s">
        <v>285</v>
      </c>
      <c r="K977" s="32" t="s">
        <v>286</v>
      </c>
      <c r="L977" s="32" t="s">
        <v>574</v>
      </c>
      <c r="M977" s="39" t="s">
        <v>288</v>
      </c>
      <c r="N977" s="39" t="s">
        <v>289</v>
      </c>
      <c r="O977" s="32" t="s">
        <v>575</v>
      </c>
      <c r="P977" s="40" t="str">
        <f aca="false">_xlfn.CONCAT(B977,C977,D977,E977,F977)</f>
        <v>BC Varjao2.2215KTL-H0(MBUS-16)46041.703472222246041.703472222246041.7083333333</v>
      </c>
      <c r="Q977" s="32" t="str">
        <f aca="false">_xlfn.CONCAT(H977,I977,J977)</f>
        <v>LIGRFOCOM</v>
      </c>
    </row>
    <row r="978" customFormat="false" ht="15" hidden="false" customHeight="false" outlineLevel="0" collapsed="false">
      <c r="B978" s="32" t="s">
        <v>418</v>
      </c>
      <c r="C978" s="32" t="s">
        <v>411</v>
      </c>
      <c r="D978" s="33" t="n">
        <v>46041.7034722222</v>
      </c>
      <c r="E978" s="33" t="n">
        <v>46041.7034722222</v>
      </c>
      <c r="F978" s="33" t="n">
        <v>46041.7083333333</v>
      </c>
      <c r="G978" s="34" t="n">
        <f aca="false">F978-E978</f>
        <v>0.00486111111111111</v>
      </c>
      <c r="H978" s="39" t="s">
        <v>283</v>
      </c>
      <c r="I978" s="32" t="s">
        <v>284</v>
      </c>
      <c r="J978" s="39" t="s">
        <v>285</v>
      </c>
      <c r="K978" s="32" t="s">
        <v>286</v>
      </c>
      <c r="L978" s="32" t="s">
        <v>574</v>
      </c>
      <c r="M978" s="39" t="s">
        <v>288</v>
      </c>
      <c r="N978" s="39" t="s">
        <v>289</v>
      </c>
      <c r="O978" s="32" t="s">
        <v>575</v>
      </c>
      <c r="P978" s="40" t="str">
        <f aca="false">_xlfn.CONCAT(B978,C978,D978,E978,F978)</f>
        <v>BC Varjao2.2215KTL-H0(MBUS-12)46041.703472222246041.703472222246041.7083333333</v>
      </c>
      <c r="Q978" s="32" t="str">
        <f aca="false">_xlfn.CONCAT(H978,I978,J978)</f>
        <v>LIGRFOCOM</v>
      </c>
    </row>
    <row r="979" customFormat="false" ht="15" hidden="false" customHeight="false" outlineLevel="0" collapsed="false">
      <c r="B979" s="32" t="s">
        <v>32</v>
      </c>
      <c r="C979" s="32" t="s">
        <v>576</v>
      </c>
      <c r="D979" s="33" t="n">
        <v>46042.0173611111</v>
      </c>
      <c r="E979" s="33" t="n">
        <v>46042.0173611111</v>
      </c>
      <c r="F979" s="33" t="n">
        <v>46042.2631944444</v>
      </c>
      <c r="G979" s="34" t="n">
        <f aca="false">F979-E979</f>
        <v>0.245833333333333</v>
      </c>
      <c r="H979" s="39" t="s">
        <v>252</v>
      </c>
      <c r="J979" s="39" t="s">
        <v>253</v>
      </c>
      <c r="K979" s="32" t="s">
        <v>266</v>
      </c>
      <c r="L979" s="32" t="s">
        <v>267</v>
      </c>
      <c r="M979" s="39" t="s">
        <v>255</v>
      </c>
      <c r="N979" s="39" t="s">
        <v>256</v>
      </c>
      <c r="O979" s="32" t="s">
        <v>573</v>
      </c>
      <c r="P979" s="40" t="str">
        <f aca="false">_xlfn.CONCAT(B979,C979,D979,E979,F979)</f>
        <v>BC Aracu4SG75CX(COM1-018)_001_01846042.017361111146042.017361111146042.2631944444</v>
      </c>
      <c r="Q979" s="32" t="str">
        <f aca="false">_xlfn.CONCAT(H979,I979,J979)</f>
        <v>DAURDE</v>
      </c>
    </row>
    <row r="980" customFormat="false" ht="15" hidden="false" customHeight="false" outlineLevel="0" collapsed="false">
      <c r="B980" s="32" t="s">
        <v>32</v>
      </c>
      <c r="C980" s="32" t="s">
        <v>577</v>
      </c>
      <c r="D980" s="33" t="n">
        <v>46042.0173611111</v>
      </c>
      <c r="E980" s="33" t="n">
        <v>46042.0173611111</v>
      </c>
      <c r="F980" s="33" t="n">
        <v>46042.2631944444</v>
      </c>
      <c r="G980" s="34" t="n">
        <f aca="false">F980-E980</f>
        <v>0.245833333333333</v>
      </c>
      <c r="H980" s="39" t="s">
        <v>252</v>
      </c>
      <c r="J980" s="39" t="s">
        <v>253</v>
      </c>
      <c r="K980" s="32" t="s">
        <v>266</v>
      </c>
      <c r="L980" s="32" t="s">
        <v>267</v>
      </c>
      <c r="M980" s="39" t="s">
        <v>255</v>
      </c>
      <c r="N980" s="39" t="s">
        <v>256</v>
      </c>
      <c r="O980" s="32" t="s">
        <v>573</v>
      </c>
      <c r="P980" s="40" t="str">
        <f aca="false">_xlfn.CONCAT(B980,C980,D980,E980,F980)</f>
        <v>BC Aracu4SG75CX(COM1-019)_001_01946042.017361111146042.017361111146042.2631944444</v>
      </c>
      <c r="Q980" s="32" t="str">
        <f aca="false">_xlfn.CONCAT(H980,I980,J980)</f>
        <v>DAURDE</v>
      </c>
    </row>
    <row r="981" customFormat="false" ht="15" hidden="false" customHeight="false" outlineLevel="0" collapsed="false">
      <c r="B981" s="32" t="s">
        <v>32</v>
      </c>
      <c r="C981" s="32" t="s">
        <v>578</v>
      </c>
      <c r="D981" s="33" t="n">
        <v>46042.0173611111</v>
      </c>
      <c r="E981" s="33" t="n">
        <v>46042.0173611111</v>
      </c>
      <c r="F981" s="33" t="n">
        <v>46042.2631944444</v>
      </c>
      <c r="G981" s="34" t="n">
        <f aca="false">F981-E981</f>
        <v>0.245833333333333</v>
      </c>
      <c r="H981" s="39" t="s">
        <v>252</v>
      </c>
      <c r="J981" s="39" t="s">
        <v>253</v>
      </c>
      <c r="K981" s="32" t="s">
        <v>266</v>
      </c>
      <c r="L981" s="32" t="s">
        <v>267</v>
      </c>
      <c r="M981" s="39" t="s">
        <v>255</v>
      </c>
      <c r="N981" s="39" t="s">
        <v>256</v>
      </c>
      <c r="O981" s="32" t="s">
        <v>573</v>
      </c>
      <c r="P981" s="40" t="str">
        <f aca="false">_xlfn.CONCAT(B981,C981,D981,E981,F981)</f>
        <v>BC Aracu4SG75CX(COM1-020)_001_02046042.017361111146042.017361111146042.2631944444</v>
      </c>
      <c r="Q981" s="32" t="str">
        <f aca="false">_xlfn.CONCAT(H981,I981,J981)</f>
        <v>DAURDE</v>
      </c>
    </row>
    <row r="982" customFormat="false" ht="15" hidden="false" customHeight="false" outlineLevel="0" collapsed="false">
      <c r="B982" s="32" t="s">
        <v>32</v>
      </c>
      <c r="C982" s="32" t="s">
        <v>579</v>
      </c>
      <c r="D982" s="33" t="n">
        <v>46042.0173611111</v>
      </c>
      <c r="E982" s="33" t="n">
        <v>46042.0173611111</v>
      </c>
      <c r="F982" s="33" t="n">
        <v>46042.2631944444</v>
      </c>
      <c r="G982" s="34" t="n">
        <f aca="false">F982-E982</f>
        <v>0.245833333333333</v>
      </c>
      <c r="H982" s="39" t="s">
        <v>252</v>
      </c>
      <c r="J982" s="39" t="s">
        <v>253</v>
      </c>
      <c r="K982" s="32" t="s">
        <v>266</v>
      </c>
      <c r="L982" s="32" t="s">
        <v>267</v>
      </c>
      <c r="M982" s="39" t="s">
        <v>255</v>
      </c>
      <c r="N982" s="39" t="s">
        <v>256</v>
      </c>
      <c r="O982" s="32" t="s">
        <v>573</v>
      </c>
      <c r="P982" s="40" t="str">
        <f aca="false">_xlfn.CONCAT(B982,C982,D982,E982,F982)</f>
        <v>BC Aracu4SG75CX(COM1-021)_001_02146042.017361111146042.017361111146042.2631944444</v>
      </c>
      <c r="Q982" s="32" t="str">
        <f aca="false">_xlfn.CONCAT(H982,I982,J982)</f>
        <v>DAURDE</v>
      </c>
    </row>
    <row r="983" customFormat="false" ht="15" hidden="false" customHeight="false" outlineLevel="0" collapsed="false">
      <c r="B983" s="32" t="s">
        <v>264</v>
      </c>
      <c r="C983" s="32" t="s">
        <v>265</v>
      </c>
      <c r="D983" s="33" t="n">
        <v>46042.0173611111</v>
      </c>
      <c r="E983" s="33" t="n">
        <v>46042.0173611111</v>
      </c>
      <c r="F983" s="33" t="n">
        <v>46042.2631944444</v>
      </c>
      <c r="G983" s="34" t="n">
        <f aca="false">F983-E983</f>
        <v>0.245833333333333</v>
      </c>
      <c r="H983" s="39" t="s">
        <v>252</v>
      </c>
      <c r="J983" s="39" t="s">
        <v>253</v>
      </c>
      <c r="K983" s="32" t="s">
        <v>266</v>
      </c>
      <c r="L983" s="32" t="s">
        <v>267</v>
      </c>
      <c r="M983" s="39" t="s">
        <v>255</v>
      </c>
      <c r="N983" s="39" t="s">
        <v>256</v>
      </c>
      <c r="O983" s="32" t="s">
        <v>573</v>
      </c>
      <c r="P983" s="40" t="str">
        <f aca="false">_xlfn.CONCAT(B983,C983,D983,E983,F983)</f>
        <v>BC Aracu5.1Inverter(MBUS-1)46042.017361111146042.017361111146042.2631944444</v>
      </c>
      <c r="Q983" s="32" t="str">
        <f aca="false">_xlfn.CONCAT(H983,I983,J983)</f>
        <v>DAURDE</v>
      </c>
    </row>
    <row r="984" customFormat="false" ht="15" hidden="false" customHeight="false" outlineLevel="0" collapsed="false">
      <c r="B984" s="32" t="s">
        <v>270</v>
      </c>
      <c r="C984" s="32" t="s">
        <v>265</v>
      </c>
      <c r="D984" s="33" t="n">
        <v>46042.0173611111</v>
      </c>
      <c r="E984" s="33" t="n">
        <v>46042.0173611111</v>
      </c>
      <c r="F984" s="33" t="n">
        <v>46042.2631944444</v>
      </c>
      <c r="G984" s="34" t="n">
        <f aca="false">F984-E984</f>
        <v>0.245833333333333</v>
      </c>
      <c r="H984" s="39" t="s">
        <v>252</v>
      </c>
      <c r="J984" s="39" t="s">
        <v>253</v>
      </c>
      <c r="K984" s="32" t="s">
        <v>266</v>
      </c>
      <c r="L984" s="32" t="s">
        <v>267</v>
      </c>
      <c r="M984" s="39" t="s">
        <v>255</v>
      </c>
      <c r="N984" s="39" t="s">
        <v>256</v>
      </c>
      <c r="O984" s="32" t="s">
        <v>573</v>
      </c>
      <c r="P984" s="40" t="str">
        <f aca="false">_xlfn.CONCAT(B984,C984,D984,E984,F984)</f>
        <v>BC Aracu5.2Inverter(MBUS-1)46042.017361111146042.017361111146042.2631944444</v>
      </c>
      <c r="Q984" s="32" t="str">
        <f aca="false">_xlfn.CONCAT(H984,I984,J984)</f>
        <v>DAURDE</v>
      </c>
    </row>
    <row r="985" customFormat="false" ht="15" hidden="false" customHeight="false" outlineLevel="0" collapsed="false">
      <c r="B985" s="32" t="s">
        <v>271</v>
      </c>
      <c r="C985" s="32" t="s">
        <v>265</v>
      </c>
      <c r="D985" s="33" t="n">
        <v>46042.0173611111</v>
      </c>
      <c r="E985" s="33" t="n">
        <v>46042.0173611111</v>
      </c>
      <c r="F985" s="33" t="n">
        <v>46042.2631944444</v>
      </c>
      <c r="G985" s="34" t="n">
        <f aca="false">F985-E985</f>
        <v>0.245833333333333</v>
      </c>
      <c r="H985" s="39" t="s">
        <v>252</v>
      </c>
      <c r="J985" s="39" t="s">
        <v>253</v>
      </c>
      <c r="K985" s="32" t="s">
        <v>266</v>
      </c>
      <c r="L985" s="32" t="s">
        <v>267</v>
      </c>
      <c r="M985" s="39" t="s">
        <v>255</v>
      </c>
      <c r="N985" s="39" t="s">
        <v>256</v>
      </c>
      <c r="O985" s="32" t="s">
        <v>573</v>
      </c>
      <c r="P985" s="40" t="str">
        <f aca="false">_xlfn.CONCAT(B985,C985,D985,E985,F985)</f>
        <v>BC Aracu5.3Inverter(MBUS-1)46042.017361111146042.017361111146042.2631944444</v>
      </c>
      <c r="Q985" s="32" t="str">
        <f aca="false">_xlfn.CONCAT(H985,I985,J985)</f>
        <v>DAURDE</v>
      </c>
    </row>
    <row r="986" customFormat="false" ht="15" hidden="false" customHeight="false" outlineLevel="0" collapsed="false">
      <c r="B986" s="32" t="s">
        <v>272</v>
      </c>
      <c r="C986" s="32" t="s">
        <v>265</v>
      </c>
      <c r="D986" s="33" t="n">
        <v>46042.0173611111</v>
      </c>
      <c r="E986" s="33" t="n">
        <v>46042.0173611111</v>
      </c>
      <c r="F986" s="33" t="n">
        <v>46042.2631944444</v>
      </c>
      <c r="G986" s="34" t="n">
        <f aca="false">F986-E986</f>
        <v>0.245833333333333</v>
      </c>
      <c r="H986" s="39" t="s">
        <v>252</v>
      </c>
      <c r="J986" s="39" t="s">
        <v>253</v>
      </c>
      <c r="K986" s="32" t="s">
        <v>266</v>
      </c>
      <c r="L986" s="32" t="s">
        <v>267</v>
      </c>
      <c r="M986" s="39" t="s">
        <v>255</v>
      </c>
      <c r="N986" s="39" t="s">
        <v>256</v>
      </c>
      <c r="O986" s="32" t="s">
        <v>573</v>
      </c>
      <c r="P986" s="40" t="str">
        <f aca="false">_xlfn.CONCAT(B986,C986,D986,E986,F986)</f>
        <v>BC Aracu5.4Inverter(MBUS-1)46042.017361111146042.017361111146042.2631944444</v>
      </c>
      <c r="Q986" s="32" t="str">
        <f aca="false">_xlfn.CONCAT(H986,I986,J986)</f>
        <v>DAURDE</v>
      </c>
    </row>
    <row r="987" customFormat="false" ht="15" hidden="false" customHeight="false" outlineLevel="0" collapsed="false">
      <c r="B987" s="32" t="s">
        <v>273</v>
      </c>
      <c r="C987" s="32" t="s">
        <v>265</v>
      </c>
      <c r="D987" s="33" t="n">
        <v>46042.0173611111</v>
      </c>
      <c r="E987" s="33" t="n">
        <v>46042.0173611111</v>
      </c>
      <c r="F987" s="33" t="n">
        <v>46042.2631944444</v>
      </c>
      <c r="G987" s="34" t="n">
        <f aca="false">F987-E987</f>
        <v>0.245833333333333</v>
      </c>
      <c r="H987" s="39" t="s">
        <v>252</v>
      </c>
      <c r="J987" s="39" t="s">
        <v>253</v>
      </c>
      <c r="K987" s="32" t="s">
        <v>266</v>
      </c>
      <c r="L987" s="32" t="s">
        <v>267</v>
      </c>
      <c r="M987" s="39" t="s">
        <v>255</v>
      </c>
      <c r="N987" s="39" t="s">
        <v>256</v>
      </c>
      <c r="O987" s="32" t="s">
        <v>573</v>
      </c>
      <c r="P987" s="40" t="str">
        <f aca="false">_xlfn.CONCAT(B987,C987,D987,E987,F987)</f>
        <v>BC Aracu5.5Inverter(MBUS-1)46042.017361111146042.017361111146042.2631944444</v>
      </c>
      <c r="Q987" s="32" t="str">
        <f aca="false">_xlfn.CONCAT(H987,I987,J987)</f>
        <v>DAURDE</v>
      </c>
    </row>
    <row r="988" customFormat="false" ht="15" hidden="false" customHeight="false" outlineLevel="0" collapsed="false">
      <c r="B988" s="32" t="s">
        <v>323</v>
      </c>
      <c r="C988" s="32" t="s">
        <v>324</v>
      </c>
      <c r="D988" s="33" t="n">
        <v>46042.1493055556</v>
      </c>
      <c r="E988" s="33" t="n">
        <v>46042.1493055556</v>
      </c>
      <c r="F988" s="33" t="n">
        <v>46042.2895833333</v>
      </c>
      <c r="G988" s="34" t="n">
        <f aca="false">F988-E988</f>
        <v>0.140277777777778</v>
      </c>
      <c r="H988" s="39" t="s">
        <v>252</v>
      </c>
      <c r="J988" s="39" t="s">
        <v>253</v>
      </c>
      <c r="K988" s="32" t="s">
        <v>266</v>
      </c>
      <c r="L988" s="32" t="s">
        <v>338</v>
      </c>
      <c r="M988" s="39" t="s">
        <v>255</v>
      </c>
      <c r="N988" s="39" t="s">
        <v>256</v>
      </c>
      <c r="O988" s="32" t="s">
        <v>573</v>
      </c>
      <c r="P988" s="40" t="str">
        <f aca="false">_xlfn.CONCAT(B988,C988,D988,E988,F988)</f>
        <v>BC Ibiuna 1.1Inverter(MBUS-12)46042.149305555646042.149305555646042.2895833333</v>
      </c>
      <c r="Q988" s="32" t="str">
        <f aca="false">_xlfn.CONCAT(H988,I988,J988)</f>
        <v>DAURDE</v>
      </c>
    </row>
    <row r="989" customFormat="false" ht="15" hidden="false" customHeight="false" outlineLevel="0" collapsed="false">
      <c r="B989" s="32" t="s">
        <v>323</v>
      </c>
      <c r="C989" s="32" t="s">
        <v>326</v>
      </c>
      <c r="D989" s="33" t="n">
        <v>46042.1493055556</v>
      </c>
      <c r="E989" s="33" t="n">
        <v>46042.1493055556</v>
      </c>
      <c r="F989" s="33" t="n">
        <v>46042.2895833333</v>
      </c>
      <c r="G989" s="34" t="n">
        <f aca="false">F989-E989</f>
        <v>0.140277777777778</v>
      </c>
      <c r="H989" s="39" t="s">
        <v>252</v>
      </c>
      <c r="J989" s="39" t="s">
        <v>253</v>
      </c>
      <c r="K989" s="32" t="s">
        <v>266</v>
      </c>
      <c r="L989" s="32" t="s">
        <v>338</v>
      </c>
      <c r="M989" s="39" t="s">
        <v>255</v>
      </c>
      <c r="N989" s="39" t="s">
        <v>256</v>
      </c>
      <c r="O989" s="32" t="s">
        <v>573</v>
      </c>
      <c r="P989" s="40" t="str">
        <f aca="false">_xlfn.CONCAT(B989,C989,D989,E989,F989)</f>
        <v>BC Ibiuna 1.1Inverter(MBUS-13)46042.149305555646042.149305555646042.2895833333</v>
      </c>
      <c r="Q989" s="32" t="str">
        <f aca="false">_xlfn.CONCAT(H989,I989,J989)</f>
        <v>DAURDE</v>
      </c>
    </row>
    <row r="990" customFormat="false" ht="15" hidden="false" customHeight="false" outlineLevel="0" collapsed="false">
      <c r="B990" s="32" t="s">
        <v>323</v>
      </c>
      <c r="C990" s="32" t="s">
        <v>327</v>
      </c>
      <c r="D990" s="33" t="n">
        <v>46042.1493055556</v>
      </c>
      <c r="E990" s="33" t="n">
        <v>46042.1493055556</v>
      </c>
      <c r="F990" s="33" t="n">
        <v>46042.2895833333</v>
      </c>
      <c r="G990" s="34" t="n">
        <f aca="false">F990-E990</f>
        <v>0.140277777777778</v>
      </c>
      <c r="H990" s="39" t="s">
        <v>252</v>
      </c>
      <c r="J990" s="39" t="s">
        <v>253</v>
      </c>
      <c r="K990" s="32" t="s">
        <v>266</v>
      </c>
      <c r="L990" s="32" t="s">
        <v>338</v>
      </c>
      <c r="M990" s="39" t="s">
        <v>255</v>
      </c>
      <c r="N990" s="39" t="s">
        <v>256</v>
      </c>
      <c r="O990" s="32" t="s">
        <v>573</v>
      </c>
      <c r="P990" s="40" t="str">
        <f aca="false">_xlfn.CONCAT(B990,C990,D990,E990,F990)</f>
        <v>BC Ibiuna 1.1Inverter(MBUS-14)46042.149305555646042.149305555646042.2895833333</v>
      </c>
      <c r="Q990" s="32" t="str">
        <f aca="false">_xlfn.CONCAT(H990,I990,J990)</f>
        <v>DAURDE</v>
      </c>
    </row>
    <row r="991" customFormat="false" ht="15" hidden="false" customHeight="false" outlineLevel="0" collapsed="false">
      <c r="B991" s="32" t="s">
        <v>323</v>
      </c>
      <c r="C991" s="32" t="s">
        <v>328</v>
      </c>
      <c r="D991" s="33" t="n">
        <v>46042.1493055556</v>
      </c>
      <c r="E991" s="33" t="n">
        <v>46042.1493055556</v>
      </c>
      <c r="F991" s="33" t="n">
        <v>46042.2895833333</v>
      </c>
      <c r="G991" s="34" t="n">
        <f aca="false">F991-E991</f>
        <v>0.140277777777778</v>
      </c>
      <c r="H991" s="39" t="s">
        <v>252</v>
      </c>
      <c r="J991" s="39" t="s">
        <v>253</v>
      </c>
      <c r="K991" s="32" t="s">
        <v>266</v>
      </c>
      <c r="L991" s="32" t="s">
        <v>338</v>
      </c>
      <c r="M991" s="39" t="s">
        <v>255</v>
      </c>
      <c r="N991" s="39" t="s">
        <v>256</v>
      </c>
      <c r="O991" s="32" t="s">
        <v>573</v>
      </c>
      <c r="P991" s="40" t="str">
        <f aca="false">_xlfn.CONCAT(B991,C991,D991,E991,F991)</f>
        <v>BC Ibiuna 1.1Inverter(MBUS-15)46042.149305555646042.149305555646042.2895833333</v>
      </c>
      <c r="Q991" s="32" t="str">
        <f aca="false">_xlfn.CONCAT(H991,I991,J991)</f>
        <v>DAURDE</v>
      </c>
    </row>
    <row r="992" customFormat="false" ht="15" hidden="false" customHeight="false" outlineLevel="0" collapsed="false">
      <c r="B992" s="32" t="s">
        <v>340</v>
      </c>
      <c r="C992" s="32" t="s">
        <v>327</v>
      </c>
      <c r="D992" s="33" t="n">
        <v>46042.2847222222</v>
      </c>
      <c r="E992" s="33" t="n">
        <v>46042.2847222222</v>
      </c>
      <c r="F992" s="33" t="n">
        <v>46042.4166666667</v>
      </c>
      <c r="G992" s="34" t="n">
        <f aca="false">F992-E992</f>
        <v>0.131944444444444</v>
      </c>
      <c r="H992" s="39" t="s">
        <v>384</v>
      </c>
      <c r="J992" s="39" t="s">
        <v>333</v>
      </c>
      <c r="K992" s="32" t="s">
        <v>334</v>
      </c>
      <c r="L992" s="32" t="s">
        <v>580</v>
      </c>
      <c r="M992" s="39" t="s">
        <v>336</v>
      </c>
      <c r="N992" s="39" t="s">
        <v>289</v>
      </c>
      <c r="O992" s="32" t="s">
        <v>581</v>
      </c>
      <c r="P992" s="40" t="str">
        <f aca="false">_xlfn.CONCAT(B992,C992,D992,E992,F992)</f>
        <v>BC Formoso2.2Inverter(MBUS-14)46042.284722222246042.284722222246042.4166666667</v>
      </c>
      <c r="Q992" s="32" t="str">
        <f aca="false">_xlfn.CONCAT(H992,I992,J992)</f>
        <v>DPRINV</v>
      </c>
    </row>
    <row r="993" customFormat="false" ht="15" hidden="false" customHeight="false" outlineLevel="0" collapsed="false">
      <c r="B993" s="32" t="s">
        <v>264</v>
      </c>
      <c r="C993" s="32" t="s">
        <v>265</v>
      </c>
      <c r="D993" s="33" t="n">
        <v>46042.46875</v>
      </c>
      <c r="E993" s="33" t="n">
        <v>46042.46875</v>
      </c>
      <c r="F993" s="33" t="n">
        <v>46042.4875</v>
      </c>
      <c r="G993" s="34" t="n">
        <f aca="false">F993-E993</f>
        <v>0.01875</v>
      </c>
      <c r="H993" s="39" t="s">
        <v>252</v>
      </c>
      <c r="J993" s="39" t="s">
        <v>253</v>
      </c>
      <c r="K993" s="32" t="s">
        <v>266</v>
      </c>
      <c r="L993" s="32" t="s">
        <v>267</v>
      </c>
      <c r="M993" s="39" t="s">
        <v>255</v>
      </c>
      <c r="N993" s="39" t="s">
        <v>256</v>
      </c>
      <c r="O993" s="32" t="s">
        <v>573</v>
      </c>
      <c r="P993" s="40" t="str">
        <f aca="false">_xlfn.CONCAT(B993,C993,D993,E993,F993)</f>
        <v>BC Aracu5.1Inverter(MBUS-1)46042.4687546042.4687546042.4875</v>
      </c>
      <c r="Q993" s="32" t="str">
        <f aca="false">_xlfn.CONCAT(H993,I993,J993)</f>
        <v>DAURDE</v>
      </c>
    </row>
    <row r="994" customFormat="false" ht="15" hidden="false" customHeight="false" outlineLevel="0" collapsed="false">
      <c r="B994" s="32" t="s">
        <v>270</v>
      </c>
      <c r="C994" s="32" t="s">
        <v>265</v>
      </c>
      <c r="D994" s="33" t="n">
        <v>46042.46875</v>
      </c>
      <c r="E994" s="33" t="n">
        <v>46042.46875</v>
      </c>
      <c r="F994" s="33" t="n">
        <v>46042.4875</v>
      </c>
      <c r="G994" s="34" t="n">
        <f aca="false">F994-E994</f>
        <v>0.01875</v>
      </c>
      <c r="H994" s="39" t="s">
        <v>252</v>
      </c>
      <c r="J994" s="39" t="s">
        <v>253</v>
      </c>
      <c r="K994" s="32" t="s">
        <v>266</v>
      </c>
      <c r="L994" s="32" t="s">
        <v>267</v>
      </c>
      <c r="M994" s="39" t="s">
        <v>255</v>
      </c>
      <c r="N994" s="39" t="s">
        <v>256</v>
      </c>
      <c r="O994" s="32" t="s">
        <v>573</v>
      </c>
      <c r="P994" s="40" t="str">
        <f aca="false">_xlfn.CONCAT(B994,C994,D994,E994,F994)</f>
        <v>BC Aracu5.2Inverter(MBUS-1)46042.4687546042.4687546042.4875</v>
      </c>
      <c r="Q994" s="32" t="str">
        <f aca="false">_xlfn.CONCAT(H994,I994,J994)</f>
        <v>DAURDE</v>
      </c>
    </row>
    <row r="995" customFormat="false" ht="15" hidden="false" customHeight="false" outlineLevel="0" collapsed="false">
      <c r="B995" s="32" t="s">
        <v>271</v>
      </c>
      <c r="C995" s="32" t="s">
        <v>265</v>
      </c>
      <c r="D995" s="33" t="n">
        <v>46042.46875</v>
      </c>
      <c r="E995" s="33" t="n">
        <v>46042.46875</v>
      </c>
      <c r="F995" s="33" t="n">
        <v>46042.4875</v>
      </c>
      <c r="G995" s="34" t="n">
        <f aca="false">F995-E995</f>
        <v>0.01875</v>
      </c>
      <c r="H995" s="39" t="s">
        <v>252</v>
      </c>
      <c r="J995" s="39" t="s">
        <v>253</v>
      </c>
      <c r="K995" s="32" t="s">
        <v>266</v>
      </c>
      <c r="L995" s="32" t="s">
        <v>267</v>
      </c>
      <c r="M995" s="39" t="s">
        <v>255</v>
      </c>
      <c r="N995" s="39" t="s">
        <v>256</v>
      </c>
      <c r="O995" s="32" t="s">
        <v>573</v>
      </c>
      <c r="P995" s="40" t="str">
        <f aca="false">_xlfn.CONCAT(B995,C995,D995,E995,F995)</f>
        <v>BC Aracu5.3Inverter(MBUS-1)46042.4687546042.4687546042.4875</v>
      </c>
      <c r="Q995" s="32" t="str">
        <f aca="false">_xlfn.CONCAT(H995,I995,J995)</f>
        <v>DAURDE</v>
      </c>
    </row>
    <row r="996" customFormat="false" ht="15" hidden="false" customHeight="false" outlineLevel="0" collapsed="false">
      <c r="B996" s="32" t="s">
        <v>272</v>
      </c>
      <c r="C996" s="32" t="s">
        <v>265</v>
      </c>
      <c r="D996" s="33" t="n">
        <v>46042.46875</v>
      </c>
      <c r="E996" s="33" t="n">
        <v>46042.46875</v>
      </c>
      <c r="F996" s="33" t="n">
        <v>46042.4875</v>
      </c>
      <c r="G996" s="34" t="n">
        <f aca="false">F996-E996</f>
        <v>0.01875</v>
      </c>
      <c r="H996" s="39" t="s">
        <v>252</v>
      </c>
      <c r="J996" s="39" t="s">
        <v>253</v>
      </c>
      <c r="K996" s="32" t="s">
        <v>266</v>
      </c>
      <c r="L996" s="32" t="s">
        <v>267</v>
      </c>
      <c r="M996" s="39" t="s">
        <v>255</v>
      </c>
      <c r="N996" s="39" t="s">
        <v>256</v>
      </c>
      <c r="O996" s="32" t="s">
        <v>573</v>
      </c>
      <c r="P996" s="40" t="str">
        <f aca="false">_xlfn.CONCAT(B996,C996,D996,E996,F996)</f>
        <v>BC Aracu5.4Inverter(MBUS-1)46042.4687546042.4687546042.4875</v>
      </c>
      <c r="Q996" s="32" t="str">
        <f aca="false">_xlfn.CONCAT(H996,I996,J996)</f>
        <v>DAURDE</v>
      </c>
    </row>
    <row r="997" customFormat="false" ht="15" hidden="false" customHeight="false" outlineLevel="0" collapsed="false">
      <c r="B997" s="32" t="s">
        <v>273</v>
      </c>
      <c r="C997" s="32" t="s">
        <v>265</v>
      </c>
      <c r="D997" s="33" t="n">
        <v>46042.46875</v>
      </c>
      <c r="E997" s="33" t="n">
        <v>46042.46875</v>
      </c>
      <c r="F997" s="33" t="n">
        <v>46042.4875</v>
      </c>
      <c r="G997" s="34" t="n">
        <f aca="false">F997-E997</f>
        <v>0.01875</v>
      </c>
      <c r="H997" s="39" t="s">
        <v>252</v>
      </c>
      <c r="J997" s="39" t="s">
        <v>253</v>
      </c>
      <c r="K997" s="32" t="s">
        <v>266</v>
      </c>
      <c r="L997" s="32" t="s">
        <v>267</v>
      </c>
      <c r="M997" s="39" t="s">
        <v>255</v>
      </c>
      <c r="N997" s="39" t="s">
        <v>256</v>
      </c>
      <c r="O997" s="32" t="s">
        <v>573</v>
      </c>
      <c r="P997" s="40" t="str">
        <f aca="false">_xlfn.CONCAT(B997,C997,D997,E997,F997)</f>
        <v>BC Aracu5.5Inverter(MBUS-1)46042.4687546042.4687546042.4875</v>
      </c>
      <c r="Q997" s="32" t="str">
        <f aca="false">_xlfn.CONCAT(H997,I997,J997)</f>
        <v>DAURDE</v>
      </c>
    </row>
    <row r="998" customFormat="false" ht="15" hidden="false" customHeight="false" outlineLevel="0" collapsed="false">
      <c r="B998" s="32" t="s">
        <v>339</v>
      </c>
      <c r="C998" s="32" t="s">
        <v>324</v>
      </c>
      <c r="D998" s="33" t="n">
        <v>46042.5180555556</v>
      </c>
      <c r="E998" s="33" t="n">
        <v>46042.5180555556</v>
      </c>
      <c r="F998" s="33" t="n">
        <v>46042.5277777778</v>
      </c>
      <c r="G998" s="34" t="n">
        <f aca="false">F998-E998</f>
        <v>0.00972222222222222</v>
      </c>
      <c r="H998" s="39" t="s">
        <v>252</v>
      </c>
      <c r="J998" s="39" t="s">
        <v>253</v>
      </c>
      <c r="K998" s="32" t="s">
        <v>266</v>
      </c>
      <c r="L998" s="32" t="s">
        <v>275</v>
      </c>
      <c r="M998" s="39" t="s">
        <v>255</v>
      </c>
      <c r="N998" s="39" t="s">
        <v>256</v>
      </c>
      <c r="O998" s="32" t="s">
        <v>573</v>
      </c>
      <c r="P998" s="40" t="str">
        <f aca="false">_xlfn.CONCAT(B998,C998,D998,E998,F998)</f>
        <v>BC Formoso2.1Inverter(MBUS-12)46042.518055555646042.518055555646042.5277777778</v>
      </c>
      <c r="Q998" s="32" t="str">
        <f aca="false">_xlfn.CONCAT(H998,I998,J998)</f>
        <v>DAURDE</v>
      </c>
    </row>
    <row r="999" customFormat="false" ht="15" hidden="false" customHeight="false" outlineLevel="0" collapsed="false">
      <c r="B999" s="32" t="s">
        <v>339</v>
      </c>
      <c r="C999" s="32" t="s">
        <v>327</v>
      </c>
      <c r="D999" s="33" t="n">
        <v>46042.5180555556</v>
      </c>
      <c r="E999" s="33" t="n">
        <v>46042.5180555556</v>
      </c>
      <c r="F999" s="33" t="n">
        <v>46042.5277777778</v>
      </c>
      <c r="G999" s="34" t="n">
        <f aca="false">F999-E999</f>
        <v>0.00972222222222222</v>
      </c>
      <c r="H999" s="39" t="s">
        <v>252</v>
      </c>
      <c r="J999" s="39" t="s">
        <v>253</v>
      </c>
      <c r="K999" s="32" t="s">
        <v>266</v>
      </c>
      <c r="L999" s="32" t="s">
        <v>275</v>
      </c>
      <c r="M999" s="39" t="s">
        <v>255</v>
      </c>
      <c r="N999" s="39" t="s">
        <v>256</v>
      </c>
      <c r="O999" s="32" t="s">
        <v>573</v>
      </c>
      <c r="P999" s="40" t="str">
        <f aca="false">_xlfn.CONCAT(B999,C999,D999,E999,F999)</f>
        <v>BC Formoso2.1Inverter(MBUS-14)46042.518055555646042.518055555646042.5277777778</v>
      </c>
      <c r="Q999" s="32" t="str">
        <f aca="false">_xlfn.CONCAT(H999,I999,J999)</f>
        <v>DAURDE</v>
      </c>
    </row>
    <row r="1000" customFormat="false" ht="15" hidden="false" customHeight="false" outlineLevel="0" collapsed="false">
      <c r="B1000" s="32" t="s">
        <v>339</v>
      </c>
      <c r="C1000" s="32" t="s">
        <v>326</v>
      </c>
      <c r="D1000" s="33" t="n">
        <v>46042.5180555556</v>
      </c>
      <c r="E1000" s="33" t="n">
        <v>46042.5180555556</v>
      </c>
      <c r="F1000" s="33" t="n">
        <v>46042.5277777778</v>
      </c>
      <c r="G1000" s="34" t="n">
        <f aca="false">F1000-E1000</f>
        <v>0.00972222222222222</v>
      </c>
      <c r="H1000" s="39" t="s">
        <v>252</v>
      </c>
      <c r="J1000" s="39" t="s">
        <v>253</v>
      </c>
      <c r="K1000" s="32" t="s">
        <v>266</v>
      </c>
      <c r="L1000" s="32" t="s">
        <v>275</v>
      </c>
      <c r="M1000" s="39" t="s">
        <v>255</v>
      </c>
      <c r="N1000" s="39" t="s">
        <v>256</v>
      </c>
      <c r="O1000" s="32" t="s">
        <v>573</v>
      </c>
      <c r="P1000" s="40" t="str">
        <f aca="false">_xlfn.CONCAT(B1000,C1000,D1000,E1000,F1000)</f>
        <v>BC Formoso2.1Inverter(MBUS-13)46042.518055555646042.518055555646042.5277777778</v>
      </c>
      <c r="Q1000" s="32" t="str">
        <f aca="false">_xlfn.CONCAT(H1000,I1000,J1000)</f>
        <v>DAURDE</v>
      </c>
    </row>
    <row r="1001" customFormat="false" ht="15" hidden="false" customHeight="false" outlineLevel="0" collapsed="false">
      <c r="B1001" s="32" t="s">
        <v>339</v>
      </c>
      <c r="C1001" s="32" t="s">
        <v>265</v>
      </c>
      <c r="D1001" s="33" t="n">
        <v>46042.5180555556</v>
      </c>
      <c r="E1001" s="33" t="n">
        <v>46042.5180555556</v>
      </c>
      <c r="F1001" s="33" t="n">
        <v>46042.5277777778</v>
      </c>
      <c r="G1001" s="34" t="n">
        <f aca="false">F1001-E1001</f>
        <v>0.00972222222222222</v>
      </c>
      <c r="H1001" s="39" t="s">
        <v>252</v>
      </c>
      <c r="J1001" s="39" t="s">
        <v>253</v>
      </c>
      <c r="K1001" s="32" t="s">
        <v>266</v>
      </c>
      <c r="L1001" s="32" t="s">
        <v>275</v>
      </c>
      <c r="M1001" s="39" t="s">
        <v>255</v>
      </c>
      <c r="N1001" s="39" t="s">
        <v>256</v>
      </c>
      <c r="O1001" s="32" t="s">
        <v>573</v>
      </c>
      <c r="P1001" s="40" t="str">
        <f aca="false">_xlfn.CONCAT(B1001,C1001,D1001,E1001,F1001)</f>
        <v>BC Formoso2.1Inverter(MBUS-1)46042.518055555646042.518055555646042.5277777778</v>
      </c>
      <c r="Q1001" s="32" t="str">
        <f aca="false">_xlfn.CONCAT(H1001,I1001,J1001)</f>
        <v>DAURDE</v>
      </c>
    </row>
    <row r="1002" customFormat="false" ht="15" hidden="false" customHeight="false" outlineLevel="0" collapsed="false">
      <c r="B1002" s="32" t="s">
        <v>341</v>
      </c>
      <c r="C1002" s="32" t="s">
        <v>326</v>
      </c>
      <c r="D1002" s="33" t="n">
        <v>46042.5180555556</v>
      </c>
      <c r="E1002" s="33" t="n">
        <v>46042.5180555556</v>
      </c>
      <c r="F1002" s="33" t="n">
        <v>46042.5277777778</v>
      </c>
      <c r="G1002" s="34" t="n">
        <f aca="false">F1002-E1002</f>
        <v>0.00972222222222222</v>
      </c>
      <c r="H1002" s="39" t="s">
        <v>252</v>
      </c>
      <c r="J1002" s="39" t="s">
        <v>253</v>
      </c>
      <c r="K1002" s="32" t="s">
        <v>266</v>
      </c>
      <c r="L1002" s="32" t="s">
        <v>275</v>
      </c>
      <c r="M1002" s="39" t="s">
        <v>255</v>
      </c>
      <c r="N1002" s="39" t="s">
        <v>256</v>
      </c>
      <c r="O1002" s="32" t="s">
        <v>573</v>
      </c>
      <c r="P1002" s="40" t="str">
        <f aca="false">_xlfn.CONCAT(B1002,C1002,D1002,E1002,F1002)</f>
        <v>BC Formoso2.3Inverter(MBUS-13)46042.518055555646042.518055555646042.5277777778</v>
      </c>
      <c r="Q1002" s="32" t="str">
        <f aca="false">_xlfn.CONCAT(H1002,I1002,J1002)</f>
        <v>DAURDE</v>
      </c>
    </row>
    <row r="1003" customFormat="false" ht="15" hidden="false" customHeight="false" outlineLevel="0" collapsed="false">
      <c r="B1003" s="32" t="s">
        <v>341</v>
      </c>
      <c r="C1003" s="32" t="s">
        <v>324</v>
      </c>
      <c r="D1003" s="33" t="n">
        <v>46042.5180555556</v>
      </c>
      <c r="E1003" s="33" t="n">
        <v>46042.5180555556</v>
      </c>
      <c r="F1003" s="33" t="n">
        <v>46042.5277777778</v>
      </c>
      <c r="G1003" s="34" t="n">
        <f aca="false">F1003-E1003</f>
        <v>0.00972222222222222</v>
      </c>
      <c r="H1003" s="39" t="s">
        <v>252</v>
      </c>
      <c r="J1003" s="39" t="s">
        <v>253</v>
      </c>
      <c r="K1003" s="32" t="s">
        <v>266</v>
      </c>
      <c r="L1003" s="32" t="s">
        <v>275</v>
      </c>
      <c r="M1003" s="39" t="s">
        <v>255</v>
      </c>
      <c r="N1003" s="39" t="s">
        <v>256</v>
      </c>
      <c r="O1003" s="32" t="s">
        <v>573</v>
      </c>
      <c r="P1003" s="40" t="str">
        <f aca="false">_xlfn.CONCAT(B1003,C1003,D1003,E1003,F1003)</f>
        <v>BC Formoso2.3Inverter(MBUS-12)46042.518055555646042.518055555646042.5277777778</v>
      </c>
      <c r="Q1003" s="32" t="str">
        <f aca="false">_xlfn.CONCAT(H1003,I1003,J1003)</f>
        <v>DAURDE</v>
      </c>
    </row>
    <row r="1004" customFormat="false" ht="41.75" hidden="false" customHeight="false" outlineLevel="0" collapsed="false">
      <c r="B1004" s="32" t="s">
        <v>358</v>
      </c>
      <c r="C1004" s="32" t="s">
        <v>324</v>
      </c>
      <c r="D1004" s="33" t="n">
        <v>46042.5361111111</v>
      </c>
      <c r="E1004" s="33" t="n">
        <v>46042.5361111111</v>
      </c>
      <c r="F1004" s="33" t="n">
        <v>46042.6319444444</v>
      </c>
      <c r="G1004" s="34" t="n">
        <f aca="false">F1004-E1004</f>
        <v>0.0958333333333333</v>
      </c>
      <c r="H1004" s="39" t="s">
        <v>252</v>
      </c>
      <c r="J1004" s="39" t="s">
        <v>253</v>
      </c>
      <c r="K1004" s="32" t="s">
        <v>266</v>
      </c>
      <c r="L1004" s="32" t="s">
        <v>582</v>
      </c>
      <c r="M1004" s="39" t="s">
        <v>255</v>
      </c>
      <c r="N1004" s="39" t="s">
        <v>256</v>
      </c>
      <c r="O1004" s="47" t="s">
        <v>583</v>
      </c>
      <c r="P1004" s="40" t="str">
        <f aca="false">_xlfn.CONCAT(B1004,C1004,D1004,E1004,F1004)</f>
        <v>ARAGUATINS 1.1Inverter(MBUS-12)46042.536111111146042.536111111146042.6319444444</v>
      </c>
      <c r="Q1004" s="32" t="str">
        <f aca="false">_xlfn.CONCAT(H1004,I1004,J1004)</f>
        <v>DAURDE</v>
      </c>
    </row>
    <row r="1005" customFormat="false" ht="41.75" hidden="false" customHeight="false" outlineLevel="0" collapsed="false">
      <c r="B1005" s="32" t="s">
        <v>358</v>
      </c>
      <c r="C1005" s="32" t="s">
        <v>326</v>
      </c>
      <c r="D1005" s="33" t="n">
        <v>46042.5361111111</v>
      </c>
      <c r="E1005" s="33" t="n">
        <v>46042.5361111111</v>
      </c>
      <c r="F1005" s="33" t="n">
        <v>46042.6319444444</v>
      </c>
      <c r="G1005" s="34" t="n">
        <f aca="false">F1005-E1005</f>
        <v>0.0958333333333333</v>
      </c>
      <c r="H1005" s="39" t="s">
        <v>252</v>
      </c>
      <c r="J1005" s="39" t="s">
        <v>253</v>
      </c>
      <c r="K1005" s="32" t="s">
        <v>266</v>
      </c>
      <c r="L1005" s="32" t="s">
        <v>582</v>
      </c>
      <c r="M1005" s="39" t="s">
        <v>255</v>
      </c>
      <c r="N1005" s="39" t="s">
        <v>256</v>
      </c>
      <c r="O1005" s="47" t="s">
        <v>583</v>
      </c>
      <c r="P1005" s="40" t="str">
        <f aca="false">_xlfn.CONCAT(B1005,C1005,D1005,E1005,F1005)</f>
        <v>ARAGUATINS 1.1Inverter(MBUS-13)46042.536111111146042.536111111146042.6319444444</v>
      </c>
      <c r="Q1005" s="32" t="str">
        <f aca="false">_xlfn.CONCAT(H1005,I1005,J1005)</f>
        <v>DAURDE</v>
      </c>
    </row>
    <row r="1006" customFormat="false" ht="41.75" hidden="false" customHeight="false" outlineLevel="0" collapsed="false">
      <c r="B1006" s="32" t="s">
        <v>358</v>
      </c>
      <c r="C1006" s="32" t="s">
        <v>327</v>
      </c>
      <c r="D1006" s="33" t="n">
        <v>46042.5361111111</v>
      </c>
      <c r="E1006" s="33" t="n">
        <v>46042.5361111111</v>
      </c>
      <c r="F1006" s="33" t="n">
        <v>46042.6319444444</v>
      </c>
      <c r="G1006" s="34" t="n">
        <f aca="false">F1006-E1006</f>
        <v>0.0958333333333333</v>
      </c>
      <c r="H1006" s="39" t="s">
        <v>252</v>
      </c>
      <c r="J1006" s="39" t="s">
        <v>253</v>
      </c>
      <c r="K1006" s="32" t="s">
        <v>266</v>
      </c>
      <c r="L1006" s="32" t="s">
        <v>582</v>
      </c>
      <c r="M1006" s="39" t="s">
        <v>255</v>
      </c>
      <c r="N1006" s="39" t="s">
        <v>256</v>
      </c>
      <c r="O1006" s="47" t="s">
        <v>583</v>
      </c>
      <c r="P1006" s="40" t="str">
        <f aca="false">_xlfn.CONCAT(B1006,C1006,D1006,E1006,F1006)</f>
        <v>ARAGUATINS 1.1Inverter(MBUS-14)46042.536111111146042.536111111146042.6319444444</v>
      </c>
      <c r="Q1006" s="32" t="str">
        <f aca="false">_xlfn.CONCAT(H1006,I1006,J1006)</f>
        <v>DAURDE</v>
      </c>
    </row>
    <row r="1007" customFormat="false" ht="41.75" hidden="false" customHeight="false" outlineLevel="0" collapsed="false">
      <c r="B1007" s="32" t="s">
        <v>358</v>
      </c>
      <c r="C1007" s="32" t="s">
        <v>328</v>
      </c>
      <c r="D1007" s="33" t="n">
        <v>46042.5361111111</v>
      </c>
      <c r="E1007" s="33" t="n">
        <v>46042.5361111111</v>
      </c>
      <c r="F1007" s="33" t="n">
        <v>46042.6319444444</v>
      </c>
      <c r="G1007" s="34" t="n">
        <f aca="false">F1007-E1007</f>
        <v>0.0958333333333333</v>
      </c>
      <c r="H1007" s="39" t="s">
        <v>252</v>
      </c>
      <c r="J1007" s="39" t="s">
        <v>253</v>
      </c>
      <c r="K1007" s="32" t="s">
        <v>266</v>
      </c>
      <c r="L1007" s="32" t="s">
        <v>582</v>
      </c>
      <c r="M1007" s="39" t="s">
        <v>255</v>
      </c>
      <c r="N1007" s="39" t="s">
        <v>256</v>
      </c>
      <c r="O1007" s="47" t="s">
        <v>583</v>
      </c>
      <c r="P1007" s="40" t="str">
        <f aca="false">_xlfn.CONCAT(B1007,C1007,D1007,E1007,F1007)</f>
        <v>ARAGUATINS 1.1Inverter(MBUS-15)46042.536111111146042.536111111146042.6319444444</v>
      </c>
      <c r="Q1007" s="32" t="str">
        <f aca="false">_xlfn.CONCAT(H1007,I1007,J1007)</f>
        <v>DAURDE</v>
      </c>
    </row>
    <row r="1008" customFormat="false" ht="41.75" hidden="false" customHeight="false" outlineLevel="0" collapsed="false">
      <c r="B1008" s="32" t="s">
        <v>361</v>
      </c>
      <c r="C1008" s="32" t="s">
        <v>324</v>
      </c>
      <c r="D1008" s="33" t="n">
        <v>46042.5361111111</v>
      </c>
      <c r="E1008" s="33" t="n">
        <v>46042.5361111111</v>
      </c>
      <c r="F1008" s="33" t="n">
        <v>46042.6319444444</v>
      </c>
      <c r="G1008" s="34" t="n">
        <f aca="false">F1008-E1008</f>
        <v>0.0958333333333333</v>
      </c>
      <c r="H1008" s="39" t="s">
        <v>252</v>
      </c>
      <c r="J1008" s="39" t="s">
        <v>253</v>
      </c>
      <c r="K1008" s="32" t="s">
        <v>266</v>
      </c>
      <c r="L1008" s="32" t="s">
        <v>582</v>
      </c>
      <c r="M1008" s="39" t="s">
        <v>255</v>
      </c>
      <c r="N1008" s="39" t="s">
        <v>256</v>
      </c>
      <c r="O1008" s="47" t="s">
        <v>583</v>
      </c>
      <c r="P1008" s="40" t="str">
        <f aca="false">_xlfn.CONCAT(B1008,C1008,D1008,E1008,F1008)</f>
        <v>ARAGUATINS 1.2Inverter(MBUS-12)46042.536111111146042.536111111146042.6319444444</v>
      </c>
      <c r="Q1008" s="32" t="str">
        <f aca="false">_xlfn.CONCAT(H1008,I1008,J1008)</f>
        <v>DAURDE</v>
      </c>
    </row>
    <row r="1009" customFormat="false" ht="41.75" hidden="false" customHeight="false" outlineLevel="0" collapsed="false">
      <c r="B1009" s="32" t="s">
        <v>361</v>
      </c>
      <c r="C1009" s="32" t="s">
        <v>326</v>
      </c>
      <c r="D1009" s="33" t="n">
        <v>46042.5361111111</v>
      </c>
      <c r="E1009" s="33" t="n">
        <v>46042.5361111111</v>
      </c>
      <c r="F1009" s="33" t="n">
        <v>46042.6319444444</v>
      </c>
      <c r="G1009" s="34" t="n">
        <f aca="false">F1009-E1009</f>
        <v>0.0958333333333333</v>
      </c>
      <c r="H1009" s="39" t="s">
        <v>252</v>
      </c>
      <c r="J1009" s="39" t="s">
        <v>253</v>
      </c>
      <c r="K1009" s="32" t="s">
        <v>266</v>
      </c>
      <c r="L1009" s="32" t="s">
        <v>582</v>
      </c>
      <c r="M1009" s="39" t="s">
        <v>255</v>
      </c>
      <c r="N1009" s="39" t="s">
        <v>256</v>
      </c>
      <c r="O1009" s="47" t="s">
        <v>583</v>
      </c>
      <c r="P1009" s="40" t="str">
        <f aca="false">_xlfn.CONCAT(B1009,C1009,D1009,E1009,F1009)</f>
        <v>ARAGUATINS 1.2Inverter(MBUS-13)46042.536111111146042.536111111146042.6319444444</v>
      </c>
      <c r="Q1009" s="32" t="str">
        <f aca="false">_xlfn.CONCAT(H1009,I1009,J1009)</f>
        <v>DAURDE</v>
      </c>
    </row>
    <row r="1010" customFormat="false" ht="41.75" hidden="false" customHeight="false" outlineLevel="0" collapsed="false">
      <c r="B1010" s="32" t="s">
        <v>361</v>
      </c>
      <c r="C1010" s="32" t="s">
        <v>327</v>
      </c>
      <c r="D1010" s="33" t="n">
        <v>46042.5361111111</v>
      </c>
      <c r="E1010" s="33" t="n">
        <v>46042.5361111111</v>
      </c>
      <c r="F1010" s="33" t="n">
        <v>46042.6319444444</v>
      </c>
      <c r="G1010" s="34" t="n">
        <f aca="false">F1010-E1010</f>
        <v>0.0958333333333333</v>
      </c>
      <c r="H1010" s="39" t="s">
        <v>252</v>
      </c>
      <c r="J1010" s="39" t="s">
        <v>253</v>
      </c>
      <c r="K1010" s="32" t="s">
        <v>266</v>
      </c>
      <c r="L1010" s="32" t="s">
        <v>582</v>
      </c>
      <c r="M1010" s="39" t="s">
        <v>255</v>
      </c>
      <c r="N1010" s="39" t="s">
        <v>256</v>
      </c>
      <c r="O1010" s="47" t="s">
        <v>583</v>
      </c>
      <c r="P1010" s="40" t="str">
        <f aca="false">_xlfn.CONCAT(B1010,C1010,D1010,E1010,F1010)</f>
        <v>ARAGUATINS 1.2Inverter(MBUS-14)46042.536111111146042.536111111146042.6319444444</v>
      </c>
      <c r="Q1010" s="32" t="str">
        <f aca="false">_xlfn.CONCAT(H1010,I1010,J1010)</f>
        <v>DAURDE</v>
      </c>
    </row>
    <row r="1011" customFormat="false" ht="41.75" hidden="false" customHeight="false" outlineLevel="0" collapsed="false">
      <c r="B1011" s="32" t="s">
        <v>361</v>
      </c>
      <c r="C1011" s="32" t="s">
        <v>328</v>
      </c>
      <c r="D1011" s="33" t="n">
        <v>46042.5361111111</v>
      </c>
      <c r="E1011" s="33" t="n">
        <v>46042.5361111111</v>
      </c>
      <c r="F1011" s="33" t="n">
        <v>46042.6319444444</v>
      </c>
      <c r="G1011" s="34" t="n">
        <f aca="false">F1011-E1011</f>
        <v>0.0958333333333333</v>
      </c>
      <c r="H1011" s="39" t="s">
        <v>252</v>
      </c>
      <c r="J1011" s="39" t="s">
        <v>253</v>
      </c>
      <c r="K1011" s="32" t="s">
        <v>266</v>
      </c>
      <c r="L1011" s="32" t="s">
        <v>582</v>
      </c>
      <c r="M1011" s="39" t="s">
        <v>255</v>
      </c>
      <c r="N1011" s="39" t="s">
        <v>256</v>
      </c>
      <c r="O1011" s="47" t="s">
        <v>583</v>
      </c>
      <c r="P1011" s="40" t="str">
        <f aca="false">_xlfn.CONCAT(B1011,C1011,D1011,E1011,F1011)</f>
        <v>ARAGUATINS 1.2Inverter(MBUS-15)46042.536111111146042.536111111146042.6319444444</v>
      </c>
      <c r="Q1011" s="32" t="str">
        <f aca="false">_xlfn.CONCAT(H1011,I1011,J1011)</f>
        <v>DAURDE</v>
      </c>
    </row>
    <row r="1012" customFormat="false" ht="41.75" hidden="false" customHeight="false" outlineLevel="0" collapsed="false">
      <c r="B1012" s="32" t="s">
        <v>362</v>
      </c>
      <c r="C1012" s="32" t="s">
        <v>363</v>
      </c>
      <c r="D1012" s="33" t="n">
        <v>46042.5361111111</v>
      </c>
      <c r="E1012" s="33" t="n">
        <v>46042.5361111111</v>
      </c>
      <c r="F1012" s="33" t="n">
        <v>46042.6319444444</v>
      </c>
      <c r="G1012" s="34" t="n">
        <f aca="false">F1012-E1012</f>
        <v>0.0958333333333333</v>
      </c>
      <c r="H1012" s="39" t="s">
        <v>252</v>
      </c>
      <c r="J1012" s="39" t="s">
        <v>253</v>
      </c>
      <c r="K1012" s="32" t="s">
        <v>266</v>
      </c>
      <c r="L1012" s="32" t="s">
        <v>582</v>
      </c>
      <c r="M1012" s="39" t="s">
        <v>255</v>
      </c>
      <c r="N1012" s="39" t="s">
        <v>256</v>
      </c>
      <c r="O1012" s="47" t="s">
        <v>583</v>
      </c>
      <c r="P1012" s="40" t="str">
        <f aca="false">_xlfn.CONCAT(B1012,C1012,D1012,E1012,F1012)</f>
        <v>ARAGUATINS 1.3Inverter(MBUS-20)46042.536111111146042.536111111146042.6319444444</v>
      </c>
      <c r="Q1012" s="32" t="str">
        <f aca="false">_xlfn.CONCAT(H1012,I1012,J1012)</f>
        <v>DAURDE</v>
      </c>
    </row>
    <row r="1013" customFormat="false" ht="41.75" hidden="false" customHeight="false" outlineLevel="0" collapsed="false">
      <c r="B1013" s="32" t="s">
        <v>362</v>
      </c>
      <c r="C1013" s="32" t="s">
        <v>265</v>
      </c>
      <c r="D1013" s="33" t="n">
        <v>46042.5361111111</v>
      </c>
      <c r="E1013" s="33" t="n">
        <v>46042.5361111111</v>
      </c>
      <c r="F1013" s="33" t="n">
        <v>46042.6319444444</v>
      </c>
      <c r="G1013" s="34" t="n">
        <f aca="false">F1013-E1013</f>
        <v>0.0958333333333333</v>
      </c>
      <c r="H1013" s="39" t="s">
        <v>252</v>
      </c>
      <c r="J1013" s="39" t="s">
        <v>253</v>
      </c>
      <c r="K1013" s="32" t="s">
        <v>266</v>
      </c>
      <c r="L1013" s="32" t="s">
        <v>582</v>
      </c>
      <c r="M1013" s="39" t="s">
        <v>255</v>
      </c>
      <c r="N1013" s="39" t="s">
        <v>256</v>
      </c>
      <c r="O1013" s="47" t="s">
        <v>583</v>
      </c>
      <c r="P1013" s="40" t="str">
        <f aca="false">_xlfn.CONCAT(B1013,C1013,D1013,E1013,F1013)</f>
        <v>ARAGUATINS 1.3Inverter(MBUS-1)46042.536111111146042.536111111146042.6319444444</v>
      </c>
      <c r="Q1013" s="32" t="str">
        <f aca="false">_xlfn.CONCAT(H1013,I1013,J1013)</f>
        <v>DAURDE</v>
      </c>
    </row>
    <row r="1014" customFormat="false" ht="41.75" hidden="false" customHeight="false" outlineLevel="0" collapsed="false">
      <c r="B1014" s="32" t="s">
        <v>367</v>
      </c>
      <c r="C1014" s="32" t="s">
        <v>324</v>
      </c>
      <c r="D1014" s="33" t="n">
        <v>46042.5361111111</v>
      </c>
      <c r="E1014" s="33" t="n">
        <v>46042.5361111111</v>
      </c>
      <c r="F1014" s="33" t="n">
        <v>46042.6319444444</v>
      </c>
      <c r="G1014" s="34" t="n">
        <f aca="false">F1014-E1014</f>
        <v>0.0958333333333333</v>
      </c>
      <c r="H1014" s="39" t="s">
        <v>252</v>
      </c>
      <c r="J1014" s="39" t="s">
        <v>253</v>
      </c>
      <c r="K1014" s="32" t="s">
        <v>266</v>
      </c>
      <c r="L1014" s="32" t="s">
        <v>582</v>
      </c>
      <c r="M1014" s="39" t="s">
        <v>255</v>
      </c>
      <c r="N1014" s="39" t="s">
        <v>256</v>
      </c>
      <c r="O1014" s="47" t="s">
        <v>583</v>
      </c>
      <c r="P1014" s="40" t="str">
        <f aca="false">_xlfn.CONCAT(B1014,C1014,D1014,E1014,F1014)</f>
        <v>ARAGUATINS 2.1Inverter(MBUS-12)46042.536111111146042.536111111146042.6319444444</v>
      </c>
      <c r="Q1014" s="32" t="str">
        <f aca="false">_xlfn.CONCAT(H1014,I1014,J1014)</f>
        <v>DAURDE</v>
      </c>
    </row>
    <row r="1015" customFormat="false" ht="41.75" hidden="false" customHeight="false" outlineLevel="0" collapsed="false">
      <c r="B1015" s="32" t="s">
        <v>367</v>
      </c>
      <c r="C1015" s="32" t="s">
        <v>328</v>
      </c>
      <c r="D1015" s="33" t="n">
        <v>46042.5361111111</v>
      </c>
      <c r="E1015" s="33" t="n">
        <v>46042.5361111111</v>
      </c>
      <c r="F1015" s="33" t="n">
        <v>46042.6319444444</v>
      </c>
      <c r="G1015" s="34" t="n">
        <f aca="false">F1015-E1015</f>
        <v>0.0958333333333333</v>
      </c>
      <c r="H1015" s="39" t="s">
        <v>252</v>
      </c>
      <c r="J1015" s="39" t="s">
        <v>253</v>
      </c>
      <c r="K1015" s="32" t="s">
        <v>266</v>
      </c>
      <c r="L1015" s="32" t="s">
        <v>582</v>
      </c>
      <c r="M1015" s="39" t="s">
        <v>255</v>
      </c>
      <c r="N1015" s="39" t="s">
        <v>256</v>
      </c>
      <c r="O1015" s="47" t="s">
        <v>583</v>
      </c>
      <c r="P1015" s="40" t="str">
        <f aca="false">_xlfn.CONCAT(B1015,C1015,D1015,E1015,F1015)</f>
        <v>ARAGUATINS 2.1Inverter(MBUS-15)46042.536111111146042.536111111146042.6319444444</v>
      </c>
      <c r="Q1015" s="32" t="str">
        <f aca="false">_xlfn.CONCAT(H1015,I1015,J1015)</f>
        <v>DAURDE</v>
      </c>
    </row>
    <row r="1016" customFormat="false" ht="41.75" hidden="false" customHeight="false" outlineLevel="0" collapsed="false">
      <c r="B1016" s="32" t="s">
        <v>367</v>
      </c>
      <c r="C1016" s="32" t="s">
        <v>327</v>
      </c>
      <c r="D1016" s="33" t="n">
        <v>46042.5361111111</v>
      </c>
      <c r="E1016" s="33" t="n">
        <v>46042.5361111111</v>
      </c>
      <c r="F1016" s="33" t="n">
        <v>46042.6319444444</v>
      </c>
      <c r="G1016" s="34" t="n">
        <f aca="false">F1016-E1016</f>
        <v>0.0958333333333333</v>
      </c>
      <c r="H1016" s="39" t="s">
        <v>252</v>
      </c>
      <c r="J1016" s="39" t="s">
        <v>253</v>
      </c>
      <c r="K1016" s="32" t="s">
        <v>266</v>
      </c>
      <c r="L1016" s="32" t="s">
        <v>582</v>
      </c>
      <c r="M1016" s="39" t="s">
        <v>255</v>
      </c>
      <c r="N1016" s="39" t="s">
        <v>256</v>
      </c>
      <c r="O1016" s="47" t="s">
        <v>583</v>
      </c>
      <c r="P1016" s="40" t="str">
        <f aca="false">_xlfn.CONCAT(B1016,C1016,D1016,E1016,F1016)</f>
        <v>ARAGUATINS 2.1Inverter(MBUS-14)46042.536111111146042.536111111146042.6319444444</v>
      </c>
      <c r="Q1016" s="32" t="str">
        <f aca="false">_xlfn.CONCAT(H1016,I1016,J1016)</f>
        <v>DAURDE</v>
      </c>
    </row>
    <row r="1017" customFormat="false" ht="41.75" hidden="false" customHeight="false" outlineLevel="0" collapsed="false">
      <c r="B1017" s="32" t="s">
        <v>367</v>
      </c>
      <c r="C1017" s="32" t="s">
        <v>265</v>
      </c>
      <c r="D1017" s="33" t="n">
        <v>46042.5361111111</v>
      </c>
      <c r="E1017" s="33" t="n">
        <v>46042.5361111111</v>
      </c>
      <c r="F1017" s="33" t="n">
        <v>46042.6319444444</v>
      </c>
      <c r="G1017" s="34" t="n">
        <f aca="false">F1017-E1017</f>
        <v>0.0958333333333333</v>
      </c>
      <c r="H1017" s="39" t="s">
        <v>252</v>
      </c>
      <c r="J1017" s="39" t="s">
        <v>253</v>
      </c>
      <c r="K1017" s="32" t="s">
        <v>266</v>
      </c>
      <c r="L1017" s="32" t="s">
        <v>582</v>
      </c>
      <c r="M1017" s="39" t="s">
        <v>255</v>
      </c>
      <c r="N1017" s="39" t="s">
        <v>256</v>
      </c>
      <c r="O1017" s="47" t="s">
        <v>583</v>
      </c>
      <c r="P1017" s="40" t="str">
        <f aca="false">_xlfn.CONCAT(B1017,C1017,D1017,E1017,F1017)</f>
        <v>ARAGUATINS 2.1Inverter(MBUS-1)46042.536111111146042.536111111146042.6319444444</v>
      </c>
      <c r="Q1017" s="32" t="str">
        <f aca="false">_xlfn.CONCAT(H1017,I1017,J1017)</f>
        <v>DAURDE</v>
      </c>
    </row>
    <row r="1018" customFormat="false" ht="41.75" hidden="false" customHeight="false" outlineLevel="0" collapsed="false">
      <c r="B1018" s="32" t="s">
        <v>460</v>
      </c>
      <c r="C1018" s="32" t="s">
        <v>328</v>
      </c>
      <c r="D1018" s="33" t="n">
        <v>46042.5361111111</v>
      </c>
      <c r="E1018" s="33" t="n">
        <v>46042.5361111111</v>
      </c>
      <c r="F1018" s="33" t="n">
        <v>46042.6319444444</v>
      </c>
      <c r="G1018" s="34" t="n">
        <f aca="false">F1018-E1018</f>
        <v>0.0958333333333333</v>
      </c>
      <c r="H1018" s="39" t="s">
        <v>252</v>
      </c>
      <c r="J1018" s="39" t="s">
        <v>253</v>
      </c>
      <c r="K1018" s="32" t="s">
        <v>266</v>
      </c>
      <c r="L1018" s="32" t="s">
        <v>582</v>
      </c>
      <c r="M1018" s="39" t="s">
        <v>255</v>
      </c>
      <c r="N1018" s="39" t="s">
        <v>256</v>
      </c>
      <c r="O1018" s="47" t="s">
        <v>583</v>
      </c>
      <c r="P1018" s="40" t="str">
        <f aca="false">_xlfn.CONCAT(B1018,C1018,D1018,E1018,F1018)</f>
        <v>ARAGUATINS 2.2Inverter(MBUS-15)46042.536111111146042.536111111146042.6319444444</v>
      </c>
      <c r="Q1018" s="32" t="str">
        <f aca="false">_xlfn.CONCAT(H1018,I1018,J1018)</f>
        <v>DAURDE</v>
      </c>
    </row>
    <row r="1019" customFormat="false" ht="41.75" hidden="false" customHeight="false" outlineLevel="0" collapsed="false">
      <c r="B1019" s="32" t="s">
        <v>460</v>
      </c>
      <c r="C1019" s="32" t="s">
        <v>326</v>
      </c>
      <c r="D1019" s="33" t="n">
        <v>46042.5361111111</v>
      </c>
      <c r="E1019" s="33" t="n">
        <v>46042.5361111111</v>
      </c>
      <c r="F1019" s="33" t="n">
        <v>46042.6319444444</v>
      </c>
      <c r="G1019" s="34" t="n">
        <f aca="false">F1019-E1019</f>
        <v>0.0958333333333333</v>
      </c>
      <c r="H1019" s="39" t="s">
        <v>252</v>
      </c>
      <c r="J1019" s="39" t="s">
        <v>253</v>
      </c>
      <c r="K1019" s="32" t="s">
        <v>266</v>
      </c>
      <c r="L1019" s="32" t="s">
        <v>582</v>
      </c>
      <c r="M1019" s="39" t="s">
        <v>255</v>
      </c>
      <c r="N1019" s="39" t="s">
        <v>256</v>
      </c>
      <c r="O1019" s="47" t="s">
        <v>583</v>
      </c>
      <c r="P1019" s="40" t="str">
        <f aca="false">_xlfn.CONCAT(B1019,C1019,D1019,E1019,F1019)</f>
        <v>ARAGUATINS 2.2Inverter(MBUS-13)46042.536111111146042.536111111146042.6319444444</v>
      </c>
      <c r="Q1019" s="32" t="str">
        <f aca="false">_xlfn.CONCAT(H1019,I1019,J1019)</f>
        <v>DAURDE</v>
      </c>
    </row>
    <row r="1020" customFormat="false" ht="41.75" hidden="false" customHeight="false" outlineLevel="0" collapsed="false">
      <c r="B1020" s="32" t="s">
        <v>460</v>
      </c>
      <c r="C1020" s="32" t="s">
        <v>327</v>
      </c>
      <c r="D1020" s="33" t="n">
        <v>46042.5361111111</v>
      </c>
      <c r="E1020" s="33" t="n">
        <v>46042.5361111111</v>
      </c>
      <c r="F1020" s="33" t="n">
        <v>46042.6319444444</v>
      </c>
      <c r="G1020" s="34" t="n">
        <f aca="false">F1020-E1020</f>
        <v>0.0958333333333333</v>
      </c>
      <c r="H1020" s="39" t="s">
        <v>252</v>
      </c>
      <c r="J1020" s="39" t="s">
        <v>253</v>
      </c>
      <c r="K1020" s="32" t="s">
        <v>266</v>
      </c>
      <c r="L1020" s="32" t="s">
        <v>582</v>
      </c>
      <c r="M1020" s="39" t="s">
        <v>255</v>
      </c>
      <c r="N1020" s="39" t="s">
        <v>256</v>
      </c>
      <c r="O1020" s="47" t="s">
        <v>583</v>
      </c>
      <c r="P1020" s="40" t="str">
        <f aca="false">_xlfn.CONCAT(B1020,C1020,D1020,E1020,F1020)</f>
        <v>ARAGUATINS 2.2Inverter(MBUS-14)46042.536111111146042.536111111146042.6319444444</v>
      </c>
      <c r="Q1020" s="32" t="str">
        <f aca="false">_xlfn.CONCAT(H1020,I1020,J1020)</f>
        <v>DAURDE</v>
      </c>
    </row>
    <row r="1021" customFormat="false" ht="41.75" hidden="false" customHeight="false" outlineLevel="0" collapsed="false">
      <c r="B1021" s="32" t="s">
        <v>460</v>
      </c>
      <c r="C1021" s="32" t="s">
        <v>324</v>
      </c>
      <c r="D1021" s="33" t="n">
        <v>46042.5361111111</v>
      </c>
      <c r="E1021" s="33" t="n">
        <v>46042.5361111111</v>
      </c>
      <c r="F1021" s="33" t="n">
        <v>46042.6319444444</v>
      </c>
      <c r="G1021" s="34" t="n">
        <f aca="false">F1021-E1021</f>
        <v>0.0958333333333333</v>
      </c>
      <c r="H1021" s="39" t="s">
        <v>252</v>
      </c>
      <c r="J1021" s="39" t="s">
        <v>253</v>
      </c>
      <c r="K1021" s="32" t="s">
        <v>266</v>
      </c>
      <c r="L1021" s="32" t="s">
        <v>582</v>
      </c>
      <c r="M1021" s="39" t="s">
        <v>255</v>
      </c>
      <c r="N1021" s="39" t="s">
        <v>256</v>
      </c>
      <c r="O1021" s="47" t="s">
        <v>583</v>
      </c>
      <c r="P1021" s="40" t="str">
        <f aca="false">_xlfn.CONCAT(B1021,C1021,D1021,E1021,F1021)</f>
        <v>ARAGUATINS 2.2Inverter(MBUS-12)46042.536111111146042.536111111146042.6319444444</v>
      </c>
      <c r="Q1021" s="32" t="str">
        <f aca="false">_xlfn.CONCAT(H1021,I1021,J1021)</f>
        <v>DAURDE</v>
      </c>
    </row>
    <row r="1022" customFormat="false" ht="41.75" hidden="false" customHeight="false" outlineLevel="0" collapsed="false">
      <c r="B1022" s="32" t="s">
        <v>461</v>
      </c>
      <c r="C1022" s="32" t="s">
        <v>324</v>
      </c>
      <c r="D1022" s="33" t="n">
        <v>46042.5361111111</v>
      </c>
      <c r="E1022" s="33" t="n">
        <v>46042.5361111111</v>
      </c>
      <c r="F1022" s="33" t="n">
        <v>46042.6319444444</v>
      </c>
      <c r="G1022" s="34" t="n">
        <f aca="false">F1022-E1022</f>
        <v>0.0958333333333333</v>
      </c>
      <c r="H1022" s="39" t="s">
        <v>252</v>
      </c>
      <c r="J1022" s="39" t="s">
        <v>253</v>
      </c>
      <c r="K1022" s="32" t="s">
        <v>266</v>
      </c>
      <c r="L1022" s="32" t="s">
        <v>582</v>
      </c>
      <c r="M1022" s="39" t="s">
        <v>255</v>
      </c>
      <c r="N1022" s="39" t="s">
        <v>256</v>
      </c>
      <c r="O1022" s="47" t="s">
        <v>583</v>
      </c>
      <c r="P1022" s="40" t="str">
        <f aca="false">_xlfn.CONCAT(B1022,C1022,D1022,E1022,F1022)</f>
        <v>ARAGUATINS 2.3Inverter(MBUS-12)46042.536111111146042.536111111146042.6319444444</v>
      </c>
      <c r="Q1022" s="32" t="str">
        <f aca="false">_xlfn.CONCAT(H1022,I1022,J1022)</f>
        <v>DAURDE</v>
      </c>
    </row>
    <row r="1023" customFormat="false" ht="41.75" hidden="false" customHeight="false" outlineLevel="0" collapsed="false">
      <c r="B1023" s="32" t="s">
        <v>461</v>
      </c>
      <c r="C1023" s="32" t="s">
        <v>326</v>
      </c>
      <c r="D1023" s="33" t="n">
        <v>46042.5361111111</v>
      </c>
      <c r="E1023" s="33" t="n">
        <v>46042.5361111111</v>
      </c>
      <c r="F1023" s="33" t="n">
        <v>46042.6319444444</v>
      </c>
      <c r="G1023" s="34" t="n">
        <f aca="false">F1023-E1023</f>
        <v>0.0958333333333333</v>
      </c>
      <c r="H1023" s="39" t="s">
        <v>252</v>
      </c>
      <c r="J1023" s="39" t="s">
        <v>253</v>
      </c>
      <c r="K1023" s="32" t="s">
        <v>266</v>
      </c>
      <c r="L1023" s="32" t="s">
        <v>582</v>
      </c>
      <c r="M1023" s="39" t="s">
        <v>255</v>
      </c>
      <c r="N1023" s="39" t="s">
        <v>256</v>
      </c>
      <c r="O1023" s="47" t="s">
        <v>583</v>
      </c>
      <c r="P1023" s="40" t="str">
        <f aca="false">_xlfn.CONCAT(B1023,C1023,D1023,E1023,F1023)</f>
        <v>ARAGUATINS 2.3Inverter(MBUS-13)46042.536111111146042.536111111146042.6319444444</v>
      </c>
      <c r="Q1023" s="32" t="str">
        <f aca="false">_xlfn.CONCAT(H1023,I1023,J1023)</f>
        <v>DAURDE</v>
      </c>
    </row>
    <row r="1024" customFormat="false" ht="15" hidden="false" customHeight="false" outlineLevel="0" collapsed="false">
      <c r="B1024" s="32" t="s">
        <v>48</v>
      </c>
      <c r="C1024" s="32" t="s">
        <v>294</v>
      </c>
      <c r="D1024" s="33" t="n">
        <v>46043.1354166667</v>
      </c>
      <c r="E1024" s="33" t="n">
        <v>46043.1354166667</v>
      </c>
      <c r="F1024" s="33" t="n">
        <v>46043.3055555556</v>
      </c>
      <c r="G1024" s="34" t="n">
        <f aca="false">F1024-E1024</f>
        <v>0.170138888888889</v>
      </c>
      <c r="H1024" s="39" t="s">
        <v>283</v>
      </c>
      <c r="I1024" s="32" t="s">
        <v>284</v>
      </c>
      <c r="J1024" s="39" t="s">
        <v>285</v>
      </c>
      <c r="K1024" s="32" t="s">
        <v>286</v>
      </c>
      <c r="L1024" s="32" t="s">
        <v>584</v>
      </c>
      <c r="M1024" s="39" t="s">
        <v>288</v>
      </c>
      <c r="N1024" s="39" t="s">
        <v>289</v>
      </c>
      <c r="O1024" s="32" t="s">
        <v>585</v>
      </c>
      <c r="P1024" s="40" t="str">
        <f aca="false">_xlfn.CONCAT(B1024,C1024,D1024,E1024,F1024)</f>
        <v>BC Caiaponia1SG60KTL(COM1-001)_001_00746043.135416666746043.135416666746043.3055555556</v>
      </c>
      <c r="Q1024" s="32" t="str">
        <f aca="false">_xlfn.CONCAT(H1024,I1024,J1024)</f>
        <v>LIGRFOCOM</v>
      </c>
    </row>
    <row r="1025" customFormat="false" ht="15" hidden="false" customHeight="false" outlineLevel="0" collapsed="false">
      <c r="B1025" s="32" t="s">
        <v>48</v>
      </c>
      <c r="C1025" s="32" t="s">
        <v>295</v>
      </c>
      <c r="D1025" s="33" t="n">
        <v>46043.1354166667</v>
      </c>
      <c r="E1025" s="33" t="n">
        <v>46043.1354166667</v>
      </c>
      <c r="F1025" s="33" t="n">
        <v>46043.3055555556</v>
      </c>
      <c r="G1025" s="34" t="n">
        <f aca="false">F1025-E1025</f>
        <v>0.170138888888889</v>
      </c>
      <c r="H1025" s="39" t="s">
        <v>283</v>
      </c>
      <c r="I1025" s="32" t="s">
        <v>284</v>
      </c>
      <c r="J1025" s="39" t="s">
        <v>285</v>
      </c>
      <c r="K1025" s="32" t="s">
        <v>286</v>
      </c>
      <c r="L1025" s="32" t="s">
        <v>584</v>
      </c>
      <c r="M1025" s="39" t="s">
        <v>288</v>
      </c>
      <c r="N1025" s="39" t="s">
        <v>289</v>
      </c>
      <c r="O1025" s="32" t="s">
        <v>585</v>
      </c>
      <c r="P1025" s="40" t="str">
        <f aca="false">_xlfn.CONCAT(B1025,C1025,D1025,E1025,F1025)</f>
        <v>BC Caiaponia1SG60KTL(COM1-002)_001_01046043.135416666746043.135416666746043.3055555556</v>
      </c>
      <c r="Q1025" s="32" t="str">
        <f aca="false">_xlfn.CONCAT(H1025,I1025,J1025)</f>
        <v>LIGRFOCOM</v>
      </c>
    </row>
    <row r="1026" customFormat="false" ht="15" hidden="false" customHeight="false" outlineLevel="0" collapsed="false">
      <c r="B1026" s="32" t="s">
        <v>48</v>
      </c>
      <c r="C1026" s="32" t="s">
        <v>296</v>
      </c>
      <c r="D1026" s="33" t="n">
        <v>46043.1354166667</v>
      </c>
      <c r="E1026" s="33" t="n">
        <v>46043.1354166667</v>
      </c>
      <c r="F1026" s="33" t="n">
        <v>46043.3055555556</v>
      </c>
      <c r="G1026" s="34" t="n">
        <f aca="false">F1026-E1026</f>
        <v>0.170138888888889</v>
      </c>
      <c r="H1026" s="39" t="s">
        <v>283</v>
      </c>
      <c r="I1026" s="32" t="s">
        <v>284</v>
      </c>
      <c r="J1026" s="39" t="s">
        <v>285</v>
      </c>
      <c r="K1026" s="32" t="s">
        <v>286</v>
      </c>
      <c r="L1026" s="32" t="s">
        <v>584</v>
      </c>
      <c r="M1026" s="39" t="s">
        <v>288</v>
      </c>
      <c r="N1026" s="39" t="s">
        <v>289</v>
      </c>
      <c r="O1026" s="32" t="s">
        <v>585</v>
      </c>
      <c r="P1026" s="40" t="str">
        <f aca="false">_xlfn.CONCAT(B1026,C1026,D1026,E1026,F1026)</f>
        <v>BC Caiaponia1SG60KTL(COM1-003)_001_01146043.135416666746043.135416666746043.3055555556</v>
      </c>
      <c r="Q1026" s="32" t="str">
        <f aca="false">_xlfn.CONCAT(H1026,I1026,J1026)</f>
        <v>LIGRFOCOM</v>
      </c>
    </row>
    <row r="1027" customFormat="false" ht="15" hidden="false" customHeight="false" outlineLevel="0" collapsed="false">
      <c r="B1027" s="32" t="s">
        <v>48</v>
      </c>
      <c r="C1027" s="32" t="s">
        <v>297</v>
      </c>
      <c r="D1027" s="33" t="n">
        <v>46043.1354166667</v>
      </c>
      <c r="E1027" s="33" t="n">
        <v>46043.1354166667</v>
      </c>
      <c r="F1027" s="33" t="n">
        <v>46043.3055555556</v>
      </c>
      <c r="G1027" s="34" t="n">
        <f aca="false">F1027-E1027</f>
        <v>0.170138888888889</v>
      </c>
      <c r="H1027" s="39" t="s">
        <v>283</v>
      </c>
      <c r="I1027" s="32" t="s">
        <v>284</v>
      </c>
      <c r="J1027" s="39" t="s">
        <v>285</v>
      </c>
      <c r="K1027" s="32" t="s">
        <v>286</v>
      </c>
      <c r="L1027" s="32" t="s">
        <v>584</v>
      </c>
      <c r="M1027" s="39" t="s">
        <v>288</v>
      </c>
      <c r="N1027" s="39" t="s">
        <v>289</v>
      </c>
      <c r="O1027" s="32" t="s">
        <v>585</v>
      </c>
      <c r="P1027" s="40" t="str">
        <f aca="false">_xlfn.CONCAT(B1027,C1027,D1027,E1027,F1027)</f>
        <v>BC Caiaponia1SG60KTL(COM1-004)_001_01446043.135416666746043.135416666746043.3055555556</v>
      </c>
      <c r="Q1027" s="32" t="str">
        <f aca="false">_xlfn.CONCAT(H1027,I1027,J1027)</f>
        <v>LIGRFOCOM</v>
      </c>
    </row>
    <row r="1028" customFormat="false" ht="15" hidden="false" customHeight="false" outlineLevel="0" collapsed="false">
      <c r="B1028" s="32" t="s">
        <v>48</v>
      </c>
      <c r="C1028" s="32" t="s">
        <v>298</v>
      </c>
      <c r="D1028" s="33" t="n">
        <v>46043.1354166667</v>
      </c>
      <c r="E1028" s="33" t="n">
        <v>46043.1354166667</v>
      </c>
      <c r="F1028" s="33" t="n">
        <v>46043.3055555556</v>
      </c>
      <c r="G1028" s="34" t="n">
        <f aca="false">F1028-E1028</f>
        <v>0.170138888888889</v>
      </c>
      <c r="H1028" s="39" t="s">
        <v>283</v>
      </c>
      <c r="I1028" s="32" t="s">
        <v>284</v>
      </c>
      <c r="J1028" s="39" t="s">
        <v>285</v>
      </c>
      <c r="K1028" s="32" t="s">
        <v>286</v>
      </c>
      <c r="L1028" s="32" t="s">
        <v>584</v>
      </c>
      <c r="M1028" s="39" t="s">
        <v>288</v>
      </c>
      <c r="N1028" s="39" t="s">
        <v>289</v>
      </c>
      <c r="O1028" s="32" t="s">
        <v>585</v>
      </c>
      <c r="P1028" s="40" t="str">
        <f aca="false">_xlfn.CONCAT(B1028,C1028,D1028,E1028,F1028)</f>
        <v>BC Caiaponia1SG60KTL(COM1-005)_001_01746043.135416666746043.135416666746043.3055555556</v>
      </c>
      <c r="Q1028" s="32" t="str">
        <f aca="false">_xlfn.CONCAT(H1028,I1028,J1028)</f>
        <v>LIGRFOCOM</v>
      </c>
    </row>
    <row r="1029" customFormat="false" ht="15" hidden="false" customHeight="false" outlineLevel="0" collapsed="false">
      <c r="B1029" s="32" t="s">
        <v>48</v>
      </c>
      <c r="C1029" s="32" t="s">
        <v>299</v>
      </c>
      <c r="D1029" s="33" t="n">
        <v>46043.1354166667</v>
      </c>
      <c r="E1029" s="33" t="n">
        <v>46043.1354166667</v>
      </c>
      <c r="F1029" s="33" t="n">
        <v>46043.3055555556</v>
      </c>
      <c r="G1029" s="34" t="n">
        <f aca="false">F1029-E1029</f>
        <v>0.170138888888889</v>
      </c>
      <c r="H1029" s="39" t="s">
        <v>283</v>
      </c>
      <c r="I1029" s="32" t="s">
        <v>284</v>
      </c>
      <c r="J1029" s="39" t="s">
        <v>285</v>
      </c>
      <c r="K1029" s="32" t="s">
        <v>286</v>
      </c>
      <c r="L1029" s="32" t="s">
        <v>584</v>
      </c>
      <c r="M1029" s="39" t="s">
        <v>288</v>
      </c>
      <c r="N1029" s="39" t="s">
        <v>289</v>
      </c>
      <c r="O1029" s="32" t="s">
        <v>585</v>
      </c>
      <c r="P1029" s="40" t="str">
        <f aca="false">_xlfn.CONCAT(B1029,C1029,D1029,E1029,F1029)</f>
        <v>BC Caiaponia1SG60KTL(COM1-006)_001_01646043.135416666746043.135416666746043.3055555556</v>
      </c>
      <c r="Q1029" s="32" t="str">
        <f aca="false">_xlfn.CONCAT(H1029,I1029,J1029)</f>
        <v>LIGRFOCOM</v>
      </c>
    </row>
    <row r="1030" customFormat="false" ht="15" hidden="false" customHeight="false" outlineLevel="0" collapsed="false">
      <c r="B1030" s="32" t="s">
        <v>48</v>
      </c>
      <c r="C1030" s="32" t="s">
        <v>300</v>
      </c>
      <c r="D1030" s="33" t="n">
        <v>46043.1354166667</v>
      </c>
      <c r="E1030" s="33" t="n">
        <v>46043.1354166667</v>
      </c>
      <c r="F1030" s="33" t="n">
        <v>46043.3055555556</v>
      </c>
      <c r="G1030" s="34" t="n">
        <f aca="false">F1030-E1030</f>
        <v>0.170138888888889</v>
      </c>
      <c r="H1030" s="39" t="s">
        <v>283</v>
      </c>
      <c r="I1030" s="32" t="s">
        <v>284</v>
      </c>
      <c r="J1030" s="39" t="s">
        <v>285</v>
      </c>
      <c r="K1030" s="32" t="s">
        <v>286</v>
      </c>
      <c r="L1030" s="32" t="s">
        <v>584</v>
      </c>
      <c r="M1030" s="39" t="s">
        <v>288</v>
      </c>
      <c r="N1030" s="39" t="s">
        <v>289</v>
      </c>
      <c r="O1030" s="32" t="s">
        <v>585</v>
      </c>
      <c r="P1030" s="40" t="str">
        <f aca="false">_xlfn.CONCAT(B1030,C1030,D1030,E1030,F1030)</f>
        <v>BC Caiaponia1SG60KTL(COM1-007)_001_01346043.135416666746043.135416666746043.3055555556</v>
      </c>
      <c r="Q1030" s="32" t="str">
        <f aca="false">_xlfn.CONCAT(H1030,I1030,J1030)</f>
        <v>LIGRFOCOM</v>
      </c>
    </row>
    <row r="1031" customFormat="false" ht="15" hidden="false" customHeight="false" outlineLevel="0" collapsed="false">
      <c r="B1031" s="32" t="s">
        <v>48</v>
      </c>
      <c r="C1031" s="32" t="s">
        <v>301</v>
      </c>
      <c r="D1031" s="33" t="n">
        <v>46043.1354166667</v>
      </c>
      <c r="E1031" s="33" t="n">
        <v>46043.1354166667</v>
      </c>
      <c r="F1031" s="33" t="n">
        <v>46043.3055555556</v>
      </c>
      <c r="G1031" s="34" t="n">
        <f aca="false">F1031-E1031</f>
        <v>0.170138888888889</v>
      </c>
      <c r="H1031" s="39" t="s">
        <v>283</v>
      </c>
      <c r="I1031" s="32" t="s">
        <v>284</v>
      </c>
      <c r="J1031" s="39" t="s">
        <v>285</v>
      </c>
      <c r="K1031" s="32" t="s">
        <v>286</v>
      </c>
      <c r="L1031" s="32" t="s">
        <v>584</v>
      </c>
      <c r="M1031" s="39" t="s">
        <v>288</v>
      </c>
      <c r="N1031" s="39" t="s">
        <v>289</v>
      </c>
      <c r="O1031" s="32" t="s">
        <v>585</v>
      </c>
      <c r="P1031" s="40" t="str">
        <f aca="false">_xlfn.CONCAT(B1031,C1031,D1031,E1031,F1031)</f>
        <v>BC Caiaponia1SG60KTL(COM1-008)_001_00146043.135416666746043.135416666746043.3055555556</v>
      </c>
      <c r="Q1031" s="32" t="str">
        <f aca="false">_xlfn.CONCAT(H1031,I1031,J1031)</f>
        <v>LIGRFOCOM</v>
      </c>
    </row>
    <row r="1032" customFormat="false" ht="15" hidden="false" customHeight="false" outlineLevel="0" collapsed="false">
      <c r="B1032" s="32" t="s">
        <v>48</v>
      </c>
      <c r="C1032" s="32" t="s">
        <v>302</v>
      </c>
      <c r="D1032" s="33" t="n">
        <v>46043.1354166667</v>
      </c>
      <c r="E1032" s="33" t="n">
        <v>46043.1354166667</v>
      </c>
      <c r="F1032" s="33" t="n">
        <v>46043.3055555556</v>
      </c>
      <c r="G1032" s="34" t="n">
        <f aca="false">F1032-E1032</f>
        <v>0.170138888888889</v>
      </c>
      <c r="H1032" s="39" t="s">
        <v>283</v>
      </c>
      <c r="I1032" s="32" t="s">
        <v>284</v>
      </c>
      <c r="J1032" s="39" t="s">
        <v>285</v>
      </c>
      <c r="K1032" s="32" t="s">
        <v>286</v>
      </c>
      <c r="L1032" s="32" t="s">
        <v>584</v>
      </c>
      <c r="M1032" s="39" t="s">
        <v>288</v>
      </c>
      <c r="N1032" s="39" t="s">
        <v>289</v>
      </c>
      <c r="O1032" s="32" t="s">
        <v>585</v>
      </c>
      <c r="P1032" s="40" t="str">
        <f aca="false">_xlfn.CONCAT(B1032,C1032,D1032,E1032,F1032)</f>
        <v>BC Caiaponia1SG60KTL(COM1-009)46043.135416666746043.135416666746043.3055555556</v>
      </c>
      <c r="Q1032" s="32" t="str">
        <f aca="false">_xlfn.CONCAT(H1032,I1032,J1032)</f>
        <v>LIGRFOCOM</v>
      </c>
    </row>
    <row r="1033" customFormat="false" ht="15" hidden="false" customHeight="false" outlineLevel="0" collapsed="false">
      <c r="B1033" s="32" t="s">
        <v>48</v>
      </c>
      <c r="C1033" s="32" t="s">
        <v>303</v>
      </c>
      <c r="D1033" s="33" t="n">
        <v>46043.1354166667</v>
      </c>
      <c r="E1033" s="33" t="n">
        <v>46043.1354166667</v>
      </c>
      <c r="F1033" s="33" t="n">
        <v>46043.3055555556</v>
      </c>
      <c r="G1033" s="34" t="n">
        <f aca="false">F1033-E1033</f>
        <v>0.170138888888889</v>
      </c>
      <c r="H1033" s="39" t="s">
        <v>283</v>
      </c>
      <c r="I1033" s="32" t="s">
        <v>284</v>
      </c>
      <c r="J1033" s="39" t="s">
        <v>285</v>
      </c>
      <c r="K1033" s="32" t="s">
        <v>286</v>
      </c>
      <c r="L1033" s="32" t="s">
        <v>584</v>
      </c>
      <c r="M1033" s="39" t="s">
        <v>288</v>
      </c>
      <c r="N1033" s="39" t="s">
        <v>289</v>
      </c>
      <c r="O1033" s="32" t="s">
        <v>585</v>
      </c>
      <c r="P1033" s="40" t="str">
        <f aca="false">_xlfn.CONCAT(B1033,C1033,D1033,E1033,F1033)</f>
        <v>BC Caiaponia1SG60KTL(COM1-010)46043.135416666746043.135416666746043.3055555556</v>
      </c>
      <c r="Q1033" s="32" t="str">
        <f aca="false">_xlfn.CONCAT(H1033,I1033,J1033)</f>
        <v>LIGRFOCOM</v>
      </c>
    </row>
    <row r="1034" customFormat="false" ht="15" hidden="false" customHeight="false" outlineLevel="0" collapsed="false">
      <c r="B1034" s="32" t="s">
        <v>48</v>
      </c>
      <c r="C1034" s="32" t="s">
        <v>304</v>
      </c>
      <c r="D1034" s="33" t="n">
        <v>46043.1354166667</v>
      </c>
      <c r="E1034" s="33" t="n">
        <v>46043.1354166667</v>
      </c>
      <c r="F1034" s="33" t="n">
        <v>46043.3055555556</v>
      </c>
      <c r="G1034" s="34" t="n">
        <f aca="false">F1034-E1034</f>
        <v>0.170138888888889</v>
      </c>
      <c r="H1034" s="39" t="s">
        <v>283</v>
      </c>
      <c r="I1034" s="32" t="s">
        <v>284</v>
      </c>
      <c r="J1034" s="39" t="s">
        <v>285</v>
      </c>
      <c r="K1034" s="32" t="s">
        <v>286</v>
      </c>
      <c r="L1034" s="32" t="s">
        <v>584</v>
      </c>
      <c r="M1034" s="39" t="s">
        <v>288</v>
      </c>
      <c r="N1034" s="39" t="s">
        <v>289</v>
      </c>
      <c r="O1034" s="32" t="s">
        <v>585</v>
      </c>
      <c r="P1034" s="40" t="str">
        <f aca="false">_xlfn.CONCAT(B1034,C1034,D1034,E1034,F1034)</f>
        <v>BC Caiaponia1SG60KTL(COM1-011)46043.135416666746043.135416666746043.3055555556</v>
      </c>
      <c r="Q1034" s="32" t="str">
        <f aca="false">_xlfn.CONCAT(H1034,I1034,J1034)</f>
        <v>LIGRFOCOM</v>
      </c>
    </row>
    <row r="1035" customFormat="false" ht="15" hidden="false" customHeight="false" outlineLevel="0" collapsed="false">
      <c r="B1035" s="32" t="s">
        <v>48</v>
      </c>
      <c r="C1035" s="32" t="s">
        <v>305</v>
      </c>
      <c r="D1035" s="33" t="n">
        <v>46043.1354166667</v>
      </c>
      <c r="E1035" s="33" t="n">
        <v>46043.1354166667</v>
      </c>
      <c r="F1035" s="33" t="n">
        <v>46043.3055555556</v>
      </c>
      <c r="G1035" s="34" t="n">
        <f aca="false">F1035-E1035</f>
        <v>0.170138888888889</v>
      </c>
      <c r="H1035" s="39" t="s">
        <v>283</v>
      </c>
      <c r="I1035" s="32" t="s">
        <v>284</v>
      </c>
      <c r="J1035" s="39" t="s">
        <v>285</v>
      </c>
      <c r="K1035" s="32" t="s">
        <v>286</v>
      </c>
      <c r="L1035" s="32" t="s">
        <v>584</v>
      </c>
      <c r="M1035" s="39" t="s">
        <v>288</v>
      </c>
      <c r="N1035" s="39" t="s">
        <v>289</v>
      </c>
      <c r="O1035" s="32" t="s">
        <v>585</v>
      </c>
      <c r="P1035" s="40" t="str">
        <f aca="false">_xlfn.CONCAT(B1035,C1035,D1035,E1035,F1035)</f>
        <v>BC Caiaponia1SG60KTL(COM1-012)46043.135416666746043.135416666746043.3055555556</v>
      </c>
      <c r="Q1035" s="32" t="str">
        <f aca="false">_xlfn.CONCAT(H1035,I1035,J1035)</f>
        <v>LIGRFOCOM</v>
      </c>
    </row>
    <row r="1036" customFormat="false" ht="15" hidden="false" customHeight="false" outlineLevel="0" collapsed="false">
      <c r="B1036" s="32" t="s">
        <v>48</v>
      </c>
      <c r="C1036" s="32" t="s">
        <v>306</v>
      </c>
      <c r="D1036" s="33" t="n">
        <v>46043.1354166667</v>
      </c>
      <c r="E1036" s="33" t="n">
        <v>46043.1354166667</v>
      </c>
      <c r="F1036" s="33" t="n">
        <v>46043.3055555556</v>
      </c>
      <c r="G1036" s="34" t="n">
        <f aca="false">F1036-E1036</f>
        <v>0.170138888888889</v>
      </c>
      <c r="H1036" s="39" t="s">
        <v>283</v>
      </c>
      <c r="I1036" s="32" t="s">
        <v>284</v>
      </c>
      <c r="J1036" s="39" t="s">
        <v>285</v>
      </c>
      <c r="K1036" s="32" t="s">
        <v>286</v>
      </c>
      <c r="L1036" s="32" t="s">
        <v>584</v>
      </c>
      <c r="M1036" s="39" t="s">
        <v>288</v>
      </c>
      <c r="N1036" s="39" t="s">
        <v>289</v>
      </c>
      <c r="O1036" s="32" t="s">
        <v>585</v>
      </c>
      <c r="P1036" s="40" t="str">
        <f aca="false">_xlfn.CONCAT(B1036,C1036,D1036,E1036,F1036)</f>
        <v>BC Caiaponia1SG60KTL(COM1-013)46043.135416666746043.135416666746043.3055555556</v>
      </c>
      <c r="Q1036" s="32" t="str">
        <f aca="false">_xlfn.CONCAT(H1036,I1036,J1036)</f>
        <v>LIGRFOCOM</v>
      </c>
    </row>
    <row r="1037" customFormat="false" ht="15" hidden="false" customHeight="false" outlineLevel="0" collapsed="false">
      <c r="B1037" s="32" t="s">
        <v>48</v>
      </c>
      <c r="C1037" s="32" t="s">
        <v>307</v>
      </c>
      <c r="D1037" s="33" t="n">
        <v>46043.1354166667</v>
      </c>
      <c r="E1037" s="33" t="n">
        <v>46043.1354166667</v>
      </c>
      <c r="F1037" s="33" t="n">
        <v>46043.3055555556</v>
      </c>
      <c r="G1037" s="34" t="n">
        <f aca="false">F1037-E1037</f>
        <v>0.170138888888889</v>
      </c>
      <c r="H1037" s="39" t="s">
        <v>283</v>
      </c>
      <c r="I1037" s="32" t="s">
        <v>284</v>
      </c>
      <c r="J1037" s="39" t="s">
        <v>285</v>
      </c>
      <c r="K1037" s="32" t="s">
        <v>286</v>
      </c>
      <c r="L1037" s="32" t="s">
        <v>584</v>
      </c>
      <c r="M1037" s="39" t="s">
        <v>288</v>
      </c>
      <c r="N1037" s="39" t="s">
        <v>289</v>
      </c>
      <c r="O1037" s="32" t="s">
        <v>585</v>
      </c>
      <c r="P1037" s="40" t="str">
        <f aca="false">_xlfn.CONCAT(B1037,C1037,D1037,E1037,F1037)</f>
        <v>BC Caiaponia1SG60KTL(COM1-014)46043.135416666746043.135416666746043.3055555556</v>
      </c>
      <c r="Q1037" s="32" t="str">
        <f aca="false">_xlfn.CONCAT(H1037,I1037,J1037)</f>
        <v>LIGRFOCOM</v>
      </c>
    </row>
    <row r="1038" customFormat="false" ht="15" hidden="false" customHeight="false" outlineLevel="0" collapsed="false">
      <c r="B1038" s="32" t="s">
        <v>48</v>
      </c>
      <c r="C1038" s="32" t="s">
        <v>308</v>
      </c>
      <c r="D1038" s="33" t="n">
        <v>46043.1354166667</v>
      </c>
      <c r="E1038" s="33" t="n">
        <v>46043.1354166667</v>
      </c>
      <c r="F1038" s="33" t="n">
        <v>46043.3055555556</v>
      </c>
      <c r="G1038" s="34" t="n">
        <f aca="false">F1038-E1038</f>
        <v>0.170138888888889</v>
      </c>
      <c r="H1038" s="39" t="s">
        <v>283</v>
      </c>
      <c r="I1038" s="32" t="s">
        <v>284</v>
      </c>
      <c r="J1038" s="39" t="s">
        <v>285</v>
      </c>
      <c r="K1038" s="32" t="s">
        <v>286</v>
      </c>
      <c r="L1038" s="32" t="s">
        <v>584</v>
      </c>
      <c r="M1038" s="39" t="s">
        <v>288</v>
      </c>
      <c r="N1038" s="39" t="s">
        <v>289</v>
      </c>
      <c r="O1038" s="32" t="s">
        <v>585</v>
      </c>
      <c r="P1038" s="40" t="str">
        <f aca="false">_xlfn.CONCAT(B1038,C1038,D1038,E1038,F1038)</f>
        <v>BC Caiaponia1SG60KTL(COM1-015)46043.135416666746043.135416666746043.3055555556</v>
      </c>
      <c r="Q1038" s="32" t="str">
        <f aca="false">_xlfn.CONCAT(H1038,I1038,J1038)</f>
        <v>LIGRFOCOM</v>
      </c>
    </row>
    <row r="1039" customFormat="false" ht="15" hidden="false" customHeight="false" outlineLevel="0" collapsed="false">
      <c r="B1039" s="32" t="s">
        <v>48</v>
      </c>
      <c r="C1039" s="32" t="s">
        <v>309</v>
      </c>
      <c r="D1039" s="33" t="n">
        <v>46043.1354166667</v>
      </c>
      <c r="E1039" s="33" t="n">
        <v>46043.1354166667</v>
      </c>
      <c r="F1039" s="33" t="n">
        <v>46043.3055555556</v>
      </c>
      <c r="G1039" s="34" t="n">
        <f aca="false">F1039-E1039</f>
        <v>0.170138888888889</v>
      </c>
      <c r="H1039" s="39" t="s">
        <v>283</v>
      </c>
      <c r="I1039" s="32" t="s">
        <v>284</v>
      </c>
      <c r="J1039" s="39" t="s">
        <v>285</v>
      </c>
      <c r="K1039" s="32" t="s">
        <v>286</v>
      </c>
      <c r="L1039" s="32" t="s">
        <v>584</v>
      </c>
      <c r="M1039" s="39" t="s">
        <v>288</v>
      </c>
      <c r="N1039" s="39" t="s">
        <v>289</v>
      </c>
      <c r="O1039" s="32" t="s">
        <v>585</v>
      </c>
      <c r="P1039" s="40" t="str">
        <f aca="false">_xlfn.CONCAT(B1039,C1039,D1039,E1039,F1039)</f>
        <v>BC Caiaponia1SG60KTL(COM3-016)_001_00946043.135416666746043.135416666746043.3055555556</v>
      </c>
      <c r="Q1039" s="32" t="str">
        <f aca="false">_xlfn.CONCAT(H1039,I1039,J1039)</f>
        <v>LIGRFOCOM</v>
      </c>
    </row>
    <row r="1040" customFormat="false" ht="15" hidden="false" customHeight="false" outlineLevel="0" collapsed="false">
      <c r="B1040" s="32" t="s">
        <v>48</v>
      </c>
      <c r="C1040" s="32" t="s">
        <v>310</v>
      </c>
      <c r="D1040" s="33" t="n">
        <v>46043.1354166667</v>
      </c>
      <c r="E1040" s="33" t="n">
        <v>46043.1354166667</v>
      </c>
      <c r="F1040" s="33" t="n">
        <v>46043.3055555556</v>
      </c>
      <c r="G1040" s="34" t="n">
        <f aca="false">F1040-E1040</f>
        <v>0.170138888888889</v>
      </c>
      <c r="H1040" s="39" t="s">
        <v>283</v>
      </c>
      <c r="I1040" s="32" t="s">
        <v>284</v>
      </c>
      <c r="J1040" s="39" t="s">
        <v>285</v>
      </c>
      <c r="K1040" s="32" t="s">
        <v>286</v>
      </c>
      <c r="L1040" s="32" t="s">
        <v>584</v>
      </c>
      <c r="M1040" s="39" t="s">
        <v>288</v>
      </c>
      <c r="N1040" s="39" t="s">
        <v>289</v>
      </c>
      <c r="O1040" s="32" t="s">
        <v>585</v>
      </c>
      <c r="P1040" s="40" t="str">
        <f aca="false">_xlfn.CONCAT(B1040,C1040,D1040,E1040,F1040)</f>
        <v>BC Caiaponia1SG60KTL(COM3-017)_001_01246043.135416666746043.135416666746043.3055555556</v>
      </c>
      <c r="Q1040" s="32" t="str">
        <f aca="false">_xlfn.CONCAT(H1040,I1040,J1040)</f>
        <v>LIGRFOCOM</v>
      </c>
    </row>
    <row r="1041" customFormat="false" ht="15" hidden="false" customHeight="false" outlineLevel="0" collapsed="false">
      <c r="B1041" s="32" t="s">
        <v>48</v>
      </c>
      <c r="C1041" s="32" t="s">
        <v>311</v>
      </c>
      <c r="D1041" s="33" t="n">
        <v>46043.1354166667</v>
      </c>
      <c r="E1041" s="33" t="n">
        <v>46043.1354166667</v>
      </c>
      <c r="F1041" s="33" t="n">
        <v>46043.3055555556</v>
      </c>
      <c r="G1041" s="34" t="n">
        <f aca="false">F1041-E1041</f>
        <v>0.170138888888889</v>
      </c>
      <c r="H1041" s="39" t="s">
        <v>283</v>
      </c>
      <c r="I1041" s="32" t="s">
        <v>284</v>
      </c>
      <c r="J1041" s="39" t="s">
        <v>285</v>
      </c>
      <c r="K1041" s="32" t="s">
        <v>286</v>
      </c>
      <c r="L1041" s="32" t="s">
        <v>584</v>
      </c>
      <c r="M1041" s="39" t="s">
        <v>288</v>
      </c>
      <c r="N1041" s="39" t="s">
        <v>289</v>
      </c>
      <c r="O1041" s="32" t="s">
        <v>585</v>
      </c>
      <c r="P1041" s="40" t="str">
        <f aca="false">_xlfn.CONCAT(B1041,C1041,D1041,E1041,F1041)</f>
        <v>BC Caiaponia1SG60KTL(COM3-018)_001_00846043.135416666746043.135416666746043.3055555556</v>
      </c>
      <c r="Q1041" s="32" t="str">
        <f aca="false">_xlfn.CONCAT(H1041,I1041,J1041)</f>
        <v>LIGRFOCOM</v>
      </c>
    </row>
    <row r="1042" customFormat="false" ht="15" hidden="false" customHeight="false" outlineLevel="0" collapsed="false">
      <c r="B1042" s="32" t="s">
        <v>48</v>
      </c>
      <c r="C1042" s="32" t="s">
        <v>312</v>
      </c>
      <c r="D1042" s="33" t="n">
        <v>46043.1354166667</v>
      </c>
      <c r="E1042" s="33" t="n">
        <v>46043.1354166667</v>
      </c>
      <c r="F1042" s="33" t="n">
        <v>46043.3055555556</v>
      </c>
      <c r="G1042" s="34" t="n">
        <f aca="false">F1042-E1042</f>
        <v>0.170138888888889</v>
      </c>
      <c r="H1042" s="39" t="s">
        <v>283</v>
      </c>
      <c r="I1042" s="32" t="s">
        <v>284</v>
      </c>
      <c r="J1042" s="39" t="s">
        <v>285</v>
      </c>
      <c r="K1042" s="32" t="s">
        <v>286</v>
      </c>
      <c r="L1042" s="32" t="s">
        <v>584</v>
      </c>
      <c r="M1042" s="39" t="s">
        <v>288</v>
      </c>
      <c r="N1042" s="39" t="s">
        <v>289</v>
      </c>
      <c r="O1042" s="32" t="s">
        <v>585</v>
      </c>
      <c r="P1042" s="40" t="str">
        <f aca="false">_xlfn.CONCAT(B1042,C1042,D1042,E1042,F1042)</f>
        <v>BC Caiaponia1SG60KTL(COM3-019)_001_01946043.135416666746043.135416666746043.3055555556</v>
      </c>
      <c r="Q1042" s="32" t="str">
        <f aca="false">_xlfn.CONCAT(H1042,I1042,J1042)</f>
        <v>LIGRFOCOM</v>
      </c>
    </row>
    <row r="1043" customFormat="false" ht="15" hidden="false" customHeight="false" outlineLevel="0" collapsed="false">
      <c r="B1043" s="32" t="s">
        <v>48</v>
      </c>
      <c r="C1043" s="32" t="s">
        <v>313</v>
      </c>
      <c r="D1043" s="33" t="n">
        <v>46043.1354166667</v>
      </c>
      <c r="E1043" s="33" t="n">
        <v>46043.1354166667</v>
      </c>
      <c r="F1043" s="33" t="n">
        <v>46043.3055555556</v>
      </c>
      <c r="G1043" s="34" t="n">
        <f aca="false">F1043-E1043</f>
        <v>0.170138888888889</v>
      </c>
      <c r="H1043" s="39" t="s">
        <v>283</v>
      </c>
      <c r="I1043" s="32" t="s">
        <v>284</v>
      </c>
      <c r="J1043" s="39" t="s">
        <v>285</v>
      </c>
      <c r="K1043" s="32" t="s">
        <v>286</v>
      </c>
      <c r="L1043" s="32" t="s">
        <v>584</v>
      </c>
      <c r="M1043" s="39" t="s">
        <v>288</v>
      </c>
      <c r="N1043" s="39" t="s">
        <v>289</v>
      </c>
      <c r="O1043" s="32" t="s">
        <v>585</v>
      </c>
      <c r="P1043" s="40" t="str">
        <f aca="false">_xlfn.CONCAT(B1043,C1043,D1043,E1043,F1043)</f>
        <v>BC Caiaponia1SG60KTL(COM3-020)_001_02046043.135416666746043.135416666746043.3055555556</v>
      </c>
      <c r="Q1043" s="32" t="str">
        <f aca="false">_xlfn.CONCAT(H1043,I1043,J1043)</f>
        <v>LIGRFOCOM</v>
      </c>
    </row>
    <row r="1044" customFormat="false" ht="15" hidden="false" customHeight="false" outlineLevel="0" collapsed="false">
      <c r="B1044" s="32" t="s">
        <v>48</v>
      </c>
      <c r="C1044" s="32" t="s">
        <v>314</v>
      </c>
      <c r="D1044" s="33" t="n">
        <v>46043.1354166667</v>
      </c>
      <c r="E1044" s="33" t="n">
        <v>46043.1354166667</v>
      </c>
      <c r="F1044" s="33" t="n">
        <v>46043.3055555556</v>
      </c>
      <c r="G1044" s="34" t="n">
        <f aca="false">F1044-E1044</f>
        <v>0.170138888888889</v>
      </c>
      <c r="H1044" s="39" t="s">
        <v>283</v>
      </c>
      <c r="I1044" s="32" t="s">
        <v>284</v>
      </c>
      <c r="J1044" s="39" t="s">
        <v>285</v>
      </c>
      <c r="K1044" s="32" t="s">
        <v>286</v>
      </c>
      <c r="L1044" s="32" t="s">
        <v>584</v>
      </c>
      <c r="M1044" s="39" t="s">
        <v>288</v>
      </c>
      <c r="N1044" s="39" t="s">
        <v>289</v>
      </c>
      <c r="O1044" s="32" t="s">
        <v>585</v>
      </c>
      <c r="P1044" s="40" t="str">
        <f aca="false">_xlfn.CONCAT(B1044,C1044,D1044,E1044,F1044)</f>
        <v>BC Caiaponia1SG60KTL(COM2-026)46043.135416666746043.135416666746043.3055555556</v>
      </c>
      <c r="Q1044" s="32" t="str">
        <f aca="false">_xlfn.CONCAT(H1044,I1044,J1044)</f>
        <v>LIGRFOCOM</v>
      </c>
    </row>
    <row r="1045" customFormat="false" ht="15" hidden="false" customHeight="false" outlineLevel="0" collapsed="false">
      <c r="B1045" s="32" t="s">
        <v>48</v>
      </c>
      <c r="C1045" s="32" t="s">
        <v>315</v>
      </c>
      <c r="D1045" s="33" t="n">
        <v>46043.1354166667</v>
      </c>
      <c r="E1045" s="33" t="n">
        <v>46043.1354166667</v>
      </c>
      <c r="F1045" s="33" t="n">
        <v>46043.3055555556</v>
      </c>
      <c r="G1045" s="34" t="n">
        <f aca="false">F1045-E1045</f>
        <v>0.170138888888889</v>
      </c>
      <c r="H1045" s="39" t="s">
        <v>283</v>
      </c>
      <c r="I1045" s="32" t="s">
        <v>284</v>
      </c>
      <c r="J1045" s="39" t="s">
        <v>285</v>
      </c>
      <c r="K1045" s="32" t="s">
        <v>286</v>
      </c>
      <c r="L1045" s="32" t="s">
        <v>584</v>
      </c>
      <c r="M1045" s="39" t="s">
        <v>288</v>
      </c>
      <c r="N1045" s="39" t="s">
        <v>289</v>
      </c>
      <c r="O1045" s="32" t="s">
        <v>585</v>
      </c>
      <c r="P1045" s="40" t="str">
        <f aca="false">_xlfn.CONCAT(B1045,C1045,D1045,E1045,F1045)</f>
        <v>BC Caiaponia1SG60KTL(COM2-027)46043.135416666746043.135416666746043.3055555556</v>
      </c>
      <c r="Q1045" s="32" t="str">
        <f aca="false">_xlfn.CONCAT(H1045,I1045,J1045)</f>
        <v>LIGRFOCOM</v>
      </c>
    </row>
    <row r="1046" customFormat="false" ht="15" hidden="false" customHeight="false" outlineLevel="0" collapsed="false">
      <c r="B1046" s="32" t="s">
        <v>48</v>
      </c>
      <c r="C1046" s="32" t="s">
        <v>316</v>
      </c>
      <c r="D1046" s="33" t="n">
        <v>46043.1354166667</v>
      </c>
      <c r="E1046" s="33" t="n">
        <v>46043.1354166667</v>
      </c>
      <c r="F1046" s="33" t="n">
        <v>46043.3055555556</v>
      </c>
      <c r="G1046" s="34" t="n">
        <f aca="false">F1046-E1046</f>
        <v>0.170138888888889</v>
      </c>
      <c r="H1046" s="39" t="s">
        <v>283</v>
      </c>
      <c r="I1046" s="32" t="s">
        <v>284</v>
      </c>
      <c r="J1046" s="39" t="s">
        <v>285</v>
      </c>
      <c r="K1046" s="32" t="s">
        <v>286</v>
      </c>
      <c r="L1046" s="32" t="s">
        <v>584</v>
      </c>
      <c r="M1046" s="39" t="s">
        <v>288</v>
      </c>
      <c r="N1046" s="39" t="s">
        <v>289</v>
      </c>
      <c r="O1046" s="32" t="s">
        <v>585</v>
      </c>
      <c r="P1046" s="40" t="str">
        <f aca="false">_xlfn.CONCAT(B1046,C1046,D1046,E1046,F1046)</f>
        <v>BC Caiaponia1SG60KTL(COM2-028)46043.135416666746043.135416666746043.3055555556</v>
      </c>
      <c r="Q1046" s="32" t="str">
        <f aca="false">_xlfn.CONCAT(H1046,I1046,J1046)</f>
        <v>LIGRFOCOM</v>
      </c>
    </row>
    <row r="1047" customFormat="false" ht="15" hidden="false" customHeight="false" outlineLevel="0" collapsed="false">
      <c r="B1047" s="32" t="s">
        <v>48</v>
      </c>
      <c r="C1047" s="32" t="s">
        <v>317</v>
      </c>
      <c r="D1047" s="33" t="n">
        <v>46043.1354166667</v>
      </c>
      <c r="E1047" s="33" t="n">
        <v>46043.1354166667</v>
      </c>
      <c r="F1047" s="33" t="n">
        <v>46043.3055555556</v>
      </c>
      <c r="G1047" s="34" t="n">
        <f aca="false">F1047-E1047</f>
        <v>0.170138888888889</v>
      </c>
      <c r="H1047" s="39" t="s">
        <v>283</v>
      </c>
      <c r="I1047" s="32" t="s">
        <v>284</v>
      </c>
      <c r="J1047" s="39" t="s">
        <v>285</v>
      </c>
      <c r="K1047" s="32" t="s">
        <v>286</v>
      </c>
      <c r="L1047" s="32" t="s">
        <v>584</v>
      </c>
      <c r="M1047" s="39" t="s">
        <v>288</v>
      </c>
      <c r="N1047" s="39" t="s">
        <v>289</v>
      </c>
      <c r="O1047" s="32" t="s">
        <v>585</v>
      </c>
      <c r="P1047" s="40" t="str">
        <f aca="false">_xlfn.CONCAT(B1047,C1047,D1047,E1047,F1047)</f>
        <v>BC Caiaponia1SG60KTL(COM2-029)46043.135416666746043.135416666746043.3055555556</v>
      </c>
      <c r="Q1047" s="32" t="str">
        <f aca="false">_xlfn.CONCAT(H1047,I1047,J1047)</f>
        <v>LIGRFOCOM</v>
      </c>
    </row>
    <row r="1048" customFormat="false" ht="15" hidden="false" customHeight="false" outlineLevel="0" collapsed="false">
      <c r="B1048" s="32" t="s">
        <v>48</v>
      </c>
      <c r="C1048" s="32" t="s">
        <v>318</v>
      </c>
      <c r="D1048" s="33" t="n">
        <v>46043.1354166667</v>
      </c>
      <c r="E1048" s="33" t="n">
        <v>46043.1354166667</v>
      </c>
      <c r="F1048" s="33" t="n">
        <v>46043.3055555556</v>
      </c>
      <c r="G1048" s="34" t="n">
        <f aca="false">F1048-E1048</f>
        <v>0.170138888888889</v>
      </c>
      <c r="H1048" s="39" t="s">
        <v>283</v>
      </c>
      <c r="I1048" s="32" t="s">
        <v>284</v>
      </c>
      <c r="J1048" s="39" t="s">
        <v>285</v>
      </c>
      <c r="K1048" s="32" t="s">
        <v>286</v>
      </c>
      <c r="L1048" s="32" t="s">
        <v>584</v>
      </c>
      <c r="M1048" s="39" t="s">
        <v>288</v>
      </c>
      <c r="N1048" s="39" t="s">
        <v>289</v>
      </c>
      <c r="O1048" s="32" t="s">
        <v>585</v>
      </c>
      <c r="P1048" s="40" t="str">
        <f aca="false">_xlfn.CONCAT(B1048,C1048,D1048,E1048,F1048)</f>
        <v>BC Caiaponia1SG50CX(COM1-021)46043.135416666746043.135416666746043.3055555556</v>
      </c>
      <c r="Q1048" s="32" t="str">
        <f aca="false">_xlfn.CONCAT(H1048,I1048,J1048)</f>
        <v>LIGRFOCOM</v>
      </c>
    </row>
    <row r="1049" customFormat="false" ht="15" hidden="false" customHeight="false" outlineLevel="0" collapsed="false">
      <c r="B1049" s="32" t="s">
        <v>48</v>
      </c>
      <c r="C1049" s="32" t="s">
        <v>319</v>
      </c>
      <c r="D1049" s="33" t="n">
        <v>46043.1354166667</v>
      </c>
      <c r="E1049" s="33" t="n">
        <v>46043.1354166667</v>
      </c>
      <c r="F1049" s="33" t="n">
        <v>46043.3055555556</v>
      </c>
      <c r="G1049" s="34" t="n">
        <f aca="false">F1049-E1049</f>
        <v>0.170138888888889</v>
      </c>
      <c r="H1049" s="39" t="s">
        <v>283</v>
      </c>
      <c r="I1049" s="32" t="s">
        <v>284</v>
      </c>
      <c r="J1049" s="39" t="s">
        <v>285</v>
      </c>
      <c r="K1049" s="32" t="s">
        <v>286</v>
      </c>
      <c r="L1049" s="32" t="s">
        <v>584</v>
      </c>
      <c r="M1049" s="39" t="s">
        <v>288</v>
      </c>
      <c r="N1049" s="39" t="s">
        <v>289</v>
      </c>
      <c r="O1049" s="32" t="s">
        <v>585</v>
      </c>
      <c r="P1049" s="40" t="str">
        <f aca="false">_xlfn.CONCAT(B1049,C1049,D1049,E1049,F1049)</f>
        <v>BC Caiaponia1SG50CX(COM1-022)46043.135416666746043.135416666746043.3055555556</v>
      </c>
      <c r="Q1049" s="32" t="str">
        <f aca="false">_xlfn.CONCAT(H1049,I1049,J1049)</f>
        <v>LIGRFOCOM</v>
      </c>
    </row>
    <row r="1050" customFormat="false" ht="15" hidden="false" customHeight="false" outlineLevel="0" collapsed="false">
      <c r="B1050" s="32" t="s">
        <v>48</v>
      </c>
      <c r="C1050" s="32" t="s">
        <v>320</v>
      </c>
      <c r="D1050" s="33" t="n">
        <v>46043.1354166667</v>
      </c>
      <c r="E1050" s="33" t="n">
        <v>46043.1354166667</v>
      </c>
      <c r="F1050" s="33" t="n">
        <v>46043.3055555556</v>
      </c>
      <c r="G1050" s="34" t="n">
        <f aca="false">F1050-E1050</f>
        <v>0.170138888888889</v>
      </c>
      <c r="H1050" s="39" t="s">
        <v>283</v>
      </c>
      <c r="I1050" s="32" t="s">
        <v>284</v>
      </c>
      <c r="J1050" s="39" t="s">
        <v>285</v>
      </c>
      <c r="K1050" s="32" t="s">
        <v>286</v>
      </c>
      <c r="L1050" s="32" t="s">
        <v>584</v>
      </c>
      <c r="M1050" s="39" t="s">
        <v>288</v>
      </c>
      <c r="N1050" s="39" t="s">
        <v>289</v>
      </c>
      <c r="O1050" s="32" t="s">
        <v>585</v>
      </c>
      <c r="P1050" s="40" t="str">
        <f aca="false">_xlfn.CONCAT(B1050,C1050,D1050,E1050,F1050)</f>
        <v>BC Caiaponia1SG50CX(COM1-023)46043.135416666746043.135416666746043.3055555556</v>
      </c>
      <c r="Q1050" s="32" t="str">
        <f aca="false">_xlfn.CONCAT(H1050,I1050,J1050)</f>
        <v>LIGRFOCOM</v>
      </c>
    </row>
    <row r="1051" customFormat="false" ht="15" hidden="false" customHeight="false" outlineLevel="0" collapsed="false">
      <c r="B1051" s="32" t="s">
        <v>48</v>
      </c>
      <c r="C1051" s="32" t="s">
        <v>321</v>
      </c>
      <c r="D1051" s="33" t="n">
        <v>46043.1354166667</v>
      </c>
      <c r="E1051" s="33" t="n">
        <v>46043.1354166667</v>
      </c>
      <c r="F1051" s="33" t="n">
        <v>46043.3055555556</v>
      </c>
      <c r="G1051" s="34" t="n">
        <f aca="false">F1051-E1051</f>
        <v>0.170138888888889</v>
      </c>
      <c r="H1051" s="39" t="s">
        <v>283</v>
      </c>
      <c r="I1051" s="32" t="s">
        <v>284</v>
      </c>
      <c r="J1051" s="39" t="s">
        <v>285</v>
      </c>
      <c r="K1051" s="32" t="s">
        <v>286</v>
      </c>
      <c r="L1051" s="32" t="s">
        <v>584</v>
      </c>
      <c r="M1051" s="39" t="s">
        <v>288</v>
      </c>
      <c r="N1051" s="39" t="s">
        <v>289</v>
      </c>
      <c r="O1051" s="32" t="s">
        <v>585</v>
      </c>
      <c r="P1051" s="40" t="str">
        <f aca="false">_xlfn.CONCAT(B1051,C1051,D1051,E1051,F1051)</f>
        <v>BC Caiaponia1SG50CX(COM1-024)46043.135416666746043.135416666746043.3055555556</v>
      </c>
      <c r="Q1051" s="32" t="str">
        <f aca="false">_xlfn.CONCAT(H1051,I1051,J1051)</f>
        <v>LIGRFOCOM</v>
      </c>
    </row>
    <row r="1052" customFormat="false" ht="15" hidden="false" customHeight="false" outlineLevel="0" collapsed="false">
      <c r="B1052" s="32" t="s">
        <v>48</v>
      </c>
      <c r="C1052" s="32" t="s">
        <v>322</v>
      </c>
      <c r="D1052" s="33" t="n">
        <v>46043.1354166667</v>
      </c>
      <c r="E1052" s="33" t="n">
        <v>46043.1354166667</v>
      </c>
      <c r="F1052" s="33" t="n">
        <v>46043.3055555556</v>
      </c>
      <c r="G1052" s="34" t="n">
        <f aca="false">F1052-E1052</f>
        <v>0.170138888888889</v>
      </c>
      <c r="H1052" s="39" t="s">
        <v>283</v>
      </c>
      <c r="I1052" s="32" t="s">
        <v>284</v>
      </c>
      <c r="J1052" s="39" t="s">
        <v>285</v>
      </c>
      <c r="K1052" s="32" t="s">
        <v>286</v>
      </c>
      <c r="L1052" s="32" t="s">
        <v>584</v>
      </c>
      <c r="M1052" s="39" t="s">
        <v>288</v>
      </c>
      <c r="N1052" s="39" t="s">
        <v>289</v>
      </c>
      <c r="O1052" s="32" t="s">
        <v>585</v>
      </c>
      <c r="P1052" s="40" t="str">
        <f aca="false">_xlfn.CONCAT(B1052,C1052,D1052,E1052,F1052)</f>
        <v>BC Caiaponia1SG50CX(COM1-025)46043.135416666746043.135416666746043.3055555556</v>
      </c>
      <c r="Q1052" s="32" t="str">
        <f aca="false">_xlfn.CONCAT(H1052,I1052,J1052)</f>
        <v>LIGRFOCOM</v>
      </c>
    </row>
    <row r="1053" customFormat="false" ht="15" hidden="false" customHeight="false" outlineLevel="0" collapsed="false">
      <c r="B1053" s="32" t="s">
        <v>18</v>
      </c>
      <c r="C1053" s="32" t="s">
        <v>400</v>
      </c>
      <c r="D1053" s="33" t="n">
        <v>46043.6944444444</v>
      </c>
      <c r="E1053" s="33" t="n">
        <v>46043.6944444444</v>
      </c>
      <c r="F1053" s="33" t="n">
        <v>46043.7111111111</v>
      </c>
      <c r="G1053" s="34" t="n">
        <f aca="false">F1053-E1053</f>
        <v>0.0166666666666667</v>
      </c>
      <c r="H1053" s="39" t="s">
        <v>252</v>
      </c>
      <c r="J1053" s="39" t="s">
        <v>253</v>
      </c>
      <c r="K1053" s="32" t="s">
        <v>266</v>
      </c>
      <c r="L1053" s="32" t="s">
        <v>586</v>
      </c>
      <c r="M1053" s="39" t="s">
        <v>336</v>
      </c>
      <c r="N1053" s="39" t="s">
        <v>289</v>
      </c>
      <c r="O1053" s="32" t="s">
        <v>587</v>
      </c>
      <c r="P1053" s="40" t="str">
        <f aca="false">_xlfn.CONCAT(B1053,C1053,D1053,E1053,F1053)</f>
        <v>BC Aracu2araçu 2.3 inversor 446043.694444444446043.694444444446043.7111111111</v>
      </c>
      <c r="Q1053" s="32" t="str">
        <f aca="false">_xlfn.CONCAT(H1053,I1053,J1053)</f>
        <v>DAURDE</v>
      </c>
    </row>
    <row r="1054" customFormat="false" ht="15" hidden="false" customHeight="false" outlineLevel="0" collapsed="false">
      <c r="B1054" s="32" t="s">
        <v>450</v>
      </c>
      <c r="C1054" s="32" t="s">
        <v>326</v>
      </c>
      <c r="D1054" s="33" t="n">
        <v>46044.5486111111</v>
      </c>
      <c r="E1054" s="33" t="n">
        <v>46044.5486111111</v>
      </c>
      <c r="F1054" s="33" t="n">
        <v>46044.5625</v>
      </c>
      <c r="G1054" s="34" t="n">
        <f aca="false">F1054-E1054</f>
        <v>0.0138888888888889</v>
      </c>
      <c r="H1054" s="39" t="s">
        <v>283</v>
      </c>
      <c r="I1054" s="32" t="s">
        <v>284</v>
      </c>
      <c r="J1054" s="39" t="s">
        <v>285</v>
      </c>
      <c r="K1054" s="32" t="s">
        <v>286</v>
      </c>
      <c r="L1054" s="32" t="s">
        <v>588</v>
      </c>
      <c r="M1054" s="39" t="s">
        <v>288</v>
      </c>
      <c r="N1054" s="39" t="s">
        <v>589</v>
      </c>
      <c r="O1054" s="32" t="s">
        <v>590</v>
      </c>
      <c r="P1054" s="40" t="str">
        <f aca="false">_xlfn.CONCAT(B1054,C1054,D1054,E1054,F1054)</f>
        <v>BC Formoso1.1Inverter(MBUS-13)46044.548611111146044.548611111146044.5625</v>
      </c>
      <c r="Q1054" s="32" t="str">
        <f aca="false">_xlfn.CONCAT(H1054,I1054,J1054)</f>
        <v>LIGRFOCOM</v>
      </c>
    </row>
    <row r="1055" customFormat="false" ht="15" hidden="false" customHeight="false" outlineLevel="0" collapsed="false">
      <c r="B1055" s="32" t="s">
        <v>450</v>
      </c>
      <c r="C1055" s="32" t="s">
        <v>324</v>
      </c>
      <c r="D1055" s="33" t="n">
        <v>46044.5486111111</v>
      </c>
      <c r="E1055" s="33" t="n">
        <v>46044.5486111111</v>
      </c>
      <c r="F1055" s="33" t="n">
        <v>46044.5625</v>
      </c>
      <c r="G1055" s="34" t="n">
        <f aca="false">F1055-E1055</f>
        <v>0.0138888888888889</v>
      </c>
      <c r="H1055" s="39" t="s">
        <v>283</v>
      </c>
      <c r="I1055" s="32" t="s">
        <v>284</v>
      </c>
      <c r="J1055" s="39" t="s">
        <v>285</v>
      </c>
      <c r="K1055" s="32" t="s">
        <v>286</v>
      </c>
      <c r="L1055" s="32" t="s">
        <v>588</v>
      </c>
      <c r="M1055" s="39" t="s">
        <v>288</v>
      </c>
      <c r="N1055" s="39" t="s">
        <v>589</v>
      </c>
      <c r="O1055" s="32" t="s">
        <v>590</v>
      </c>
      <c r="P1055" s="40" t="str">
        <f aca="false">_xlfn.CONCAT(B1055,C1055,D1055,E1055,F1055)</f>
        <v>BC Formoso1.1Inverter(MBUS-12)46044.548611111146044.548611111146044.5625</v>
      </c>
      <c r="Q1055" s="32" t="str">
        <f aca="false">_xlfn.CONCAT(H1055,I1055,J1055)</f>
        <v>LIGRFOCOM</v>
      </c>
    </row>
    <row r="1056" customFormat="false" ht="15" hidden="false" customHeight="false" outlineLevel="0" collapsed="false">
      <c r="B1056" s="32" t="s">
        <v>450</v>
      </c>
      <c r="C1056" s="32" t="s">
        <v>328</v>
      </c>
      <c r="D1056" s="33" t="n">
        <v>46044.5486111111</v>
      </c>
      <c r="E1056" s="33" t="n">
        <v>46044.5486111111</v>
      </c>
      <c r="F1056" s="33" t="n">
        <v>46044.5625</v>
      </c>
      <c r="G1056" s="34" t="n">
        <f aca="false">F1056-E1056</f>
        <v>0.0138888888888889</v>
      </c>
      <c r="H1056" s="39" t="s">
        <v>283</v>
      </c>
      <c r="I1056" s="32" t="s">
        <v>284</v>
      </c>
      <c r="J1056" s="39" t="s">
        <v>285</v>
      </c>
      <c r="K1056" s="32" t="s">
        <v>286</v>
      </c>
      <c r="L1056" s="32" t="s">
        <v>588</v>
      </c>
      <c r="M1056" s="39" t="s">
        <v>288</v>
      </c>
      <c r="N1056" s="39" t="s">
        <v>589</v>
      </c>
      <c r="O1056" s="32" t="s">
        <v>590</v>
      </c>
      <c r="P1056" s="40" t="str">
        <f aca="false">_xlfn.CONCAT(B1056,C1056,D1056,E1056,F1056)</f>
        <v>BC Formoso1.1Inverter(MBUS-15)46044.548611111146044.548611111146044.5625</v>
      </c>
      <c r="Q1056" s="32" t="str">
        <f aca="false">_xlfn.CONCAT(H1056,I1056,J1056)</f>
        <v>LIGRFOCOM</v>
      </c>
    </row>
    <row r="1057" customFormat="false" ht="15" hidden="false" customHeight="false" outlineLevel="0" collapsed="false">
      <c r="B1057" s="32" t="s">
        <v>450</v>
      </c>
      <c r="C1057" s="32" t="s">
        <v>327</v>
      </c>
      <c r="D1057" s="33" t="n">
        <v>46044.5486111111</v>
      </c>
      <c r="E1057" s="33" t="n">
        <v>46044.5486111111</v>
      </c>
      <c r="F1057" s="33" t="n">
        <v>46044.5625</v>
      </c>
      <c r="G1057" s="34" t="n">
        <f aca="false">F1057-E1057</f>
        <v>0.0138888888888889</v>
      </c>
      <c r="H1057" s="39" t="s">
        <v>283</v>
      </c>
      <c r="I1057" s="32" t="s">
        <v>284</v>
      </c>
      <c r="J1057" s="39" t="s">
        <v>285</v>
      </c>
      <c r="K1057" s="32" t="s">
        <v>286</v>
      </c>
      <c r="L1057" s="32" t="s">
        <v>588</v>
      </c>
      <c r="M1057" s="39" t="s">
        <v>288</v>
      </c>
      <c r="N1057" s="39" t="s">
        <v>589</v>
      </c>
      <c r="O1057" s="32" t="s">
        <v>590</v>
      </c>
      <c r="P1057" s="40" t="str">
        <f aca="false">_xlfn.CONCAT(B1057,C1057,D1057,E1057,F1057)</f>
        <v>BC Formoso1.1Inverter(MBUS-14)46044.548611111146044.548611111146044.5625</v>
      </c>
      <c r="Q1057" s="32" t="str">
        <f aca="false">_xlfn.CONCAT(H1057,I1057,J1057)</f>
        <v>LIGRFOCOM</v>
      </c>
    </row>
    <row r="1058" customFormat="false" ht="15" hidden="false" customHeight="false" outlineLevel="0" collapsed="false">
      <c r="B1058" s="32" t="s">
        <v>271</v>
      </c>
      <c r="C1058" s="32" t="s">
        <v>265</v>
      </c>
      <c r="D1058" s="33" t="n">
        <v>46045.25</v>
      </c>
      <c r="E1058" s="33" t="n">
        <v>46045.25</v>
      </c>
      <c r="F1058" s="33" t="n">
        <v>46045.4375</v>
      </c>
      <c r="G1058" s="34" t="n">
        <f aca="false">F1058-E1058</f>
        <v>0.1875</v>
      </c>
      <c r="H1058" s="39" t="s">
        <v>252</v>
      </c>
      <c r="J1058" s="39" t="s">
        <v>333</v>
      </c>
      <c r="K1058" s="32" t="s">
        <v>334</v>
      </c>
      <c r="L1058" s="32" t="s">
        <v>586</v>
      </c>
      <c r="M1058" s="39" t="s">
        <v>371</v>
      </c>
      <c r="N1058" s="39" t="s">
        <v>289</v>
      </c>
      <c r="O1058" s="32" t="s">
        <v>591</v>
      </c>
      <c r="P1058" s="40" t="str">
        <f aca="false">_xlfn.CONCAT(B1058,C1058,D1058,E1058,F1058)</f>
        <v>BC Aracu5.3Inverter(MBUS-1)46045.2546045.2546045.4375</v>
      </c>
      <c r="Q1058" s="32" t="str">
        <f aca="false">_xlfn.CONCAT(H1058,I1058,J1058)</f>
        <v>DAUINV</v>
      </c>
    </row>
    <row r="1059" customFormat="false" ht="15" hidden="false" customHeight="false" outlineLevel="0" collapsed="false">
      <c r="B1059" s="32" t="s">
        <v>45</v>
      </c>
      <c r="C1059" s="32" t="s">
        <v>447</v>
      </c>
      <c r="D1059" s="33" t="n">
        <v>46045.425</v>
      </c>
      <c r="E1059" s="33" t="n">
        <v>46045.425</v>
      </c>
      <c r="F1059" s="33" t="n">
        <v>46045.6319444444</v>
      </c>
      <c r="G1059" s="34" t="n">
        <f aca="false">F1059-E1059</f>
        <v>0.206944444444444</v>
      </c>
      <c r="H1059" s="39" t="s">
        <v>384</v>
      </c>
      <c r="J1059" s="39" t="s">
        <v>234</v>
      </c>
      <c r="K1059" s="32" t="s">
        <v>234</v>
      </c>
      <c r="L1059" s="32" t="s">
        <v>592</v>
      </c>
      <c r="M1059" s="39" t="s">
        <v>386</v>
      </c>
      <c r="N1059" s="39" t="s">
        <v>387</v>
      </c>
      <c r="O1059" s="32" t="s">
        <v>593</v>
      </c>
      <c r="P1059" s="40" t="str">
        <f aca="false">_xlfn.CONCAT(B1059,C1059,D1059,E1059,F1059)</f>
        <v>BC Bom SucessoSG60KTL46045.42546045.42546045.6319444444</v>
      </c>
      <c r="Q1059" s="32" t="str">
        <f aca="false">_xlfn.CONCAT(H1059,I1059,J1059)</f>
        <v>DPRUFV</v>
      </c>
    </row>
    <row r="1060" customFormat="false" ht="15" hidden="false" customHeight="false" outlineLevel="0" collapsed="false">
      <c r="B1060" s="32" t="s">
        <v>45</v>
      </c>
      <c r="C1060" s="32" t="s">
        <v>594</v>
      </c>
      <c r="D1060" s="33" t="n">
        <v>46045.425</v>
      </c>
      <c r="E1060" s="33" t="n">
        <v>46045.425</v>
      </c>
      <c r="F1060" s="33" t="n">
        <v>46045.6319444444</v>
      </c>
      <c r="G1060" s="34" t="n">
        <f aca="false">F1060-E1060</f>
        <v>0.206944444444444</v>
      </c>
      <c r="H1060" s="39" t="s">
        <v>384</v>
      </c>
      <c r="J1060" s="39" t="s">
        <v>234</v>
      </c>
      <c r="K1060" s="32" t="s">
        <v>234</v>
      </c>
      <c r="L1060" s="32" t="s">
        <v>592</v>
      </c>
      <c r="M1060" s="39" t="s">
        <v>386</v>
      </c>
      <c r="N1060" s="39" t="s">
        <v>387</v>
      </c>
      <c r="O1060" s="32" t="s">
        <v>593</v>
      </c>
      <c r="P1060" s="40" t="str">
        <f aca="false">_xlfn.CONCAT(B1060,C1060,D1060,E1060,F1060)</f>
        <v>BC Bom SucessoI46045.42546045.42546045.6319444444</v>
      </c>
      <c r="Q1060" s="32" t="str">
        <f aca="false">_xlfn.CONCAT(H1060,I1060,J1060)</f>
        <v>DPRUFV</v>
      </c>
    </row>
    <row r="1061" customFormat="false" ht="15" hidden="false" customHeight="false" outlineLevel="0" collapsed="false">
      <c r="B1061" s="32" t="s">
        <v>45</v>
      </c>
      <c r="C1061" s="32" t="s">
        <v>595</v>
      </c>
      <c r="D1061" s="33" t="n">
        <v>46045.425</v>
      </c>
      <c r="E1061" s="33" t="n">
        <v>46045.425</v>
      </c>
      <c r="F1061" s="33" t="n">
        <v>46045.6319444444</v>
      </c>
      <c r="G1061" s="34" t="n">
        <f aca="false">F1061-E1061</f>
        <v>0.206944444444444</v>
      </c>
      <c r="H1061" s="39" t="s">
        <v>384</v>
      </c>
      <c r="J1061" s="39" t="s">
        <v>234</v>
      </c>
      <c r="K1061" s="32" t="s">
        <v>234</v>
      </c>
      <c r="L1061" s="32" t="s">
        <v>592</v>
      </c>
      <c r="M1061" s="39" t="s">
        <v>386</v>
      </c>
      <c r="N1061" s="39" t="s">
        <v>387</v>
      </c>
      <c r="O1061" s="32" t="s">
        <v>593</v>
      </c>
      <c r="P1061" s="40" t="str">
        <f aca="false">_xlfn.CONCAT(B1061,C1061,D1061,E1061,F1061)</f>
        <v>BC Bom SucessoG46045.42546045.42546045.6319444444</v>
      </c>
      <c r="Q1061" s="32" t="str">
        <f aca="false">_xlfn.CONCAT(H1061,I1061,J1061)</f>
        <v>DPRUFV</v>
      </c>
    </row>
    <row r="1062" customFormat="false" ht="15" hidden="false" customHeight="false" outlineLevel="0" collapsed="false">
      <c r="B1062" s="32" t="s">
        <v>45</v>
      </c>
      <c r="C1062" s="32" t="s">
        <v>596</v>
      </c>
      <c r="D1062" s="33" t="n">
        <v>46045.425</v>
      </c>
      <c r="E1062" s="33" t="n">
        <v>46045.425</v>
      </c>
      <c r="F1062" s="33" t="n">
        <v>46045.6319444444</v>
      </c>
      <c r="G1062" s="34" t="n">
        <f aca="false">F1062-E1062</f>
        <v>0.206944444444444</v>
      </c>
      <c r="H1062" s="39" t="s">
        <v>384</v>
      </c>
      <c r="J1062" s="39" t="s">
        <v>234</v>
      </c>
      <c r="K1062" s="32" t="s">
        <v>234</v>
      </c>
      <c r="L1062" s="32" t="s">
        <v>592</v>
      </c>
      <c r="M1062" s="39" t="s">
        <v>386</v>
      </c>
      <c r="N1062" s="39" t="s">
        <v>387</v>
      </c>
      <c r="O1062" s="32" t="s">
        <v>593</v>
      </c>
      <c r="P1062" s="40" t="str">
        <f aca="false">_xlfn.CONCAT(B1062,C1062,D1062,E1062,F1062)</f>
        <v>BC Bom SucessoK46045.42546045.42546045.6319444444</v>
      </c>
      <c r="Q1062" s="32" t="str">
        <f aca="false">_xlfn.CONCAT(H1062,I1062,J1062)</f>
        <v>DPRUFV</v>
      </c>
    </row>
    <row r="1063" customFormat="false" ht="15" hidden="false" customHeight="false" outlineLevel="0" collapsed="false">
      <c r="B1063" s="32" t="s">
        <v>45</v>
      </c>
      <c r="C1063" s="32" t="s">
        <v>597</v>
      </c>
      <c r="D1063" s="33" t="n">
        <v>46045.425</v>
      </c>
      <c r="E1063" s="33" t="n">
        <v>46045.425</v>
      </c>
      <c r="F1063" s="33" t="n">
        <v>46045.6319444444</v>
      </c>
      <c r="G1063" s="34" t="n">
        <f aca="false">F1063-E1063</f>
        <v>0.206944444444444</v>
      </c>
      <c r="H1063" s="39" t="s">
        <v>384</v>
      </c>
      <c r="J1063" s="39" t="s">
        <v>234</v>
      </c>
      <c r="K1063" s="32" t="s">
        <v>234</v>
      </c>
      <c r="L1063" s="32" t="s">
        <v>592</v>
      </c>
      <c r="M1063" s="39" t="s">
        <v>386</v>
      </c>
      <c r="N1063" s="39" t="s">
        <v>387</v>
      </c>
      <c r="O1063" s="32" t="s">
        <v>593</v>
      </c>
      <c r="P1063" s="40" t="str">
        <f aca="false">_xlfn.CONCAT(B1063,C1063,D1063,E1063,F1063)</f>
        <v>BC Bom SucessoH46045.42546045.42546045.6319444444</v>
      </c>
      <c r="Q1063" s="32" t="str">
        <f aca="false">_xlfn.CONCAT(H1063,I1063,J1063)</f>
        <v>DPRUFV</v>
      </c>
    </row>
    <row r="1064" customFormat="false" ht="15" hidden="false" customHeight="false" outlineLevel="0" collapsed="false">
      <c r="B1064" s="32" t="s">
        <v>45</v>
      </c>
      <c r="C1064" s="32" t="s">
        <v>598</v>
      </c>
      <c r="D1064" s="33" t="n">
        <v>46045.425</v>
      </c>
      <c r="E1064" s="33" t="n">
        <v>46045.425</v>
      </c>
      <c r="F1064" s="33" t="n">
        <v>46045.6319444444</v>
      </c>
      <c r="G1064" s="34" t="n">
        <f aca="false">F1064-E1064</f>
        <v>0.206944444444444</v>
      </c>
      <c r="H1064" s="39" t="s">
        <v>384</v>
      </c>
      <c r="J1064" s="39" t="s">
        <v>234</v>
      </c>
      <c r="K1064" s="32" t="s">
        <v>234</v>
      </c>
      <c r="L1064" s="32" t="s">
        <v>592</v>
      </c>
      <c r="M1064" s="39" t="s">
        <v>386</v>
      </c>
      <c r="N1064" s="39" t="s">
        <v>387</v>
      </c>
      <c r="O1064" s="32" t="s">
        <v>593</v>
      </c>
      <c r="P1064" s="40" t="str">
        <f aca="false">_xlfn.CONCAT(B1064,C1064,D1064,E1064,F1064)</f>
        <v>BC Bom SucessoF46045.42546045.42546045.6319444444</v>
      </c>
      <c r="Q1064" s="32" t="str">
        <f aca="false">_xlfn.CONCAT(H1064,I1064,J1064)</f>
        <v>DPRUFV</v>
      </c>
    </row>
    <row r="1065" customFormat="false" ht="15" hidden="false" customHeight="false" outlineLevel="0" collapsed="false">
      <c r="B1065" s="32" t="s">
        <v>45</v>
      </c>
      <c r="C1065" s="32" t="s">
        <v>599</v>
      </c>
      <c r="D1065" s="33" t="n">
        <v>46045.425</v>
      </c>
      <c r="E1065" s="33" t="n">
        <v>46045.425</v>
      </c>
      <c r="F1065" s="33" t="n">
        <v>46045.6319444444</v>
      </c>
      <c r="G1065" s="34" t="n">
        <f aca="false">F1065-E1065</f>
        <v>0.206944444444444</v>
      </c>
      <c r="H1065" s="39" t="s">
        <v>384</v>
      </c>
      <c r="J1065" s="39" t="s">
        <v>234</v>
      </c>
      <c r="K1065" s="32" t="s">
        <v>234</v>
      </c>
      <c r="L1065" s="32" t="s">
        <v>592</v>
      </c>
      <c r="M1065" s="39" t="s">
        <v>386</v>
      </c>
      <c r="N1065" s="39" t="s">
        <v>387</v>
      </c>
      <c r="O1065" s="32" t="s">
        <v>593</v>
      </c>
      <c r="P1065" s="40" t="str">
        <f aca="false">_xlfn.CONCAT(B1065,C1065,D1065,E1065,F1065)</f>
        <v>BC Bom SucessoD46045.42546045.42546045.6319444444</v>
      </c>
      <c r="Q1065" s="32" t="str">
        <f aca="false">_xlfn.CONCAT(H1065,I1065,J1065)</f>
        <v>DPRUFV</v>
      </c>
    </row>
    <row r="1066" customFormat="false" ht="15" hidden="false" customHeight="false" outlineLevel="0" collapsed="false">
      <c r="B1066" s="32" t="s">
        <v>45</v>
      </c>
      <c r="C1066" s="32" t="s">
        <v>600</v>
      </c>
      <c r="D1066" s="33" t="n">
        <v>46045.425</v>
      </c>
      <c r="E1066" s="33" t="n">
        <v>46045.425</v>
      </c>
      <c r="F1066" s="33" t="n">
        <v>46045.6319444444</v>
      </c>
      <c r="G1066" s="34" t="n">
        <f aca="false">F1066-E1066</f>
        <v>0.206944444444444</v>
      </c>
      <c r="H1066" s="39" t="s">
        <v>384</v>
      </c>
      <c r="J1066" s="39" t="s">
        <v>234</v>
      </c>
      <c r="K1066" s="32" t="s">
        <v>234</v>
      </c>
      <c r="L1066" s="32" t="s">
        <v>592</v>
      </c>
      <c r="M1066" s="39" t="s">
        <v>386</v>
      </c>
      <c r="N1066" s="39" t="s">
        <v>387</v>
      </c>
      <c r="O1066" s="32" t="s">
        <v>593</v>
      </c>
      <c r="P1066" s="40" t="str">
        <f aca="false">_xlfn.CONCAT(B1066,C1066,D1066,E1066,F1066)</f>
        <v>BC Bom SucessoE46045.42546045.42546045.6319444444</v>
      </c>
      <c r="Q1066" s="32" t="str">
        <f aca="false">_xlfn.CONCAT(H1066,I1066,J1066)</f>
        <v>DPRUFV</v>
      </c>
    </row>
    <row r="1067" customFormat="false" ht="15" hidden="false" customHeight="false" outlineLevel="0" collapsed="false">
      <c r="B1067" s="32" t="s">
        <v>45</v>
      </c>
      <c r="C1067" s="32" t="s">
        <v>601</v>
      </c>
      <c r="D1067" s="33" t="n">
        <v>46045.425</v>
      </c>
      <c r="E1067" s="33" t="n">
        <v>46045.425</v>
      </c>
      <c r="F1067" s="33" t="n">
        <v>46045.6319444444</v>
      </c>
      <c r="G1067" s="34" t="n">
        <f aca="false">F1067-E1067</f>
        <v>0.206944444444444</v>
      </c>
      <c r="H1067" s="39" t="s">
        <v>384</v>
      </c>
      <c r="J1067" s="39" t="s">
        <v>234</v>
      </c>
      <c r="K1067" s="32" t="s">
        <v>234</v>
      </c>
      <c r="L1067" s="32" t="s">
        <v>592</v>
      </c>
      <c r="M1067" s="39" t="s">
        <v>386</v>
      </c>
      <c r="N1067" s="39" t="s">
        <v>387</v>
      </c>
      <c r="O1067" s="32" t="s">
        <v>593</v>
      </c>
      <c r="P1067" s="40" t="str">
        <f aca="false">_xlfn.CONCAT(B1067,C1067,D1067,E1067,F1067)</f>
        <v>BC Bom SucessoC46045.42546045.42546045.6319444444</v>
      </c>
      <c r="Q1067" s="32" t="str">
        <f aca="false">_xlfn.CONCAT(H1067,I1067,J1067)</f>
        <v>DPRUFV</v>
      </c>
    </row>
    <row r="1068" customFormat="false" ht="15" hidden="false" customHeight="false" outlineLevel="0" collapsed="false">
      <c r="B1068" s="32" t="s">
        <v>45</v>
      </c>
      <c r="C1068" s="32" t="s">
        <v>602</v>
      </c>
      <c r="D1068" s="33" t="n">
        <v>46045.425</v>
      </c>
      <c r="E1068" s="33" t="n">
        <v>46045.425</v>
      </c>
      <c r="F1068" s="33" t="n">
        <v>46045.6319444444</v>
      </c>
      <c r="G1068" s="34" t="n">
        <f aca="false">F1068-E1068</f>
        <v>0.206944444444444</v>
      </c>
      <c r="H1068" s="39" t="s">
        <v>384</v>
      </c>
      <c r="J1068" s="39" t="s">
        <v>234</v>
      </c>
      <c r="K1068" s="32" t="s">
        <v>234</v>
      </c>
      <c r="L1068" s="32" t="s">
        <v>592</v>
      </c>
      <c r="M1068" s="39" t="s">
        <v>386</v>
      </c>
      <c r="N1068" s="39" t="s">
        <v>387</v>
      </c>
      <c r="O1068" s="32" t="s">
        <v>593</v>
      </c>
      <c r="P1068" s="40" t="str">
        <f aca="false">_xlfn.CONCAT(B1068,C1068,D1068,E1068,F1068)</f>
        <v>BC Bom SucessoB46045.42546045.42546045.6319444444</v>
      </c>
      <c r="Q1068" s="32" t="str">
        <f aca="false">_xlfn.CONCAT(H1068,I1068,J1068)</f>
        <v>DPRUFV</v>
      </c>
    </row>
    <row r="1069" customFormat="false" ht="15" hidden="false" customHeight="false" outlineLevel="0" collapsed="false">
      <c r="B1069" s="32" t="s">
        <v>45</v>
      </c>
      <c r="C1069" s="32" t="s">
        <v>603</v>
      </c>
      <c r="D1069" s="33" t="n">
        <v>46045.425</v>
      </c>
      <c r="E1069" s="33" t="n">
        <v>46045.425</v>
      </c>
      <c r="F1069" s="33" t="n">
        <v>46045.6319444444</v>
      </c>
      <c r="G1069" s="34" t="n">
        <f aca="false">F1069-E1069</f>
        <v>0.206944444444444</v>
      </c>
      <c r="H1069" s="39" t="s">
        <v>384</v>
      </c>
      <c r="J1069" s="39" t="s">
        <v>234</v>
      </c>
      <c r="K1069" s="32" t="s">
        <v>234</v>
      </c>
      <c r="L1069" s="32" t="s">
        <v>592</v>
      </c>
      <c r="M1069" s="39" t="s">
        <v>386</v>
      </c>
      <c r="N1069" s="39" t="s">
        <v>387</v>
      </c>
      <c r="O1069" s="32" t="s">
        <v>593</v>
      </c>
      <c r="P1069" s="40" t="str">
        <f aca="false">_xlfn.CONCAT(B1069,C1069,D1069,E1069,F1069)</f>
        <v>BC Bom SucessoA46045.42546045.42546045.6319444444</v>
      </c>
      <c r="Q1069" s="32" t="str">
        <f aca="false">_xlfn.CONCAT(H1069,I1069,J1069)</f>
        <v>DPRUFV</v>
      </c>
    </row>
    <row r="1070" customFormat="false" ht="15" hidden="false" customHeight="false" outlineLevel="0" collapsed="false">
      <c r="B1070" s="32" t="s">
        <v>45</v>
      </c>
      <c r="C1070" s="32" t="s">
        <v>604</v>
      </c>
      <c r="D1070" s="33" t="n">
        <v>46045.425</v>
      </c>
      <c r="E1070" s="33" t="n">
        <v>46045.425</v>
      </c>
      <c r="F1070" s="33" t="n">
        <v>46045.6319444444</v>
      </c>
      <c r="G1070" s="34" t="n">
        <f aca="false">F1070-E1070</f>
        <v>0.206944444444444</v>
      </c>
      <c r="H1070" s="39" t="s">
        <v>384</v>
      </c>
      <c r="J1070" s="39" t="s">
        <v>234</v>
      </c>
      <c r="K1070" s="32" t="s">
        <v>234</v>
      </c>
      <c r="L1070" s="32" t="s">
        <v>592</v>
      </c>
      <c r="M1070" s="39" t="s">
        <v>386</v>
      </c>
      <c r="N1070" s="39" t="s">
        <v>387</v>
      </c>
      <c r="O1070" s="32" t="s">
        <v>593</v>
      </c>
      <c r="P1070" s="40" t="str">
        <f aca="false">_xlfn.CONCAT(B1070,C1070,D1070,E1070,F1070)</f>
        <v>BC Bom SucessoJ46045.42546045.42546045.6319444444</v>
      </c>
      <c r="Q1070" s="32" t="str">
        <f aca="false">_xlfn.CONCAT(H1070,I1070,J1070)</f>
        <v>DPRUFV</v>
      </c>
    </row>
    <row r="1071" customFormat="false" ht="15" hidden="false" customHeight="false" outlineLevel="0" collapsed="false">
      <c r="B1071" s="32" t="s">
        <v>264</v>
      </c>
      <c r="C1071" s="32" t="s">
        <v>265</v>
      </c>
      <c r="D1071" s="33" t="n">
        <v>46045.5395833333</v>
      </c>
      <c r="E1071" s="33" t="n">
        <v>46045.5395833333</v>
      </c>
      <c r="F1071" s="33" t="n">
        <v>46045.5493055556</v>
      </c>
      <c r="G1071" s="34" t="n">
        <f aca="false">F1071-E1071</f>
        <v>0.00972222222222222</v>
      </c>
      <c r="H1071" s="39" t="s">
        <v>252</v>
      </c>
      <c r="J1071" s="39" t="s">
        <v>253</v>
      </c>
      <c r="K1071" s="32" t="s">
        <v>266</v>
      </c>
      <c r="L1071" s="32" t="s">
        <v>267</v>
      </c>
      <c r="M1071" s="39" t="s">
        <v>255</v>
      </c>
      <c r="N1071" s="39" t="s">
        <v>256</v>
      </c>
      <c r="O1071" s="32" t="s">
        <v>593</v>
      </c>
      <c r="P1071" s="40" t="str">
        <f aca="false">_xlfn.CONCAT(B1071,C1071,D1071,E1071,F1071)</f>
        <v>BC Aracu5.1Inverter(MBUS-1)46045.539583333346045.539583333346045.5493055556</v>
      </c>
      <c r="Q1071" s="32" t="str">
        <f aca="false">_xlfn.CONCAT(H1071,I1071,J1071)</f>
        <v>DAURDE</v>
      </c>
    </row>
    <row r="1072" customFormat="false" ht="15" hidden="false" customHeight="false" outlineLevel="0" collapsed="false">
      <c r="B1072" s="32" t="s">
        <v>270</v>
      </c>
      <c r="C1072" s="32" t="s">
        <v>265</v>
      </c>
      <c r="D1072" s="33" t="n">
        <v>46045.5395833333</v>
      </c>
      <c r="E1072" s="33" t="n">
        <v>46045.5395833333</v>
      </c>
      <c r="F1072" s="33" t="n">
        <v>46045.5493055556</v>
      </c>
      <c r="G1072" s="34" t="n">
        <f aca="false">F1072-E1072</f>
        <v>0.00972222222222222</v>
      </c>
      <c r="H1072" s="39" t="s">
        <v>252</v>
      </c>
      <c r="J1072" s="39" t="s">
        <v>253</v>
      </c>
      <c r="K1072" s="32" t="s">
        <v>266</v>
      </c>
      <c r="L1072" s="32" t="s">
        <v>267</v>
      </c>
      <c r="M1072" s="39" t="s">
        <v>255</v>
      </c>
      <c r="N1072" s="39" t="s">
        <v>256</v>
      </c>
      <c r="O1072" s="32" t="s">
        <v>593</v>
      </c>
      <c r="P1072" s="40" t="str">
        <f aca="false">_xlfn.CONCAT(B1072,C1072,D1072,E1072,F1072)</f>
        <v>BC Aracu5.2Inverter(MBUS-1)46045.539583333346045.539583333346045.5493055556</v>
      </c>
      <c r="Q1072" s="32" t="str">
        <f aca="false">_xlfn.CONCAT(H1072,I1072,J1072)</f>
        <v>DAURDE</v>
      </c>
    </row>
    <row r="1073" customFormat="false" ht="15" hidden="false" customHeight="false" outlineLevel="0" collapsed="false">
      <c r="B1073" s="32" t="s">
        <v>271</v>
      </c>
      <c r="C1073" s="32" t="s">
        <v>265</v>
      </c>
      <c r="D1073" s="33" t="n">
        <v>46045.5395833333</v>
      </c>
      <c r="E1073" s="33" t="n">
        <v>46045.5395833333</v>
      </c>
      <c r="F1073" s="33" t="n">
        <v>46045.5493055556</v>
      </c>
      <c r="G1073" s="34" t="n">
        <f aca="false">F1073-E1073</f>
        <v>0.00972222222222222</v>
      </c>
      <c r="H1073" s="39" t="s">
        <v>252</v>
      </c>
      <c r="J1073" s="39" t="s">
        <v>253</v>
      </c>
      <c r="K1073" s="32" t="s">
        <v>266</v>
      </c>
      <c r="L1073" s="32" t="s">
        <v>267</v>
      </c>
      <c r="M1073" s="39" t="s">
        <v>255</v>
      </c>
      <c r="N1073" s="39" t="s">
        <v>256</v>
      </c>
      <c r="O1073" s="32" t="s">
        <v>593</v>
      </c>
      <c r="P1073" s="40" t="str">
        <f aca="false">_xlfn.CONCAT(B1073,C1073,D1073,E1073,F1073)</f>
        <v>BC Aracu5.3Inverter(MBUS-1)46045.539583333346045.539583333346045.5493055556</v>
      </c>
      <c r="Q1073" s="32" t="str">
        <f aca="false">_xlfn.CONCAT(H1073,I1073,J1073)</f>
        <v>DAURDE</v>
      </c>
    </row>
    <row r="1074" customFormat="false" ht="15" hidden="false" customHeight="false" outlineLevel="0" collapsed="false">
      <c r="B1074" s="32" t="s">
        <v>272</v>
      </c>
      <c r="C1074" s="32" t="s">
        <v>265</v>
      </c>
      <c r="D1074" s="33" t="n">
        <v>46045.5395833333</v>
      </c>
      <c r="E1074" s="33" t="n">
        <v>46045.5395833333</v>
      </c>
      <c r="F1074" s="33" t="n">
        <v>46045.5493055556</v>
      </c>
      <c r="G1074" s="34" t="n">
        <f aca="false">F1074-E1074</f>
        <v>0.00972222222222222</v>
      </c>
      <c r="H1074" s="39" t="s">
        <v>252</v>
      </c>
      <c r="J1074" s="39" t="s">
        <v>253</v>
      </c>
      <c r="K1074" s="32" t="s">
        <v>266</v>
      </c>
      <c r="L1074" s="32" t="s">
        <v>267</v>
      </c>
      <c r="M1074" s="39" t="s">
        <v>255</v>
      </c>
      <c r="N1074" s="39" t="s">
        <v>256</v>
      </c>
      <c r="O1074" s="32" t="s">
        <v>593</v>
      </c>
      <c r="P1074" s="40" t="str">
        <f aca="false">_xlfn.CONCAT(B1074,C1074,D1074,E1074,F1074)</f>
        <v>BC Aracu5.4Inverter(MBUS-1)46045.539583333346045.539583333346045.5493055556</v>
      </c>
      <c r="Q1074" s="32" t="str">
        <f aca="false">_xlfn.CONCAT(H1074,I1074,J1074)</f>
        <v>DAURDE</v>
      </c>
    </row>
    <row r="1075" customFormat="false" ht="15" hidden="false" customHeight="false" outlineLevel="0" collapsed="false">
      <c r="B1075" s="32" t="s">
        <v>273</v>
      </c>
      <c r="C1075" s="32" t="s">
        <v>265</v>
      </c>
      <c r="D1075" s="33" t="n">
        <v>46045.5395833333</v>
      </c>
      <c r="E1075" s="33" t="n">
        <v>46045.5395833333</v>
      </c>
      <c r="F1075" s="33" t="n">
        <v>46045.5493055556</v>
      </c>
      <c r="G1075" s="34" t="n">
        <f aca="false">F1075-E1075</f>
        <v>0.00972222222222222</v>
      </c>
      <c r="H1075" s="39" t="s">
        <v>252</v>
      </c>
      <c r="J1075" s="39" t="s">
        <v>253</v>
      </c>
      <c r="K1075" s="32" t="s">
        <v>266</v>
      </c>
      <c r="L1075" s="32" t="s">
        <v>267</v>
      </c>
      <c r="M1075" s="39" t="s">
        <v>255</v>
      </c>
      <c r="N1075" s="39" t="s">
        <v>256</v>
      </c>
      <c r="O1075" s="32" t="s">
        <v>593</v>
      </c>
      <c r="P1075" s="40" t="str">
        <f aca="false">_xlfn.CONCAT(B1075,C1075,D1075,E1075,F1075)</f>
        <v>BC Aracu5.5Inverter(MBUS-1)46045.539583333346045.539583333346045.5493055556</v>
      </c>
      <c r="Q1075" s="32" t="str">
        <f aca="false">_xlfn.CONCAT(H1075,I1075,J1075)</f>
        <v>DAURDE</v>
      </c>
    </row>
    <row r="1076" customFormat="false" ht="15" hidden="false" customHeight="false" outlineLevel="0" collapsed="false">
      <c r="B1076" s="32" t="s">
        <v>435</v>
      </c>
      <c r="C1076" s="32" t="s">
        <v>436</v>
      </c>
      <c r="D1076" s="33" t="n">
        <v>46046.1631944444</v>
      </c>
      <c r="E1076" s="33" t="n">
        <v>46046.1631944444</v>
      </c>
      <c r="F1076" s="33" t="n">
        <v>46046.7777777778</v>
      </c>
      <c r="G1076" s="34" t="n">
        <f aca="false">F1076-E1076</f>
        <v>0.614583333333333</v>
      </c>
      <c r="H1076" s="39" t="s">
        <v>252</v>
      </c>
      <c r="J1076" s="39" t="s">
        <v>253</v>
      </c>
      <c r="K1076" s="32" t="s">
        <v>266</v>
      </c>
      <c r="L1076" s="32" t="s">
        <v>605</v>
      </c>
      <c r="M1076" s="39" t="s">
        <v>255</v>
      </c>
      <c r="N1076" s="39" t="s">
        <v>256</v>
      </c>
      <c r="O1076" s="32" t="s">
        <v>606</v>
      </c>
      <c r="P1076" s="40" t="str">
        <f aca="false">_xlfn.CONCAT(B1076,C1076,D1076,E1076,F1076)</f>
        <v>BC Corumba1.1U01.I0146046.163194444446046.163194444446046.7777777778</v>
      </c>
      <c r="Q1076" s="32" t="str">
        <f aca="false">_xlfn.CONCAT(H1076,I1076,J1076)</f>
        <v>DAURDE</v>
      </c>
    </row>
    <row r="1077" customFormat="false" ht="15" hidden="false" customHeight="false" outlineLevel="0" collapsed="false">
      <c r="B1077" s="32" t="s">
        <v>435</v>
      </c>
      <c r="C1077" s="32" t="s">
        <v>442</v>
      </c>
      <c r="D1077" s="33" t="n">
        <v>46046.1631944444</v>
      </c>
      <c r="E1077" s="33" t="n">
        <v>46046.1631944444</v>
      </c>
      <c r="F1077" s="33" t="n">
        <v>46046.7777777778</v>
      </c>
      <c r="G1077" s="34" t="n">
        <f aca="false">F1077-E1077</f>
        <v>0.614583333333333</v>
      </c>
      <c r="H1077" s="39" t="s">
        <v>252</v>
      </c>
      <c r="J1077" s="39" t="s">
        <v>253</v>
      </c>
      <c r="K1077" s="32" t="s">
        <v>266</v>
      </c>
      <c r="L1077" s="32" t="s">
        <v>605</v>
      </c>
      <c r="M1077" s="39" t="s">
        <v>255</v>
      </c>
      <c r="N1077" s="39" t="s">
        <v>256</v>
      </c>
      <c r="O1077" s="32" t="s">
        <v>606</v>
      </c>
      <c r="P1077" s="40" t="str">
        <f aca="false">_xlfn.CONCAT(B1077,C1077,D1077,E1077,F1077)</f>
        <v>BC Corumba1.1U01.I0246046.163194444446046.163194444446046.7777777778</v>
      </c>
      <c r="Q1077" s="32" t="str">
        <f aca="false">_xlfn.CONCAT(H1077,I1077,J1077)</f>
        <v>DAURDE</v>
      </c>
    </row>
    <row r="1078" customFormat="false" ht="15" hidden="false" customHeight="false" outlineLevel="0" collapsed="false">
      <c r="B1078" s="32" t="s">
        <v>435</v>
      </c>
      <c r="C1078" s="32" t="s">
        <v>443</v>
      </c>
      <c r="D1078" s="33" t="n">
        <v>46046.1631944444</v>
      </c>
      <c r="E1078" s="33" t="n">
        <v>46046.1631944444</v>
      </c>
      <c r="F1078" s="33" t="n">
        <v>46046.7777777778</v>
      </c>
      <c r="G1078" s="34" t="n">
        <f aca="false">F1078-E1078</f>
        <v>0.614583333333333</v>
      </c>
      <c r="H1078" s="39" t="s">
        <v>252</v>
      </c>
      <c r="J1078" s="39" t="s">
        <v>253</v>
      </c>
      <c r="K1078" s="32" t="s">
        <v>266</v>
      </c>
      <c r="L1078" s="32" t="s">
        <v>605</v>
      </c>
      <c r="M1078" s="39" t="s">
        <v>255</v>
      </c>
      <c r="N1078" s="39" t="s">
        <v>256</v>
      </c>
      <c r="O1078" s="32" t="s">
        <v>606</v>
      </c>
      <c r="P1078" s="40" t="str">
        <f aca="false">_xlfn.CONCAT(B1078,C1078,D1078,E1078,F1078)</f>
        <v>BC Corumba1.1U01.I0346046.163194444446046.163194444446046.7777777778</v>
      </c>
      <c r="Q1078" s="32" t="str">
        <f aca="false">_xlfn.CONCAT(H1078,I1078,J1078)</f>
        <v>DAURDE</v>
      </c>
    </row>
    <row r="1079" customFormat="false" ht="15" hidden="false" customHeight="false" outlineLevel="0" collapsed="false">
      <c r="B1079" s="32" t="s">
        <v>435</v>
      </c>
      <c r="C1079" s="32" t="s">
        <v>444</v>
      </c>
      <c r="D1079" s="33" t="n">
        <v>46046.1631944444</v>
      </c>
      <c r="E1079" s="33" t="n">
        <v>46046.1631944444</v>
      </c>
      <c r="F1079" s="33" t="n">
        <v>46046.7777777778</v>
      </c>
      <c r="G1079" s="34" t="n">
        <f aca="false">F1079-E1079</f>
        <v>0.614583333333333</v>
      </c>
      <c r="H1079" s="39" t="s">
        <v>252</v>
      </c>
      <c r="J1079" s="39" t="s">
        <v>253</v>
      </c>
      <c r="K1079" s="32" t="s">
        <v>266</v>
      </c>
      <c r="L1079" s="32" t="s">
        <v>605</v>
      </c>
      <c r="M1079" s="39" t="s">
        <v>255</v>
      </c>
      <c r="N1079" s="39" t="s">
        <v>256</v>
      </c>
      <c r="O1079" s="32" t="s">
        <v>606</v>
      </c>
      <c r="P1079" s="40" t="str">
        <f aca="false">_xlfn.CONCAT(B1079,C1079,D1079,E1079,F1079)</f>
        <v>BC Corumba1.1U01.I0446046.163194444446046.163194444446046.7777777778</v>
      </c>
      <c r="Q1079" s="32" t="str">
        <f aca="false">_xlfn.CONCAT(H1079,I1079,J1079)</f>
        <v>DAURDE</v>
      </c>
    </row>
    <row r="1080" customFormat="false" ht="15" hidden="false" customHeight="false" outlineLevel="0" collapsed="false">
      <c r="B1080" s="32" t="s">
        <v>435</v>
      </c>
      <c r="C1080" s="32" t="s">
        <v>445</v>
      </c>
      <c r="D1080" s="33" t="n">
        <v>46046.1631944444</v>
      </c>
      <c r="E1080" s="33" t="n">
        <v>46046.1631944444</v>
      </c>
      <c r="F1080" s="33" t="n">
        <v>46046.7777777778</v>
      </c>
      <c r="G1080" s="34" t="n">
        <f aca="false">F1080-E1080</f>
        <v>0.614583333333333</v>
      </c>
      <c r="H1080" s="39" t="s">
        <v>252</v>
      </c>
      <c r="J1080" s="39" t="s">
        <v>253</v>
      </c>
      <c r="K1080" s="32" t="s">
        <v>266</v>
      </c>
      <c r="L1080" s="32" t="s">
        <v>605</v>
      </c>
      <c r="M1080" s="39" t="s">
        <v>255</v>
      </c>
      <c r="N1080" s="39" t="s">
        <v>256</v>
      </c>
      <c r="O1080" s="32" t="s">
        <v>606</v>
      </c>
      <c r="P1080" s="40" t="str">
        <f aca="false">_xlfn.CONCAT(B1080,C1080,D1080,E1080,F1080)</f>
        <v>BC Corumba1.1U01.I0546046.163194444446046.163194444446046.7777777778</v>
      </c>
      <c r="Q1080" s="32" t="str">
        <f aca="false">_xlfn.CONCAT(H1080,I1080,J1080)</f>
        <v>DAURDE</v>
      </c>
    </row>
    <row r="1081" customFormat="false" ht="15" hidden="false" customHeight="false" outlineLevel="0" collapsed="false">
      <c r="B1081" s="32" t="s">
        <v>487</v>
      </c>
      <c r="C1081" s="32" t="s">
        <v>488</v>
      </c>
      <c r="D1081" s="33" t="n">
        <v>46046.1631944444</v>
      </c>
      <c r="E1081" s="33" t="n">
        <v>46046.1631944444</v>
      </c>
      <c r="F1081" s="33" t="n">
        <v>46046.7777777778</v>
      </c>
      <c r="G1081" s="34" t="n">
        <f aca="false">F1081-E1081</f>
        <v>0.614583333333333</v>
      </c>
      <c r="H1081" s="39" t="s">
        <v>252</v>
      </c>
      <c r="J1081" s="39" t="s">
        <v>253</v>
      </c>
      <c r="K1081" s="32" t="s">
        <v>266</v>
      </c>
      <c r="L1081" s="32" t="s">
        <v>605</v>
      </c>
      <c r="M1081" s="39" t="s">
        <v>255</v>
      </c>
      <c r="N1081" s="39" t="s">
        <v>256</v>
      </c>
      <c r="O1081" s="32" t="s">
        <v>606</v>
      </c>
      <c r="P1081" s="40" t="str">
        <f aca="false">_xlfn.CONCAT(B1081,C1081,D1081,E1081,F1081)</f>
        <v>BC Corumba1.2U02.I0146046.163194444446046.163194444446046.7777777778</v>
      </c>
      <c r="Q1081" s="32" t="str">
        <f aca="false">_xlfn.CONCAT(H1081,I1081,J1081)</f>
        <v>DAURDE</v>
      </c>
    </row>
    <row r="1082" customFormat="false" ht="15" hidden="false" customHeight="false" outlineLevel="0" collapsed="false">
      <c r="B1082" s="32" t="s">
        <v>487</v>
      </c>
      <c r="C1082" s="32" t="s">
        <v>489</v>
      </c>
      <c r="D1082" s="33" t="n">
        <v>46046.1631944444</v>
      </c>
      <c r="E1082" s="33" t="n">
        <v>46046.1631944444</v>
      </c>
      <c r="F1082" s="33" t="n">
        <v>46046.7777777778</v>
      </c>
      <c r="G1082" s="34" t="n">
        <f aca="false">F1082-E1082</f>
        <v>0.614583333333333</v>
      </c>
      <c r="H1082" s="39" t="s">
        <v>252</v>
      </c>
      <c r="J1082" s="39" t="s">
        <v>253</v>
      </c>
      <c r="K1082" s="32" t="s">
        <v>266</v>
      </c>
      <c r="L1082" s="32" t="s">
        <v>605</v>
      </c>
      <c r="M1082" s="39" t="s">
        <v>255</v>
      </c>
      <c r="N1082" s="39" t="s">
        <v>256</v>
      </c>
      <c r="O1082" s="32" t="s">
        <v>606</v>
      </c>
      <c r="P1082" s="40" t="str">
        <f aca="false">_xlfn.CONCAT(B1082,C1082,D1082,E1082,F1082)</f>
        <v>BC Corumba1.2U02.I0246046.163194444446046.163194444446046.7777777778</v>
      </c>
      <c r="Q1082" s="32" t="str">
        <f aca="false">_xlfn.CONCAT(H1082,I1082,J1082)</f>
        <v>DAURDE</v>
      </c>
    </row>
    <row r="1083" customFormat="false" ht="15" hidden="false" customHeight="false" outlineLevel="0" collapsed="false">
      <c r="B1083" s="32" t="s">
        <v>487</v>
      </c>
      <c r="C1083" s="32" t="s">
        <v>490</v>
      </c>
      <c r="D1083" s="33" t="n">
        <v>46046.1631944444</v>
      </c>
      <c r="E1083" s="33" t="n">
        <v>46046.1631944444</v>
      </c>
      <c r="F1083" s="33" t="n">
        <v>46046.7777777778</v>
      </c>
      <c r="G1083" s="34" t="n">
        <f aca="false">F1083-E1083</f>
        <v>0.614583333333333</v>
      </c>
      <c r="H1083" s="39" t="s">
        <v>252</v>
      </c>
      <c r="J1083" s="39" t="s">
        <v>253</v>
      </c>
      <c r="K1083" s="32" t="s">
        <v>266</v>
      </c>
      <c r="L1083" s="32" t="s">
        <v>605</v>
      </c>
      <c r="M1083" s="39" t="s">
        <v>255</v>
      </c>
      <c r="N1083" s="39" t="s">
        <v>256</v>
      </c>
      <c r="O1083" s="32" t="s">
        <v>606</v>
      </c>
      <c r="P1083" s="40" t="str">
        <f aca="false">_xlfn.CONCAT(B1083,C1083,D1083,E1083,F1083)</f>
        <v>BC Corumba1.2U02.I0346046.163194444446046.163194444446046.7777777778</v>
      </c>
      <c r="Q1083" s="32" t="str">
        <f aca="false">_xlfn.CONCAT(H1083,I1083,J1083)</f>
        <v>DAURDE</v>
      </c>
    </row>
    <row r="1084" customFormat="false" ht="15" hidden="false" customHeight="false" outlineLevel="0" collapsed="false">
      <c r="B1084" s="32" t="s">
        <v>487</v>
      </c>
      <c r="C1084" s="32" t="s">
        <v>491</v>
      </c>
      <c r="D1084" s="33" t="n">
        <v>46046.1631944444</v>
      </c>
      <c r="E1084" s="33" t="n">
        <v>46046.1631944444</v>
      </c>
      <c r="F1084" s="33" t="n">
        <v>46046.7777777778</v>
      </c>
      <c r="G1084" s="34" t="n">
        <f aca="false">F1084-E1084</f>
        <v>0.614583333333333</v>
      </c>
      <c r="H1084" s="39" t="s">
        <v>252</v>
      </c>
      <c r="J1084" s="39" t="s">
        <v>253</v>
      </c>
      <c r="K1084" s="32" t="s">
        <v>266</v>
      </c>
      <c r="L1084" s="32" t="s">
        <v>605</v>
      </c>
      <c r="M1084" s="39" t="s">
        <v>255</v>
      </c>
      <c r="N1084" s="39" t="s">
        <v>256</v>
      </c>
      <c r="O1084" s="32" t="s">
        <v>606</v>
      </c>
      <c r="P1084" s="40" t="str">
        <f aca="false">_xlfn.CONCAT(B1084,C1084,D1084,E1084,F1084)</f>
        <v>BC Corumba1.2U02.I0446046.163194444446046.163194444446046.7777777778</v>
      </c>
      <c r="Q1084" s="32" t="str">
        <f aca="false">_xlfn.CONCAT(H1084,I1084,J1084)</f>
        <v>DAURDE</v>
      </c>
    </row>
    <row r="1085" customFormat="false" ht="15" hidden="false" customHeight="false" outlineLevel="0" collapsed="false">
      <c r="B1085" s="32" t="s">
        <v>487</v>
      </c>
      <c r="C1085" s="32" t="s">
        <v>492</v>
      </c>
      <c r="D1085" s="33" t="n">
        <v>46046.1631944444</v>
      </c>
      <c r="E1085" s="33" t="n">
        <v>46046.1631944444</v>
      </c>
      <c r="F1085" s="33" t="n">
        <v>46046.7777777778</v>
      </c>
      <c r="G1085" s="34" t="n">
        <f aca="false">F1085-E1085</f>
        <v>0.614583333333333</v>
      </c>
      <c r="H1085" s="39" t="s">
        <v>252</v>
      </c>
      <c r="J1085" s="39" t="s">
        <v>253</v>
      </c>
      <c r="K1085" s="32" t="s">
        <v>266</v>
      </c>
      <c r="L1085" s="32" t="s">
        <v>605</v>
      </c>
      <c r="M1085" s="39" t="s">
        <v>255</v>
      </c>
      <c r="N1085" s="39" t="s">
        <v>256</v>
      </c>
      <c r="O1085" s="32" t="s">
        <v>606</v>
      </c>
      <c r="P1085" s="40" t="str">
        <f aca="false">_xlfn.CONCAT(B1085,C1085,D1085,E1085,F1085)</f>
        <v>BC Corumba1.2U02.I0546046.163194444446046.163194444446046.7777777778</v>
      </c>
      <c r="Q1085" s="32" t="str">
        <f aca="false">_xlfn.CONCAT(H1085,I1085,J1085)</f>
        <v>DAURDE</v>
      </c>
    </row>
    <row r="1086" customFormat="false" ht="15" hidden="false" customHeight="false" outlineLevel="0" collapsed="false">
      <c r="B1086" s="32" t="s">
        <v>493</v>
      </c>
      <c r="C1086" s="32" t="s">
        <v>494</v>
      </c>
      <c r="D1086" s="33" t="n">
        <v>46046.1631944444</v>
      </c>
      <c r="E1086" s="33" t="n">
        <v>46046.1631944444</v>
      </c>
      <c r="F1086" s="33" t="n">
        <v>46046.7777777778</v>
      </c>
      <c r="G1086" s="34" t="n">
        <f aca="false">F1086-E1086</f>
        <v>0.614583333333333</v>
      </c>
      <c r="H1086" s="39" t="s">
        <v>252</v>
      </c>
      <c r="J1086" s="39" t="s">
        <v>253</v>
      </c>
      <c r="K1086" s="32" t="s">
        <v>266</v>
      </c>
      <c r="L1086" s="32" t="s">
        <v>605</v>
      </c>
      <c r="M1086" s="39" t="s">
        <v>255</v>
      </c>
      <c r="N1086" s="39" t="s">
        <v>256</v>
      </c>
      <c r="O1086" s="32" t="s">
        <v>606</v>
      </c>
      <c r="P1086" s="40" t="str">
        <f aca="false">_xlfn.CONCAT(B1086,C1086,D1086,E1086,F1086)</f>
        <v>BC Corumba1.3U03.I0146046.163194444446046.163194444446046.7777777778</v>
      </c>
      <c r="Q1086" s="32" t="str">
        <f aca="false">_xlfn.CONCAT(H1086,I1086,J1086)</f>
        <v>DAURDE</v>
      </c>
    </row>
    <row r="1087" customFormat="false" ht="15" hidden="false" customHeight="false" outlineLevel="0" collapsed="false">
      <c r="B1087" s="32" t="s">
        <v>493</v>
      </c>
      <c r="C1087" s="32" t="s">
        <v>495</v>
      </c>
      <c r="D1087" s="33" t="n">
        <v>46046.1631944444</v>
      </c>
      <c r="E1087" s="33" t="n">
        <v>46046.1631944444</v>
      </c>
      <c r="F1087" s="33" t="n">
        <v>46046.7777777778</v>
      </c>
      <c r="G1087" s="34" t="n">
        <f aca="false">F1087-E1087</f>
        <v>0.614583333333333</v>
      </c>
      <c r="H1087" s="39" t="s">
        <v>252</v>
      </c>
      <c r="J1087" s="39" t="s">
        <v>253</v>
      </c>
      <c r="K1087" s="32" t="s">
        <v>266</v>
      </c>
      <c r="L1087" s="32" t="s">
        <v>605</v>
      </c>
      <c r="M1087" s="39" t="s">
        <v>255</v>
      </c>
      <c r="N1087" s="39" t="s">
        <v>256</v>
      </c>
      <c r="O1087" s="32" t="s">
        <v>606</v>
      </c>
      <c r="P1087" s="40" t="str">
        <f aca="false">_xlfn.CONCAT(B1087,C1087,D1087,E1087,F1087)</f>
        <v>BC Corumba1.3U03.I0246046.163194444446046.163194444446046.7777777778</v>
      </c>
      <c r="Q1087" s="32" t="str">
        <f aca="false">_xlfn.CONCAT(H1087,I1087,J1087)</f>
        <v>DAURDE</v>
      </c>
    </row>
    <row r="1088" customFormat="false" ht="15" hidden="false" customHeight="false" outlineLevel="0" collapsed="false">
      <c r="B1088" s="32" t="s">
        <v>493</v>
      </c>
      <c r="C1088" s="32" t="s">
        <v>496</v>
      </c>
      <c r="D1088" s="33" t="n">
        <v>46046.1631944444</v>
      </c>
      <c r="E1088" s="33" t="n">
        <v>46046.1631944444</v>
      </c>
      <c r="F1088" s="33" t="n">
        <v>46046.7777777778</v>
      </c>
      <c r="G1088" s="34" t="n">
        <f aca="false">F1088-E1088</f>
        <v>0.614583333333333</v>
      </c>
      <c r="H1088" s="39" t="s">
        <v>252</v>
      </c>
      <c r="J1088" s="39" t="s">
        <v>253</v>
      </c>
      <c r="K1088" s="32" t="s">
        <v>266</v>
      </c>
      <c r="L1088" s="32" t="s">
        <v>605</v>
      </c>
      <c r="M1088" s="39" t="s">
        <v>255</v>
      </c>
      <c r="N1088" s="39" t="s">
        <v>256</v>
      </c>
      <c r="O1088" s="32" t="s">
        <v>606</v>
      </c>
      <c r="P1088" s="40" t="str">
        <f aca="false">_xlfn.CONCAT(B1088,C1088,D1088,E1088,F1088)</f>
        <v>BC Corumba1.3U03.I0346046.163194444446046.163194444446046.7777777778</v>
      </c>
      <c r="Q1088" s="32" t="str">
        <f aca="false">_xlfn.CONCAT(H1088,I1088,J1088)</f>
        <v>DAURDE</v>
      </c>
    </row>
    <row r="1089" customFormat="false" ht="15" hidden="false" customHeight="false" outlineLevel="0" collapsed="false">
      <c r="B1089" s="32" t="s">
        <v>497</v>
      </c>
      <c r="C1089" s="32" t="s">
        <v>327</v>
      </c>
      <c r="D1089" s="33" t="n">
        <v>46046.1631944444</v>
      </c>
      <c r="E1089" s="33" t="n">
        <v>46046.1631944444</v>
      </c>
      <c r="F1089" s="33" t="n">
        <v>46046.7777777778</v>
      </c>
      <c r="G1089" s="34" t="n">
        <f aca="false">F1089-E1089</f>
        <v>0.614583333333333</v>
      </c>
      <c r="H1089" s="39" t="s">
        <v>252</v>
      </c>
      <c r="J1089" s="39" t="s">
        <v>253</v>
      </c>
      <c r="K1089" s="32" t="s">
        <v>266</v>
      </c>
      <c r="L1089" s="32" t="s">
        <v>605</v>
      </c>
      <c r="M1089" s="39" t="s">
        <v>255</v>
      </c>
      <c r="N1089" s="39" t="s">
        <v>256</v>
      </c>
      <c r="O1089" s="32" t="s">
        <v>606</v>
      </c>
      <c r="P1089" s="40" t="str">
        <f aca="false">_xlfn.CONCAT(B1089,C1089,D1089,E1089,F1089)</f>
        <v>BC Corumba2.1Inverter(MBUS-14)46046.163194444446046.163194444446046.7777777778</v>
      </c>
      <c r="Q1089" s="32" t="str">
        <f aca="false">_xlfn.CONCAT(H1089,I1089,J1089)</f>
        <v>DAURDE</v>
      </c>
    </row>
    <row r="1090" customFormat="false" ht="15" hidden="false" customHeight="false" outlineLevel="0" collapsed="false">
      <c r="B1090" s="32" t="s">
        <v>497</v>
      </c>
      <c r="C1090" s="32" t="s">
        <v>328</v>
      </c>
      <c r="D1090" s="33" t="n">
        <v>46046.1631944444</v>
      </c>
      <c r="E1090" s="33" t="n">
        <v>46046.1631944444</v>
      </c>
      <c r="F1090" s="33" t="n">
        <v>46046.7777777778</v>
      </c>
      <c r="G1090" s="34" t="n">
        <f aca="false">F1090-E1090</f>
        <v>0.614583333333333</v>
      </c>
      <c r="H1090" s="39" t="s">
        <v>252</v>
      </c>
      <c r="J1090" s="39" t="s">
        <v>253</v>
      </c>
      <c r="K1090" s="32" t="s">
        <v>266</v>
      </c>
      <c r="L1090" s="32" t="s">
        <v>605</v>
      </c>
      <c r="M1090" s="39" t="s">
        <v>255</v>
      </c>
      <c r="N1090" s="39" t="s">
        <v>256</v>
      </c>
      <c r="O1090" s="32" t="s">
        <v>606</v>
      </c>
      <c r="P1090" s="40" t="str">
        <f aca="false">_xlfn.CONCAT(B1090,C1090,D1090,E1090,F1090)</f>
        <v>BC Corumba2.1Inverter(MBUS-15)46046.163194444446046.163194444446046.7777777778</v>
      </c>
      <c r="Q1090" s="32" t="str">
        <f aca="false">_xlfn.CONCAT(H1090,I1090,J1090)</f>
        <v>DAURDE</v>
      </c>
    </row>
    <row r="1091" customFormat="false" ht="15" hidden="false" customHeight="false" outlineLevel="0" collapsed="false">
      <c r="B1091" s="32" t="s">
        <v>497</v>
      </c>
      <c r="C1091" s="32" t="s">
        <v>428</v>
      </c>
      <c r="D1091" s="33" t="n">
        <v>46046.1631944444</v>
      </c>
      <c r="E1091" s="33" t="n">
        <v>46046.1631944444</v>
      </c>
      <c r="F1091" s="33" t="n">
        <v>46046.7777777778</v>
      </c>
      <c r="G1091" s="34" t="n">
        <f aca="false">F1091-E1091</f>
        <v>0.614583333333333</v>
      </c>
      <c r="H1091" s="39" t="s">
        <v>252</v>
      </c>
      <c r="J1091" s="39" t="s">
        <v>253</v>
      </c>
      <c r="K1091" s="32" t="s">
        <v>266</v>
      </c>
      <c r="L1091" s="32" t="s">
        <v>605</v>
      </c>
      <c r="M1091" s="39" t="s">
        <v>255</v>
      </c>
      <c r="N1091" s="39" t="s">
        <v>256</v>
      </c>
      <c r="O1091" s="32" t="s">
        <v>606</v>
      </c>
      <c r="P1091" s="40" t="str">
        <f aca="false">_xlfn.CONCAT(B1091,C1091,D1091,E1091,F1091)</f>
        <v>BC Corumba2.1Inverter(MBUS-16)46046.163194444446046.163194444446046.7777777778</v>
      </c>
      <c r="Q1091" s="32" t="str">
        <f aca="false">_xlfn.CONCAT(H1091,I1091,J1091)</f>
        <v>DAURDE</v>
      </c>
    </row>
    <row r="1092" customFormat="false" ht="15" hidden="false" customHeight="false" outlineLevel="0" collapsed="false">
      <c r="B1092" s="32" t="s">
        <v>497</v>
      </c>
      <c r="C1092" s="32" t="s">
        <v>498</v>
      </c>
      <c r="D1092" s="33" t="n">
        <v>46046.1631944444</v>
      </c>
      <c r="E1092" s="33" t="n">
        <v>46046.1631944444</v>
      </c>
      <c r="F1092" s="33" t="n">
        <v>46046.7777777778</v>
      </c>
      <c r="G1092" s="34" t="n">
        <f aca="false">F1092-E1092</f>
        <v>0.614583333333333</v>
      </c>
      <c r="H1092" s="39" t="s">
        <v>252</v>
      </c>
      <c r="J1092" s="39" t="s">
        <v>253</v>
      </c>
      <c r="K1092" s="32" t="s">
        <v>266</v>
      </c>
      <c r="L1092" s="32" t="s">
        <v>605</v>
      </c>
      <c r="M1092" s="39" t="s">
        <v>255</v>
      </c>
      <c r="N1092" s="39" t="s">
        <v>256</v>
      </c>
      <c r="O1092" s="32" t="s">
        <v>606</v>
      </c>
      <c r="P1092" s="40" t="str">
        <f aca="false">_xlfn.CONCAT(B1092,C1092,D1092,E1092,F1092)</f>
        <v>BC Corumba2.1U01. I0146046.163194444446046.163194444446046.7777777778</v>
      </c>
      <c r="Q1092" s="32" t="str">
        <f aca="false">_xlfn.CONCAT(H1092,I1092,J1092)</f>
        <v>DAURDE</v>
      </c>
    </row>
    <row r="1093" customFormat="false" ht="15" hidden="false" customHeight="false" outlineLevel="0" collapsed="false">
      <c r="B1093" s="32" t="s">
        <v>497</v>
      </c>
      <c r="C1093" s="32" t="s">
        <v>499</v>
      </c>
      <c r="D1093" s="33" t="n">
        <v>46046.1631944444</v>
      </c>
      <c r="E1093" s="33" t="n">
        <v>46046.1631944444</v>
      </c>
      <c r="F1093" s="33" t="n">
        <v>46046.7777777778</v>
      </c>
      <c r="G1093" s="34" t="n">
        <f aca="false">F1093-E1093</f>
        <v>0.614583333333333</v>
      </c>
      <c r="H1093" s="39" t="s">
        <v>252</v>
      </c>
      <c r="J1093" s="39" t="s">
        <v>253</v>
      </c>
      <c r="K1093" s="32" t="s">
        <v>266</v>
      </c>
      <c r="L1093" s="32" t="s">
        <v>605</v>
      </c>
      <c r="M1093" s="39" t="s">
        <v>255</v>
      </c>
      <c r="N1093" s="39" t="s">
        <v>256</v>
      </c>
      <c r="O1093" s="32" t="s">
        <v>606</v>
      </c>
      <c r="P1093" s="40" t="str">
        <f aca="false">_xlfn.CONCAT(B1093,C1093,D1093,E1093,F1093)</f>
        <v>BC Corumba2.1U01. I0246046.163194444446046.163194444446046.7777777778</v>
      </c>
      <c r="Q1093" s="32" t="str">
        <f aca="false">_xlfn.CONCAT(H1093,I1093,J1093)</f>
        <v>DAURDE</v>
      </c>
    </row>
    <row r="1094" customFormat="false" ht="15" hidden="false" customHeight="false" outlineLevel="0" collapsed="false">
      <c r="B1094" s="32" t="s">
        <v>500</v>
      </c>
      <c r="C1094" s="32" t="s">
        <v>488</v>
      </c>
      <c r="D1094" s="33" t="n">
        <v>46046.1631944444</v>
      </c>
      <c r="E1094" s="33" t="n">
        <v>46046.1631944444</v>
      </c>
      <c r="F1094" s="33" t="n">
        <v>46046.7777777778</v>
      </c>
      <c r="G1094" s="34" t="n">
        <f aca="false">F1094-E1094</f>
        <v>0.614583333333333</v>
      </c>
      <c r="H1094" s="39" t="s">
        <v>252</v>
      </c>
      <c r="J1094" s="39" t="s">
        <v>253</v>
      </c>
      <c r="K1094" s="32" t="s">
        <v>266</v>
      </c>
      <c r="L1094" s="32" t="s">
        <v>605</v>
      </c>
      <c r="M1094" s="39" t="s">
        <v>255</v>
      </c>
      <c r="N1094" s="39" t="s">
        <v>256</v>
      </c>
      <c r="O1094" s="32" t="s">
        <v>606</v>
      </c>
      <c r="P1094" s="40" t="str">
        <f aca="false">_xlfn.CONCAT(B1094,C1094,D1094,E1094,F1094)</f>
        <v>BC Corumba2.2U02.I0146046.163194444446046.163194444446046.7777777778</v>
      </c>
      <c r="Q1094" s="32" t="str">
        <f aca="false">_xlfn.CONCAT(H1094,I1094,J1094)</f>
        <v>DAURDE</v>
      </c>
    </row>
    <row r="1095" customFormat="false" ht="15" hidden="false" customHeight="false" outlineLevel="0" collapsed="false">
      <c r="B1095" s="32" t="s">
        <v>500</v>
      </c>
      <c r="C1095" s="32" t="s">
        <v>489</v>
      </c>
      <c r="D1095" s="33" t="n">
        <v>46046.1631944444</v>
      </c>
      <c r="E1095" s="33" t="n">
        <v>46046.1631944444</v>
      </c>
      <c r="F1095" s="33" t="n">
        <v>46046.7777777778</v>
      </c>
      <c r="G1095" s="34" t="n">
        <f aca="false">F1095-E1095</f>
        <v>0.614583333333333</v>
      </c>
      <c r="H1095" s="39" t="s">
        <v>252</v>
      </c>
      <c r="J1095" s="39" t="s">
        <v>253</v>
      </c>
      <c r="K1095" s="32" t="s">
        <v>266</v>
      </c>
      <c r="L1095" s="32" t="s">
        <v>605</v>
      </c>
      <c r="M1095" s="39" t="s">
        <v>255</v>
      </c>
      <c r="N1095" s="39" t="s">
        <v>256</v>
      </c>
      <c r="O1095" s="32" t="s">
        <v>606</v>
      </c>
      <c r="P1095" s="40" t="str">
        <f aca="false">_xlfn.CONCAT(B1095,C1095,D1095,E1095,F1095)</f>
        <v>BC Corumba2.2U02.I0246046.163194444446046.163194444446046.7777777778</v>
      </c>
      <c r="Q1095" s="32" t="str">
        <f aca="false">_xlfn.CONCAT(H1095,I1095,J1095)</f>
        <v>DAURDE</v>
      </c>
    </row>
    <row r="1096" customFormat="false" ht="15" hidden="false" customHeight="false" outlineLevel="0" collapsed="false">
      <c r="B1096" s="32" t="s">
        <v>500</v>
      </c>
      <c r="C1096" s="32" t="s">
        <v>490</v>
      </c>
      <c r="D1096" s="33" t="n">
        <v>46046.1631944444</v>
      </c>
      <c r="E1096" s="33" t="n">
        <v>46046.1631944444</v>
      </c>
      <c r="F1096" s="33" t="n">
        <v>46046.7777777778</v>
      </c>
      <c r="G1096" s="34" t="n">
        <f aca="false">F1096-E1096</f>
        <v>0.614583333333333</v>
      </c>
      <c r="H1096" s="39" t="s">
        <v>252</v>
      </c>
      <c r="J1096" s="39" t="s">
        <v>253</v>
      </c>
      <c r="K1096" s="32" t="s">
        <v>266</v>
      </c>
      <c r="L1096" s="32" t="s">
        <v>605</v>
      </c>
      <c r="M1096" s="39" t="s">
        <v>255</v>
      </c>
      <c r="N1096" s="39" t="s">
        <v>256</v>
      </c>
      <c r="O1096" s="32" t="s">
        <v>606</v>
      </c>
      <c r="P1096" s="40" t="str">
        <f aca="false">_xlfn.CONCAT(B1096,C1096,D1096,E1096,F1096)</f>
        <v>BC Corumba2.2U02.I0346046.163194444446046.163194444446046.7777777778</v>
      </c>
      <c r="Q1096" s="32" t="str">
        <f aca="false">_xlfn.CONCAT(H1096,I1096,J1096)</f>
        <v>DAURDE</v>
      </c>
    </row>
    <row r="1097" customFormat="false" ht="15" hidden="false" customHeight="false" outlineLevel="0" collapsed="false">
      <c r="B1097" s="32" t="s">
        <v>500</v>
      </c>
      <c r="C1097" s="32" t="s">
        <v>491</v>
      </c>
      <c r="D1097" s="33" t="n">
        <v>46046.1631944444</v>
      </c>
      <c r="E1097" s="33" t="n">
        <v>46046.1631944444</v>
      </c>
      <c r="F1097" s="33" t="n">
        <v>46046.7777777778</v>
      </c>
      <c r="G1097" s="34" t="n">
        <f aca="false">F1097-E1097</f>
        <v>0.614583333333333</v>
      </c>
      <c r="H1097" s="39" t="s">
        <v>252</v>
      </c>
      <c r="J1097" s="39" t="s">
        <v>253</v>
      </c>
      <c r="K1097" s="32" t="s">
        <v>266</v>
      </c>
      <c r="L1097" s="32" t="s">
        <v>605</v>
      </c>
      <c r="M1097" s="39" t="s">
        <v>255</v>
      </c>
      <c r="N1097" s="39" t="s">
        <v>256</v>
      </c>
      <c r="O1097" s="32" t="s">
        <v>606</v>
      </c>
      <c r="P1097" s="40" t="str">
        <f aca="false">_xlfn.CONCAT(B1097,C1097,D1097,E1097,F1097)</f>
        <v>BC Corumba2.2U02.I0446046.163194444446046.163194444446046.7777777778</v>
      </c>
      <c r="Q1097" s="32" t="str">
        <f aca="false">_xlfn.CONCAT(H1097,I1097,J1097)</f>
        <v>DAURDE</v>
      </c>
    </row>
    <row r="1098" customFormat="false" ht="15" hidden="false" customHeight="false" outlineLevel="0" collapsed="false">
      <c r="B1098" s="32" t="s">
        <v>500</v>
      </c>
      <c r="C1098" s="32" t="s">
        <v>492</v>
      </c>
      <c r="D1098" s="33" t="n">
        <v>46046.1631944444</v>
      </c>
      <c r="E1098" s="33" t="n">
        <v>46046.1631944444</v>
      </c>
      <c r="F1098" s="33" t="n">
        <v>46046.7777777778</v>
      </c>
      <c r="G1098" s="34" t="n">
        <f aca="false">F1098-E1098</f>
        <v>0.614583333333333</v>
      </c>
      <c r="H1098" s="39" t="s">
        <v>252</v>
      </c>
      <c r="J1098" s="39" t="s">
        <v>253</v>
      </c>
      <c r="K1098" s="32" t="s">
        <v>266</v>
      </c>
      <c r="L1098" s="32" t="s">
        <v>605</v>
      </c>
      <c r="M1098" s="39" t="s">
        <v>255</v>
      </c>
      <c r="N1098" s="39" t="s">
        <v>256</v>
      </c>
      <c r="O1098" s="32" t="s">
        <v>606</v>
      </c>
      <c r="P1098" s="40" t="str">
        <f aca="false">_xlfn.CONCAT(B1098,C1098,D1098,E1098,F1098)</f>
        <v>BC Corumba2.2U02.I0546046.163194444446046.163194444446046.7777777778</v>
      </c>
      <c r="Q1098" s="32" t="str">
        <f aca="false">_xlfn.CONCAT(H1098,I1098,J1098)</f>
        <v>DAURDE</v>
      </c>
    </row>
    <row r="1099" customFormat="false" ht="15" hidden="false" customHeight="false" outlineLevel="0" collapsed="false">
      <c r="B1099" s="32" t="s">
        <v>501</v>
      </c>
      <c r="C1099" s="32" t="s">
        <v>494</v>
      </c>
      <c r="D1099" s="33" t="n">
        <v>46046.1631944444</v>
      </c>
      <c r="E1099" s="33" t="n">
        <v>46046.1631944444</v>
      </c>
      <c r="F1099" s="33" t="n">
        <v>46046.7777777778</v>
      </c>
      <c r="G1099" s="34" t="n">
        <f aca="false">F1099-E1099</f>
        <v>0.614583333333333</v>
      </c>
      <c r="H1099" s="39" t="s">
        <v>252</v>
      </c>
      <c r="J1099" s="39" t="s">
        <v>253</v>
      </c>
      <c r="K1099" s="32" t="s">
        <v>266</v>
      </c>
      <c r="L1099" s="32" t="s">
        <v>605</v>
      </c>
      <c r="M1099" s="39" t="s">
        <v>255</v>
      </c>
      <c r="N1099" s="39" t="s">
        <v>256</v>
      </c>
      <c r="O1099" s="32" t="s">
        <v>606</v>
      </c>
      <c r="P1099" s="40" t="str">
        <f aca="false">_xlfn.CONCAT(B1099,C1099,D1099,E1099,F1099)</f>
        <v>BC Corumba2.3U03.I0146046.163194444446046.163194444446046.7777777778</v>
      </c>
      <c r="Q1099" s="32" t="str">
        <f aca="false">_xlfn.CONCAT(H1099,I1099,J1099)</f>
        <v>DAURDE</v>
      </c>
    </row>
    <row r="1100" customFormat="false" ht="15" hidden="false" customHeight="false" outlineLevel="0" collapsed="false">
      <c r="B1100" s="32" t="s">
        <v>501</v>
      </c>
      <c r="C1100" s="32" t="s">
        <v>495</v>
      </c>
      <c r="D1100" s="33" t="n">
        <v>46046.1631944444</v>
      </c>
      <c r="E1100" s="33" t="n">
        <v>46046.1631944444</v>
      </c>
      <c r="F1100" s="33" t="n">
        <v>46046.7777777778</v>
      </c>
      <c r="G1100" s="34" t="n">
        <f aca="false">F1100-E1100</f>
        <v>0.614583333333333</v>
      </c>
      <c r="H1100" s="39" t="s">
        <v>252</v>
      </c>
      <c r="J1100" s="39" t="s">
        <v>253</v>
      </c>
      <c r="K1100" s="32" t="s">
        <v>266</v>
      </c>
      <c r="L1100" s="32" t="s">
        <v>605</v>
      </c>
      <c r="M1100" s="39" t="s">
        <v>255</v>
      </c>
      <c r="N1100" s="39" t="s">
        <v>256</v>
      </c>
      <c r="O1100" s="32" t="s">
        <v>606</v>
      </c>
      <c r="P1100" s="40" t="str">
        <f aca="false">_xlfn.CONCAT(B1100,C1100,D1100,E1100,F1100)</f>
        <v>BC Corumba2.3U03.I0246046.163194444446046.163194444446046.7777777778</v>
      </c>
      <c r="Q1100" s="32" t="str">
        <f aca="false">_xlfn.CONCAT(H1100,I1100,J1100)</f>
        <v>DAURDE</v>
      </c>
    </row>
    <row r="1101" customFormat="false" ht="15" hidden="false" customHeight="false" outlineLevel="0" collapsed="false">
      <c r="B1101" s="32" t="s">
        <v>501</v>
      </c>
      <c r="C1101" s="32" t="s">
        <v>496</v>
      </c>
      <c r="D1101" s="33" t="n">
        <v>46046.1631944444</v>
      </c>
      <c r="E1101" s="33" t="n">
        <v>46046.1631944444</v>
      </c>
      <c r="F1101" s="33" t="n">
        <v>46046.7777777778</v>
      </c>
      <c r="G1101" s="34" t="n">
        <f aca="false">F1101-E1101</f>
        <v>0.614583333333333</v>
      </c>
      <c r="H1101" s="39" t="s">
        <v>252</v>
      </c>
      <c r="J1101" s="39" t="s">
        <v>253</v>
      </c>
      <c r="K1101" s="32" t="s">
        <v>266</v>
      </c>
      <c r="L1101" s="32" t="s">
        <v>605</v>
      </c>
      <c r="M1101" s="39" t="s">
        <v>255</v>
      </c>
      <c r="N1101" s="39" t="s">
        <v>256</v>
      </c>
      <c r="O1101" s="32" t="s">
        <v>606</v>
      </c>
      <c r="P1101" s="40" t="str">
        <f aca="false">_xlfn.CONCAT(B1101,C1101,D1101,E1101,F1101)</f>
        <v>BC Corumba2.3U03.I0346046.163194444446046.163194444446046.7777777778</v>
      </c>
      <c r="Q1101" s="32" t="str">
        <f aca="false">_xlfn.CONCAT(H1101,I1101,J1101)</f>
        <v>DAURDE</v>
      </c>
    </row>
    <row r="1102" customFormat="false" ht="15" hidden="false" customHeight="false" outlineLevel="0" collapsed="false">
      <c r="B1102" s="32" t="s">
        <v>112</v>
      </c>
      <c r="C1102" s="32" t="s">
        <v>532</v>
      </c>
      <c r="D1102" s="33" t="n">
        <v>46046.2604166667</v>
      </c>
      <c r="E1102" s="33" t="n">
        <v>46046.2604166667</v>
      </c>
      <c r="F1102" s="33" t="n">
        <v>46046.2777777778</v>
      </c>
      <c r="G1102" s="34" t="n">
        <f aca="false">F1102-E1102</f>
        <v>0.0173611111111111</v>
      </c>
      <c r="H1102" s="39" t="s">
        <v>252</v>
      </c>
      <c r="J1102" s="39" t="s">
        <v>253</v>
      </c>
      <c r="K1102" s="32" t="s">
        <v>266</v>
      </c>
      <c r="L1102" s="32" t="s">
        <v>275</v>
      </c>
      <c r="M1102" s="39" t="s">
        <v>255</v>
      </c>
      <c r="N1102" s="39" t="s">
        <v>256</v>
      </c>
      <c r="O1102" s="32" t="s">
        <v>607</v>
      </c>
      <c r="P1102" s="40" t="str">
        <f aca="false">_xlfn.CONCAT(B1102,C1102,D1102,E1102,F1102)</f>
        <v>BC ParanoaSG60KTL(COM1-016)_001_00646046.260416666746046.260416666746046.2777777778</v>
      </c>
      <c r="Q1102" s="32" t="str">
        <f aca="false">_xlfn.CONCAT(H1102,I1102,J1102)</f>
        <v>DAURDE</v>
      </c>
    </row>
    <row r="1103" customFormat="false" ht="15" hidden="false" customHeight="false" outlineLevel="0" collapsed="false">
      <c r="B1103" s="32" t="s">
        <v>112</v>
      </c>
      <c r="C1103" s="32" t="s">
        <v>537</v>
      </c>
      <c r="D1103" s="33" t="n">
        <v>46046.2604166667</v>
      </c>
      <c r="E1103" s="33" t="n">
        <v>46046.2604166667</v>
      </c>
      <c r="F1103" s="33" t="n">
        <v>46046.2777777778</v>
      </c>
      <c r="G1103" s="34" t="n">
        <f aca="false">F1103-E1103</f>
        <v>0.0173611111111111</v>
      </c>
      <c r="H1103" s="39" t="s">
        <v>252</v>
      </c>
      <c r="J1103" s="39" t="s">
        <v>253</v>
      </c>
      <c r="K1103" s="32" t="s">
        <v>266</v>
      </c>
      <c r="L1103" s="32" t="s">
        <v>275</v>
      </c>
      <c r="M1103" s="39" t="s">
        <v>255</v>
      </c>
      <c r="N1103" s="39" t="s">
        <v>256</v>
      </c>
      <c r="O1103" s="32" t="s">
        <v>607</v>
      </c>
      <c r="P1103" s="40" t="str">
        <f aca="false">_xlfn.CONCAT(B1103,C1103,D1103,E1103,F1103)</f>
        <v>BC ParanoaSG60KTL(COM1-006)_001_01446046.260416666746046.260416666746046.2777777778</v>
      </c>
      <c r="Q1103" s="32" t="str">
        <f aca="false">_xlfn.CONCAT(H1103,I1103,J1103)</f>
        <v>DAURDE</v>
      </c>
    </row>
    <row r="1104" customFormat="false" ht="15" hidden="false" customHeight="false" outlineLevel="0" collapsed="false">
      <c r="B1104" s="32" t="s">
        <v>112</v>
      </c>
      <c r="C1104" s="32" t="s">
        <v>541</v>
      </c>
      <c r="D1104" s="33" t="n">
        <v>46046.2604166667</v>
      </c>
      <c r="E1104" s="33" t="n">
        <v>46046.2604166667</v>
      </c>
      <c r="F1104" s="33" t="n">
        <v>46046.2777777778</v>
      </c>
      <c r="G1104" s="34" t="n">
        <f aca="false">F1104-E1104</f>
        <v>0.0173611111111111</v>
      </c>
      <c r="H1104" s="39" t="s">
        <v>252</v>
      </c>
      <c r="J1104" s="39" t="s">
        <v>253</v>
      </c>
      <c r="K1104" s="32" t="s">
        <v>266</v>
      </c>
      <c r="L1104" s="32" t="s">
        <v>275</v>
      </c>
      <c r="M1104" s="39" t="s">
        <v>255</v>
      </c>
      <c r="N1104" s="39" t="s">
        <v>256</v>
      </c>
      <c r="O1104" s="32" t="s">
        <v>607</v>
      </c>
      <c r="P1104" s="40" t="str">
        <f aca="false">_xlfn.CONCAT(B1104,C1104,D1104,E1104,F1104)</f>
        <v>BC ParanoaSG60KTL(COM1-021)_002_01746046.260416666746046.260416666746046.2777777778</v>
      </c>
      <c r="Q1104" s="32" t="str">
        <f aca="false">_xlfn.CONCAT(H1104,I1104,J1104)</f>
        <v>DAURDE</v>
      </c>
    </row>
    <row r="1105" customFormat="false" ht="15" hidden="false" customHeight="false" outlineLevel="0" collapsed="false">
      <c r="B1105" s="32" t="s">
        <v>271</v>
      </c>
      <c r="C1105" s="32" t="s">
        <v>265</v>
      </c>
      <c r="D1105" s="33" t="n">
        <v>46046.2708333333</v>
      </c>
      <c r="E1105" s="33" t="n">
        <v>46046.2708333333</v>
      </c>
      <c r="F1105" s="33" t="n">
        <v>46046.7083333333</v>
      </c>
      <c r="G1105" s="34" t="n">
        <f aca="false">F1105-E1105</f>
        <v>0.4375</v>
      </c>
      <c r="H1105" s="39" t="s">
        <v>283</v>
      </c>
      <c r="I1105" s="32" t="s">
        <v>284</v>
      </c>
      <c r="J1105" s="39" t="s">
        <v>285</v>
      </c>
      <c r="K1105" s="32" t="s">
        <v>286</v>
      </c>
      <c r="L1105" s="32" t="s">
        <v>608</v>
      </c>
      <c r="M1105" s="39" t="s">
        <v>288</v>
      </c>
      <c r="N1105" s="39" t="s">
        <v>589</v>
      </c>
      <c r="O1105" s="32" t="s">
        <v>609</v>
      </c>
      <c r="P1105" s="40" t="str">
        <f aca="false">_xlfn.CONCAT(B1105,C1105,D1105,E1105,F1105)</f>
        <v>BC Aracu5.3Inverter(MBUS-1)46046.270833333346046.270833333346046.7083333333</v>
      </c>
      <c r="Q1105" s="32" t="str">
        <f aca="false">_xlfn.CONCAT(H1105,I1105,J1105)</f>
        <v>LIGRFOCOM</v>
      </c>
    </row>
    <row r="1106" customFormat="false" ht="15" hidden="false" customHeight="false" outlineLevel="0" collapsed="false">
      <c r="B1106" s="32" t="s">
        <v>32</v>
      </c>
      <c r="C1106" s="32" t="s">
        <v>576</v>
      </c>
      <c r="D1106" s="33" t="n">
        <v>46046.3402777778</v>
      </c>
      <c r="E1106" s="33" t="n">
        <v>46046.3402777778</v>
      </c>
      <c r="F1106" s="33" t="n">
        <v>46046.6111111111</v>
      </c>
      <c r="G1106" s="34" t="n">
        <f aca="false">F1106-E1106</f>
        <v>0.270833333333333</v>
      </c>
      <c r="H1106" s="39" t="s">
        <v>252</v>
      </c>
      <c r="J1106" s="39" t="s">
        <v>253</v>
      </c>
      <c r="K1106" s="32" t="s">
        <v>266</v>
      </c>
      <c r="L1106" s="32" t="s">
        <v>267</v>
      </c>
      <c r="M1106" s="39" t="s">
        <v>255</v>
      </c>
      <c r="N1106" s="39" t="s">
        <v>256</v>
      </c>
      <c r="O1106" s="32" t="s">
        <v>610</v>
      </c>
      <c r="P1106" s="40" t="str">
        <f aca="false">_xlfn.CONCAT(B1106,C1106,D1106,E1106,F1106)</f>
        <v>BC Aracu4SG75CX(COM1-018)_001_01846046.340277777846046.340277777846046.6111111111</v>
      </c>
      <c r="Q1106" s="32" t="str">
        <f aca="false">_xlfn.CONCAT(H1106,I1106,J1106)</f>
        <v>DAURDE</v>
      </c>
    </row>
    <row r="1107" customFormat="false" ht="15" hidden="false" customHeight="false" outlineLevel="0" collapsed="false">
      <c r="B1107" s="32" t="s">
        <v>32</v>
      </c>
      <c r="C1107" s="32" t="s">
        <v>577</v>
      </c>
      <c r="D1107" s="33" t="n">
        <v>46046.3402777778</v>
      </c>
      <c r="E1107" s="33" t="n">
        <v>46046.3402777778</v>
      </c>
      <c r="F1107" s="33" t="n">
        <v>46046.6111111111</v>
      </c>
      <c r="G1107" s="34" t="n">
        <f aca="false">F1107-E1107</f>
        <v>0.270833333333333</v>
      </c>
      <c r="H1107" s="39" t="s">
        <v>252</v>
      </c>
      <c r="J1107" s="39" t="s">
        <v>253</v>
      </c>
      <c r="K1107" s="32" t="s">
        <v>266</v>
      </c>
      <c r="L1107" s="32" t="s">
        <v>267</v>
      </c>
      <c r="M1107" s="39" t="s">
        <v>255</v>
      </c>
      <c r="N1107" s="39" t="s">
        <v>256</v>
      </c>
      <c r="O1107" s="32" t="s">
        <v>610</v>
      </c>
      <c r="P1107" s="40" t="str">
        <f aca="false">_xlfn.CONCAT(B1107,C1107,D1107,E1107,F1107)</f>
        <v>BC Aracu4SG75CX(COM1-019)_001_01946046.340277777846046.340277777846046.6111111111</v>
      </c>
      <c r="Q1107" s="32" t="str">
        <f aca="false">_xlfn.CONCAT(H1107,I1107,J1107)</f>
        <v>DAURDE</v>
      </c>
    </row>
    <row r="1108" customFormat="false" ht="15" hidden="false" customHeight="false" outlineLevel="0" collapsed="false">
      <c r="B1108" s="32" t="s">
        <v>32</v>
      </c>
      <c r="C1108" s="32" t="s">
        <v>578</v>
      </c>
      <c r="D1108" s="33" t="n">
        <v>46046.3402777778</v>
      </c>
      <c r="E1108" s="33" t="n">
        <v>46046.3402777778</v>
      </c>
      <c r="F1108" s="33" t="n">
        <v>46046.6111111111</v>
      </c>
      <c r="G1108" s="34" t="n">
        <f aca="false">F1108-E1108</f>
        <v>0.270833333333333</v>
      </c>
      <c r="H1108" s="39" t="s">
        <v>252</v>
      </c>
      <c r="J1108" s="39" t="s">
        <v>253</v>
      </c>
      <c r="K1108" s="32" t="s">
        <v>266</v>
      </c>
      <c r="L1108" s="32" t="s">
        <v>267</v>
      </c>
      <c r="M1108" s="39" t="s">
        <v>255</v>
      </c>
      <c r="N1108" s="39" t="s">
        <v>256</v>
      </c>
      <c r="O1108" s="32" t="s">
        <v>610</v>
      </c>
      <c r="P1108" s="40" t="str">
        <f aca="false">_xlfn.CONCAT(B1108,C1108,D1108,E1108,F1108)</f>
        <v>BC Aracu4SG75CX(COM1-020)_001_02046046.340277777846046.340277777846046.6111111111</v>
      </c>
      <c r="Q1108" s="32" t="str">
        <f aca="false">_xlfn.CONCAT(H1108,I1108,J1108)</f>
        <v>DAURDE</v>
      </c>
    </row>
    <row r="1109" customFormat="false" ht="15" hidden="false" customHeight="false" outlineLevel="0" collapsed="false">
      <c r="B1109" s="32" t="s">
        <v>32</v>
      </c>
      <c r="C1109" s="32" t="s">
        <v>579</v>
      </c>
      <c r="D1109" s="33" t="n">
        <v>46046.3402777778</v>
      </c>
      <c r="E1109" s="33" t="n">
        <v>46046.3402777778</v>
      </c>
      <c r="F1109" s="33" t="n">
        <v>46046.6111111111</v>
      </c>
      <c r="G1109" s="34" t="n">
        <f aca="false">F1109-E1109</f>
        <v>0.270833333333333</v>
      </c>
      <c r="H1109" s="39" t="s">
        <v>252</v>
      </c>
      <c r="J1109" s="39" t="s">
        <v>253</v>
      </c>
      <c r="K1109" s="32" t="s">
        <v>266</v>
      </c>
      <c r="L1109" s="32" t="s">
        <v>267</v>
      </c>
      <c r="M1109" s="39" t="s">
        <v>255</v>
      </c>
      <c r="N1109" s="39" t="s">
        <v>256</v>
      </c>
      <c r="O1109" s="32" t="s">
        <v>610</v>
      </c>
      <c r="P1109" s="40" t="str">
        <f aca="false">_xlfn.CONCAT(B1109,C1109,D1109,E1109,F1109)</f>
        <v>BC Aracu4SG75CX(COM1-021)_001_02146046.340277777846046.340277777846046.6111111111</v>
      </c>
      <c r="Q1109" s="32" t="str">
        <f aca="false">_xlfn.CONCAT(H1109,I1109,J1109)</f>
        <v>DAURDE</v>
      </c>
    </row>
    <row r="1110" customFormat="false" ht="15" hidden="false" customHeight="false" outlineLevel="0" collapsed="false">
      <c r="B1110" s="32" t="s">
        <v>15</v>
      </c>
      <c r="C1110" s="32" t="s">
        <v>611</v>
      </c>
      <c r="D1110" s="33" t="n">
        <v>46046.3402777778</v>
      </c>
      <c r="E1110" s="33" t="n">
        <v>46046.3402777778</v>
      </c>
      <c r="F1110" s="33" t="n">
        <v>46046.6111111111</v>
      </c>
      <c r="G1110" s="34" t="n">
        <f aca="false">F1110-E1110</f>
        <v>0.270833333333333</v>
      </c>
      <c r="H1110" s="39" t="s">
        <v>252</v>
      </c>
      <c r="J1110" s="39" t="s">
        <v>253</v>
      </c>
      <c r="K1110" s="32" t="s">
        <v>266</v>
      </c>
      <c r="L1110" s="32" t="s">
        <v>267</v>
      </c>
      <c r="M1110" s="39" t="s">
        <v>255</v>
      </c>
      <c r="N1110" s="39" t="s">
        <v>256</v>
      </c>
      <c r="O1110" s="32" t="s">
        <v>610</v>
      </c>
      <c r="P1110" s="40" t="str">
        <f aca="false">_xlfn.CONCAT(B1110,C1110,D1110,E1110,F1110)</f>
        <v>BC Aracu1Inverter7146046.340277777846046.340277777846046.6111111111</v>
      </c>
      <c r="Q1110" s="32" t="str">
        <f aca="false">_xlfn.CONCAT(H1110,I1110,J1110)</f>
        <v>DAURDE</v>
      </c>
    </row>
    <row r="1111" customFormat="false" ht="15" hidden="false" customHeight="false" outlineLevel="0" collapsed="false">
      <c r="B1111" s="32" t="s">
        <v>15</v>
      </c>
      <c r="C1111" s="32" t="s">
        <v>612</v>
      </c>
      <c r="D1111" s="33" t="n">
        <v>46046.3402777778</v>
      </c>
      <c r="E1111" s="33" t="n">
        <v>46046.3402777778</v>
      </c>
      <c r="F1111" s="33" t="n">
        <v>46046.6111111111</v>
      </c>
      <c r="G1111" s="34" t="n">
        <f aca="false">F1111-E1111</f>
        <v>0.270833333333333</v>
      </c>
      <c r="H1111" s="39" t="s">
        <v>252</v>
      </c>
      <c r="J1111" s="39" t="s">
        <v>253</v>
      </c>
      <c r="K1111" s="32" t="s">
        <v>266</v>
      </c>
      <c r="L1111" s="32" t="s">
        <v>267</v>
      </c>
      <c r="M1111" s="39" t="s">
        <v>255</v>
      </c>
      <c r="N1111" s="39" t="s">
        <v>256</v>
      </c>
      <c r="O1111" s="32" t="s">
        <v>610</v>
      </c>
      <c r="P1111" s="40" t="str">
        <f aca="false">_xlfn.CONCAT(B1111,C1111,D1111,E1111,F1111)</f>
        <v>BC Aracu1Inverter7246046.340277777846046.340277777846046.6111111111</v>
      </c>
      <c r="Q1111" s="32" t="str">
        <f aca="false">_xlfn.CONCAT(H1111,I1111,J1111)</f>
        <v>DAURDE</v>
      </c>
    </row>
    <row r="1112" customFormat="false" ht="15" hidden="false" customHeight="false" outlineLevel="0" collapsed="false">
      <c r="B1112" s="32" t="s">
        <v>15</v>
      </c>
      <c r="C1112" s="32" t="s">
        <v>613</v>
      </c>
      <c r="D1112" s="33" t="n">
        <v>46046.3402777778</v>
      </c>
      <c r="E1112" s="33" t="n">
        <v>46046.3402777778</v>
      </c>
      <c r="F1112" s="33" t="n">
        <v>46046.6111111111</v>
      </c>
      <c r="G1112" s="34" t="n">
        <f aca="false">F1112-E1112</f>
        <v>0.270833333333333</v>
      </c>
      <c r="H1112" s="39" t="s">
        <v>252</v>
      </c>
      <c r="J1112" s="39" t="s">
        <v>253</v>
      </c>
      <c r="K1112" s="32" t="s">
        <v>266</v>
      </c>
      <c r="L1112" s="32" t="s">
        <v>267</v>
      </c>
      <c r="M1112" s="39" t="s">
        <v>255</v>
      </c>
      <c r="N1112" s="39" t="s">
        <v>256</v>
      </c>
      <c r="O1112" s="32" t="s">
        <v>610</v>
      </c>
      <c r="P1112" s="40" t="str">
        <f aca="false">_xlfn.CONCAT(B1112,C1112,D1112,E1112,F1112)</f>
        <v>BC Aracu1Inverter7346046.340277777846046.340277777846046.6111111111</v>
      </c>
      <c r="Q1112" s="32" t="str">
        <f aca="false">_xlfn.CONCAT(H1112,I1112,J1112)</f>
        <v>DAURDE</v>
      </c>
    </row>
    <row r="1113" customFormat="false" ht="15" hidden="false" customHeight="false" outlineLevel="0" collapsed="false">
      <c r="B1113" s="32" t="s">
        <v>15</v>
      </c>
      <c r="C1113" s="32" t="s">
        <v>614</v>
      </c>
      <c r="D1113" s="33" t="n">
        <v>46046.3402777778</v>
      </c>
      <c r="E1113" s="33" t="n">
        <v>46046.3402777778</v>
      </c>
      <c r="F1113" s="33" t="n">
        <v>46046.6111111111</v>
      </c>
      <c r="G1113" s="34" t="n">
        <f aca="false">F1113-E1113</f>
        <v>0.270833333333333</v>
      </c>
      <c r="H1113" s="39" t="s">
        <v>252</v>
      </c>
      <c r="J1113" s="39" t="s">
        <v>253</v>
      </c>
      <c r="K1113" s="32" t="s">
        <v>266</v>
      </c>
      <c r="L1113" s="32" t="s">
        <v>267</v>
      </c>
      <c r="M1113" s="39" t="s">
        <v>255</v>
      </c>
      <c r="N1113" s="39" t="s">
        <v>256</v>
      </c>
      <c r="O1113" s="32" t="s">
        <v>610</v>
      </c>
      <c r="P1113" s="40" t="str">
        <f aca="false">_xlfn.CONCAT(B1113,C1113,D1113,E1113,F1113)</f>
        <v>BC Aracu1Inverter7446046.340277777846046.340277777846046.6111111111</v>
      </c>
      <c r="Q1113" s="32" t="str">
        <f aca="false">_xlfn.CONCAT(H1113,I1113,J1113)</f>
        <v>DAURDE</v>
      </c>
    </row>
    <row r="1114" customFormat="false" ht="15" hidden="false" customHeight="false" outlineLevel="0" collapsed="false">
      <c r="B1114" s="32" t="s">
        <v>15</v>
      </c>
      <c r="C1114" s="32" t="s">
        <v>615</v>
      </c>
      <c r="D1114" s="33" t="n">
        <v>46046.3402777778</v>
      </c>
      <c r="E1114" s="33" t="n">
        <v>46046.3402777778</v>
      </c>
      <c r="F1114" s="33" t="n">
        <v>46046.6111111111</v>
      </c>
      <c r="G1114" s="34" t="n">
        <f aca="false">F1114-E1114</f>
        <v>0.270833333333333</v>
      </c>
      <c r="H1114" s="39" t="s">
        <v>252</v>
      </c>
      <c r="J1114" s="39" t="s">
        <v>253</v>
      </c>
      <c r="K1114" s="32" t="s">
        <v>266</v>
      </c>
      <c r="L1114" s="32" t="s">
        <v>267</v>
      </c>
      <c r="M1114" s="39" t="s">
        <v>255</v>
      </c>
      <c r="N1114" s="39" t="s">
        <v>256</v>
      </c>
      <c r="O1114" s="32" t="s">
        <v>610</v>
      </c>
      <c r="P1114" s="40" t="str">
        <f aca="false">_xlfn.CONCAT(B1114,C1114,D1114,E1114,F1114)</f>
        <v>BC Aracu1Inverter7546046.340277777846046.340277777846046.6111111111</v>
      </c>
      <c r="Q1114" s="32" t="str">
        <f aca="false">_xlfn.CONCAT(H1114,I1114,J1114)</f>
        <v>DAURDE</v>
      </c>
    </row>
    <row r="1115" customFormat="false" ht="15" hidden="false" customHeight="false" outlineLevel="0" collapsed="false">
      <c r="B1115" s="32" t="s">
        <v>15</v>
      </c>
      <c r="C1115" s="32" t="s">
        <v>616</v>
      </c>
      <c r="D1115" s="33" t="n">
        <v>46046.3402777778</v>
      </c>
      <c r="E1115" s="33" t="n">
        <v>46046.3402777778</v>
      </c>
      <c r="F1115" s="33" t="n">
        <v>46046.6111111111</v>
      </c>
      <c r="G1115" s="34" t="n">
        <f aca="false">F1115-E1115</f>
        <v>0.270833333333333</v>
      </c>
      <c r="H1115" s="39" t="s">
        <v>252</v>
      </c>
      <c r="J1115" s="39" t="s">
        <v>253</v>
      </c>
      <c r="K1115" s="32" t="s">
        <v>266</v>
      </c>
      <c r="L1115" s="32" t="s">
        <v>267</v>
      </c>
      <c r="M1115" s="39" t="s">
        <v>255</v>
      </c>
      <c r="N1115" s="39" t="s">
        <v>256</v>
      </c>
      <c r="O1115" s="32" t="s">
        <v>610</v>
      </c>
      <c r="P1115" s="40" t="str">
        <f aca="false">_xlfn.CONCAT(B1115,C1115,D1115,E1115,F1115)</f>
        <v>BC Aracu1Inverter7646046.340277777846046.340277777846046.6111111111</v>
      </c>
      <c r="Q1115" s="32" t="str">
        <f aca="false">_xlfn.CONCAT(H1115,I1115,J1115)</f>
        <v>DAURDE</v>
      </c>
    </row>
    <row r="1116" customFormat="false" ht="15" hidden="false" customHeight="false" outlineLevel="0" collapsed="false">
      <c r="B1116" s="32" t="s">
        <v>15</v>
      </c>
      <c r="C1116" s="32" t="s">
        <v>617</v>
      </c>
      <c r="D1116" s="33" t="n">
        <v>46046.3402777778</v>
      </c>
      <c r="E1116" s="33" t="n">
        <v>46046.3402777778</v>
      </c>
      <c r="F1116" s="33" t="n">
        <v>46046.6111111111</v>
      </c>
      <c r="G1116" s="34" t="n">
        <f aca="false">F1116-E1116</f>
        <v>0.270833333333333</v>
      </c>
      <c r="H1116" s="39" t="s">
        <v>252</v>
      </c>
      <c r="J1116" s="39" t="s">
        <v>253</v>
      </c>
      <c r="K1116" s="32" t="s">
        <v>266</v>
      </c>
      <c r="L1116" s="32" t="s">
        <v>267</v>
      </c>
      <c r="M1116" s="39" t="s">
        <v>255</v>
      </c>
      <c r="N1116" s="39" t="s">
        <v>256</v>
      </c>
      <c r="O1116" s="32" t="s">
        <v>610</v>
      </c>
      <c r="P1116" s="40" t="str">
        <f aca="false">_xlfn.CONCAT(B1116,C1116,D1116,E1116,F1116)</f>
        <v>BC Aracu1Inverter7746046.340277777846046.340277777846046.6111111111</v>
      </c>
      <c r="Q1116" s="32" t="str">
        <f aca="false">_xlfn.CONCAT(H1116,I1116,J1116)</f>
        <v>DAURDE</v>
      </c>
    </row>
    <row r="1117" customFormat="false" ht="15" hidden="false" customHeight="false" outlineLevel="0" collapsed="false">
      <c r="B1117" s="32" t="s">
        <v>18</v>
      </c>
      <c r="C1117" s="32" t="s">
        <v>373</v>
      </c>
      <c r="D1117" s="33" t="n">
        <v>46046.3402777778</v>
      </c>
      <c r="E1117" s="33" t="n">
        <v>46046.3402777778</v>
      </c>
      <c r="F1117" s="33" t="n">
        <v>46046.6111111111</v>
      </c>
      <c r="G1117" s="34" t="n">
        <f aca="false">F1117-E1117</f>
        <v>0.270833333333333</v>
      </c>
      <c r="H1117" s="39" t="s">
        <v>252</v>
      </c>
      <c r="J1117" s="39" t="s">
        <v>253</v>
      </c>
      <c r="K1117" s="32" t="s">
        <v>266</v>
      </c>
      <c r="L1117" s="32" t="s">
        <v>267</v>
      </c>
      <c r="M1117" s="39" t="s">
        <v>255</v>
      </c>
      <c r="N1117" s="39" t="s">
        <v>256</v>
      </c>
      <c r="O1117" s="32" t="s">
        <v>610</v>
      </c>
      <c r="P1117" s="40" t="str">
        <f aca="false">_xlfn.CONCAT(B1117,C1117,D1117,E1117,F1117)</f>
        <v>BC Aracu2araçu 2.1 inversor 146046.340277777846046.340277777846046.6111111111</v>
      </c>
      <c r="Q1117" s="32" t="str">
        <f aca="false">_xlfn.CONCAT(H1117,I1117,J1117)</f>
        <v>DAURDE</v>
      </c>
    </row>
    <row r="1118" customFormat="false" ht="15" hidden="false" customHeight="false" outlineLevel="0" collapsed="false">
      <c r="B1118" s="32" t="s">
        <v>18</v>
      </c>
      <c r="C1118" s="32" t="s">
        <v>392</v>
      </c>
      <c r="D1118" s="33" t="n">
        <v>46046.3402777778</v>
      </c>
      <c r="E1118" s="33" t="n">
        <v>46046.3402777778</v>
      </c>
      <c r="F1118" s="33" t="n">
        <v>46046.6111111111</v>
      </c>
      <c r="G1118" s="34" t="n">
        <f aca="false">F1118-E1118</f>
        <v>0.270833333333333</v>
      </c>
      <c r="H1118" s="39" t="s">
        <v>252</v>
      </c>
      <c r="J1118" s="39" t="s">
        <v>253</v>
      </c>
      <c r="K1118" s="32" t="s">
        <v>266</v>
      </c>
      <c r="L1118" s="32" t="s">
        <v>267</v>
      </c>
      <c r="M1118" s="39" t="s">
        <v>255</v>
      </c>
      <c r="N1118" s="39" t="s">
        <v>256</v>
      </c>
      <c r="O1118" s="32" t="s">
        <v>610</v>
      </c>
      <c r="P1118" s="40" t="str">
        <f aca="false">_xlfn.CONCAT(B1118,C1118,D1118,E1118,F1118)</f>
        <v>BC Aracu2araçu 2.1 inversor 246046.340277777846046.340277777846046.6111111111</v>
      </c>
      <c r="Q1118" s="32" t="str">
        <f aca="false">_xlfn.CONCAT(H1118,I1118,J1118)</f>
        <v>DAURDE</v>
      </c>
    </row>
    <row r="1119" customFormat="false" ht="15" hidden="false" customHeight="false" outlineLevel="0" collapsed="false">
      <c r="B1119" s="32" t="s">
        <v>18</v>
      </c>
      <c r="C1119" s="32" t="s">
        <v>393</v>
      </c>
      <c r="D1119" s="33" t="n">
        <v>46046.3402777778</v>
      </c>
      <c r="E1119" s="33" t="n">
        <v>46046.3402777778</v>
      </c>
      <c r="F1119" s="33" t="n">
        <v>46046.6111111111</v>
      </c>
      <c r="G1119" s="34" t="n">
        <f aca="false">F1119-E1119</f>
        <v>0.270833333333333</v>
      </c>
      <c r="H1119" s="39" t="s">
        <v>252</v>
      </c>
      <c r="J1119" s="39" t="s">
        <v>253</v>
      </c>
      <c r="K1119" s="32" t="s">
        <v>266</v>
      </c>
      <c r="L1119" s="32" t="s">
        <v>267</v>
      </c>
      <c r="M1119" s="39" t="s">
        <v>255</v>
      </c>
      <c r="N1119" s="39" t="s">
        <v>256</v>
      </c>
      <c r="O1119" s="32" t="s">
        <v>610</v>
      </c>
      <c r="P1119" s="40" t="str">
        <f aca="false">_xlfn.CONCAT(B1119,C1119,D1119,E1119,F1119)</f>
        <v>BC Aracu2araçu 2.1 inversor 346046.340277777846046.340277777846046.6111111111</v>
      </c>
      <c r="Q1119" s="32" t="str">
        <f aca="false">_xlfn.CONCAT(H1119,I1119,J1119)</f>
        <v>DAURDE</v>
      </c>
    </row>
    <row r="1120" customFormat="false" ht="15" hidden="false" customHeight="false" outlineLevel="0" collapsed="false">
      <c r="B1120" s="32" t="s">
        <v>18</v>
      </c>
      <c r="C1120" s="32" t="s">
        <v>394</v>
      </c>
      <c r="D1120" s="33" t="n">
        <v>46046.3402777778</v>
      </c>
      <c r="E1120" s="33" t="n">
        <v>46046.3402777778</v>
      </c>
      <c r="F1120" s="33" t="n">
        <v>46046.6111111111</v>
      </c>
      <c r="G1120" s="34" t="n">
        <f aca="false">F1120-E1120</f>
        <v>0.270833333333333</v>
      </c>
      <c r="H1120" s="39" t="s">
        <v>252</v>
      </c>
      <c r="J1120" s="39" t="s">
        <v>253</v>
      </c>
      <c r="K1120" s="32" t="s">
        <v>266</v>
      </c>
      <c r="L1120" s="32" t="s">
        <v>267</v>
      </c>
      <c r="M1120" s="39" t="s">
        <v>255</v>
      </c>
      <c r="N1120" s="39" t="s">
        <v>256</v>
      </c>
      <c r="O1120" s="32" t="s">
        <v>610</v>
      </c>
      <c r="P1120" s="40" t="str">
        <f aca="false">_xlfn.CONCAT(B1120,C1120,D1120,E1120,F1120)</f>
        <v>BC Aracu2araçu 2.2 inversor 146046.340277777846046.340277777846046.6111111111</v>
      </c>
      <c r="Q1120" s="32" t="str">
        <f aca="false">_xlfn.CONCAT(H1120,I1120,J1120)</f>
        <v>DAURDE</v>
      </c>
    </row>
    <row r="1121" customFormat="false" ht="15" hidden="false" customHeight="false" outlineLevel="0" collapsed="false">
      <c r="B1121" s="32" t="s">
        <v>18</v>
      </c>
      <c r="C1121" s="32" t="s">
        <v>395</v>
      </c>
      <c r="D1121" s="33" t="n">
        <v>46046.3402777778</v>
      </c>
      <c r="E1121" s="33" t="n">
        <v>46046.3402777778</v>
      </c>
      <c r="F1121" s="33" t="n">
        <v>46046.6111111111</v>
      </c>
      <c r="G1121" s="34" t="n">
        <f aca="false">F1121-E1121</f>
        <v>0.270833333333333</v>
      </c>
      <c r="H1121" s="39" t="s">
        <v>252</v>
      </c>
      <c r="J1121" s="39" t="s">
        <v>253</v>
      </c>
      <c r="K1121" s="32" t="s">
        <v>266</v>
      </c>
      <c r="L1121" s="32" t="s">
        <v>267</v>
      </c>
      <c r="M1121" s="39" t="s">
        <v>255</v>
      </c>
      <c r="N1121" s="39" t="s">
        <v>256</v>
      </c>
      <c r="O1121" s="32" t="s">
        <v>610</v>
      </c>
      <c r="P1121" s="40" t="str">
        <f aca="false">_xlfn.CONCAT(B1121,C1121,D1121,E1121,F1121)</f>
        <v>BC Aracu2araçu 2.2 inversor 246046.340277777846046.340277777846046.6111111111</v>
      </c>
      <c r="Q1121" s="32" t="str">
        <f aca="false">_xlfn.CONCAT(H1121,I1121,J1121)</f>
        <v>DAURDE</v>
      </c>
    </row>
    <row r="1122" customFormat="false" ht="15" hidden="false" customHeight="false" outlineLevel="0" collapsed="false">
      <c r="B1122" s="32" t="s">
        <v>18</v>
      </c>
      <c r="C1122" s="32" t="s">
        <v>396</v>
      </c>
      <c r="D1122" s="33" t="n">
        <v>46046.3402777778</v>
      </c>
      <c r="E1122" s="33" t="n">
        <v>46046.3402777778</v>
      </c>
      <c r="F1122" s="33" t="n">
        <v>46046.6111111111</v>
      </c>
      <c r="G1122" s="34" t="n">
        <f aca="false">F1122-E1122</f>
        <v>0.270833333333333</v>
      </c>
      <c r="H1122" s="39" t="s">
        <v>252</v>
      </c>
      <c r="J1122" s="39" t="s">
        <v>253</v>
      </c>
      <c r="K1122" s="32" t="s">
        <v>266</v>
      </c>
      <c r="L1122" s="32" t="s">
        <v>267</v>
      </c>
      <c r="M1122" s="39" t="s">
        <v>255</v>
      </c>
      <c r="N1122" s="39" t="s">
        <v>256</v>
      </c>
      <c r="O1122" s="32" t="s">
        <v>610</v>
      </c>
      <c r="P1122" s="40" t="str">
        <f aca="false">_xlfn.CONCAT(B1122,C1122,D1122,E1122,F1122)</f>
        <v>BC Aracu2araçu 2.2 inversor 346046.340277777846046.340277777846046.6111111111</v>
      </c>
      <c r="Q1122" s="32" t="str">
        <f aca="false">_xlfn.CONCAT(H1122,I1122,J1122)</f>
        <v>DAURDE</v>
      </c>
    </row>
    <row r="1123" customFormat="false" ht="15" hidden="false" customHeight="false" outlineLevel="0" collapsed="false">
      <c r="B1123" s="32" t="s">
        <v>18</v>
      </c>
      <c r="C1123" s="32" t="s">
        <v>397</v>
      </c>
      <c r="D1123" s="33" t="n">
        <v>46046.3402777778</v>
      </c>
      <c r="E1123" s="33" t="n">
        <v>46046.3402777778</v>
      </c>
      <c r="F1123" s="33" t="n">
        <v>46046.6111111111</v>
      </c>
      <c r="G1123" s="34" t="n">
        <f aca="false">F1123-E1123</f>
        <v>0.270833333333333</v>
      </c>
      <c r="H1123" s="39" t="s">
        <v>252</v>
      </c>
      <c r="J1123" s="39" t="s">
        <v>253</v>
      </c>
      <c r="K1123" s="32" t="s">
        <v>266</v>
      </c>
      <c r="L1123" s="32" t="s">
        <v>267</v>
      </c>
      <c r="M1123" s="39" t="s">
        <v>255</v>
      </c>
      <c r="N1123" s="39" t="s">
        <v>256</v>
      </c>
      <c r="O1123" s="32" t="s">
        <v>610</v>
      </c>
      <c r="P1123" s="40" t="str">
        <f aca="false">_xlfn.CONCAT(B1123,C1123,D1123,E1123,F1123)</f>
        <v>BC Aracu2Inverter8346046.340277777846046.340277777846046.6111111111</v>
      </c>
      <c r="Q1123" s="32" t="str">
        <f aca="false">_xlfn.CONCAT(H1123,I1123,J1123)</f>
        <v>DAURDE</v>
      </c>
    </row>
    <row r="1124" customFormat="false" ht="15" hidden="false" customHeight="false" outlineLevel="0" collapsed="false">
      <c r="B1124" s="32" t="s">
        <v>18</v>
      </c>
      <c r="C1124" s="32" t="s">
        <v>398</v>
      </c>
      <c r="D1124" s="33" t="n">
        <v>46046.3402777778</v>
      </c>
      <c r="E1124" s="33" t="n">
        <v>46046.3402777778</v>
      </c>
      <c r="F1124" s="33" t="n">
        <v>46046.6111111111</v>
      </c>
      <c r="G1124" s="34" t="n">
        <f aca="false">F1124-E1124</f>
        <v>0.270833333333333</v>
      </c>
      <c r="H1124" s="39" t="s">
        <v>252</v>
      </c>
      <c r="J1124" s="39" t="s">
        <v>253</v>
      </c>
      <c r="K1124" s="32" t="s">
        <v>266</v>
      </c>
      <c r="L1124" s="32" t="s">
        <v>267</v>
      </c>
      <c r="M1124" s="39" t="s">
        <v>255</v>
      </c>
      <c r="N1124" s="39" t="s">
        <v>256</v>
      </c>
      <c r="O1124" s="32" t="s">
        <v>610</v>
      </c>
      <c r="P1124" s="40" t="str">
        <f aca="false">_xlfn.CONCAT(B1124,C1124,D1124,E1124,F1124)</f>
        <v>BC Aracu2araçu 2.3 inversor 546046.340277777846046.340277777846046.6111111111</v>
      </c>
      <c r="Q1124" s="32" t="str">
        <f aca="false">_xlfn.CONCAT(H1124,I1124,J1124)</f>
        <v>DAURDE</v>
      </c>
    </row>
    <row r="1125" customFormat="false" ht="15" hidden="false" customHeight="false" outlineLevel="0" collapsed="false">
      <c r="B1125" s="32" t="s">
        <v>18</v>
      </c>
      <c r="C1125" s="32" t="s">
        <v>399</v>
      </c>
      <c r="D1125" s="33" t="n">
        <v>46046.3402777778</v>
      </c>
      <c r="E1125" s="33" t="n">
        <v>46046.3402777778</v>
      </c>
      <c r="F1125" s="33" t="n">
        <v>46046.6111111111</v>
      </c>
      <c r="G1125" s="34" t="n">
        <f aca="false">F1125-E1125</f>
        <v>0.270833333333333</v>
      </c>
      <c r="H1125" s="39" t="s">
        <v>252</v>
      </c>
      <c r="J1125" s="39" t="s">
        <v>253</v>
      </c>
      <c r="K1125" s="32" t="s">
        <v>266</v>
      </c>
      <c r="L1125" s="32" t="s">
        <v>267</v>
      </c>
      <c r="M1125" s="39" t="s">
        <v>255</v>
      </c>
      <c r="N1125" s="39" t="s">
        <v>256</v>
      </c>
      <c r="O1125" s="32" t="s">
        <v>610</v>
      </c>
      <c r="P1125" s="40" t="str">
        <f aca="false">_xlfn.CONCAT(B1125,C1125,D1125,E1125,F1125)</f>
        <v>BC Aracu2araçu 2.3 inversor 146046.340277777846046.340277777846046.6111111111</v>
      </c>
      <c r="Q1125" s="32" t="str">
        <f aca="false">_xlfn.CONCAT(H1125,I1125,J1125)</f>
        <v>DAURDE</v>
      </c>
    </row>
    <row r="1126" customFormat="false" ht="15" hidden="false" customHeight="false" outlineLevel="0" collapsed="false">
      <c r="B1126" s="32" t="s">
        <v>18</v>
      </c>
      <c r="C1126" s="32" t="s">
        <v>389</v>
      </c>
      <c r="D1126" s="33" t="n">
        <v>46046.3402777778</v>
      </c>
      <c r="E1126" s="33" t="n">
        <v>46046.3402777778</v>
      </c>
      <c r="F1126" s="33" t="n">
        <v>46046.6111111111</v>
      </c>
      <c r="G1126" s="34" t="n">
        <f aca="false">F1126-E1126</f>
        <v>0.270833333333333</v>
      </c>
      <c r="H1126" s="39" t="s">
        <v>252</v>
      </c>
      <c r="J1126" s="39" t="s">
        <v>253</v>
      </c>
      <c r="K1126" s="32" t="s">
        <v>266</v>
      </c>
      <c r="L1126" s="32" t="s">
        <v>267</v>
      </c>
      <c r="M1126" s="39" t="s">
        <v>255</v>
      </c>
      <c r="N1126" s="39" t="s">
        <v>256</v>
      </c>
      <c r="O1126" s="32" t="s">
        <v>610</v>
      </c>
      <c r="P1126" s="40" t="str">
        <f aca="false">_xlfn.CONCAT(B1126,C1126,D1126,E1126,F1126)</f>
        <v>BC Aracu2araçu 2.3 inversor 246046.340277777846046.340277777846046.6111111111</v>
      </c>
      <c r="Q1126" s="32" t="str">
        <f aca="false">_xlfn.CONCAT(H1126,I1126,J1126)</f>
        <v>DAURDE</v>
      </c>
    </row>
    <row r="1127" customFormat="false" ht="15" hidden="false" customHeight="false" outlineLevel="0" collapsed="false">
      <c r="B1127" s="32" t="s">
        <v>18</v>
      </c>
      <c r="C1127" s="32" t="s">
        <v>400</v>
      </c>
      <c r="D1127" s="33" t="n">
        <v>46046.3402777778</v>
      </c>
      <c r="E1127" s="33" t="n">
        <v>46046.3402777778</v>
      </c>
      <c r="F1127" s="33" t="n">
        <v>46046.6111111111</v>
      </c>
      <c r="G1127" s="34" t="n">
        <f aca="false">F1127-E1127</f>
        <v>0.270833333333333</v>
      </c>
      <c r="H1127" s="39" t="s">
        <v>252</v>
      </c>
      <c r="J1127" s="39" t="s">
        <v>253</v>
      </c>
      <c r="K1127" s="32" t="s">
        <v>266</v>
      </c>
      <c r="L1127" s="32" t="s">
        <v>267</v>
      </c>
      <c r="M1127" s="39" t="s">
        <v>255</v>
      </c>
      <c r="N1127" s="39" t="s">
        <v>256</v>
      </c>
      <c r="O1127" s="32" t="s">
        <v>610</v>
      </c>
      <c r="P1127" s="40" t="str">
        <f aca="false">_xlfn.CONCAT(B1127,C1127,D1127,E1127,F1127)</f>
        <v>BC Aracu2araçu 2.3 inversor 446046.340277777846046.340277777846046.6111111111</v>
      </c>
      <c r="Q1127" s="32" t="str">
        <f aca="false">_xlfn.CONCAT(H1127,I1127,J1127)</f>
        <v>DAURDE</v>
      </c>
    </row>
    <row r="1128" customFormat="false" ht="15" hidden="false" customHeight="false" outlineLevel="0" collapsed="false">
      <c r="B1128" s="32" t="s">
        <v>18</v>
      </c>
      <c r="C1128" s="32" t="s">
        <v>401</v>
      </c>
      <c r="D1128" s="33" t="n">
        <v>46046.3402777778</v>
      </c>
      <c r="E1128" s="33" t="n">
        <v>46046.3402777778</v>
      </c>
      <c r="F1128" s="33" t="n">
        <v>46046.6111111111</v>
      </c>
      <c r="G1128" s="34" t="n">
        <f aca="false">F1128-E1128</f>
        <v>0.270833333333333</v>
      </c>
      <c r="H1128" s="39" t="s">
        <v>252</v>
      </c>
      <c r="J1128" s="39" t="s">
        <v>253</v>
      </c>
      <c r="K1128" s="32" t="s">
        <v>266</v>
      </c>
      <c r="L1128" s="32" t="s">
        <v>267</v>
      </c>
      <c r="M1128" s="39" t="s">
        <v>255</v>
      </c>
      <c r="N1128" s="39" t="s">
        <v>256</v>
      </c>
      <c r="O1128" s="32" t="s">
        <v>610</v>
      </c>
      <c r="P1128" s="40" t="str">
        <f aca="false">_xlfn.CONCAT(B1128,C1128,D1128,E1128,F1128)</f>
        <v>BC Aracu2araçu 2.3 inversor 346046.340277777846046.340277777846046.6111111111</v>
      </c>
      <c r="Q1128" s="32" t="str">
        <f aca="false">_xlfn.CONCAT(H1128,I1128,J1128)</f>
        <v>DAURDE</v>
      </c>
    </row>
    <row r="1129" customFormat="false" ht="15" hidden="false" customHeight="false" outlineLevel="0" collapsed="false">
      <c r="B1129" s="32" t="s">
        <v>18</v>
      </c>
      <c r="C1129" s="32" t="s">
        <v>402</v>
      </c>
      <c r="D1129" s="33" t="n">
        <v>46046.3402777778</v>
      </c>
      <c r="E1129" s="33" t="n">
        <v>46046.3402777778</v>
      </c>
      <c r="F1129" s="33" t="n">
        <v>46046.6111111111</v>
      </c>
      <c r="G1129" s="34" t="n">
        <f aca="false">F1129-E1129</f>
        <v>0.270833333333333</v>
      </c>
      <c r="H1129" s="39" t="s">
        <v>252</v>
      </c>
      <c r="J1129" s="39" t="s">
        <v>253</v>
      </c>
      <c r="K1129" s="32" t="s">
        <v>266</v>
      </c>
      <c r="L1129" s="32" t="s">
        <v>267</v>
      </c>
      <c r="M1129" s="39" t="s">
        <v>255</v>
      </c>
      <c r="N1129" s="39" t="s">
        <v>256</v>
      </c>
      <c r="O1129" s="32" t="s">
        <v>610</v>
      </c>
      <c r="P1129" s="40" t="str">
        <f aca="false">_xlfn.CONCAT(B1129,C1129,D1129,E1129,F1129)</f>
        <v>BC Aracu2araçu 2.4 inversor 346046.340277777846046.340277777846046.6111111111</v>
      </c>
      <c r="Q1129" s="32" t="str">
        <f aca="false">_xlfn.CONCAT(H1129,I1129,J1129)</f>
        <v>DAURDE</v>
      </c>
    </row>
    <row r="1130" customFormat="false" ht="15" hidden="false" customHeight="false" outlineLevel="0" collapsed="false">
      <c r="B1130" s="32" t="s">
        <v>18</v>
      </c>
      <c r="C1130" s="32" t="s">
        <v>403</v>
      </c>
      <c r="D1130" s="33" t="n">
        <v>46046.3402777778</v>
      </c>
      <c r="E1130" s="33" t="n">
        <v>46046.3402777778</v>
      </c>
      <c r="F1130" s="33" t="n">
        <v>46046.6111111111</v>
      </c>
      <c r="G1130" s="34" t="n">
        <f aca="false">F1130-E1130</f>
        <v>0.270833333333333</v>
      </c>
      <c r="H1130" s="39" t="s">
        <v>252</v>
      </c>
      <c r="J1130" s="39" t="s">
        <v>253</v>
      </c>
      <c r="K1130" s="32" t="s">
        <v>266</v>
      </c>
      <c r="L1130" s="32" t="s">
        <v>267</v>
      </c>
      <c r="M1130" s="39" t="s">
        <v>255</v>
      </c>
      <c r="N1130" s="39" t="s">
        <v>256</v>
      </c>
      <c r="O1130" s="32" t="s">
        <v>610</v>
      </c>
      <c r="P1130" s="40" t="str">
        <f aca="false">_xlfn.CONCAT(B1130,C1130,D1130,E1130,F1130)</f>
        <v>BC Aracu2araçu 2.4 inversor 146046.340277777846046.340277777846046.6111111111</v>
      </c>
      <c r="Q1130" s="32" t="str">
        <f aca="false">_xlfn.CONCAT(H1130,I1130,J1130)</f>
        <v>DAURDE</v>
      </c>
    </row>
    <row r="1131" customFormat="false" ht="15" hidden="false" customHeight="false" outlineLevel="0" collapsed="false">
      <c r="B1131" s="32" t="s">
        <v>18</v>
      </c>
      <c r="C1131" s="32" t="s">
        <v>404</v>
      </c>
      <c r="D1131" s="33" t="n">
        <v>46046.3402777778</v>
      </c>
      <c r="E1131" s="33" t="n">
        <v>46046.3402777778</v>
      </c>
      <c r="F1131" s="33" t="n">
        <v>46046.6111111111</v>
      </c>
      <c r="G1131" s="34" t="n">
        <f aca="false">F1131-E1131</f>
        <v>0.270833333333333</v>
      </c>
      <c r="H1131" s="39" t="s">
        <v>252</v>
      </c>
      <c r="J1131" s="39" t="s">
        <v>253</v>
      </c>
      <c r="K1131" s="32" t="s">
        <v>266</v>
      </c>
      <c r="L1131" s="32" t="s">
        <v>267</v>
      </c>
      <c r="M1131" s="39" t="s">
        <v>255</v>
      </c>
      <c r="N1131" s="39" t="s">
        <v>256</v>
      </c>
      <c r="O1131" s="32" t="s">
        <v>610</v>
      </c>
      <c r="P1131" s="40" t="str">
        <f aca="false">_xlfn.CONCAT(B1131,C1131,D1131,E1131,F1131)</f>
        <v>BC Aracu2araçu 2.4 inversor 646046.340277777846046.340277777846046.6111111111</v>
      </c>
      <c r="Q1131" s="32" t="str">
        <f aca="false">_xlfn.CONCAT(H1131,I1131,J1131)</f>
        <v>DAURDE</v>
      </c>
    </row>
    <row r="1132" customFormat="false" ht="15" hidden="false" customHeight="false" outlineLevel="0" collapsed="false">
      <c r="B1132" s="32" t="s">
        <v>18</v>
      </c>
      <c r="C1132" s="32" t="s">
        <v>405</v>
      </c>
      <c r="D1132" s="33" t="n">
        <v>46046.3402777778</v>
      </c>
      <c r="E1132" s="33" t="n">
        <v>46046.3402777778</v>
      </c>
      <c r="F1132" s="33" t="n">
        <v>46046.6111111111</v>
      </c>
      <c r="G1132" s="34" t="n">
        <f aca="false">F1132-E1132</f>
        <v>0.270833333333333</v>
      </c>
      <c r="H1132" s="39" t="s">
        <v>252</v>
      </c>
      <c r="J1132" s="39" t="s">
        <v>253</v>
      </c>
      <c r="K1132" s="32" t="s">
        <v>266</v>
      </c>
      <c r="L1132" s="32" t="s">
        <v>267</v>
      </c>
      <c r="M1132" s="39" t="s">
        <v>255</v>
      </c>
      <c r="N1132" s="39" t="s">
        <v>256</v>
      </c>
      <c r="O1132" s="32" t="s">
        <v>610</v>
      </c>
      <c r="P1132" s="40" t="str">
        <f aca="false">_xlfn.CONCAT(B1132,C1132,D1132,E1132,F1132)</f>
        <v>BC Aracu2araçu 2.4 inversor 446046.340277777846046.340277777846046.6111111111</v>
      </c>
      <c r="Q1132" s="32" t="str">
        <f aca="false">_xlfn.CONCAT(H1132,I1132,J1132)</f>
        <v>DAURDE</v>
      </c>
    </row>
    <row r="1133" customFormat="false" ht="15" hidden="false" customHeight="false" outlineLevel="0" collapsed="false">
      <c r="B1133" s="32" t="s">
        <v>18</v>
      </c>
      <c r="C1133" s="32" t="s">
        <v>406</v>
      </c>
      <c r="D1133" s="33" t="n">
        <v>46046.3402777778</v>
      </c>
      <c r="E1133" s="33" t="n">
        <v>46046.3402777778</v>
      </c>
      <c r="F1133" s="33" t="n">
        <v>46046.6111111111</v>
      </c>
      <c r="G1133" s="34" t="n">
        <f aca="false">F1133-E1133</f>
        <v>0.270833333333333</v>
      </c>
      <c r="H1133" s="39" t="s">
        <v>252</v>
      </c>
      <c r="J1133" s="39" t="s">
        <v>253</v>
      </c>
      <c r="K1133" s="32" t="s">
        <v>266</v>
      </c>
      <c r="L1133" s="32" t="s">
        <v>267</v>
      </c>
      <c r="M1133" s="39" t="s">
        <v>255</v>
      </c>
      <c r="N1133" s="39" t="s">
        <v>256</v>
      </c>
      <c r="O1133" s="32" t="s">
        <v>610</v>
      </c>
      <c r="P1133" s="40" t="str">
        <f aca="false">_xlfn.CONCAT(B1133,C1133,D1133,E1133,F1133)</f>
        <v>BC Aracu2araçu 2.4 inversor 246046.340277777846046.340277777846046.6111111111</v>
      </c>
      <c r="Q1133" s="32" t="str">
        <f aca="false">_xlfn.CONCAT(H1133,I1133,J1133)</f>
        <v>DAURDE</v>
      </c>
    </row>
    <row r="1134" customFormat="false" ht="15" hidden="false" customHeight="false" outlineLevel="0" collapsed="false">
      <c r="B1134" s="32" t="s">
        <v>18</v>
      </c>
      <c r="C1134" s="32" t="s">
        <v>407</v>
      </c>
      <c r="D1134" s="33" t="n">
        <v>46046.3402777778</v>
      </c>
      <c r="E1134" s="33" t="n">
        <v>46046.3402777778</v>
      </c>
      <c r="F1134" s="33" t="n">
        <v>46046.6111111111</v>
      </c>
      <c r="G1134" s="34" t="n">
        <f aca="false">F1134-E1134</f>
        <v>0.270833333333333</v>
      </c>
      <c r="H1134" s="39" t="s">
        <v>252</v>
      </c>
      <c r="J1134" s="39" t="s">
        <v>253</v>
      </c>
      <c r="K1134" s="32" t="s">
        <v>266</v>
      </c>
      <c r="L1134" s="32" t="s">
        <v>267</v>
      </c>
      <c r="M1134" s="39" t="s">
        <v>255</v>
      </c>
      <c r="N1134" s="39" t="s">
        <v>256</v>
      </c>
      <c r="O1134" s="32" t="s">
        <v>610</v>
      </c>
      <c r="P1134" s="40" t="str">
        <f aca="false">_xlfn.CONCAT(B1134,C1134,D1134,E1134,F1134)</f>
        <v>BC Aracu2araçu 2.4 inversor 546046.340277777846046.340277777846046.6111111111</v>
      </c>
      <c r="Q1134" s="32" t="str">
        <f aca="false">_xlfn.CONCAT(H1134,I1134,J1134)</f>
        <v>DAURDE</v>
      </c>
    </row>
    <row r="1135" customFormat="false" ht="15" hidden="false" customHeight="false" outlineLevel="0" collapsed="false">
      <c r="B1135" s="32" t="s">
        <v>27</v>
      </c>
      <c r="C1135" s="32" t="s">
        <v>618</v>
      </c>
      <c r="D1135" s="33" t="n">
        <v>46046.3402777778</v>
      </c>
      <c r="E1135" s="33" t="n">
        <v>46046.3402777778</v>
      </c>
      <c r="F1135" s="33" t="n">
        <v>46046.6111111111</v>
      </c>
      <c r="G1135" s="34" t="n">
        <f aca="false">F1135-E1135</f>
        <v>0.270833333333333</v>
      </c>
      <c r="H1135" s="39" t="s">
        <v>252</v>
      </c>
      <c r="J1135" s="39" t="s">
        <v>253</v>
      </c>
      <c r="K1135" s="32" t="s">
        <v>266</v>
      </c>
      <c r="L1135" s="32" t="s">
        <v>267</v>
      </c>
      <c r="M1135" s="39" t="s">
        <v>255</v>
      </c>
      <c r="N1135" s="39" t="s">
        <v>256</v>
      </c>
      <c r="O1135" s="32" t="s">
        <v>610</v>
      </c>
      <c r="P1135" s="40" t="str">
        <f aca="false">_xlfn.CONCAT(B1135,C1135,D1135,E1135,F1135)</f>
        <v>BC Aracu3Inverter446046.340277777846046.340277777846046.6111111111</v>
      </c>
      <c r="Q1135" s="32" t="str">
        <f aca="false">_xlfn.CONCAT(H1135,I1135,J1135)</f>
        <v>DAURDE</v>
      </c>
    </row>
    <row r="1136" customFormat="false" ht="15" hidden="false" customHeight="false" outlineLevel="0" collapsed="false">
      <c r="B1136" s="32" t="s">
        <v>27</v>
      </c>
      <c r="C1136" s="32" t="s">
        <v>619</v>
      </c>
      <c r="D1136" s="33" t="n">
        <v>46046.3402777778</v>
      </c>
      <c r="E1136" s="33" t="n">
        <v>46046.3402777778</v>
      </c>
      <c r="F1136" s="33" t="n">
        <v>46046.6111111111</v>
      </c>
      <c r="G1136" s="34" t="n">
        <f aca="false">F1136-E1136</f>
        <v>0.270833333333333</v>
      </c>
      <c r="H1136" s="39" t="s">
        <v>252</v>
      </c>
      <c r="J1136" s="39" t="s">
        <v>253</v>
      </c>
      <c r="K1136" s="32" t="s">
        <v>266</v>
      </c>
      <c r="L1136" s="32" t="s">
        <v>267</v>
      </c>
      <c r="M1136" s="39" t="s">
        <v>255</v>
      </c>
      <c r="N1136" s="39" t="s">
        <v>256</v>
      </c>
      <c r="O1136" s="32" t="s">
        <v>610</v>
      </c>
      <c r="P1136" s="40" t="str">
        <f aca="false">_xlfn.CONCAT(B1136,C1136,D1136,E1136,F1136)</f>
        <v>BC Aracu3Inverter346046.340277777846046.340277777846046.6111111111</v>
      </c>
      <c r="Q1136" s="32" t="str">
        <f aca="false">_xlfn.CONCAT(H1136,I1136,J1136)</f>
        <v>DAURDE</v>
      </c>
    </row>
    <row r="1137" customFormat="false" ht="15" hidden="false" customHeight="false" outlineLevel="0" collapsed="false">
      <c r="B1137" s="32" t="s">
        <v>27</v>
      </c>
      <c r="C1137" s="32" t="s">
        <v>620</v>
      </c>
      <c r="D1137" s="33" t="n">
        <v>46046.3402777778</v>
      </c>
      <c r="E1137" s="33" t="n">
        <v>46046.3402777778</v>
      </c>
      <c r="F1137" s="33" t="n">
        <v>46046.6111111111</v>
      </c>
      <c r="G1137" s="34" t="n">
        <f aca="false">F1137-E1137</f>
        <v>0.270833333333333</v>
      </c>
      <c r="H1137" s="39" t="s">
        <v>252</v>
      </c>
      <c r="J1137" s="39" t="s">
        <v>253</v>
      </c>
      <c r="K1137" s="32" t="s">
        <v>266</v>
      </c>
      <c r="L1137" s="32" t="s">
        <v>267</v>
      </c>
      <c r="M1137" s="39" t="s">
        <v>255</v>
      </c>
      <c r="N1137" s="39" t="s">
        <v>256</v>
      </c>
      <c r="O1137" s="32" t="s">
        <v>610</v>
      </c>
      <c r="P1137" s="40" t="str">
        <f aca="false">_xlfn.CONCAT(B1137,C1137,D1137,E1137,F1137)</f>
        <v>BC Aracu3Inverter146046.340277777846046.340277777846046.6111111111</v>
      </c>
      <c r="Q1137" s="32" t="str">
        <f aca="false">_xlfn.CONCAT(H1137,I1137,J1137)</f>
        <v>DAURDE</v>
      </c>
    </row>
    <row r="1138" customFormat="false" ht="15" hidden="false" customHeight="false" outlineLevel="0" collapsed="false">
      <c r="B1138" s="32" t="s">
        <v>27</v>
      </c>
      <c r="C1138" s="32" t="s">
        <v>621</v>
      </c>
      <c r="D1138" s="33" t="n">
        <v>46046.3402777778</v>
      </c>
      <c r="E1138" s="33" t="n">
        <v>46046.3402777778</v>
      </c>
      <c r="F1138" s="33" t="n">
        <v>46046.6111111111</v>
      </c>
      <c r="G1138" s="34" t="n">
        <f aca="false">F1138-E1138</f>
        <v>0.270833333333333</v>
      </c>
      <c r="H1138" s="39" t="s">
        <v>252</v>
      </c>
      <c r="J1138" s="39" t="s">
        <v>253</v>
      </c>
      <c r="K1138" s="32" t="s">
        <v>266</v>
      </c>
      <c r="L1138" s="32" t="s">
        <v>267</v>
      </c>
      <c r="M1138" s="39" t="s">
        <v>255</v>
      </c>
      <c r="N1138" s="39" t="s">
        <v>256</v>
      </c>
      <c r="O1138" s="32" t="s">
        <v>610</v>
      </c>
      <c r="P1138" s="40" t="str">
        <f aca="false">_xlfn.CONCAT(B1138,C1138,D1138,E1138,F1138)</f>
        <v>BC Aracu3Inverter246046.340277777846046.340277777846046.6111111111</v>
      </c>
      <c r="Q1138" s="32" t="str">
        <f aca="false">_xlfn.CONCAT(H1138,I1138,J1138)</f>
        <v>DAURDE</v>
      </c>
    </row>
    <row r="1139" customFormat="false" ht="15" hidden="false" customHeight="false" outlineLevel="0" collapsed="false">
      <c r="B1139" s="32" t="s">
        <v>264</v>
      </c>
      <c r="C1139" s="32" t="s">
        <v>265</v>
      </c>
      <c r="D1139" s="33" t="n">
        <v>46046.3402777778</v>
      </c>
      <c r="E1139" s="33" t="n">
        <v>46046.3402777778</v>
      </c>
      <c r="F1139" s="33" t="n">
        <v>46046.6111111111</v>
      </c>
      <c r="G1139" s="34" t="n">
        <f aca="false">F1139-E1139</f>
        <v>0.270833333333333</v>
      </c>
      <c r="H1139" s="39" t="s">
        <v>252</v>
      </c>
      <c r="J1139" s="39" t="s">
        <v>253</v>
      </c>
      <c r="K1139" s="32" t="s">
        <v>266</v>
      </c>
      <c r="L1139" s="32" t="s">
        <v>267</v>
      </c>
      <c r="M1139" s="39" t="s">
        <v>255</v>
      </c>
      <c r="N1139" s="39" t="s">
        <v>256</v>
      </c>
      <c r="O1139" s="32" t="s">
        <v>610</v>
      </c>
      <c r="P1139" s="40" t="str">
        <f aca="false">_xlfn.CONCAT(B1139,C1139,D1139,E1139,F1139)</f>
        <v>BC Aracu5.1Inverter(MBUS-1)46046.340277777846046.340277777846046.6111111111</v>
      </c>
      <c r="Q1139" s="32" t="str">
        <f aca="false">_xlfn.CONCAT(H1139,I1139,J1139)</f>
        <v>DAURDE</v>
      </c>
    </row>
    <row r="1140" customFormat="false" ht="15" hidden="false" customHeight="false" outlineLevel="0" collapsed="false">
      <c r="B1140" s="32" t="s">
        <v>270</v>
      </c>
      <c r="C1140" s="32" t="s">
        <v>265</v>
      </c>
      <c r="D1140" s="33" t="n">
        <v>46046.3402777778</v>
      </c>
      <c r="E1140" s="33" t="n">
        <v>46046.3402777778</v>
      </c>
      <c r="F1140" s="33" t="n">
        <v>46046.6111111111</v>
      </c>
      <c r="G1140" s="34" t="n">
        <f aca="false">F1140-E1140</f>
        <v>0.270833333333333</v>
      </c>
      <c r="H1140" s="39" t="s">
        <v>252</v>
      </c>
      <c r="J1140" s="39" t="s">
        <v>253</v>
      </c>
      <c r="K1140" s="32" t="s">
        <v>266</v>
      </c>
      <c r="L1140" s="32" t="s">
        <v>267</v>
      </c>
      <c r="M1140" s="39" t="s">
        <v>255</v>
      </c>
      <c r="N1140" s="39" t="s">
        <v>256</v>
      </c>
      <c r="O1140" s="32" t="s">
        <v>610</v>
      </c>
      <c r="P1140" s="40" t="str">
        <f aca="false">_xlfn.CONCAT(B1140,C1140,D1140,E1140,F1140)</f>
        <v>BC Aracu5.2Inverter(MBUS-1)46046.340277777846046.340277777846046.6111111111</v>
      </c>
      <c r="Q1140" s="32" t="str">
        <f aca="false">_xlfn.CONCAT(H1140,I1140,J1140)</f>
        <v>DAURDE</v>
      </c>
    </row>
    <row r="1141" customFormat="false" ht="15" hidden="false" customHeight="false" outlineLevel="0" collapsed="false">
      <c r="B1141" s="32" t="s">
        <v>271</v>
      </c>
      <c r="C1141" s="32" t="s">
        <v>265</v>
      </c>
      <c r="D1141" s="33" t="n">
        <v>46046.3402777778</v>
      </c>
      <c r="E1141" s="33" t="n">
        <v>46046.3402777778</v>
      </c>
      <c r="F1141" s="33" t="n">
        <v>46046.6111111111</v>
      </c>
      <c r="G1141" s="34" t="n">
        <f aca="false">F1141-E1141</f>
        <v>0.270833333333333</v>
      </c>
      <c r="H1141" s="39" t="s">
        <v>252</v>
      </c>
      <c r="J1141" s="39" t="s">
        <v>253</v>
      </c>
      <c r="K1141" s="32" t="s">
        <v>266</v>
      </c>
      <c r="L1141" s="32" t="s">
        <v>267</v>
      </c>
      <c r="M1141" s="39" t="s">
        <v>255</v>
      </c>
      <c r="N1141" s="39" t="s">
        <v>256</v>
      </c>
      <c r="O1141" s="32" t="s">
        <v>610</v>
      </c>
      <c r="P1141" s="40" t="str">
        <f aca="false">_xlfn.CONCAT(B1141,C1141,D1141,E1141,F1141)</f>
        <v>BC Aracu5.3Inverter(MBUS-1)46046.340277777846046.340277777846046.6111111111</v>
      </c>
      <c r="Q1141" s="32" t="str">
        <f aca="false">_xlfn.CONCAT(H1141,I1141,J1141)</f>
        <v>DAURDE</v>
      </c>
    </row>
    <row r="1142" customFormat="false" ht="15" hidden="false" customHeight="false" outlineLevel="0" collapsed="false">
      <c r="B1142" s="32" t="s">
        <v>272</v>
      </c>
      <c r="C1142" s="32" t="s">
        <v>265</v>
      </c>
      <c r="D1142" s="33" t="n">
        <v>46046.3402777778</v>
      </c>
      <c r="E1142" s="33" t="n">
        <v>46046.3402777778</v>
      </c>
      <c r="F1142" s="33" t="n">
        <v>46046.6111111111</v>
      </c>
      <c r="G1142" s="34" t="n">
        <f aca="false">F1142-E1142</f>
        <v>0.270833333333333</v>
      </c>
      <c r="H1142" s="39" t="s">
        <v>252</v>
      </c>
      <c r="J1142" s="39" t="s">
        <v>253</v>
      </c>
      <c r="K1142" s="32" t="s">
        <v>266</v>
      </c>
      <c r="L1142" s="32" t="s">
        <v>267</v>
      </c>
      <c r="M1142" s="39" t="s">
        <v>255</v>
      </c>
      <c r="N1142" s="39" t="s">
        <v>256</v>
      </c>
      <c r="O1142" s="32" t="s">
        <v>610</v>
      </c>
      <c r="P1142" s="40" t="str">
        <f aca="false">_xlfn.CONCAT(B1142,C1142,D1142,E1142,F1142)</f>
        <v>BC Aracu5.4Inverter(MBUS-1)46046.340277777846046.340277777846046.6111111111</v>
      </c>
      <c r="Q1142" s="32" t="str">
        <f aca="false">_xlfn.CONCAT(H1142,I1142,J1142)</f>
        <v>DAURDE</v>
      </c>
    </row>
    <row r="1143" customFormat="false" ht="15" hidden="false" customHeight="false" outlineLevel="0" collapsed="false">
      <c r="B1143" s="32" t="s">
        <v>273</v>
      </c>
      <c r="C1143" s="32" t="s">
        <v>265</v>
      </c>
      <c r="D1143" s="33" t="n">
        <v>46046.3402777778</v>
      </c>
      <c r="E1143" s="33" t="n">
        <v>46046.3402777778</v>
      </c>
      <c r="F1143" s="33" t="n">
        <v>46046.6111111111</v>
      </c>
      <c r="G1143" s="34" t="n">
        <f aca="false">F1143-E1143</f>
        <v>0.270833333333333</v>
      </c>
      <c r="H1143" s="39" t="s">
        <v>252</v>
      </c>
      <c r="J1143" s="39" t="s">
        <v>253</v>
      </c>
      <c r="K1143" s="32" t="s">
        <v>266</v>
      </c>
      <c r="L1143" s="32" t="s">
        <v>267</v>
      </c>
      <c r="M1143" s="39" t="s">
        <v>255</v>
      </c>
      <c r="N1143" s="39" t="s">
        <v>256</v>
      </c>
      <c r="O1143" s="32" t="s">
        <v>610</v>
      </c>
      <c r="P1143" s="40" t="str">
        <f aca="false">_xlfn.CONCAT(B1143,C1143,D1143,E1143,F1143)</f>
        <v>BC Aracu5.5Inverter(MBUS-1)46046.340277777846046.340277777846046.6111111111</v>
      </c>
      <c r="Q1143" s="32" t="str">
        <f aca="false">_xlfn.CONCAT(H1143,I1143,J1143)</f>
        <v>DAURDE</v>
      </c>
    </row>
    <row r="1144" customFormat="false" ht="15" hidden="false" customHeight="false" outlineLevel="0" collapsed="false">
      <c r="B1144" s="32" t="s">
        <v>622</v>
      </c>
      <c r="C1144" s="32" t="s">
        <v>623</v>
      </c>
      <c r="D1144" s="33" t="n">
        <v>46046.6597222222</v>
      </c>
      <c r="E1144" s="33" t="n">
        <v>46046.6597222222</v>
      </c>
      <c r="F1144" s="33" t="n">
        <v>46053.9999884259</v>
      </c>
      <c r="G1144" s="34" t="n">
        <f aca="false">F1144-E1144</f>
        <v>7.3402662037037</v>
      </c>
      <c r="H1144" s="39" t="s">
        <v>283</v>
      </c>
      <c r="I1144" s="32" t="s">
        <v>284</v>
      </c>
      <c r="J1144" s="39" t="s">
        <v>285</v>
      </c>
      <c r="K1144" s="32" t="s">
        <v>286</v>
      </c>
      <c r="L1144" s="32" t="s">
        <v>624</v>
      </c>
      <c r="M1144" s="39" t="s">
        <v>288</v>
      </c>
      <c r="N1144" s="39" t="s">
        <v>289</v>
      </c>
      <c r="O1144" s="32" t="s">
        <v>625</v>
      </c>
      <c r="P1144" s="40" t="str">
        <f aca="false">_xlfn.CONCAT(B1144,C1144,D1144,E1144,F1144)</f>
        <v>BC Vazante2.3Inverter(MBUS-11)46046.659722222246046.659722222246053.9999884259</v>
      </c>
      <c r="Q1144" s="32" t="str">
        <f aca="false">_xlfn.CONCAT(H1144,I1144,J1144)</f>
        <v>LIGRFOCOM</v>
      </c>
    </row>
    <row r="1145" customFormat="false" ht="15" hidden="false" customHeight="false" outlineLevel="0" collapsed="false">
      <c r="B1145" s="32" t="s">
        <v>622</v>
      </c>
      <c r="C1145" s="32" t="s">
        <v>324</v>
      </c>
      <c r="D1145" s="33" t="n">
        <v>46046.6597222222</v>
      </c>
      <c r="E1145" s="33" t="n">
        <v>46046.6597222222</v>
      </c>
      <c r="F1145" s="33" t="n">
        <v>46053.9999884259</v>
      </c>
      <c r="G1145" s="34" t="n">
        <f aca="false">F1145-E1145</f>
        <v>7.3402662037037</v>
      </c>
      <c r="H1145" s="39" t="s">
        <v>283</v>
      </c>
      <c r="I1145" s="32" t="s">
        <v>284</v>
      </c>
      <c r="J1145" s="39" t="s">
        <v>285</v>
      </c>
      <c r="K1145" s="32" t="s">
        <v>286</v>
      </c>
      <c r="L1145" s="32" t="s">
        <v>624</v>
      </c>
      <c r="M1145" s="39" t="s">
        <v>288</v>
      </c>
      <c r="N1145" s="39" t="s">
        <v>289</v>
      </c>
      <c r="O1145" s="32" t="s">
        <v>625</v>
      </c>
      <c r="P1145" s="40" t="str">
        <f aca="false">_xlfn.CONCAT(B1145,C1145,D1145,E1145,F1145)</f>
        <v>BC Vazante2.3Inverter(MBUS-12)46046.659722222246046.659722222246053.9999884259</v>
      </c>
      <c r="Q1145" s="32" t="str">
        <f aca="false">_xlfn.CONCAT(H1145,I1145,J1145)</f>
        <v>LIGRFOCOM</v>
      </c>
    </row>
    <row r="1146" customFormat="false" ht="15" hidden="false" customHeight="false" outlineLevel="0" collapsed="false">
      <c r="B1146" s="32" t="s">
        <v>622</v>
      </c>
      <c r="C1146" s="32" t="s">
        <v>326</v>
      </c>
      <c r="D1146" s="33" t="n">
        <v>46046.6597222222</v>
      </c>
      <c r="E1146" s="33" t="n">
        <v>46046.6597222222</v>
      </c>
      <c r="F1146" s="33" t="n">
        <v>46053.9999884259</v>
      </c>
      <c r="G1146" s="34" t="n">
        <f aca="false">F1146-E1146</f>
        <v>7.3402662037037</v>
      </c>
      <c r="H1146" s="39" t="s">
        <v>283</v>
      </c>
      <c r="I1146" s="32" t="s">
        <v>284</v>
      </c>
      <c r="J1146" s="39" t="s">
        <v>285</v>
      </c>
      <c r="K1146" s="32" t="s">
        <v>286</v>
      </c>
      <c r="L1146" s="32" t="s">
        <v>624</v>
      </c>
      <c r="M1146" s="39" t="s">
        <v>288</v>
      </c>
      <c r="N1146" s="39" t="s">
        <v>289</v>
      </c>
      <c r="O1146" s="32" t="s">
        <v>625</v>
      </c>
      <c r="P1146" s="40" t="str">
        <f aca="false">_xlfn.CONCAT(B1146,C1146,D1146,E1146,F1146)</f>
        <v>BC Vazante2.3Inverter(MBUS-13)46046.659722222246046.659722222246053.9999884259</v>
      </c>
      <c r="Q1146" s="32" t="str">
        <f aca="false">_xlfn.CONCAT(H1146,I1146,J1146)</f>
        <v>LIGRFOCOM</v>
      </c>
    </row>
    <row r="1147" customFormat="false" ht="15" hidden="false" customHeight="false" outlineLevel="0" collapsed="false">
      <c r="B1147" s="32" t="s">
        <v>358</v>
      </c>
      <c r="C1147" s="32" t="s">
        <v>324</v>
      </c>
      <c r="D1147" s="33" t="n">
        <v>46046.7395833333</v>
      </c>
      <c r="E1147" s="33" t="n">
        <v>46046.7395833333</v>
      </c>
      <c r="F1147" s="33" t="n">
        <v>46046.8333333333</v>
      </c>
      <c r="G1147" s="34" t="n">
        <f aca="false">F1147-E1147</f>
        <v>0.09375</v>
      </c>
      <c r="H1147" s="39" t="s">
        <v>252</v>
      </c>
      <c r="J1147" s="39" t="s">
        <v>253</v>
      </c>
      <c r="K1147" s="32" t="s">
        <v>266</v>
      </c>
      <c r="L1147" s="32" t="s">
        <v>626</v>
      </c>
      <c r="M1147" s="39" t="s">
        <v>255</v>
      </c>
      <c r="N1147" s="39" t="s">
        <v>256</v>
      </c>
      <c r="O1147" s="32" t="s">
        <v>627</v>
      </c>
      <c r="P1147" s="40" t="str">
        <f aca="false">_xlfn.CONCAT(B1147,C1147,D1147,E1147,F1147)</f>
        <v>ARAGUATINS 1.1Inverter(MBUS-12)46046.739583333346046.739583333346046.8333333333</v>
      </c>
      <c r="Q1147" s="32" t="str">
        <f aca="false">_xlfn.CONCAT(H1147,I1147,J1147)</f>
        <v>DAURDE</v>
      </c>
    </row>
    <row r="1148" customFormat="false" ht="15" hidden="false" customHeight="false" outlineLevel="0" collapsed="false">
      <c r="B1148" s="32" t="s">
        <v>358</v>
      </c>
      <c r="C1148" s="32" t="s">
        <v>326</v>
      </c>
      <c r="D1148" s="33" t="n">
        <v>46046.7395833333</v>
      </c>
      <c r="E1148" s="33" t="n">
        <v>46046.7395833333</v>
      </c>
      <c r="F1148" s="33" t="n">
        <v>46046.8333333333</v>
      </c>
      <c r="G1148" s="34" t="n">
        <f aca="false">F1148-E1148</f>
        <v>0.09375</v>
      </c>
      <c r="H1148" s="39" t="s">
        <v>252</v>
      </c>
      <c r="J1148" s="39" t="s">
        <v>253</v>
      </c>
      <c r="K1148" s="32" t="s">
        <v>266</v>
      </c>
      <c r="L1148" s="32" t="s">
        <v>626</v>
      </c>
      <c r="M1148" s="39" t="s">
        <v>255</v>
      </c>
      <c r="N1148" s="39" t="s">
        <v>256</v>
      </c>
      <c r="O1148" s="32" t="s">
        <v>627</v>
      </c>
      <c r="P1148" s="40" t="str">
        <f aca="false">_xlfn.CONCAT(B1148,C1148,D1148,E1148,F1148)</f>
        <v>ARAGUATINS 1.1Inverter(MBUS-13)46046.739583333346046.739583333346046.8333333333</v>
      </c>
      <c r="Q1148" s="32" t="str">
        <f aca="false">_xlfn.CONCAT(H1148,I1148,J1148)</f>
        <v>DAURDE</v>
      </c>
    </row>
    <row r="1149" customFormat="false" ht="15" hidden="false" customHeight="false" outlineLevel="0" collapsed="false">
      <c r="B1149" s="32" t="s">
        <v>358</v>
      </c>
      <c r="C1149" s="32" t="s">
        <v>327</v>
      </c>
      <c r="D1149" s="33" t="n">
        <v>46046.7395833333</v>
      </c>
      <c r="E1149" s="33" t="n">
        <v>46046.7395833333</v>
      </c>
      <c r="F1149" s="33" t="n">
        <v>46046.8333333333</v>
      </c>
      <c r="G1149" s="34" t="n">
        <f aca="false">F1149-E1149</f>
        <v>0.09375</v>
      </c>
      <c r="H1149" s="39" t="s">
        <v>252</v>
      </c>
      <c r="J1149" s="39" t="s">
        <v>253</v>
      </c>
      <c r="K1149" s="32" t="s">
        <v>266</v>
      </c>
      <c r="L1149" s="32" t="s">
        <v>626</v>
      </c>
      <c r="M1149" s="39" t="s">
        <v>255</v>
      </c>
      <c r="N1149" s="39" t="s">
        <v>256</v>
      </c>
      <c r="O1149" s="32" t="s">
        <v>627</v>
      </c>
      <c r="P1149" s="40" t="str">
        <f aca="false">_xlfn.CONCAT(B1149,C1149,D1149,E1149,F1149)</f>
        <v>ARAGUATINS 1.1Inverter(MBUS-14)46046.739583333346046.739583333346046.8333333333</v>
      </c>
      <c r="Q1149" s="32" t="str">
        <f aca="false">_xlfn.CONCAT(H1149,I1149,J1149)</f>
        <v>DAURDE</v>
      </c>
    </row>
    <row r="1150" customFormat="false" ht="15" hidden="false" customHeight="false" outlineLevel="0" collapsed="false">
      <c r="B1150" s="32" t="s">
        <v>358</v>
      </c>
      <c r="C1150" s="32" t="s">
        <v>328</v>
      </c>
      <c r="D1150" s="33" t="n">
        <v>46046.7395833333</v>
      </c>
      <c r="E1150" s="33" t="n">
        <v>46046.7395833333</v>
      </c>
      <c r="F1150" s="33" t="n">
        <v>46046.8333333333</v>
      </c>
      <c r="G1150" s="34" t="n">
        <f aca="false">F1150-E1150</f>
        <v>0.09375</v>
      </c>
      <c r="H1150" s="39" t="s">
        <v>252</v>
      </c>
      <c r="J1150" s="39" t="s">
        <v>253</v>
      </c>
      <c r="K1150" s="32" t="s">
        <v>266</v>
      </c>
      <c r="L1150" s="32" t="s">
        <v>626</v>
      </c>
      <c r="M1150" s="39" t="s">
        <v>255</v>
      </c>
      <c r="N1150" s="39" t="s">
        <v>256</v>
      </c>
      <c r="O1150" s="32" t="s">
        <v>627</v>
      </c>
      <c r="P1150" s="40" t="str">
        <f aca="false">_xlfn.CONCAT(B1150,C1150,D1150,E1150,F1150)</f>
        <v>ARAGUATINS 1.1Inverter(MBUS-15)46046.739583333346046.739583333346046.8333333333</v>
      </c>
      <c r="Q1150" s="32" t="str">
        <f aca="false">_xlfn.CONCAT(H1150,I1150,J1150)</f>
        <v>DAURDE</v>
      </c>
    </row>
    <row r="1151" customFormat="false" ht="15" hidden="false" customHeight="false" outlineLevel="0" collapsed="false">
      <c r="B1151" s="32" t="s">
        <v>361</v>
      </c>
      <c r="C1151" s="32" t="s">
        <v>324</v>
      </c>
      <c r="D1151" s="33" t="n">
        <v>46046.7395833333</v>
      </c>
      <c r="E1151" s="33" t="n">
        <v>46046.7395833333</v>
      </c>
      <c r="F1151" s="33" t="n">
        <v>46046.8333333333</v>
      </c>
      <c r="G1151" s="34" t="n">
        <f aca="false">F1151-E1151</f>
        <v>0.09375</v>
      </c>
      <c r="H1151" s="39" t="s">
        <v>252</v>
      </c>
      <c r="J1151" s="39" t="s">
        <v>253</v>
      </c>
      <c r="K1151" s="32" t="s">
        <v>266</v>
      </c>
      <c r="L1151" s="32" t="s">
        <v>626</v>
      </c>
      <c r="M1151" s="39" t="s">
        <v>255</v>
      </c>
      <c r="N1151" s="39" t="s">
        <v>256</v>
      </c>
      <c r="O1151" s="32" t="s">
        <v>627</v>
      </c>
      <c r="P1151" s="40" t="str">
        <f aca="false">_xlfn.CONCAT(B1151,C1151,D1151,E1151,F1151)</f>
        <v>ARAGUATINS 1.2Inverter(MBUS-12)46046.739583333346046.739583333346046.8333333333</v>
      </c>
      <c r="Q1151" s="32" t="str">
        <f aca="false">_xlfn.CONCAT(H1151,I1151,J1151)</f>
        <v>DAURDE</v>
      </c>
    </row>
    <row r="1152" customFormat="false" ht="15" hidden="false" customHeight="false" outlineLevel="0" collapsed="false">
      <c r="B1152" s="32" t="s">
        <v>361</v>
      </c>
      <c r="C1152" s="32" t="s">
        <v>326</v>
      </c>
      <c r="D1152" s="33" t="n">
        <v>46046.7395833333</v>
      </c>
      <c r="E1152" s="33" t="n">
        <v>46046.7395833333</v>
      </c>
      <c r="F1152" s="33" t="n">
        <v>46046.8333333333</v>
      </c>
      <c r="G1152" s="34" t="n">
        <f aca="false">F1152-E1152</f>
        <v>0.09375</v>
      </c>
      <c r="H1152" s="39" t="s">
        <v>252</v>
      </c>
      <c r="J1152" s="39" t="s">
        <v>253</v>
      </c>
      <c r="K1152" s="32" t="s">
        <v>266</v>
      </c>
      <c r="L1152" s="32" t="s">
        <v>626</v>
      </c>
      <c r="M1152" s="39" t="s">
        <v>255</v>
      </c>
      <c r="N1152" s="39" t="s">
        <v>256</v>
      </c>
      <c r="O1152" s="32" t="s">
        <v>627</v>
      </c>
      <c r="P1152" s="40" t="str">
        <f aca="false">_xlfn.CONCAT(B1152,C1152,D1152,E1152,F1152)</f>
        <v>ARAGUATINS 1.2Inverter(MBUS-13)46046.739583333346046.739583333346046.8333333333</v>
      </c>
      <c r="Q1152" s="32" t="str">
        <f aca="false">_xlfn.CONCAT(H1152,I1152,J1152)</f>
        <v>DAURDE</v>
      </c>
    </row>
    <row r="1153" customFormat="false" ht="15" hidden="false" customHeight="false" outlineLevel="0" collapsed="false">
      <c r="B1153" s="32" t="s">
        <v>361</v>
      </c>
      <c r="C1153" s="32" t="s">
        <v>327</v>
      </c>
      <c r="D1153" s="33" t="n">
        <v>46046.7395833333</v>
      </c>
      <c r="E1153" s="33" t="n">
        <v>46046.7395833333</v>
      </c>
      <c r="F1153" s="33" t="n">
        <v>46046.8333333333</v>
      </c>
      <c r="G1153" s="34" t="n">
        <f aca="false">F1153-E1153</f>
        <v>0.09375</v>
      </c>
      <c r="H1153" s="39" t="s">
        <v>252</v>
      </c>
      <c r="J1153" s="39" t="s">
        <v>253</v>
      </c>
      <c r="K1153" s="32" t="s">
        <v>266</v>
      </c>
      <c r="L1153" s="32" t="s">
        <v>626</v>
      </c>
      <c r="M1153" s="39" t="s">
        <v>255</v>
      </c>
      <c r="N1153" s="39" t="s">
        <v>256</v>
      </c>
      <c r="O1153" s="32" t="s">
        <v>627</v>
      </c>
      <c r="P1153" s="40" t="str">
        <f aca="false">_xlfn.CONCAT(B1153,C1153,D1153,E1153,F1153)</f>
        <v>ARAGUATINS 1.2Inverter(MBUS-14)46046.739583333346046.739583333346046.8333333333</v>
      </c>
      <c r="Q1153" s="32" t="str">
        <f aca="false">_xlfn.CONCAT(H1153,I1153,J1153)</f>
        <v>DAURDE</v>
      </c>
    </row>
    <row r="1154" customFormat="false" ht="15" hidden="false" customHeight="false" outlineLevel="0" collapsed="false">
      <c r="B1154" s="32" t="s">
        <v>361</v>
      </c>
      <c r="C1154" s="32" t="s">
        <v>328</v>
      </c>
      <c r="D1154" s="33" t="n">
        <v>46046.7395833333</v>
      </c>
      <c r="E1154" s="33" t="n">
        <v>46046.7395833333</v>
      </c>
      <c r="F1154" s="33" t="n">
        <v>46046.8333333333</v>
      </c>
      <c r="G1154" s="34" t="n">
        <f aca="false">F1154-E1154</f>
        <v>0.09375</v>
      </c>
      <c r="H1154" s="39" t="s">
        <v>252</v>
      </c>
      <c r="J1154" s="39" t="s">
        <v>253</v>
      </c>
      <c r="K1154" s="32" t="s">
        <v>266</v>
      </c>
      <c r="L1154" s="32" t="s">
        <v>626</v>
      </c>
      <c r="M1154" s="39" t="s">
        <v>255</v>
      </c>
      <c r="N1154" s="39" t="s">
        <v>256</v>
      </c>
      <c r="O1154" s="32" t="s">
        <v>627</v>
      </c>
      <c r="P1154" s="40" t="str">
        <f aca="false">_xlfn.CONCAT(B1154,C1154,D1154,E1154,F1154)</f>
        <v>ARAGUATINS 1.2Inverter(MBUS-15)46046.739583333346046.739583333346046.8333333333</v>
      </c>
      <c r="Q1154" s="32" t="str">
        <f aca="false">_xlfn.CONCAT(H1154,I1154,J1154)</f>
        <v>DAURDE</v>
      </c>
    </row>
    <row r="1155" customFormat="false" ht="15" hidden="false" customHeight="false" outlineLevel="0" collapsed="false">
      <c r="B1155" s="32" t="s">
        <v>362</v>
      </c>
      <c r="C1155" s="32" t="s">
        <v>363</v>
      </c>
      <c r="D1155" s="33" t="n">
        <v>46046.7395833333</v>
      </c>
      <c r="E1155" s="33" t="n">
        <v>46046.7395833333</v>
      </c>
      <c r="F1155" s="33" t="n">
        <v>46046.8333333333</v>
      </c>
      <c r="G1155" s="34" t="n">
        <f aca="false">F1155-E1155</f>
        <v>0.09375</v>
      </c>
      <c r="H1155" s="39" t="s">
        <v>252</v>
      </c>
      <c r="J1155" s="39" t="s">
        <v>253</v>
      </c>
      <c r="K1155" s="32" t="s">
        <v>266</v>
      </c>
      <c r="L1155" s="32" t="s">
        <v>626</v>
      </c>
      <c r="M1155" s="39" t="s">
        <v>255</v>
      </c>
      <c r="N1155" s="39" t="s">
        <v>256</v>
      </c>
      <c r="O1155" s="32" t="s">
        <v>627</v>
      </c>
      <c r="P1155" s="40" t="str">
        <f aca="false">_xlfn.CONCAT(B1155,C1155,D1155,E1155,F1155)</f>
        <v>ARAGUATINS 1.3Inverter(MBUS-20)46046.739583333346046.739583333346046.8333333333</v>
      </c>
      <c r="Q1155" s="32" t="str">
        <f aca="false">_xlfn.CONCAT(H1155,I1155,J1155)</f>
        <v>DAURDE</v>
      </c>
    </row>
    <row r="1156" customFormat="false" ht="15" hidden="false" customHeight="false" outlineLevel="0" collapsed="false">
      <c r="B1156" s="32" t="s">
        <v>362</v>
      </c>
      <c r="C1156" s="32" t="s">
        <v>265</v>
      </c>
      <c r="D1156" s="33" t="n">
        <v>46046.7395833333</v>
      </c>
      <c r="E1156" s="33" t="n">
        <v>46046.7395833333</v>
      </c>
      <c r="F1156" s="33" t="n">
        <v>46046.8333333333</v>
      </c>
      <c r="G1156" s="34" t="n">
        <f aca="false">F1156-E1156</f>
        <v>0.09375</v>
      </c>
      <c r="H1156" s="39" t="s">
        <v>252</v>
      </c>
      <c r="J1156" s="39" t="s">
        <v>253</v>
      </c>
      <c r="K1156" s="32" t="s">
        <v>266</v>
      </c>
      <c r="L1156" s="32" t="s">
        <v>626</v>
      </c>
      <c r="M1156" s="39" t="s">
        <v>255</v>
      </c>
      <c r="N1156" s="39" t="s">
        <v>256</v>
      </c>
      <c r="O1156" s="32" t="s">
        <v>627</v>
      </c>
      <c r="P1156" s="40" t="str">
        <f aca="false">_xlfn.CONCAT(B1156,C1156,D1156,E1156,F1156)</f>
        <v>ARAGUATINS 1.3Inverter(MBUS-1)46046.739583333346046.739583333346046.8333333333</v>
      </c>
      <c r="Q1156" s="32" t="str">
        <f aca="false">_xlfn.CONCAT(H1156,I1156,J1156)</f>
        <v>DAURDE</v>
      </c>
    </row>
    <row r="1157" customFormat="false" ht="15" hidden="false" customHeight="false" outlineLevel="0" collapsed="false">
      <c r="B1157" s="32" t="s">
        <v>367</v>
      </c>
      <c r="C1157" s="32" t="s">
        <v>324</v>
      </c>
      <c r="D1157" s="33" t="n">
        <v>46046.7395833333</v>
      </c>
      <c r="E1157" s="33" t="n">
        <v>46046.7395833333</v>
      </c>
      <c r="F1157" s="33" t="n">
        <v>46046.8333333333</v>
      </c>
      <c r="G1157" s="34" t="n">
        <f aca="false">F1157-E1157</f>
        <v>0.09375</v>
      </c>
      <c r="H1157" s="39" t="s">
        <v>252</v>
      </c>
      <c r="J1157" s="39" t="s">
        <v>253</v>
      </c>
      <c r="K1157" s="32" t="s">
        <v>266</v>
      </c>
      <c r="L1157" s="32" t="s">
        <v>626</v>
      </c>
      <c r="M1157" s="39" t="s">
        <v>255</v>
      </c>
      <c r="N1157" s="39" t="s">
        <v>256</v>
      </c>
      <c r="O1157" s="32" t="s">
        <v>627</v>
      </c>
      <c r="P1157" s="40" t="str">
        <f aca="false">_xlfn.CONCAT(B1157,C1157,D1157,E1157,F1157)</f>
        <v>ARAGUATINS 2.1Inverter(MBUS-12)46046.739583333346046.739583333346046.8333333333</v>
      </c>
      <c r="Q1157" s="32" t="str">
        <f aca="false">_xlfn.CONCAT(H1157,I1157,J1157)</f>
        <v>DAURDE</v>
      </c>
    </row>
    <row r="1158" customFormat="false" ht="15" hidden="false" customHeight="false" outlineLevel="0" collapsed="false">
      <c r="B1158" s="32" t="s">
        <v>367</v>
      </c>
      <c r="C1158" s="32" t="s">
        <v>328</v>
      </c>
      <c r="D1158" s="33" t="n">
        <v>46046.7395833333</v>
      </c>
      <c r="E1158" s="33" t="n">
        <v>46046.7395833333</v>
      </c>
      <c r="F1158" s="33" t="n">
        <v>46046.8333333333</v>
      </c>
      <c r="G1158" s="34" t="n">
        <f aca="false">F1158-E1158</f>
        <v>0.09375</v>
      </c>
      <c r="H1158" s="39" t="s">
        <v>252</v>
      </c>
      <c r="J1158" s="39" t="s">
        <v>253</v>
      </c>
      <c r="K1158" s="32" t="s">
        <v>266</v>
      </c>
      <c r="L1158" s="32" t="s">
        <v>626</v>
      </c>
      <c r="M1158" s="39" t="s">
        <v>255</v>
      </c>
      <c r="N1158" s="39" t="s">
        <v>256</v>
      </c>
      <c r="O1158" s="32" t="s">
        <v>627</v>
      </c>
      <c r="P1158" s="40" t="str">
        <f aca="false">_xlfn.CONCAT(B1158,C1158,D1158,E1158,F1158)</f>
        <v>ARAGUATINS 2.1Inverter(MBUS-15)46046.739583333346046.739583333346046.8333333333</v>
      </c>
      <c r="Q1158" s="32" t="str">
        <f aca="false">_xlfn.CONCAT(H1158,I1158,J1158)</f>
        <v>DAURDE</v>
      </c>
    </row>
    <row r="1159" customFormat="false" ht="15" hidden="false" customHeight="false" outlineLevel="0" collapsed="false">
      <c r="B1159" s="32" t="s">
        <v>367</v>
      </c>
      <c r="C1159" s="32" t="s">
        <v>327</v>
      </c>
      <c r="D1159" s="33" t="n">
        <v>46046.7395833333</v>
      </c>
      <c r="E1159" s="33" t="n">
        <v>46046.7395833333</v>
      </c>
      <c r="F1159" s="33" t="n">
        <v>46046.8333333333</v>
      </c>
      <c r="G1159" s="34" t="n">
        <f aca="false">F1159-E1159</f>
        <v>0.09375</v>
      </c>
      <c r="H1159" s="39" t="s">
        <v>252</v>
      </c>
      <c r="J1159" s="39" t="s">
        <v>253</v>
      </c>
      <c r="K1159" s="32" t="s">
        <v>266</v>
      </c>
      <c r="L1159" s="32" t="s">
        <v>626</v>
      </c>
      <c r="M1159" s="39" t="s">
        <v>255</v>
      </c>
      <c r="N1159" s="39" t="s">
        <v>256</v>
      </c>
      <c r="O1159" s="32" t="s">
        <v>627</v>
      </c>
      <c r="P1159" s="40" t="str">
        <f aca="false">_xlfn.CONCAT(B1159,C1159,D1159,E1159,F1159)</f>
        <v>ARAGUATINS 2.1Inverter(MBUS-14)46046.739583333346046.739583333346046.8333333333</v>
      </c>
      <c r="Q1159" s="32" t="str">
        <f aca="false">_xlfn.CONCAT(H1159,I1159,J1159)</f>
        <v>DAURDE</v>
      </c>
    </row>
    <row r="1160" customFormat="false" ht="15" hidden="false" customHeight="false" outlineLevel="0" collapsed="false">
      <c r="B1160" s="32" t="s">
        <v>367</v>
      </c>
      <c r="C1160" s="32" t="s">
        <v>265</v>
      </c>
      <c r="D1160" s="33" t="n">
        <v>46046.7395833333</v>
      </c>
      <c r="E1160" s="33" t="n">
        <v>46046.7395833333</v>
      </c>
      <c r="F1160" s="33" t="n">
        <v>46046.8333333333</v>
      </c>
      <c r="G1160" s="34" t="n">
        <f aca="false">F1160-E1160</f>
        <v>0.09375</v>
      </c>
      <c r="H1160" s="39" t="s">
        <v>252</v>
      </c>
      <c r="J1160" s="39" t="s">
        <v>253</v>
      </c>
      <c r="K1160" s="32" t="s">
        <v>266</v>
      </c>
      <c r="L1160" s="32" t="s">
        <v>626</v>
      </c>
      <c r="M1160" s="39" t="s">
        <v>255</v>
      </c>
      <c r="N1160" s="39" t="s">
        <v>256</v>
      </c>
      <c r="O1160" s="32" t="s">
        <v>627</v>
      </c>
      <c r="P1160" s="40" t="str">
        <f aca="false">_xlfn.CONCAT(B1160,C1160,D1160,E1160,F1160)</f>
        <v>ARAGUATINS 2.1Inverter(MBUS-1)46046.739583333346046.739583333346046.8333333333</v>
      </c>
      <c r="Q1160" s="32" t="str">
        <f aca="false">_xlfn.CONCAT(H1160,I1160,J1160)</f>
        <v>DAURDE</v>
      </c>
    </row>
    <row r="1161" customFormat="false" ht="15" hidden="false" customHeight="false" outlineLevel="0" collapsed="false">
      <c r="B1161" s="32" t="s">
        <v>460</v>
      </c>
      <c r="C1161" s="32" t="s">
        <v>328</v>
      </c>
      <c r="D1161" s="33" t="n">
        <v>46046.7395833333</v>
      </c>
      <c r="E1161" s="33" t="n">
        <v>46046.7395833333</v>
      </c>
      <c r="F1161" s="33" t="n">
        <v>46046.8333333333</v>
      </c>
      <c r="G1161" s="34" t="n">
        <f aca="false">F1161-E1161</f>
        <v>0.09375</v>
      </c>
      <c r="H1161" s="39" t="s">
        <v>252</v>
      </c>
      <c r="J1161" s="39" t="s">
        <v>253</v>
      </c>
      <c r="K1161" s="32" t="s">
        <v>266</v>
      </c>
      <c r="L1161" s="32" t="s">
        <v>626</v>
      </c>
      <c r="M1161" s="39" t="s">
        <v>255</v>
      </c>
      <c r="N1161" s="39" t="s">
        <v>256</v>
      </c>
      <c r="O1161" s="32" t="s">
        <v>627</v>
      </c>
      <c r="P1161" s="40" t="str">
        <f aca="false">_xlfn.CONCAT(B1161,C1161,D1161,E1161,F1161)</f>
        <v>ARAGUATINS 2.2Inverter(MBUS-15)46046.739583333346046.739583333346046.8333333333</v>
      </c>
      <c r="Q1161" s="32" t="str">
        <f aca="false">_xlfn.CONCAT(H1161,I1161,J1161)</f>
        <v>DAURDE</v>
      </c>
    </row>
    <row r="1162" customFormat="false" ht="15" hidden="false" customHeight="false" outlineLevel="0" collapsed="false">
      <c r="B1162" s="32" t="s">
        <v>460</v>
      </c>
      <c r="C1162" s="32" t="s">
        <v>326</v>
      </c>
      <c r="D1162" s="33" t="n">
        <v>46046.7395833333</v>
      </c>
      <c r="E1162" s="33" t="n">
        <v>46046.7395833333</v>
      </c>
      <c r="F1162" s="33" t="n">
        <v>46046.8333333333</v>
      </c>
      <c r="G1162" s="34" t="n">
        <f aca="false">F1162-E1162</f>
        <v>0.09375</v>
      </c>
      <c r="H1162" s="39" t="s">
        <v>252</v>
      </c>
      <c r="J1162" s="39" t="s">
        <v>253</v>
      </c>
      <c r="K1162" s="32" t="s">
        <v>266</v>
      </c>
      <c r="L1162" s="32" t="s">
        <v>626</v>
      </c>
      <c r="M1162" s="39" t="s">
        <v>255</v>
      </c>
      <c r="N1162" s="39" t="s">
        <v>256</v>
      </c>
      <c r="O1162" s="32" t="s">
        <v>627</v>
      </c>
      <c r="P1162" s="40" t="str">
        <f aca="false">_xlfn.CONCAT(B1162,C1162,D1162,E1162,F1162)</f>
        <v>ARAGUATINS 2.2Inverter(MBUS-13)46046.739583333346046.739583333346046.8333333333</v>
      </c>
      <c r="Q1162" s="32" t="str">
        <f aca="false">_xlfn.CONCAT(H1162,I1162,J1162)</f>
        <v>DAURDE</v>
      </c>
    </row>
    <row r="1163" customFormat="false" ht="15" hidden="false" customHeight="false" outlineLevel="0" collapsed="false">
      <c r="B1163" s="32" t="s">
        <v>460</v>
      </c>
      <c r="C1163" s="32" t="s">
        <v>327</v>
      </c>
      <c r="D1163" s="33" t="n">
        <v>46046.7395833333</v>
      </c>
      <c r="E1163" s="33" t="n">
        <v>46046.7395833333</v>
      </c>
      <c r="F1163" s="33" t="n">
        <v>46046.8333333333</v>
      </c>
      <c r="G1163" s="34" t="n">
        <f aca="false">F1163-E1163</f>
        <v>0.09375</v>
      </c>
      <c r="H1163" s="39" t="s">
        <v>252</v>
      </c>
      <c r="J1163" s="39" t="s">
        <v>253</v>
      </c>
      <c r="K1163" s="32" t="s">
        <v>266</v>
      </c>
      <c r="L1163" s="32" t="s">
        <v>626</v>
      </c>
      <c r="M1163" s="39" t="s">
        <v>255</v>
      </c>
      <c r="N1163" s="39" t="s">
        <v>256</v>
      </c>
      <c r="O1163" s="32" t="s">
        <v>627</v>
      </c>
      <c r="P1163" s="40" t="str">
        <f aca="false">_xlfn.CONCAT(B1163,C1163,D1163,E1163,F1163)</f>
        <v>ARAGUATINS 2.2Inverter(MBUS-14)46046.739583333346046.739583333346046.8333333333</v>
      </c>
      <c r="Q1163" s="32" t="str">
        <f aca="false">_xlfn.CONCAT(H1163,I1163,J1163)</f>
        <v>DAURDE</v>
      </c>
    </row>
    <row r="1164" customFormat="false" ht="15" hidden="false" customHeight="false" outlineLevel="0" collapsed="false">
      <c r="B1164" s="32" t="s">
        <v>460</v>
      </c>
      <c r="C1164" s="32" t="s">
        <v>324</v>
      </c>
      <c r="D1164" s="33" t="n">
        <v>46046.7395833333</v>
      </c>
      <c r="E1164" s="33" t="n">
        <v>46046.7395833333</v>
      </c>
      <c r="F1164" s="33" t="n">
        <v>46046.8333333333</v>
      </c>
      <c r="G1164" s="34" t="n">
        <f aca="false">F1164-E1164</f>
        <v>0.09375</v>
      </c>
      <c r="H1164" s="39" t="s">
        <v>252</v>
      </c>
      <c r="J1164" s="39" t="s">
        <v>253</v>
      </c>
      <c r="K1164" s="32" t="s">
        <v>266</v>
      </c>
      <c r="L1164" s="32" t="s">
        <v>626</v>
      </c>
      <c r="M1164" s="39" t="s">
        <v>255</v>
      </c>
      <c r="N1164" s="39" t="s">
        <v>256</v>
      </c>
      <c r="O1164" s="32" t="s">
        <v>627</v>
      </c>
      <c r="P1164" s="40" t="str">
        <f aca="false">_xlfn.CONCAT(B1164,C1164,D1164,E1164,F1164)</f>
        <v>ARAGUATINS 2.2Inverter(MBUS-12)46046.739583333346046.739583333346046.8333333333</v>
      </c>
      <c r="Q1164" s="32" t="str">
        <f aca="false">_xlfn.CONCAT(H1164,I1164,J1164)</f>
        <v>DAURDE</v>
      </c>
    </row>
    <row r="1165" customFormat="false" ht="15" hidden="false" customHeight="false" outlineLevel="0" collapsed="false">
      <c r="B1165" s="32" t="s">
        <v>461</v>
      </c>
      <c r="C1165" s="32" t="s">
        <v>324</v>
      </c>
      <c r="D1165" s="33" t="n">
        <v>46046.7395833333</v>
      </c>
      <c r="E1165" s="33" t="n">
        <v>46046.7395833333</v>
      </c>
      <c r="F1165" s="33" t="n">
        <v>46046.8333333333</v>
      </c>
      <c r="G1165" s="34" t="n">
        <f aca="false">F1165-E1165</f>
        <v>0.09375</v>
      </c>
      <c r="H1165" s="39" t="s">
        <v>252</v>
      </c>
      <c r="J1165" s="39" t="s">
        <v>253</v>
      </c>
      <c r="K1165" s="32" t="s">
        <v>266</v>
      </c>
      <c r="L1165" s="32" t="s">
        <v>626</v>
      </c>
      <c r="M1165" s="39" t="s">
        <v>255</v>
      </c>
      <c r="N1165" s="39" t="s">
        <v>256</v>
      </c>
      <c r="O1165" s="32" t="s">
        <v>627</v>
      </c>
      <c r="P1165" s="40" t="str">
        <f aca="false">_xlfn.CONCAT(B1165,C1165,D1165,E1165,F1165)</f>
        <v>ARAGUATINS 2.3Inverter(MBUS-12)46046.739583333346046.739583333346046.8333333333</v>
      </c>
      <c r="Q1165" s="32" t="str">
        <f aca="false">_xlfn.CONCAT(H1165,I1165,J1165)</f>
        <v>DAURDE</v>
      </c>
    </row>
    <row r="1166" customFormat="false" ht="15" hidden="false" customHeight="false" outlineLevel="0" collapsed="false">
      <c r="B1166" s="32" t="s">
        <v>461</v>
      </c>
      <c r="C1166" s="32" t="s">
        <v>326</v>
      </c>
      <c r="D1166" s="33" t="n">
        <v>46046.7395833333</v>
      </c>
      <c r="E1166" s="33" t="n">
        <v>46046.7395833333</v>
      </c>
      <c r="F1166" s="33" t="n">
        <v>46046.8333333333</v>
      </c>
      <c r="G1166" s="34" t="n">
        <f aca="false">F1166-E1166</f>
        <v>0.09375</v>
      </c>
      <c r="H1166" s="39" t="s">
        <v>252</v>
      </c>
      <c r="J1166" s="39" t="s">
        <v>253</v>
      </c>
      <c r="K1166" s="32" t="s">
        <v>266</v>
      </c>
      <c r="L1166" s="32" t="s">
        <v>626</v>
      </c>
      <c r="M1166" s="39" t="s">
        <v>255</v>
      </c>
      <c r="N1166" s="39" t="s">
        <v>256</v>
      </c>
      <c r="O1166" s="32" t="s">
        <v>627</v>
      </c>
      <c r="P1166" s="40" t="str">
        <f aca="false">_xlfn.CONCAT(B1166,C1166,D1166,E1166,F1166)</f>
        <v>ARAGUATINS 2.3Inverter(MBUS-13)46046.739583333346046.739583333346046.8333333333</v>
      </c>
      <c r="Q1166" s="32" t="str">
        <f aca="false">_xlfn.CONCAT(H1166,I1166,J1166)</f>
        <v>DAURDE</v>
      </c>
    </row>
    <row r="1167" customFormat="false" ht="15" hidden="false" customHeight="false" outlineLevel="0" collapsed="false">
      <c r="B1167" s="32" t="s">
        <v>48</v>
      </c>
      <c r="C1167" s="32" t="s">
        <v>294</v>
      </c>
      <c r="D1167" s="33" t="n">
        <v>46047.2534722222</v>
      </c>
      <c r="E1167" s="33" t="n">
        <v>46047.2534722222</v>
      </c>
      <c r="F1167" s="33" t="n">
        <v>46047.4208333333</v>
      </c>
      <c r="G1167" s="34" t="n">
        <f aca="false">F1167-E1167</f>
        <v>0.167361111111111</v>
      </c>
      <c r="H1167" s="39" t="s">
        <v>252</v>
      </c>
      <c r="J1167" s="39" t="s">
        <v>253</v>
      </c>
      <c r="K1167" s="32" t="s">
        <v>266</v>
      </c>
      <c r="L1167" s="32" t="s">
        <v>275</v>
      </c>
      <c r="M1167" s="39" t="s">
        <v>255</v>
      </c>
      <c r="N1167" s="39" t="s">
        <v>256</v>
      </c>
      <c r="O1167" s="32" t="s">
        <v>628</v>
      </c>
      <c r="P1167" s="40" t="str">
        <f aca="false">_xlfn.CONCAT(B1167,C1167,D1167,E1167,F1167)</f>
        <v>BC Caiaponia1SG60KTL(COM1-001)_001_00746047.253472222246047.253472222246047.4208333333</v>
      </c>
      <c r="Q1167" s="32" t="str">
        <f aca="false">_xlfn.CONCAT(H1167,I1167,J1167)</f>
        <v>DAURDE</v>
      </c>
    </row>
    <row r="1168" customFormat="false" ht="15" hidden="false" customHeight="false" outlineLevel="0" collapsed="false">
      <c r="B1168" s="32" t="s">
        <v>48</v>
      </c>
      <c r="C1168" s="32" t="s">
        <v>295</v>
      </c>
      <c r="D1168" s="33" t="n">
        <v>46047.2534722222</v>
      </c>
      <c r="E1168" s="33" t="n">
        <v>46047.2534722222</v>
      </c>
      <c r="F1168" s="33" t="n">
        <v>46047.4208333333</v>
      </c>
      <c r="G1168" s="34" t="n">
        <f aca="false">F1168-E1168</f>
        <v>0.167361111111111</v>
      </c>
      <c r="H1168" s="39" t="s">
        <v>252</v>
      </c>
      <c r="J1168" s="39" t="s">
        <v>253</v>
      </c>
      <c r="K1168" s="32" t="s">
        <v>266</v>
      </c>
      <c r="L1168" s="32" t="s">
        <v>275</v>
      </c>
      <c r="M1168" s="39" t="s">
        <v>255</v>
      </c>
      <c r="N1168" s="39" t="s">
        <v>256</v>
      </c>
      <c r="O1168" s="32" t="s">
        <v>628</v>
      </c>
      <c r="P1168" s="40" t="str">
        <f aca="false">_xlfn.CONCAT(B1168,C1168,D1168,E1168,F1168)</f>
        <v>BC Caiaponia1SG60KTL(COM1-002)_001_01046047.253472222246047.253472222246047.4208333333</v>
      </c>
      <c r="Q1168" s="32" t="str">
        <f aca="false">_xlfn.CONCAT(H1168,I1168,J1168)</f>
        <v>DAURDE</v>
      </c>
    </row>
    <row r="1169" customFormat="false" ht="15" hidden="false" customHeight="false" outlineLevel="0" collapsed="false">
      <c r="B1169" s="32" t="s">
        <v>48</v>
      </c>
      <c r="C1169" s="32" t="s">
        <v>296</v>
      </c>
      <c r="D1169" s="33" t="n">
        <v>46047.2534722222</v>
      </c>
      <c r="E1169" s="33" t="n">
        <v>46047.2534722222</v>
      </c>
      <c r="F1169" s="33" t="n">
        <v>46047.4208333333</v>
      </c>
      <c r="G1169" s="34" t="n">
        <f aca="false">F1169-E1169</f>
        <v>0.167361111111111</v>
      </c>
      <c r="H1169" s="39" t="s">
        <v>252</v>
      </c>
      <c r="J1169" s="39" t="s">
        <v>253</v>
      </c>
      <c r="K1169" s="32" t="s">
        <v>266</v>
      </c>
      <c r="L1169" s="32" t="s">
        <v>275</v>
      </c>
      <c r="M1169" s="39" t="s">
        <v>255</v>
      </c>
      <c r="N1169" s="39" t="s">
        <v>256</v>
      </c>
      <c r="O1169" s="32" t="s">
        <v>628</v>
      </c>
      <c r="P1169" s="40" t="str">
        <f aca="false">_xlfn.CONCAT(B1169,C1169,D1169,E1169,F1169)</f>
        <v>BC Caiaponia1SG60KTL(COM1-003)_001_01146047.253472222246047.253472222246047.4208333333</v>
      </c>
      <c r="Q1169" s="32" t="str">
        <f aca="false">_xlfn.CONCAT(H1169,I1169,J1169)</f>
        <v>DAURDE</v>
      </c>
    </row>
    <row r="1170" customFormat="false" ht="15" hidden="false" customHeight="false" outlineLevel="0" collapsed="false">
      <c r="B1170" s="32" t="s">
        <v>48</v>
      </c>
      <c r="C1170" s="32" t="s">
        <v>297</v>
      </c>
      <c r="D1170" s="33" t="n">
        <v>46047.2534722222</v>
      </c>
      <c r="E1170" s="33" t="n">
        <v>46047.2534722222</v>
      </c>
      <c r="F1170" s="33" t="n">
        <v>46047.4208333333</v>
      </c>
      <c r="G1170" s="34" t="n">
        <f aca="false">F1170-E1170</f>
        <v>0.167361111111111</v>
      </c>
      <c r="H1170" s="39" t="s">
        <v>252</v>
      </c>
      <c r="J1170" s="39" t="s">
        <v>253</v>
      </c>
      <c r="K1170" s="32" t="s">
        <v>266</v>
      </c>
      <c r="L1170" s="32" t="s">
        <v>275</v>
      </c>
      <c r="M1170" s="39" t="s">
        <v>255</v>
      </c>
      <c r="N1170" s="39" t="s">
        <v>256</v>
      </c>
      <c r="O1170" s="32" t="s">
        <v>628</v>
      </c>
      <c r="P1170" s="40" t="str">
        <f aca="false">_xlfn.CONCAT(B1170,C1170,D1170,E1170,F1170)</f>
        <v>BC Caiaponia1SG60KTL(COM1-004)_001_01446047.253472222246047.253472222246047.4208333333</v>
      </c>
      <c r="Q1170" s="32" t="str">
        <f aca="false">_xlfn.CONCAT(H1170,I1170,J1170)</f>
        <v>DAURDE</v>
      </c>
    </row>
    <row r="1171" customFormat="false" ht="15" hidden="false" customHeight="false" outlineLevel="0" collapsed="false">
      <c r="B1171" s="32" t="s">
        <v>48</v>
      </c>
      <c r="C1171" s="32" t="s">
        <v>298</v>
      </c>
      <c r="D1171" s="33" t="n">
        <v>46047.2534722222</v>
      </c>
      <c r="E1171" s="33" t="n">
        <v>46047.2534722222</v>
      </c>
      <c r="F1171" s="33" t="n">
        <v>46047.4208333333</v>
      </c>
      <c r="G1171" s="34" t="n">
        <f aca="false">F1171-E1171</f>
        <v>0.167361111111111</v>
      </c>
      <c r="H1171" s="39" t="s">
        <v>252</v>
      </c>
      <c r="J1171" s="39" t="s">
        <v>253</v>
      </c>
      <c r="K1171" s="32" t="s">
        <v>266</v>
      </c>
      <c r="L1171" s="32" t="s">
        <v>275</v>
      </c>
      <c r="M1171" s="39" t="s">
        <v>255</v>
      </c>
      <c r="N1171" s="39" t="s">
        <v>256</v>
      </c>
      <c r="O1171" s="32" t="s">
        <v>628</v>
      </c>
      <c r="P1171" s="40" t="str">
        <f aca="false">_xlfn.CONCAT(B1171,C1171,D1171,E1171,F1171)</f>
        <v>BC Caiaponia1SG60KTL(COM1-005)_001_01746047.253472222246047.253472222246047.4208333333</v>
      </c>
      <c r="Q1171" s="32" t="str">
        <f aca="false">_xlfn.CONCAT(H1171,I1171,J1171)</f>
        <v>DAURDE</v>
      </c>
    </row>
    <row r="1172" customFormat="false" ht="15" hidden="false" customHeight="false" outlineLevel="0" collapsed="false">
      <c r="B1172" s="32" t="s">
        <v>48</v>
      </c>
      <c r="C1172" s="32" t="s">
        <v>299</v>
      </c>
      <c r="D1172" s="33" t="n">
        <v>46047.2534722222</v>
      </c>
      <c r="E1172" s="33" t="n">
        <v>46047.2534722222</v>
      </c>
      <c r="F1172" s="33" t="n">
        <v>46047.4208333333</v>
      </c>
      <c r="G1172" s="34" t="n">
        <f aca="false">F1172-E1172</f>
        <v>0.167361111111111</v>
      </c>
      <c r="H1172" s="39" t="s">
        <v>252</v>
      </c>
      <c r="J1172" s="39" t="s">
        <v>253</v>
      </c>
      <c r="K1172" s="32" t="s">
        <v>266</v>
      </c>
      <c r="L1172" s="32" t="s">
        <v>275</v>
      </c>
      <c r="M1172" s="39" t="s">
        <v>255</v>
      </c>
      <c r="N1172" s="39" t="s">
        <v>256</v>
      </c>
      <c r="O1172" s="32" t="s">
        <v>628</v>
      </c>
      <c r="P1172" s="40" t="str">
        <f aca="false">_xlfn.CONCAT(B1172,C1172,D1172,E1172,F1172)</f>
        <v>BC Caiaponia1SG60KTL(COM1-006)_001_01646047.253472222246047.253472222246047.4208333333</v>
      </c>
      <c r="Q1172" s="32" t="str">
        <f aca="false">_xlfn.CONCAT(H1172,I1172,J1172)</f>
        <v>DAURDE</v>
      </c>
    </row>
    <row r="1173" customFormat="false" ht="15" hidden="false" customHeight="false" outlineLevel="0" collapsed="false">
      <c r="B1173" s="32" t="s">
        <v>48</v>
      </c>
      <c r="C1173" s="32" t="s">
        <v>300</v>
      </c>
      <c r="D1173" s="33" t="n">
        <v>46047.2534722222</v>
      </c>
      <c r="E1173" s="33" t="n">
        <v>46047.2534722222</v>
      </c>
      <c r="F1173" s="33" t="n">
        <v>46047.4208333333</v>
      </c>
      <c r="G1173" s="34" t="n">
        <f aca="false">F1173-E1173</f>
        <v>0.167361111111111</v>
      </c>
      <c r="H1173" s="39" t="s">
        <v>252</v>
      </c>
      <c r="J1173" s="39" t="s">
        <v>253</v>
      </c>
      <c r="K1173" s="32" t="s">
        <v>266</v>
      </c>
      <c r="L1173" s="32" t="s">
        <v>275</v>
      </c>
      <c r="M1173" s="39" t="s">
        <v>255</v>
      </c>
      <c r="N1173" s="39" t="s">
        <v>256</v>
      </c>
      <c r="O1173" s="32" t="s">
        <v>628</v>
      </c>
      <c r="P1173" s="40" t="str">
        <f aca="false">_xlfn.CONCAT(B1173,C1173,D1173,E1173,F1173)</f>
        <v>BC Caiaponia1SG60KTL(COM1-007)_001_01346047.253472222246047.253472222246047.4208333333</v>
      </c>
      <c r="Q1173" s="32" t="str">
        <f aca="false">_xlfn.CONCAT(H1173,I1173,J1173)</f>
        <v>DAURDE</v>
      </c>
    </row>
    <row r="1174" customFormat="false" ht="15" hidden="false" customHeight="false" outlineLevel="0" collapsed="false">
      <c r="B1174" s="32" t="s">
        <v>48</v>
      </c>
      <c r="C1174" s="32" t="s">
        <v>301</v>
      </c>
      <c r="D1174" s="33" t="n">
        <v>46047.2534722222</v>
      </c>
      <c r="E1174" s="33" t="n">
        <v>46047.2534722222</v>
      </c>
      <c r="F1174" s="33" t="n">
        <v>46047.4208333333</v>
      </c>
      <c r="G1174" s="34" t="n">
        <f aca="false">F1174-E1174</f>
        <v>0.167361111111111</v>
      </c>
      <c r="H1174" s="39" t="s">
        <v>252</v>
      </c>
      <c r="J1174" s="39" t="s">
        <v>253</v>
      </c>
      <c r="K1174" s="32" t="s">
        <v>266</v>
      </c>
      <c r="L1174" s="32" t="s">
        <v>275</v>
      </c>
      <c r="M1174" s="39" t="s">
        <v>255</v>
      </c>
      <c r="N1174" s="39" t="s">
        <v>256</v>
      </c>
      <c r="O1174" s="32" t="s">
        <v>628</v>
      </c>
      <c r="P1174" s="40" t="str">
        <f aca="false">_xlfn.CONCAT(B1174,C1174,D1174,E1174,F1174)</f>
        <v>BC Caiaponia1SG60KTL(COM1-008)_001_00146047.253472222246047.253472222246047.4208333333</v>
      </c>
      <c r="Q1174" s="32" t="str">
        <f aca="false">_xlfn.CONCAT(H1174,I1174,J1174)</f>
        <v>DAURDE</v>
      </c>
    </row>
    <row r="1175" customFormat="false" ht="15" hidden="false" customHeight="false" outlineLevel="0" collapsed="false">
      <c r="B1175" s="32" t="s">
        <v>48</v>
      </c>
      <c r="C1175" s="32" t="s">
        <v>302</v>
      </c>
      <c r="D1175" s="33" t="n">
        <v>46047.2534722222</v>
      </c>
      <c r="E1175" s="33" t="n">
        <v>46047.2534722222</v>
      </c>
      <c r="F1175" s="33" t="n">
        <v>46047.4208333333</v>
      </c>
      <c r="G1175" s="34" t="n">
        <f aca="false">F1175-E1175</f>
        <v>0.167361111111111</v>
      </c>
      <c r="H1175" s="39" t="s">
        <v>252</v>
      </c>
      <c r="J1175" s="39" t="s">
        <v>253</v>
      </c>
      <c r="K1175" s="32" t="s">
        <v>266</v>
      </c>
      <c r="L1175" s="32" t="s">
        <v>275</v>
      </c>
      <c r="M1175" s="39" t="s">
        <v>255</v>
      </c>
      <c r="N1175" s="39" t="s">
        <v>256</v>
      </c>
      <c r="O1175" s="32" t="s">
        <v>628</v>
      </c>
      <c r="P1175" s="40" t="str">
        <f aca="false">_xlfn.CONCAT(B1175,C1175,D1175,E1175,F1175)</f>
        <v>BC Caiaponia1SG60KTL(COM1-009)46047.253472222246047.253472222246047.4208333333</v>
      </c>
      <c r="Q1175" s="32" t="str">
        <f aca="false">_xlfn.CONCAT(H1175,I1175,J1175)</f>
        <v>DAURDE</v>
      </c>
    </row>
    <row r="1176" customFormat="false" ht="15" hidden="false" customHeight="false" outlineLevel="0" collapsed="false">
      <c r="B1176" s="32" t="s">
        <v>48</v>
      </c>
      <c r="C1176" s="32" t="s">
        <v>303</v>
      </c>
      <c r="D1176" s="33" t="n">
        <v>46047.2534722222</v>
      </c>
      <c r="E1176" s="33" t="n">
        <v>46047.2534722222</v>
      </c>
      <c r="F1176" s="33" t="n">
        <v>46047.4208333333</v>
      </c>
      <c r="G1176" s="34" t="n">
        <f aca="false">F1176-E1176</f>
        <v>0.167361111111111</v>
      </c>
      <c r="H1176" s="39" t="s">
        <v>252</v>
      </c>
      <c r="J1176" s="39" t="s">
        <v>253</v>
      </c>
      <c r="K1176" s="32" t="s">
        <v>266</v>
      </c>
      <c r="L1176" s="32" t="s">
        <v>275</v>
      </c>
      <c r="M1176" s="39" t="s">
        <v>255</v>
      </c>
      <c r="N1176" s="39" t="s">
        <v>256</v>
      </c>
      <c r="O1176" s="32" t="s">
        <v>628</v>
      </c>
      <c r="P1176" s="40" t="str">
        <f aca="false">_xlfn.CONCAT(B1176,C1176,D1176,E1176,F1176)</f>
        <v>BC Caiaponia1SG60KTL(COM1-010)46047.253472222246047.253472222246047.4208333333</v>
      </c>
      <c r="Q1176" s="32" t="str">
        <f aca="false">_xlfn.CONCAT(H1176,I1176,J1176)</f>
        <v>DAURDE</v>
      </c>
    </row>
    <row r="1177" customFormat="false" ht="15" hidden="false" customHeight="false" outlineLevel="0" collapsed="false">
      <c r="B1177" s="32" t="s">
        <v>48</v>
      </c>
      <c r="C1177" s="32" t="s">
        <v>304</v>
      </c>
      <c r="D1177" s="33" t="n">
        <v>46047.2534722222</v>
      </c>
      <c r="E1177" s="33" t="n">
        <v>46047.2534722222</v>
      </c>
      <c r="F1177" s="33" t="n">
        <v>46047.4208333333</v>
      </c>
      <c r="G1177" s="34" t="n">
        <f aca="false">F1177-E1177</f>
        <v>0.167361111111111</v>
      </c>
      <c r="H1177" s="39" t="s">
        <v>252</v>
      </c>
      <c r="J1177" s="39" t="s">
        <v>253</v>
      </c>
      <c r="K1177" s="32" t="s">
        <v>266</v>
      </c>
      <c r="L1177" s="32" t="s">
        <v>275</v>
      </c>
      <c r="M1177" s="39" t="s">
        <v>255</v>
      </c>
      <c r="N1177" s="39" t="s">
        <v>256</v>
      </c>
      <c r="O1177" s="32" t="s">
        <v>628</v>
      </c>
      <c r="P1177" s="40" t="str">
        <f aca="false">_xlfn.CONCAT(B1177,C1177,D1177,E1177,F1177)</f>
        <v>BC Caiaponia1SG60KTL(COM1-011)46047.253472222246047.253472222246047.4208333333</v>
      </c>
      <c r="Q1177" s="32" t="str">
        <f aca="false">_xlfn.CONCAT(H1177,I1177,J1177)</f>
        <v>DAURDE</v>
      </c>
    </row>
    <row r="1178" customFormat="false" ht="15" hidden="false" customHeight="false" outlineLevel="0" collapsed="false">
      <c r="B1178" s="32" t="s">
        <v>48</v>
      </c>
      <c r="C1178" s="32" t="s">
        <v>305</v>
      </c>
      <c r="D1178" s="33" t="n">
        <v>46047.2534722222</v>
      </c>
      <c r="E1178" s="33" t="n">
        <v>46047.2534722222</v>
      </c>
      <c r="F1178" s="33" t="n">
        <v>46047.4208333333</v>
      </c>
      <c r="G1178" s="34" t="n">
        <f aca="false">F1178-E1178</f>
        <v>0.167361111111111</v>
      </c>
      <c r="H1178" s="39" t="s">
        <v>252</v>
      </c>
      <c r="J1178" s="39" t="s">
        <v>253</v>
      </c>
      <c r="K1178" s="32" t="s">
        <v>266</v>
      </c>
      <c r="L1178" s="32" t="s">
        <v>275</v>
      </c>
      <c r="M1178" s="39" t="s">
        <v>255</v>
      </c>
      <c r="N1178" s="39" t="s">
        <v>256</v>
      </c>
      <c r="O1178" s="32" t="s">
        <v>628</v>
      </c>
      <c r="P1178" s="40" t="str">
        <f aca="false">_xlfn.CONCAT(B1178,C1178,D1178,E1178,F1178)</f>
        <v>BC Caiaponia1SG60KTL(COM1-012)46047.253472222246047.253472222246047.4208333333</v>
      </c>
      <c r="Q1178" s="32" t="str">
        <f aca="false">_xlfn.CONCAT(H1178,I1178,J1178)</f>
        <v>DAURDE</v>
      </c>
    </row>
    <row r="1179" customFormat="false" ht="15" hidden="false" customHeight="false" outlineLevel="0" collapsed="false">
      <c r="B1179" s="32" t="s">
        <v>48</v>
      </c>
      <c r="C1179" s="32" t="s">
        <v>306</v>
      </c>
      <c r="D1179" s="33" t="n">
        <v>46047.2534722222</v>
      </c>
      <c r="E1179" s="33" t="n">
        <v>46047.2534722222</v>
      </c>
      <c r="F1179" s="33" t="n">
        <v>46047.4208333333</v>
      </c>
      <c r="G1179" s="34" t="n">
        <f aca="false">F1179-E1179</f>
        <v>0.167361111111111</v>
      </c>
      <c r="H1179" s="39" t="s">
        <v>252</v>
      </c>
      <c r="J1179" s="39" t="s">
        <v>253</v>
      </c>
      <c r="K1179" s="32" t="s">
        <v>266</v>
      </c>
      <c r="L1179" s="32" t="s">
        <v>275</v>
      </c>
      <c r="M1179" s="39" t="s">
        <v>255</v>
      </c>
      <c r="N1179" s="39" t="s">
        <v>256</v>
      </c>
      <c r="O1179" s="32" t="s">
        <v>628</v>
      </c>
      <c r="P1179" s="40" t="str">
        <f aca="false">_xlfn.CONCAT(B1179,C1179,D1179,E1179,F1179)</f>
        <v>BC Caiaponia1SG60KTL(COM1-013)46047.253472222246047.253472222246047.4208333333</v>
      </c>
      <c r="Q1179" s="32" t="str">
        <f aca="false">_xlfn.CONCAT(H1179,I1179,J1179)</f>
        <v>DAURDE</v>
      </c>
    </row>
    <row r="1180" customFormat="false" ht="15" hidden="false" customHeight="false" outlineLevel="0" collapsed="false">
      <c r="B1180" s="32" t="s">
        <v>48</v>
      </c>
      <c r="C1180" s="32" t="s">
        <v>307</v>
      </c>
      <c r="D1180" s="33" t="n">
        <v>46047.2534722222</v>
      </c>
      <c r="E1180" s="33" t="n">
        <v>46047.2534722222</v>
      </c>
      <c r="F1180" s="33" t="n">
        <v>46047.4208333333</v>
      </c>
      <c r="G1180" s="34" t="n">
        <f aca="false">F1180-E1180</f>
        <v>0.167361111111111</v>
      </c>
      <c r="H1180" s="39" t="s">
        <v>252</v>
      </c>
      <c r="J1180" s="39" t="s">
        <v>253</v>
      </c>
      <c r="K1180" s="32" t="s">
        <v>266</v>
      </c>
      <c r="L1180" s="32" t="s">
        <v>275</v>
      </c>
      <c r="M1180" s="39" t="s">
        <v>255</v>
      </c>
      <c r="N1180" s="39" t="s">
        <v>256</v>
      </c>
      <c r="O1180" s="32" t="s">
        <v>628</v>
      </c>
      <c r="P1180" s="40" t="str">
        <f aca="false">_xlfn.CONCAT(B1180,C1180,D1180,E1180,F1180)</f>
        <v>BC Caiaponia1SG60KTL(COM1-014)46047.253472222246047.253472222246047.4208333333</v>
      </c>
      <c r="Q1180" s="32" t="str">
        <f aca="false">_xlfn.CONCAT(H1180,I1180,J1180)</f>
        <v>DAURDE</v>
      </c>
    </row>
    <row r="1181" customFormat="false" ht="15" hidden="false" customHeight="false" outlineLevel="0" collapsed="false">
      <c r="B1181" s="32" t="s">
        <v>48</v>
      </c>
      <c r="C1181" s="32" t="s">
        <v>308</v>
      </c>
      <c r="D1181" s="33" t="n">
        <v>46047.2534722222</v>
      </c>
      <c r="E1181" s="33" t="n">
        <v>46047.2534722222</v>
      </c>
      <c r="F1181" s="33" t="n">
        <v>46047.4208333333</v>
      </c>
      <c r="G1181" s="34" t="n">
        <f aca="false">F1181-E1181</f>
        <v>0.167361111111111</v>
      </c>
      <c r="H1181" s="39" t="s">
        <v>252</v>
      </c>
      <c r="J1181" s="39" t="s">
        <v>253</v>
      </c>
      <c r="K1181" s="32" t="s">
        <v>266</v>
      </c>
      <c r="L1181" s="32" t="s">
        <v>275</v>
      </c>
      <c r="M1181" s="39" t="s">
        <v>255</v>
      </c>
      <c r="N1181" s="39" t="s">
        <v>256</v>
      </c>
      <c r="O1181" s="32" t="s">
        <v>628</v>
      </c>
      <c r="P1181" s="40" t="str">
        <f aca="false">_xlfn.CONCAT(B1181,C1181,D1181,E1181,F1181)</f>
        <v>BC Caiaponia1SG60KTL(COM1-015)46047.253472222246047.253472222246047.4208333333</v>
      </c>
      <c r="Q1181" s="32" t="str">
        <f aca="false">_xlfn.CONCAT(H1181,I1181,J1181)</f>
        <v>DAURDE</v>
      </c>
    </row>
    <row r="1182" customFormat="false" ht="15" hidden="false" customHeight="false" outlineLevel="0" collapsed="false">
      <c r="B1182" s="32" t="s">
        <v>48</v>
      </c>
      <c r="C1182" s="32" t="s">
        <v>309</v>
      </c>
      <c r="D1182" s="33" t="n">
        <v>46047.2534722222</v>
      </c>
      <c r="E1182" s="33" t="n">
        <v>46047.2534722222</v>
      </c>
      <c r="F1182" s="33" t="n">
        <v>46047.4208333333</v>
      </c>
      <c r="G1182" s="34" t="n">
        <f aca="false">F1182-E1182</f>
        <v>0.167361111111111</v>
      </c>
      <c r="H1182" s="39" t="s">
        <v>252</v>
      </c>
      <c r="J1182" s="39" t="s">
        <v>253</v>
      </c>
      <c r="K1182" s="32" t="s">
        <v>266</v>
      </c>
      <c r="L1182" s="32" t="s">
        <v>275</v>
      </c>
      <c r="M1182" s="39" t="s">
        <v>255</v>
      </c>
      <c r="N1182" s="39" t="s">
        <v>256</v>
      </c>
      <c r="O1182" s="32" t="s">
        <v>628</v>
      </c>
      <c r="P1182" s="40" t="str">
        <f aca="false">_xlfn.CONCAT(B1182,C1182,D1182,E1182,F1182)</f>
        <v>BC Caiaponia1SG60KTL(COM3-016)_001_00946047.253472222246047.253472222246047.4208333333</v>
      </c>
      <c r="Q1182" s="32" t="str">
        <f aca="false">_xlfn.CONCAT(H1182,I1182,J1182)</f>
        <v>DAURDE</v>
      </c>
    </row>
    <row r="1183" customFormat="false" ht="15" hidden="false" customHeight="false" outlineLevel="0" collapsed="false">
      <c r="B1183" s="32" t="s">
        <v>48</v>
      </c>
      <c r="C1183" s="32" t="s">
        <v>310</v>
      </c>
      <c r="D1183" s="33" t="n">
        <v>46047.2534722222</v>
      </c>
      <c r="E1183" s="33" t="n">
        <v>46047.2534722222</v>
      </c>
      <c r="F1183" s="33" t="n">
        <v>46047.4208333333</v>
      </c>
      <c r="G1183" s="34" t="n">
        <f aca="false">F1183-E1183</f>
        <v>0.167361111111111</v>
      </c>
      <c r="H1183" s="39" t="s">
        <v>252</v>
      </c>
      <c r="J1183" s="39" t="s">
        <v>253</v>
      </c>
      <c r="K1183" s="32" t="s">
        <v>266</v>
      </c>
      <c r="L1183" s="32" t="s">
        <v>275</v>
      </c>
      <c r="M1183" s="39" t="s">
        <v>255</v>
      </c>
      <c r="N1183" s="39" t="s">
        <v>256</v>
      </c>
      <c r="O1183" s="32" t="s">
        <v>628</v>
      </c>
      <c r="P1183" s="40" t="str">
        <f aca="false">_xlfn.CONCAT(B1183,C1183,D1183,E1183,F1183)</f>
        <v>BC Caiaponia1SG60KTL(COM3-017)_001_01246047.253472222246047.253472222246047.4208333333</v>
      </c>
      <c r="Q1183" s="32" t="str">
        <f aca="false">_xlfn.CONCAT(H1183,I1183,J1183)</f>
        <v>DAURDE</v>
      </c>
    </row>
    <row r="1184" customFormat="false" ht="15" hidden="false" customHeight="false" outlineLevel="0" collapsed="false">
      <c r="B1184" s="32" t="s">
        <v>48</v>
      </c>
      <c r="C1184" s="32" t="s">
        <v>311</v>
      </c>
      <c r="D1184" s="33" t="n">
        <v>46047.2534722222</v>
      </c>
      <c r="E1184" s="33" t="n">
        <v>46047.2534722222</v>
      </c>
      <c r="F1184" s="33" t="n">
        <v>46047.4208333333</v>
      </c>
      <c r="G1184" s="34" t="n">
        <f aca="false">F1184-E1184</f>
        <v>0.167361111111111</v>
      </c>
      <c r="H1184" s="39" t="s">
        <v>252</v>
      </c>
      <c r="J1184" s="39" t="s">
        <v>253</v>
      </c>
      <c r="K1184" s="32" t="s">
        <v>266</v>
      </c>
      <c r="L1184" s="32" t="s">
        <v>275</v>
      </c>
      <c r="M1184" s="39" t="s">
        <v>255</v>
      </c>
      <c r="N1184" s="39" t="s">
        <v>256</v>
      </c>
      <c r="O1184" s="32" t="s">
        <v>628</v>
      </c>
      <c r="P1184" s="40" t="str">
        <f aca="false">_xlfn.CONCAT(B1184,C1184,D1184,E1184,F1184)</f>
        <v>BC Caiaponia1SG60KTL(COM3-018)_001_00846047.253472222246047.253472222246047.4208333333</v>
      </c>
      <c r="Q1184" s="32" t="str">
        <f aca="false">_xlfn.CONCAT(H1184,I1184,J1184)</f>
        <v>DAURDE</v>
      </c>
    </row>
    <row r="1185" customFormat="false" ht="15" hidden="false" customHeight="false" outlineLevel="0" collapsed="false">
      <c r="B1185" s="32" t="s">
        <v>48</v>
      </c>
      <c r="C1185" s="32" t="s">
        <v>312</v>
      </c>
      <c r="D1185" s="33" t="n">
        <v>46047.2534722222</v>
      </c>
      <c r="E1185" s="33" t="n">
        <v>46047.2534722222</v>
      </c>
      <c r="F1185" s="33" t="n">
        <v>46047.4208333333</v>
      </c>
      <c r="G1185" s="34" t="n">
        <f aca="false">F1185-E1185</f>
        <v>0.167361111111111</v>
      </c>
      <c r="H1185" s="39" t="s">
        <v>252</v>
      </c>
      <c r="J1185" s="39" t="s">
        <v>253</v>
      </c>
      <c r="K1185" s="32" t="s">
        <v>266</v>
      </c>
      <c r="L1185" s="32" t="s">
        <v>275</v>
      </c>
      <c r="M1185" s="39" t="s">
        <v>255</v>
      </c>
      <c r="N1185" s="39" t="s">
        <v>256</v>
      </c>
      <c r="O1185" s="32" t="s">
        <v>628</v>
      </c>
      <c r="P1185" s="40" t="str">
        <f aca="false">_xlfn.CONCAT(B1185,C1185,D1185,E1185,F1185)</f>
        <v>BC Caiaponia1SG60KTL(COM3-019)_001_01946047.253472222246047.253472222246047.4208333333</v>
      </c>
      <c r="Q1185" s="32" t="str">
        <f aca="false">_xlfn.CONCAT(H1185,I1185,J1185)</f>
        <v>DAURDE</v>
      </c>
    </row>
    <row r="1186" customFormat="false" ht="15" hidden="false" customHeight="false" outlineLevel="0" collapsed="false">
      <c r="B1186" s="32" t="s">
        <v>48</v>
      </c>
      <c r="C1186" s="32" t="s">
        <v>313</v>
      </c>
      <c r="D1186" s="33" t="n">
        <v>46047.2534722222</v>
      </c>
      <c r="E1186" s="33" t="n">
        <v>46047.2534722222</v>
      </c>
      <c r="F1186" s="33" t="n">
        <v>46047.4208333333</v>
      </c>
      <c r="G1186" s="34" t="n">
        <f aca="false">F1186-E1186</f>
        <v>0.167361111111111</v>
      </c>
      <c r="H1186" s="39" t="s">
        <v>252</v>
      </c>
      <c r="J1186" s="39" t="s">
        <v>253</v>
      </c>
      <c r="K1186" s="32" t="s">
        <v>266</v>
      </c>
      <c r="L1186" s="32" t="s">
        <v>275</v>
      </c>
      <c r="M1186" s="39" t="s">
        <v>255</v>
      </c>
      <c r="N1186" s="39" t="s">
        <v>256</v>
      </c>
      <c r="O1186" s="32" t="s">
        <v>628</v>
      </c>
      <c r="P1186" s="40" t="str">
        <f aca="false">_xlfn.CONCAT(B1186,C1186,D1186,E1186,F1186)</f>
        <v>BC Caiaponia1SG60KTL(COM3-020)_001_02046047.253472222246047.253472222246047.4208333333</v>
      </c>
      <c r="Q1186" s="32" t="str">
        <f aca="false">_xlfn.CONCAT(H1186,I1186,J1186)</f>
        <v>DAURDE</v>
      </c>
    </row>
    <row r="1187" customFormat="false" ht="15" hidden="false" customHeight="false" outlineLevel="0" collapsed="false">
      <c r="B1187" s="32" t="s">
        <v>48</v>
      </c>
      <c r="C1187" s="32" t="s">
        <v>314</v>
      </c>
      <c r="D1187" s="33" t="n">
        <v>46047.2534722222</v>
      </c>
      <c r="E1187" s="33" t="n">
        <v>46047.2534722222</v>
      </c>
      <c r="F1187" s="33" t="n">
        <v>46047.4208333333</v>
      </c>
      <c r="G1187" s="34" t="n">
        <f aca="false">F1187-E1187</f>
        <v>0.167361111111111</v>
      </c>
      <c r="H1187" s="39" t="s">
        <v>252</v>
      </c>
      <c r="J1187" s="39" t="s">
        <v>253</v>
      </c>
      <c r="K1187" s="32" t="s">
        <v>266</v>
      </c>
      <c r="L1187" s="32" t="s">
        <v>275</v>
      </c>
      <c r="M1187" s="39" t="s">
        <v>255</v>
      </c>
      <c r="N1187" s="39" t="s">
        <v>256</v>
      </c>
      <c r="O1187" s="32" t="s">
        <v>628</v>
      </c>
      <c r="P1187" s="40" t="str">
        <f aca="false">_xlfn.CONCAT(B1187,C1187,D1187,E1187,F1187)</f>
        <v>BC Caiaponia1SG60KTL(COM2-026)46047.253472222246047.253472222246047.4208333333</v>
      </c>
      <c r="Q1187" s="32" t="str">
        <f aca="false">_xlfn.CONCAT(H1187,I1187,J1187)</f>
        <v>DAURDE</v>
      </c>
    </row>
    <row r="1188" customFormat="false" ht="15" hidden="false" customHeight="false" outlineLevel="0" collapsed="false">
      <c r="B1188" s="32" t="s">
        <v>48</v>
      </c>
      <c r="C1188" s="32" t="s">
        <v>315</v>
      </c>
      <c r="D1188" s="33" t="n">
        <v>46047.2534722222</v>
      </c>
      <c r="E1188" s="33" t="n">
        <v>46047.2534722222</v>
      </c>
      <c r="F1188" s="33" t="n">
        <v>46047.4208333333</v>
      </c>
      <c r="G1188" s="34" t="n">
        <f aca="false">F1188-E1188</f>
        <v>0.167361111111111</v>
      </c>
      <c r="H1188" s="39" t="s">
        <v>252</v>
      </c>
      <c r="J1188" s="39" t="s">
        <v>253</v>
      </c>
      <c r="K1188" s="32" t="s">
        <v>266</v>
      </c>
      <c r="L1188" s="32" t="s">
        <v>275</v>
      </c>
      <c r="M1188" s="39" t="s">
        <v>255</v>
      </c>
      <c r="N1188" s="39" t="s">
        <v>256</v>
      </c>
      <c r="O1188" s="32" t="s">
        <v>628</v>
      </c>
      <c r="P1188" s="40" t="str">
        <f aca="false">_xlfn.CONCAT(B1188,C1188,D1188,E1188,F1188)</f>
        <v>BC Caiaponia1SG60KTL(COM2-027)46047.253472222246047.253472222246047.4208333333</v>
      </c>
      <c r="Q1188" s="32" t="str">
        <f aca="false">_xlfn.CONCAT(H1188,I1188,J1188)</f>
        <v>DAURDE</v>
      </c>
    </row>
    <row r="1189" customFormat="false" ht="15" hidden="false" customHeight="false" outlineLevel="0" collapsed="false">
      <c r="B1189" s="32" t="s">
        <v>48</v>
      </c>
      <c r="C1189" s="32" t="s">
        <v>316</v>
      </c>
      <c r="D1189" s="33" t="n">
        <v>46047.2534722222</v>
      </c>
      <c r="E1189" s="33" t="n">
        <v>46047.2534722222</v>
      </c>
      <c r="F1189" s="33" t="n">
        <v>46047.4208333333</v>
      </c>
      <c r="G1189" s="34" t="n">
        <f aca="false">F1189-E1189</f>
        <v>0.167361111111111</v>
      </c>
      <c r="H1189" s="39" t="s">
        <v>252</v>
      </c>
      <c r="J1189" s="39" t="s">
        <v>253</v>
      </c>
      <c r="K1189" s="32" t="s">
        <v>266</v>
      </c>
      <c r="L1189" s="32" t="s">
        <v>275</v>
      </c>
      <c r="M1189" s="39" t="s">
        <v>255</v>
      </c>
      <c r="N1189" s="39" t="s">
        <v>256</v>
      </c>
      <c r="O1189" s="32" t="s">
        <v>628</v>
      </c>
      <c r="P1189" s="40" t="str">
        <f aca="false">_xlfn.CONCAT(B1189,C1189,D1189,E1189,F1189)</f>
        <v>BC Caiaponia1SG60KTL(COM2-028)46047.253472222246047.253472222246047.4208333333</v>
      </c>
      <c r="Q1189" s="32" t="str">
        <f aca="false">_xlfn.CONCAT(H1189,I1189,J1189)</f>
        <v>DAURDE</v>
      </c>
    </row>
    <row r="1190" customFormat="false" ht="15" hidden="false" customHeight="false" outlineLevel="0" collapsed="false">
      <c r="B1190" s="32" t="s">
        <v>48</v>
      </c>
      <c r="C1190" s="32" t="s">
        <v>317</v>
      </c>
      <c r="D1190" s="33" t="n">
        <v>46047.2534722222</v>
      </c>
      <c r="E1190" s="33" t="n">
        <v>46047.2534722222</v>
      </c>
      <c r="F1190" s="33" t="n">
        <v>46047.4208333333</v>
      </c>
      <c r="G1190" s="34" t="n">
        <f aca="false">F1190-E1190</f>
        <v>0.167361111111111</v>
      </c>
      <c r="H1190" s="39" t="s">
        <v>252</v>
      </c>
      <c r="J1190" s="39" t="s">
        <v>253</v>
      </c>
      <c r="K1190" s="32" t="s">
        <v>266</v>
      </c>
      <c r="L1190" s="32" t="s">
        <v>275</v>
      </c>
      <c r="M1190" s="39" t="s">
        <v>255</v>
      </c>
      <c r="N1190" s="39" t="s">
        <v>256</v>
      </c>
      <c r="O1190" s="32" t="s">
        <v>628</v>
      </c>
      <c r="P1190" s="40" t="str">
        <f aca="false">_xlfn.CONCAT(B1190,C1190,D1190,E1190,F1190)</f>
        <v>BC Caiaponia1SG60KTL(COM2-029)46047.253472222246047.253472222246047.4208333333</v>
      </c>
      <c r="Q1190" s="32" t="str">
        <f aca="false">_xlfn.CONCAT(H1190,I1190,J1190)</f>
        <v>DAURDE</v>
      </c>
    </row>
    <row r="1191" customFormat="false" ht="15" hidden="false" customHeight="false" outlineLevel="0" collapsed="false">
      <c r="B1191" s="32" t="s">
        <v>48</v>
      </c>
      <c r="C1191" s="32" t="s">
        <v>318</v>
      </c>
      <c r="D1191" s="33" t="n">
        <v>46047.2534722222</v>
      </c>
      <c r="E1191" s="33" t="n">
        <v>46047.2534722222</v>
      </c>
      <c r="F1191" s="33" t="n">
        <v>46047.4208333333</v>
      </c>
      <c r="G1191" s="34" t="n">
        <f aca="false">F1191-E1191</f>
        <v>0.167361111111111</v>
      </c>
      <c r="H1191" s="39" t="s">
        <v>252</v>
      </c>
      <c r="J1191" s="39" t="s">
        <v>253</v>
      </c>
      <c r="K1191" s="32" t="s">
        <v>266</v>
      </c>
      <c r="L1191" s="32" t="s">
        <v>275</v>
      </c>
      <c r="M1191" s="39" t="s">
        <v>255</v>
      </c>
      <c r="N1191" s="39" t="s">
        <v>256</v>
      </c>
      <c r="O1191" s="32" t="s">
        <v>628</v>
      </c>
      <c r="P1191" s="40" t="str">
        <f aca="false">_xlfn.CONCAT(B1191,C1191,D1191,E1191,F1191)</f>
        <v>BC Caiaponia1SG50CX(COM1-021)46047.253472222246047.253472222246047.4208333333</v>
      </c>
      <c r="Q1191" s="32" t="str">
        <f aca="false">_xlfn.CONCAT(H1191,I1191,J1191)</f>
        <v>DAURDE</v>
      </c>
    </row>
    <row r="1192" customFormat="false" ht="15" hidden="false" customHeight="false" outlineLevel="0" collapsed="false">
      <c r="B1192" s="32" t="s">
        <v>48</v>
      </c>
      <c r="C1192" s="32" t="s">
        <v>319</v>
      </c>
      <c r="D1192" s="33" t="n">
        <v>46047.2534722222</v>
      </c>
      <c r="E1192" s="33" t="n">
        <v>46047.2534722222</v>
      </c>
      <c r="F1192" s="33" t="n">
        <v>46047.4208333333</v>
      </c>
      <c r="G1192" s="34" t="n">
        <f aca="false">F1192-E1192</f>
        <v>0.167361111111111</v>
      </c>
      <c r="H1192" s="39" t="s">
        <v>252</v>
      </c>
      <c r="J1192" s="39" t="s">
        <v>253</v>
      </c>
      <c r="K1192" s="32" t="s">
        <v>266</v>
      </c>
      <c r="L1192" s="32" t="s">
        <v>275</v>
      </c>
      <c r="M1192" s="39" t="s">
        <v>255</v>
      </c>
      <c r="N1192" s="39" t="s">
        <v>256</v>
      </c>
      <c r="O1192" s="32" t="s">
        <v>628</v>
      </c>
      <c r="P1192" s="40" t="str">
        <f aca="false">_xlfn.CONCAT(B1192,C1192,D1192,E1192,F1192)</f>
        <v>BC Caiaponia1SG50CX(COM1-022)46047.253472222246047.253472222246047.4208333333</v>
      </c>
      <c r="Q1192" s="32" t="str">
        <f aca="false">_xlfn.CONCAT(H1192,I1192,J1192)</f>
        <v>DAURDE</v>
      </c>
    </row>
    <row r="1193" customFormat="false" ht="15" hidden="false" customHeight="false" outlineLevel="0" collapsed="false">
      <c r="B1193" s="32" t="s">
        <v>48</v>
      </c>
      <c r="C1193" s="32" t="s">
        <v>320</v>
      </c>
      <c r="D1193" s="33" t="n">
        <v>46047.2534722222</v>
      </c>
      <c r="E1193" s="33" t="n">
        <v>46047.2534722222</v>
      </c>
      <c r="F1193" s="33" t="n">
        <v>46047.4208333333</v>
      </c>
      <c r="G1193" s="34" t="n">
        <f aca="false">F1193-E1193</f>
        <v>0.167361111111111</v>
      </c>
      <c r="H1193" s="39" t="s">
        <v>252</v>
      </c>
      <c r="J1193" s="39" t="s">
        <v>253</v>
      </c>
      <c r="K1193" s="32" t="s">
        <v>266</v>
      </c>
      <c r="L1193" s="32" t="s">
        <v>275</v>
      </c>
      <c r="M1193" s="39" t="s">
        <v>255</v>
      </c>
      <c r="N1193" s="39" t="s">
        <v>256</v>
      </c>
      <c r="O1193" s="32" t="s">
        <v>628</v>
      </c>
      <c r="P1193" s="40" t="str">
        <f aca="false">_xlfn.CONCAT(B1193,C1193,D1193,E1193,F1193)</f>
        <v>BC Caiaponia1SG50CX(COM1-023)46047.253472222246047.253472222246047.4208333333</v>
      </c>
      <c r="Q1193" s="32" t="str">
        <f aca="false">_xlfn.CONCAT(H1193,I1193,J1193)</f>
        <v>DAURDE</v>
      </c>
    </row>
    <row r="1194" customFormat="false" ht="15" hidden="false" customHeight="false" outlineLevel="0" collapsed="false">
      <c r="B1194" s="32" t="s">
        <v>48</v>
      </c>
      <c r="C1194" s="32" t="s">
        <v>321</v>
      </c>
      <c r="D1194" s="33" t="n">
        <v>46047.2534722222</v>
      </c>
      <c r="E1194" s="33" t="n">
        <v>46047.2534722222</v>
      </c>
      <c r="F1194" s="33" t="n">
        <v>46047.4208333333</v>
      </c>
      <c r="G1194" s="34" t="n">
        <f aca="false">F1194-E1194</f>
        <v>0.167361111111111</v>
      </c>
      <c r="H1194" s="39" t="s">
        <v>252</v>
      </c>
      <c r="J1194" s="39" t="s">
        <v>253</v>
      </c>
      <c r="K1194" s="32" t="s">
        <v>266</v>
      </c>
      <c r="L1194" s="32" t="s">
        <v>275</v>
      </c>
      <c r="M1194" s="39" t="s">
        <v>255</v>
      </c>
      <c r="N1194" s="39" t="s">
        <v>256</v>
      </c>
      <c r="O1194" s="32" t="s">
        <v>628</v>
      </c>
      <c r="P1194" s="40" t="str">
        <f aca="false">_xlfn.CONCAT(B1194,C1194,D1194,E1194,F1194)</f>
        <v>BC Caiaponia1SG50CX(COM1-024)46047.253472222246047.253472222246047.4208333333</v>
      </c>
      <c r="Q1194" s="32" t="str">
        <f aca="false">_xlfn.CONCAT(H1194,I1194,J1194)</f>
        <v>DAURDE</v>
      </c>
    </row>
    <row r="1195" customFormat="false" ht="15" hidden="false" customHeight="false" outlineLevel="0" collapsed="false">
      <c r="B1195" s="32" t="s">
        <v>48</v>
      </c>
      <c r="C1195" s="32" t="s">
        <v>322</v>
      </c>
      <c r="D1195" s="33" t="n">
        <v>46047.2534722222</v>
      </c>
      <c r="E1195" s="33" t="n">
        <v>46047.2534722222</v>
      </c>
      <c r="F1195" s="33" t="n">
        <v>46047.4208333333</v>
      </c>
      <c r="G1195" s="34" t="n">
        <f aca="false">F1195-E1195</f>
        <v>0.167361111111111</v>
      </c>
      <c r="H1195" s="39" t="s">
        <v>252</v>
      </c>
      <c r="J1195" s="39" t="s">
        <v>253</v>
      </c>
      <c r="K1195" s="32" t="s">
        <v>266</v>
      </c>
      <c r="L1195" s="32" t="s">
        <v>275</v>
      </c>
      <c r="M1195" s="39" t="s">
        <v>255</v>
      </c>
      <c r="N1195" s="39" t="s">
        <v>256</v>
      </c>
      <c r="O1195" s="32" t="s">
        <v>628</v>
      </c>
      <c r="P1195" s="40" t="str">
        <f aca="false">_xlfn.CONCAT(B1195,C1195,D1195,E1195,F1195)</f>
        <v>BC Caiaponia1SG50CX(COM1-025)46047.253472222246047.253472222246047.4208333333</v>
      </c>
      <c r="Q1195" s="32" t="str">
        <f aca="false">_xlfn.CONCAT(H1195,I1195,J1195)</f>
        <v>DAURDE</v>
      </c>
    </row>
    <row r="1196" customFormat="false" ht="15" hidden="false" customHeight="false" outlineLevel="0" collapsed="false">
      <c r="B1196" s="32" t="s">
        <v>264</v>
      </c>
      <c r="C1196" s="32" t="s">
        <v>265</v>
      </c>
      <c r="D1196" s="33" t="n">
        <v>46047.2597222222</v>
      </c>
      <c r="E1196" s="33" t="n">
        <v>46047.2597222222</v>
      </c>
      <c r="F1196" s="33" t="n">
        <v>46047.2638888889</v>
      </c>
      <c r="G1196" s="34" t="n">
        <f aca="false">F1196-E1196</f>
        <v>0.00416666666666667</v>
      </c>
      <c r="H1196" s="39" t="s">
        <v>252</v>
      </c>
      <c r="J1196" s="39" t="s">
        <v>253</v>
      </c>
      <c r="K1196" s="32" t="s">
        <v>266</v>
      </c>
      <c r="L1196" s="32" t="s">
        <v>267</v>
      </c>
      <c r="M1196" s="39" t="s">
        <v>255</v>
      </c>
      <c r="N1196" s="39" t="s">
        <v>256</v>
      </c>
      <c r="O1196" s="32" t="s">
        <v>629</v>
      </c>
      <c r="P1196" s="40" t="str">
        <f aca="false">_xlfn.CONCAT(B1196,C1196,D1196,E1196,F1196)</f>
        <v>BC Aracu5.1Inverter(MBUS-1)46047.259722222246047.259722222246047.2638888889</v>
      </c>
      <c r="Q1196" s="32" t="str">
        <f aca="false">_xlfn.CONCAT(H1196,I1196,J1196)</f>
        <v>DAURDE</v>
      </c>
    </row>
    <row r="1197" customFormat="false" ht="15" hidden="false" customHeight="false" outlineLevel="0" collapsed="false">
      <c r="B1197" s="32" t="s">
        <v>272</v>
      </c>
      <c r="C1197" s="32" t="s">
        <v>265</v>
      </c>
      <c r="D1197" s="33" t="n">
        <v>46047.2597222222</v>
      </c>
      <c r="E1197" s="33" t="n">
        <v>46047.2597222222</v>
      </c>
      <c r="F1197" s="33" t="n">
        <v>46047.2638888889</v>
      </c>
      <c r="G1197" s="34" t="n">
        <f aca="false">F1197-E1197</f>
        <v>0.00416666666666667</v>
      </c>
      <c r="H1197" s="39" t="s">
        <v>252</v>
      </c>
      <c r="J1197" s="39" t="s">
        <v>253</v>
      </c>
      <c r="K1197" s="32" t="s">
        <v>266</v>
      </c>
      <c r="L1197" s="32" t="s">
        <v>267</v>
      </c>
      <c r="M1197" s="39" t="s">
        <v>255</v>
      </c>
      <c r="N1197" s="39" t="s">
        <v>256</v>
      </c>
      <c r="O1197" s="32" t="s">
        <v>629</v>
      </c>
      <c r="P1197" s="40" t="str">
        <f aca="false">_xlfn.CONCAT(B1197,C1197,D1197,E1197,F1197)</f>
        <v>BC Aracu5.4Inverter(MBUS-1)46047.259722222246047.259722222246047.2638888889</v>
      </c>
      <c r="Q1197" s="32" t="str">
        <f aca="false">_xlfn.CONCAT(H1197,I1197,J1197)</f>
        <v>DAURDE</v>
      </c>
    </row>
    <row r="1198" customFormat="false" ht="15" hidden="false" customHeight="false" outlineLevel="0" collapsed="false">
      <c r="B1198" s="32" t="s">
        <v>273</v>
      </c>
      <c r="C1198" s="32" t="s">
        <v>265</v>
      </c>
      <c r="D1198" s="33" t="n">
        <v>46047.2597222222</v>
      </c>
      <c r="E1198" s="33" t="n">
        <v>46047.2597222222</v>
      </c>
      <c r="F1198" s="33" t="n">
        <v>46047.2638888889</v>
      </c>
      <c r="G1198" s="34" t="n">
        <f aca="false">F1198-E1198</f>
        <v>0.00416666666666667</v>
      </c>
      <c r="H1198" s="39" t="s">
        <v>252</v>
      </c>
      <c r="J1198" s="39" t="s">
        <v>253</v>
      </c>
      <c r="K1198" s="32" t="s">
        <v>266</v>
      </c>
      <c r="L1198" s="32" t="s">
        <v>630</v>
      </c>
      <c r="M1198" s="39" t="s">
        <v>255</v>
      </c>
      <c r="N1198" s="39" t="s">
        <v>256</v>
      </c>
      <c r="O1198" s="32" t="s">
        <v>629</v>
      </c>
      <c r="P1198" s="40" t="str">
        <f aca="false">_xlfn.CONCAT(B1198,C1198,D1198,E1198,F1198)</f>
        <v>BC Aracu5.5Inverter(MBUS-1)46047.259722222246047.259722222246047.2638888889</v>
      </c>
      <c r="Q1198" s="32" t="str">
        <f aca="false">_xlfn.CONCAT(H1198,I1198,J1198)</f>
        <v>DAURDE</v>
      </c>
    </row>
    <row r="1199" customFormat="false" ht="15" hidden="false" customHeight="false" outlineLevel="0" collapsed="false">
      <c r="B1199" s="32" t="s">
        <v>339</v>
      </c>
      <c r="C1199" s="32" t="s">
        <v>324</v>
      </c>
      <c r="D1199" s="33" t="n">
        <v>46047.2770833333</v>
      </c>
      <c r="E1199" s="33" t="n">
        <v>46047.2770833333</v>
      </c>
      <c r="F1199" s="33" t="n">
        <v>46047.3388888889</v>
      </c>
      <c r="G1199" s="34" t="n">
        <f aca="false">F1199-E1199</f>
        <v>0.0618055555555556</v>
      </c>
      <c r="H1199" s="39" t="s">
        <v>252</v>
      </c>
      <c r="J1199" s="39" t="s">
        <v>253</v>
      </c>
      <c r="K1199" s="32" t="s">
        <v>266</v>
      </c>
      <c r="L1199" s="32" t="s">
        <v>630</v>
      </c>
      <c r="M1199" s="39" t="s">
        <v>255</v>
      </c>
      <c r="N1199" s="39" t="s">
        <v>256</v>
      </c>
      <c r="O1199" s="32" t="s">
        <v>629</v>
      </c>
      <c r="P1199" s="40" t="str">
        <f aca="false">_xlfn.CONCAT(B1199,C1199,D1199,E1199,F1199)</f>
        <v>BC Formoso2.1Inverter(MBUS-12)46047.277083333346047.277083333346047.3388888889</v>
      </c>
      <c r="Q1199" s="32" t="str">
        <f aca="false">_xlfn.CONCAT(H1199,I1199,J1199)</f>
        <v>DAURDE</v>
      </c>
    </row>
    <row r="1200" customFormat="false" ht="15" hidden="false" customHeight="false" outlineLevel="0" collapsed="false">
      <c r="B1200" s="32" t="s">
        <v>339</v>
      </c>
      <c r="C1200" s="32" t="s">
        <v>327</v>
      </c>
      <c r="D1200" s="33" t="n">
        <v>46047.2770833333</v>
      </c>
      <c r="E1200" s="33" t="n">
        <v>46047.2770833333</v>
      </c>
      <c r="F1200" s="33" t="n">
        <v>46047.3388888889</v>
      </c>
      <c r="G1200" s="34" t="n">
        <f aca="false">F1200-E1200</f>
        <v>0.0618055555555556</v>
      </c>
      <c r="H1200" s="39" t="s">
        <v>252</v>
      </c>
      <c r="J1200" s="39" t="s">
        <v>253</v>
      </c>
      <c r="K1200" s="32" t="s">
        <v>266</v>
      </c>
      <c r="L1200" s="32" t="s">
        <v>630</v>
      </c>
      <c r="M1200" s="39" t="s">
        <v>255</v>
      </c>
      <c r="N1200" s="39" t="s">
        <v>256</v>
      </c>
      <c r="O1200" s="32" t="s">
        <v>629</v>
      </c>
      <c r="P1200" s="40" t="str">
        <f aca="false">_xlfn.CONCAT(B1200,C1200,D1200,E1200,F1200)</f>
        <v>BC Formoso2.1Inverter(MBUS-14)46047.277083333346047.277083333346047.3388888889</v>
      </c>
      <c r="Q1200" s="32" t="str">
        <f aca="false">_xlfn.CONCAT(H1200,I1200,J1200)</f>
        <v>DAURDE</v>
      </c>
    </row>
    <row r="1201" customFormat="false" ht="15" hidden="false" customHeight="false" outlineLevel="0" collapsed="false">
      <c r="B1201" s="32" t="s">
        <v>339</v>
      </c>
      <c r="C1201" s="32" t="s">
        <v>326</v>
      </c>
      <c r="D1201" s="33" t="n">
        <v>46047.2770833333</v>
      </c>
      <c r="E1201" s="33" t="n">
        <v>46047.2770833333</v>
      </c>
      <c r="F1201" s="33" t="n">
        <v>46047.3388888889</v>
      </c>
      <c r="G1201" s="34" t="n">
        <f aca="false">F1201-E1201</f>
        <v>0.0618055555555556</v>
      </c>
      <c r="H1201" s="39" t="s">
        <v>252</v>
      </c>
      <c r="J1201" s="39" t="s">
        <v>253</v>
      </c>
      <c r="K1201" s="32" t="s">
        <v>266</v>
      </c>
      <c r="L1201" s="32" t="s">
        <v>630</v>
      </c>
      <c r="M1201" s="39" t="s">
        <v>255</v>
      </c>
      <c r="N1201" s="39" t="s">
        <v>256</v>
      </c>
      <c r="O1201" s="32" t="s">
        <v>629</v>
      </c>
      <c r="P1201" s="40" t="str">
        <f aca="false">_xlfn.CONCAT(B1201,C1201,D1201,E1201,F1201)</f>
        <v>BC Formoso2.1Inverter(MBUS-13)46047.277083333346047.277083333346047.3388888889</v>
      </c>
      <c r="Q1201" s="32" t="str">
        <f aca="false">_xlfn.CONCAT(H1201,I1201,J1201)</f>
        <v>DAURDE</v>
      </c>
    </row>
    <row r="1202" customFormat="false" ht="15" hidden="false" customHeight="false" outlineLevel="0" collapsed="false">
      <c r="B1202" s="32" t="s">
        <v>339</v>
      </c>
      <c r="C1202" s="32" t="s">
        <v>265</v>
      </c>
      <c r="D1202" s="33" t="n">
        <v>46047.2770833333</v>
      </c>
      <c r="E1202" s="33" t="n">
        <v>46047.2770833333</v>
      </c>
      <c r="F1202" s="33" t="n">
        <v>46047.3388888889</v>
      </c>
      <c r="G1202" s="34" t="n">
        <f aca="false">F1202-E1202</f>
        <v>0.0618055555555556</v>
      </c>
      <c r="H1202" s="39" t="s">
        <v>252</v>
      </c>
      <c r="J1202" s="39" t="s">
        <v>253</v>
      </c>
      <c r="K1202" s="32" t="s">
        <v>266</v>
      </c>
      <c r="L1202" s="32" t="s">
        <v>630</v>
      </c>
      <c r="M1202" s="39" t="s">
        <v>255</v>
      </c>
      <c r="N1202" s="39" t="s">
        <v>256</v>
      </c>
      <c r="O1202" s="32" t="s">
        <v>629</v>
      </c>
      <c r="P1202" s="40" t="str">
        <f aca="false">_xlfn.CONCAT(B1202,C1202,D1202,E1202,F1202)</f>
        <v>BC Formoso2.1Inverter(MBUS-1)46047.277083333346047.277083333346047.3388888889</v>
      </c>
      <c r="Q1202" s="32" t="str">
        <f aca="false">_xlfn.CONCAT(H1202,I1202,J1202)</f>
        <v>DAURDE</v>
      </c>
    </row>
    <row r="1203" customFormat="false" ht="15" hidden="false" customHeight="false" outlineLevel="0" collapsed="false">
      <c r="B1203" s="32" t="s">
        <v>341</v>
      </c>
      <c r="C1203" s="32" t="s">
        <v>326</v>
      </c>
      <c r="D1203" s="33" t="n">
        <v>46047.2770833333</v>
      </c>
      <c r="E1203" s="33" t="n">
        <v>46047.2770833333</v>
      </c>
      <c r="F1203" s="33" t="n">
        <v>46047.3388888889</v>
      </c>
      <c r="G1203" s="34" t="n">
        <f aca="false">F1203-E1203</f>
        <v>0.0618055555555556</v>
      </c>
      <c r="H1203" s="39" t="s">
        <v>252</v>
      </c>
      <c r="J1203" s="39" t="s">
        <v>253</v>
      </c>
      <c r="K1203" s="32" t="s">
        <v>266</v>
      </c>
      <c r="L1203" s="32" t="s">
        <v>630</v>
      </c>
      <c r="M1203" s="39" t="s">
        <v>255</v>
      </c>
      <c r="N1203" s="39" t="s">
        <v>256</v>
      </c>
      <c r="O1203" s="32" t="s">
        <v>629</v>
      </c>
      <c r="P1203" s="40" t="str">
        <f aca="false">_xlfn.CONCAT(B1203,C1203,D1203,E1203,F1203)</f>
        <v>BC Formoso2.3Inverter(MBUS-13)46047.277083333346047.277083333346047.3388888889</v>
      </c>
      <c r="Q1203" s="32" t="str">
        <f aca="false">_xlfn.CONCAT(H1203,I1203,J1203)</f>
        <v>DAURDE</v>
      </c>
    </row>
    <row r="1204" customFormat="false" ht="15" hidden="false" customHeight="false" outlineLevel="0" collapsed="false">
      <c r="B1204" s="32" t="s">
        <v>341</v>
      </c>
      <c r="C1204" s="32" t="s">
        <v>324</v>
      </c>
      <c r="D1204" s="33" t="n">
        <v>46047.2770833333</v>
      </c>
      <c r="E1204" s="33" t="n">
        <v>46047.2770833333</v>
      </c>
      <c r="F1204" s="33" t="n">
        <v>46047.3388888889</v>
      </c>
      <c r="G1204" s="34" t="n">
        <f aca="false">F1204-E1204</f>
        <v>0.0618055555555556</v>
      </c>
      <c r="H1204" s="39" t="s">
        <v>252</v>
      </c>
      <c r="J1204" s="39" t="s">
        <v>253</v>
      </c>
      <c r="K1204" s="32" t="s">
        <v>266</v>
      </c>
      <c r="L1204" s="32" t="s">
        <v>630</v>
      </c>
      <c r="M1204" s="39" t="s">
        <v>255</v>
      </c>
      <c r="N1204" s="39" t="s">
        <v>256</v>
      </c>
      <c r="O1204" s="32" t="s">
        <v>629</v>
      </c>
      <c r="P1204" s="40" t="str">
        <f aca="false">_xlfn.CONCAT(B1204,C1204,D1204,E1204,F1204)</f>
        <v>BC Formoso2.3Inverter(MBUS-12)46047.277083333346047.277083333346047.3388888889</v>
      </c>
      <c r="Q1204" s="32" t="str">
        <f aca="false">_xlfn.CONCAT(H1204,I1204,J1204)</f>
        <v>DAURDE</v>
      </c>
    </row>
    <row r="1205" customFormat="false" ht="15" hidden="false" customHeight="false" outlineLevel="0" collapsed="false">
      <c r="B1205" s="32" t="s">
        <v>323</v>
      </c>
      <c r="C1205" s="32" t="s">
        <v>324</v>
      </c>
      <c r="D1205" s="33" t="n">
        <v>46047.6770833333</v>
      </c>
      <c r="E1205" s="33" t="n">
        <v>46047.6770833333</v>
      </c>
      <c r="F1205" s="33" t="n">
        <v>46047.7055555556</v>
      </c>
      <c r="G1205" s="34" t="n">
        <f aca="false">F1205-E1205</f>
        <v>0.0284722222222222</v>
      </c>
      <c r="H1205" s="39" t="s">
        <v>252</v>
      </c>
      <c r="J1205" s="39" t="s">
        <v>253</v>
      </c>
      <c r="K1205" s="32" t="s">
        <v>266</v>
      </c>
      <c r="L1205" s="32" t="s">
        <v>631</v>
      </c>
      <c r="M1205" s="39" t="s">
        <v>255</v>
      </c>
      <c r="N1205" s="39" t="s">
        <v>256</v>
      </c>
      <c r="O1205" s="32" t="s">
        <v>628</v>
      </c>
      <c r="P1205" s="40" t="str">
        <f aca="false">_xlfn.CONCAT(B1205,C1205,D1205,E1205,F1205)</f>
        <v>BC Ibiuna 1.1Inverter(MBUS-12)46047.677083333346047.677083333346047.7055555556</v>
      </c>
      <c r="Q1205" s="32" t="str">
        <f aca="false">_xlfn.CONCAT(H1205,I1205,J1205)</f>
        <v>DAURDE</v>
      </c>
    </row>
    <row r="1206" customFormat="false" ht="15" hidden="false" customHeight="false" outlineLevel="0" collapsed="false">
      <c r="B1206" s="32" t="s">
        <v>323</v>
      </c>
      <c r="C1206" s="32" t="s">
        <v>326</v>
      </c>
      <c r="D1206" s="33" t="n">
        <v>46047.6770833333</v>
      </c>
      <c r="E1206" s="33" t="n">
        <v>46047.6770833333</v>
      </c>
      <c r="F1206" s="33" t="n">
        <v>46047.7055555556</v>
      </c>
      <c r="G1206" s="34" t="n">
        <f aca="false">F1206-E1206</f>
        <v>0.0284722222222222</v>
      </c>
      <c r="H1206" s="39" t="s">
        <v>252</v>
      </c>
      <c r="J1206" s="39" t="s">
        <v>253</v>
      </c>
      <c r="K1206" s="32" t="s">
        <v>266</v>
      </c>
      <c r="L1206" s="32" t="s">
        <v>631</v>
      </c>
      <c r="M1206" s="39" t="s">
        <v>255</v>
      </c>
      <c r="N1206" s="39" t="s">
        <v>256</v>
      </c>
      <c r="O1206" s="32" t="s">
        <v>628</v>
      </c>
      <c r="P1206" s="40" t="str">
        <f aca="false">_xlfn.CONCAT(B1206,C1206,D1206,E1206,F1206)</f>
        <v>BC Ibiuna 1.1Inverter(MBUS-13)46047.677083333346047.677083333346047.7055555556</v>
      </c>
      <c r="Q1206" s="32" t="str">
        <f aca="false">_xlfn.CONCAT(H1206,I1206,J1206)</f>
        <v>DAURDE</v>
      </c>
    </row>
    <row r="1207" customFormat="false" ht="15" hidden="false" customHeight="false" outlineLevel="0" collapsed="false">
      <c r="B1207" s="32" t="s">
        <v>323</v>
      </c>
      <c r="C1207" s="32" t="s">
        <v>327</v>
      </c>
      <c r="D1207" s="33" t="n">
        <v>46047.6770833333</v>
      </c>
      <c r="E1207" s="33" t="n">
        <v>46047.6770833333</v>
      </c>
      <c r="F1207" s="33" t="n">
        <v>46047.7055555556</v>
      </c>
      <c r="G1207" s="34" t="n">
        <f aca="false">F1207-E1207</f>
        <v>0.0284722222222222</v>
      </c>
      <c r="H1207" s="39" t="s">
        <v>252</v>
      </c>
      <c r="J1207" s="39" t="s">
        <v>253</v>
      </c>
      <c r="K1207" s="32" t="s">
        <v>266</v>
      </c>
      <c r="L1207" s="32" t="s">
        <v>631</v>
      </c>
      <c r="M1207" s="39" t="s">
        <v>255</v>
      </c>
      <c r="N1207" s="39" t="s">
        <v>256</v>
      </c>
      <c r="O1207" s="32" t="s">
        <v>628</v>
      </c>
      <c r="P1207" s="40" t="str">
        <f aca="false">_xlfn.CONCAT(B1207,C1207,D1207,E1207,F1207)</f>
        <v>BC Ibiuna 1.1Inverter(MBUS-14)46047.677083333346047.677083333346047.7055555556</v>
      </c>
      <c r="Q1207" s="32" t="str">
        <f aca="false">_xlfn.CONCAT(H1207,I1207,J1207)</f>
        <v>DAURDE</v>
      </c>
    </row>
    <row r="1208" customFormat="false" ht="15" hidden="false" customHeight="false" outlineLevel="0" collapsed="false">
      <c r="B1208" s="32" t="s">
        <v>323</v>
      </c>
      <c r="C1208" s="32" t="s">
        <v>328</v>
      </c>
      <c r="D1208" s="33" t="n">
        <v>46047.6770833333</v>
      </c>
      <c r="E1208" s="33" t="n">
        <v>46047.6770833333</v>
      </c>
      <c r="F1208" s="33" t="n">
        <v>46047.7055555556</v>
      </c>
      <c r="G1208" s="34" t="n">
        <f aca="false">F1208-E1208</f>
        <v>0.0284722222222222</v>
      </c>
      <c r="H1208" s="39" t="s">
        <v>252</v>
      </c>
      <c r="J1208" s="39" t="s">
        <v>253</v>
      </c>
      <c r="K1208" s="32" t="s">
        <v>266</v>
      </c>
      <c r="L1208" s="32" t="s">
        <v>631</v>
      </c>
      <c r="M1208" s="39" t="s">
        <v>255</v>
      </c>
      <c r="N1208" s="39" t="s">
        <v>256</v>
      </c>
      <c r="O1208" s="32" t="s">
        <v>628</v>
      </c>
      <c r="P1208" s="40" t="str">
        <f aca="false">_xlfn.CONCAT(B1208,C1208,D1208,E1208,F1208)</f>
        <v>BC Ibiuna 1.1Inverter(MBUS-15)46047.677083333346047.677083333346047.7055555556</v>
      </c>
      <c r="Q1208" s="32" t="str">
        <f aca="false">_xlfn.CONCAT(H1208,I1208,J1208)</f>
        <v>DAURDE</v>
      </c>
    </row>
    <row r="1209" customFormat="false" ht="15" hidden="false" customHeight="false" outlineLevel="0" collapsed="false">
      <c r="B1209" s="32" t="s">
        <v>329</v>
      </c>
      <c r="C1209" s="32" t="s">
        <v>324</v>
      </c>
      <c r="D1209" s="33" t="n">
        <v>46047.6770833333</v>
      </c>
      <c r="E1209" s="33" t="n">
        <v>46047.6770833333</v>
      </c>
      <c r="F1209" s="33" t="n">
        <v>46047.7055555556</v>
      </c>
      <c r="G1209" s="34" t="n">
        <f aca="false">F1209-E1209</f>
        <v>0.0284722222222222</v>
      </c>
      <c r="H1209" s="39" t="s">
        <v>252</v>
      </c>
      <c r="J1209" s="39" t="s">
        <v>253</v>
      </c>
      <c r="K1209" s="32" t="s">
        <v>266</v>
      </c>
      <c r="L1209" s="32" t="s">
        <v>631</v>
      </c>
      <c r="M1209" s="39" t="s">
        <v>255</v>
      </c>
      <c r="N1209" s="39" t="s">
        <v>256</v>
      </c>
      <c r="O1209" s="32" t="s">
        <v>628</v>
      </c>
      <c r="P1209" s="40" t="str">
        <f aca="false">_xlfn.CONCAT(B1209,C1209,D1209,E1209,F1209)</f>
        <v>BC Ibiuna 1.2Inverter(MBUS-12)46047.677083333346047.677083333346047.7055555556</v>
      </c>
      <c r="Q1209" s="32" t="str">
        <f aca="false">_xlfn.CONCAT(H1209,I1209,J1209)</f>
        <v>DAURDE</v>
      </c>
    </row>
    <row r="1210" customFormat="false" ht="15" hidden="false" customHeight="false" outlineLevel="0" collapsed="false">
      <c r="B1210" s="32" t="s">
        <v>329</v>
      </c>
      <c r="C1210" s="32" t="s">
        <v>326</v>
      </c>
      <c r="D1210" s="33" t="n">
        <v>46047.6770833333</v>
      </c>
      <c r="E1210" s="33" t="n">
        <v>46047.6770833333</v>
      </c>
      <c r="F1210" s="33" t="n">
        <v>46047.7055555556</v>
      </c>
      <c r="G1210" s="34" t="n">
        <f aca="false">F1210-E1210</f>
        <v>0.0284722222222222</v>
      </c>
      <c r="H1210" s="39" t="s">
        <v>252</v>
      </c>
      <c r="J1210" s="39" t="s">
        <v>253</v>
      </c>
      <c r="K1210" s="32" t="s">
        <v>266</v>
      </c>
      <c r="L1210" s="32" t="s">
        <v>631</v>
      </c>
      <c r="M1210" s="39" t="s">
        <v>255</v>
      </c>
      <c r="N1210" s="39" t="s">
        <v>256</v>
      </c>
      <c r="O1210" s="32" t="s">
        <v>628</v>
      </c>
      <c r="P1210" s="40" t="str">
        <f aca="false">_xlfn.CONCAT(B1210,C1210,D1210,E1210,F1210)</f>
        <v>BC Ibiuna 1.2Inverter(MBUS-13)46047.677083333346047.677083333346047.7055555556</v>
      </c>
      <c r="Q1210" s="32" t="str">
        <f aca="false">_xlfn.CONCAT(H1210,I1210,J1210)</f>
        <v>DAURDE</v>
      </c>
    </row>
    <row r="1211" customFormat="false" ht="15" hidden="false" customHeight="false" outlineLevel="0" collapsed="false">
      <c r="B1211" s="32" t="s">
        <v>329</v>
      </c>
      <c r="C1211" s="32" t="s">
        <v>327</v>
      </c>
      <c r="D1211" s="33" t="n">
        <v>46047.6770833333</v>
      </c>
      <c r="E1211" s="33" t="n">
        <v>46047.6770833333</v>
      </c>
      <c r="F1211" s="33" t="n">
        <v>46047.7055555556</v>
      </c>
      <c r="G1211" s="34" t="n">
        <f aca="false">F1211-E1211</f>
        <v>0.0284722222222222</v>
      </c>
      <c r="H1211" s="39" t="s">
        <v>252</v>
      </c>
      <c r="J1211" s="39" t="s">
        <v>253</v>
      </c>
      <c r="K1211" s="32" t="s">
        <v>266</v>
      </c>
      <c r="L1211" s="32" t="s">
        <v>631</v>
      </c>
      <c r="M1211" s="39" t="s">
        <v>255</v>
      </c>
      <c r="N1211" s="39" t="s">
        <v>256</v>
      </c>
      <c r="O1211" s="32" t="s">
        <v>628</v>
      </c>
      <c r="P1211" s="40" t="str">
        <f aca="false">_xlfn.CONCAT(B1211,C1211,D1211,E1211,F1211)</f>
        <v>BC Ibiuna 1.2Inverter(MBUS-14)46047.677083333346047.677083333346047.7055555556</v>
      </c>
      <c r="Q1211" s="32" t="str">
        <f aca="false">_xlfn.CONCAT(H1211,I1211,J1211)</f>
        <v>DAURDE</v>
      </c>
    </row>
    <row r="1212" customFormat="false" ht="15" hidden="false" customHeight="false" outlineLevel="0" collapsed="false">
      <c r="B1212" s="32" t="s">
        <v>329</v>
      </c>
      <c r="C1212" s="32" t="s">
        <v>328</v>
      </c>
      <c r="D1212" s="33" t="n">
        <v>46047.6770833333</v>
      </c>
      <c r="E1212" s="33" t="n">
        <v>46047.6770833333</v>
      </c>
      <c r="F1212" s="33" t="n">
        <v>46047.7055555556</v>
      </c>
      <c r="G1212" s="34" t="n">
        <f aca="false">F1212-E1212</f>
        <v>0.0284722222222222</v>
      </c>
      <c r="H1212" s="39" t="s">
        <v>252</v>
      </c>
      <c r="J1212" s="39" t="s">
        <v>253</v>
      </c>
      <c r="K1212" s="32" t="s">
        <v>266</v>
      </c>
      <c r="L1212" s="32" t="s">
        <v>631</v>
      </c>
      <c r="M1212" s="39" t="s">
        <v>255</v>
      </c>
      <c r="N1212" s="39" t="s">
        <v>256</v>
      </c>
      <c r="O1212" s="32" t="s">
        <v>628</v>
      </c>
      <c r="P1212" s="40" t="str">
        <f aca="false">_xlfn.CONCAT(B1212,C1212,D1212,E1212,F1212)</f>
        <v>BC Ibiuna 1.2Inverter(MBUS-15)46047.677083333346047.677083333346047.7055555556</v>
      </c>
      <c r="Q1212" s="32" t="str">
        <f aca="false">_xlfn.CONCAT(H1212,I1212,J1212)</f>
        <v>DAURDE</v>
      </c>
    </row>
    <row r="1213" customFormat="false" ht="15" hidden="false" customHeight="false" outlineLevel="0" collapsed="false">
      <c r="B1213" s="32" t="s">
        <v>48</v>
      </c>
      <c r="C1213" s="32" t="s">
        <v>294</v>
      </c>
      <c r="D1213" s="33" t="n">
        <v>46047.8611111111</v>
      </c>
      <c r="E1213" s="33" t="n">
        <v>46047.8611111111</v>
      </c>
      <c r="F1213" s="33" t="n">
        <v>46047.9166666667</v>
      </c>
      <c r="G1213" s="34" t="n">
        <f aca="false">F1213-E1213</f>
        <v>0.0555555555555556</v>
      </c>
      <c r="H1213" s="39" t="s">
        <v>252</v>
      </c>
      <c r="J1213" s="39" t="s">
        <v>253</v>
      </c>
      <c r="K1213" s="32" t="s">
        <v>266</v>
      </c>
      <c r="L1213" s="32" t="s">
        <v>275</v>
      </c>
      <c r="M1213" s="39" t="s">
        <v>255</v>
      </c>
      <c r="N1213" s="39" t="s">
        <v>256</v>
      </c>
      <c r="O1213" s="32" t="s">
        <v>628</v>
      </c>
      <c r="P1213" s="40" t="str">
        <f aca="false">_xlfn.CONCAT(B1213,C1213,D1213,E1213,F1213)</f>
        <v>BC Caiaponia1SG60KTL(COM1-001)_001_00746047.861111111146047.861111111146047.9166666667</v>
      </c>
      <c r="Q1213" s="32" t="str">
        <f aca="false">_xlfn.CONCAT(H1213,I1213,J1213)</f>
        <v>DAURDE</v>
      </c>
    </row>
    <row r="1214" customFormat="false" ht="15" hidden="false" customHeight="false" outlineLevel="0" collapsed="false">
      <c r="B1214" s="32" t="s">
        <v>48</v>
      </c>
      <c r="C1214" s="32" t="s">
        <v>295</v>
      </c>
      <c r="D1214" s="33" t="n">
        <v>46047.8611111111</v>
      </c>
      <c r="E1214" s="33" t="n">
        <v>46047.8611111111</v>
      </c>
      <c r="F1214" s="33" t="n">
        <v>46047.9166666667</v>
      </c>
      <c r="G1214" s="34" t="n">
        <f aca="false">F1214-E1214</f>
        <v>0.0555555555555556</v>
      </c>
      <c r="H1214" s="39" t="s">
        <v>252</v>
      </c>
      <c r="J1214" s="39" t="s">
        <v>253</v>
      </c>
      <c r="K1214" s="32" t="s">
        <v>266</v>
      </c>
      <c r="L1214" s="32" t="s">
        <v>275</v>
      </c>
      <c r="M1214" s="39" t="s">
        <v>255</v>
      </c>
      <c r="N1214" s="39" t="s">
        <v>256</v>
      </c>
      <c r="O1214" s="32" t="s">
        <v>628</v>
      </c>
      <c r="P1214" s="40" t="str">
        <f aca="false">_xlfn.CONCAT(B1214,C1214,D1214,E1214,F1214)</f>
        <v>BC Caiaponia1SG60KTL(COM1-002)_001_01046047.861111111146047.861111111146047.9166666667</v>
      </c>
      <c r="Q1214" s="32" t="str">
        <f aca="false">_xlfn.CONCAT(H1214,I1214,J1214)</f>
        <v>DAURDE</v>
      </c>
    </row>
    <row r="1215" customFormat="false" ht="15" hidden="false" customHeight="false" outlineLevel="0" collapsed="false">
      <c r="B1215" s="32" t="s">
        <v>48</v>
      </c>
      <c r="C1215" s="32" t="s">
        <v>296</v>
      </c>
      <c r="D1215" s="33" t="n">
        <v>46047.8611111111</v>
      </c>
      <c r="E1215" s="33" t="n">
        <v>46047.8611111111</v>
      </c>
      <c r="F1215" s="33" t="n">
        <v>46047.9166666667</v>
      </c>
      <c r="G1215" s="34" t="n">
        <f aca="false">F1215-E1215</f>
        <v>0.0555555555555556</v>
      </c>
      <c r="H1215" s="39" t="s">
        <v>252</v>
      </c>
      <c r="J1215" s="39" t="s">
        <v>253</v>
      </c>
      <c r="K1215" s="32" t="s">
        <v>266</v>
      </c>
      <c r="L1215" s="32" t="s">
        <v>275</v>
      </c>
      <c r="M1215" s="39" t="s">
        <v>255</v>
      </c>
      <c r="N1215" s="39" t="s">
        <v>256</v>
      </c>
      <c r="O1215" s="32" t="s">
        <v>628</v>
      </c>
      <c r="P1215" s="40" t="str">
        <f aca="false">_xlfn.CONCAT(B1215,C1215,D1215,E1215,F1215)</f>
        <v>BC Caiaponia1SG60KTL(COM1-003)_001_01146047.861111111146047.861111111146047.9166666667</v>
      </c>
      <c r="Q1215" s="32" t="str">
        <f aca="false">_xlfn.CONCAT(H1215,I1215,J1215)</f>
        <v>DAURDE</v>
      </c>
    </row>
    <row r="1216" customFormat="false" ht="15" hidden="false" customHeight="false" outlineLevel="0" collapsed="false">
      <c r="B1216" s="32" t="s">
        <v>48</v>
      </c>
      <c r="C1216" s="32" t="s">
        <v>297</v>
      </c>
      <c r="D1216" s="33" t="n">
        <v>46047.8611111111</v>
      </c>
      <c r="E1216" s="33" t="n">
        <v>46047.8611111111</v>
      </c>
      <c r="F1216" s="33" t="n">
        <v>46047.9166666667</v>
      </c>
      <c r="G1216" s="34" t="n">
        <f aca="false">F1216-E1216</f>
        <v>0.0555555555555556</v>
      </c>
      <c r="H1216" s="39" t="s">
        <v>252</v>
      </c>
      <c r="J1216" s="39" t="s">
        <v>253</v>
      </c>
      <c r="K1216" s="32" t="s">
        <v>266</v>
      </c>
      <c r="L1216" s="32" t="s">
        <v>275</v>
      </c>
      <c r="M1216" s="39" t="s">
        <v>255</v>
      </c>
      <c r="N1216" s="39" t="s">
        <v>256</v>
      </c>
      <c r="O1216" s="32" t="s">
        <v>628</v>
      </c>
      <c r="P1216" s="40" t="str">
        <f aca="false">_xlfn.CONCAT(B1216,C1216,D1216,E1216,F1216)</f>
        <v>BC Caiaponia1SG60KTL(COM1-004)_001_01446047.861111111146047.861111111146047.9166666667</v>
      </c>
      <c r="Q1216" s="32" t="str">
        <f aca="false">_xlfn.CONCAT(H1216,I1216,J1216)</f>
        <v>DAURDE</v>
      </c>
    </row>
    <row r="1217" customFormat="false" ht="15" hidden="false" customHeight="false" outlineLevel="0" collapsed="false">
      <c r="B1217" s="32" t="s">
        <v>48</v>
      </c>
      <c r="C1217" s="32" t="s">
        <v>298</v>
      </c>
      <c r="D1217" s="33" t="n">
        <v>46047.8611111111</v>
      </c>
      <c r="E1217" s="33" t="n">
        <v>46047.8611111111</v>
      </c>
      <c r="F1217" s="33" t="n">
        <v>46047.9166666667</v>
      </c>
      <c r="G1217" s="34" t="n">
        <f aca="false">F1217-E1217</f>
        <v>0.0555555555555556</v>
      </c>
      <c r="H1217" s="39" t="s">
        <v>252</v>
      </c>
      <c r="J1217" s="39" t="s">
        <v>253</v>
      </c>
      <c r="K1217" s="32" t="s">
        <v>266</v>
      </c>
      <c r="L1217" s="32" t="s">
        <v>275</v>
      </c>
      <c r="M1217" s="39" t="s">
        <v>255</v>
      </c>
      <c r="N1217" s="39" t="s">
        <v>256</v>
      </c>
      <c r="O1217" s="32" t="s">
        <v>628</v>
      </c>
      <c r="P1217" s="40" t="str">
        <f aca="false">_xlfn.CONCAT(B1217,C1217,D1217,E1217,F1217)</f>
        <v>BC Caiaponia1SG60KTL(COM1-005)_001_01746047.861111111146047.861111111146047.9166666667</v>
      </c>
      <c r="Q1217" s="32" t="str">
        <f aca="false">_xlfn.CONCAT(H1217,I1217,J1217)</f>
        <v>DAURDE</v>
      </c>
    </row>
    <row r="1218" customFormat="false" ht="15" hidden="false" customHeight="false" outlineLevel="0" collapsed="false">
      <c r="B1218" s="32" t="s">
        <v>48</v>
      </c>
      <c r="C1218" s="32" t="s">
        <v>299</v>
      </c>
      <c r="D1218" s="33" t="n">
        <v>46047.8611111111</v>
      </c>
      <c r="E1218" s="33" t="n">
        <v>46047.8611111111</v>
      </c>
      <c r="F1218" s="33" t="n">
        <v>46047.9166666667</v>
      </c>
      <c r="G1218" s="34" t="n">
        <f aca="false">F1218-E1218</f>
        <v>0.0555555555555556</v>
      </c>
      <c r="H1218" s="39" t="s">
        <v>252</v>
      </c>
      <c r="J1218" s="39" t="s">
        <v>253</v>
      </c>
      <c r="K1218" s="32" t="s">
        <v>266</v>
      </c>
      <c r="L1218" s="32" t="s">
        <v>275</v>
      </c>
      <c r="M1218" s="39" t="s">
        <v>255</v>
      </c>
      <c r="N1218" s="39" t="s">
        <v>256</v>
      </c>
      <c r="O1218" s="32" t="s">
        <v>628</v>
      </c>
      <c r="P1218" s="40" t="str">
        <f aca="false">_xlfn.CONCAT(B1218,C1218,D1218,E1218,F1218)</f>
        <v>BC Caiaponia1SG60KTL(COM1-006)_001_01646047.861111111146047.861111111146047.9166666667</v>
      </c>
      <c r="Q1218" s="32" t="str">
        <f aca="false">_xlfn.CONCAT(H1218,I1218,J1218)</f>
        <v>DAURDE</v>
      </c>
    </row>
    <row r="1219" customFormat="false" ht="15" hidden="false" customHeight="false" outlineLevel="0" collapsed="false">
      <c r="B1219" s="32" t="s">
        <v>48</v>
      </c>
      <c r="C1219" s="32" t="s">
        <v>300</v>
      </c>
      <c r="D1219" s="33" t="n">
        <v>46047.8611111111</v>
      </c>
      <c r="E1219" s="33" t="n">
        <v>46047.8611111111</v>
      </c>
      <c r="F1219" s="33" t="n">
        <v>46047.9166666667</v>
      </c>
      <c r="G1219" s="34" t="n">
        <f aca="false">F1219-E1219</f>
        <v>0.0555555555555556</v>
      </c>
      <c r="H1219" s="39" t="s">
        <v>252</v>
      </c>
      <c r="J1219" s="39" t="s">
        <v>253</v>
      </c>
      <c r="K1219" s="32" t="s">
        <v>266</v>
      </c>
      <c r="L1219" s="32" t="s">
        <v>275</v>
      </c>
      <c r="M1219" s="39" t="s">
        <v>255</v>
      </c>
      <c r="N1219" s="39" t="s">
        <v>256</v>
      </c>
      <c r="O1219" s="32" t="s">
        <v>628</v>
      </c>
      <c r="P1219" s="40" t="str">
        <f aca="false">_xlfn.CONCAT(B1219,C1219,D1219,E1219,F1219)</f>
        <v>BC Caiaponia1SG60KTL(COM1-007)_001_01346047.861111111146047.861111111146047.9166666667</v>
      </c>
      <c r="Q1219" s="32" t="str">
        <f aca="false">_xlfn.CONCAT(H1219,I1219,J1219)</f>
        <v>DAURDE</v>
      </c>
    </row>
    <row r="1220" customFormat="false" ht="15" hidden="false" customHeight="false" outlineLevel="0" collapsed="false">
      <c r="B1220" s="32" t="s">
        <v>48</v>
      </c>
      <c r="C1220" s="32" t="s">
        <v>301</v>
      </c>
      <c r="D1220" s="33" t="n">
        <v>46047.8611111111</v>
      </c>
      <c r="E1220" s="33" t="n">
        <v>46047.8611111111</v>
      </c>
      <c r="F1220" s="33" t="n">
        <v>46047.9166666667</v>
      </c>
      <c r="G1220" s="34" t="n">
        <f aca="false">F1220-E1220</f>
        <v>0.0555555555555556</v>
      </c>
      <c r="H1220" s="39" t="s">
        <v>252</v>
      </c>
      <c r="J1220" s="39" t="s">
        <v>253</v>
      </c>
      <c r="K1220" s="32" t="s">
        <v>266</v>
      </c>
      <c r="L1220" s="32" t="s">
        <v>275</v>
      </c>
      <c r="M1220" s="39" t="s">
        <v>255</v>
      </c>
      <c r="N1220" s="39" t="s">
        <v>256</v>
      </c>
      <c r="O1220" s="32" t="s">
        <v>628</v>
      </c>
      <c r="P1220" s="40" t="str">
        <f aca="false">_xlfn.CONCAT(B1220,C1220,D1220,E1220,F1220)</f>
        <v>BC Caiaponia1SG60KTL(COM1-008)_001_00146047.861111111146047.861111111146047.9166666667</v>
      </c>
      <c r="Q1220" s="32" t="str">
        <f aca="false">_xlfn.CONCAT(H1220,I1220,J1220)</f>
        <v>DAURDE</v>
      </c>
    </row>
    <row r="1221" customFormat="false" ht="15" hidden="false" customHeight="false" outlineLevel="0" collapsed="false">
      <c r="B1221" s="32" t="s">
        <v>48</v>
      </c>
      <c r="C1221" s="32" t="s">
        <v>302</v>
      </c>
      <c r="D1221" s="33" t="n">
        <v>46047.8611111111</v>
      </c>
      <c r="E1221" s="33" t="n">
        <v>46047.8611111111</v>
      </c>
      <c r="F1221" s="33" t="n">
        <v>46047.9166666667</v>
      </c>
      <c r="G1221" s="34" t="n">
        <f aca="false">F1221-E1221</f>
        <v>0.0555555555555556</v>
      </c>
      <c r="H1221" s="39" t="s">
        <v>252</v>
      </c>
      <c r="J1221" s="39" t="s">
        <v>253</v>
      </c>
      <c r="K1221" s="32" t="s">
        <v>266</v>
      </c>
      <c r="L1221" s="32" t="s">
        <v>275</v>
      </c>
      <c r="M1221" s="39" t="s">
        <v>255</v>
      </c>
      <c r="N1221" s="39" t="s">
        <v>256</v>
      </c>
      <c r="O1221" s="32" t="s">
        <v>628</v>
      </c>
      <c r="P1221" s="40" t="str">
        <f aca="false">_xlfn.CONCAT(B1221,C1221,D1221,E1221,F1221)</f>
        <v>BC Caiaponia1SG60KTL(COM1-009)46047.861111111146047.861111111146047.9166666667</v>
      </c>
      <c r="Q1221" s="32" t="str">
        <f aca="false">_xlfn.CONCAT(H1221,I1221,J1221)</f>
        <v>DAURDE</v>
      </c>
    </row>
    <row r="1222" customFormat="false" ht="15" hidden="false" customHeight="false" outlineLevel="0" collapsed="false">
      <c r="B1222" s="32" t="s">
        <v>48</v>
      </c>
      <c r="C1222" s="32" t="s">
        <v>303</v>
      </c>
      <c r="D1222" s="33" t="n">
        <v>46047.8611111111</v>
      </c>
      <c r="E1222" s="33" t="n">
        <v>46047.8611111111</v>
      </c>
      <c r="F1222" s="33" t="n">
        <v>46047.9166666667</v>
      </c>
      <c r="G1222" s="34" t="n">
        <f aca="false">F1222-E1222</f>
        <v>0.0555555555555556</v>
      </c>
      <c r="H1222" s="39" t="s">
        <v>252</v>
      </c>
      <c r="J1222" s="39" t="s">
        <v>253</v>
      </c>
      <c r="K1222" s="32" t="s">
        <v>266</v>
      </c>
      <c r="L1222" s="32" t="s">
        <v>275</v>
      </c>
      <c r="M1222" s="39" t="s">
        <v>255</v>
      </c>
      <c r="N1222" s="39" t="s">
        <v>256</v>
      </c>
      <c r="O1222" s="32" t="s">
        <v>628</v>
      </c>
      <c r="P1222" s="40" t="str">
        <f aca="false">_xlfn.CONCAT(B1222,C1222,D1222,E1222,F1222)</f>
        <v>BC Caiaponia1SG60KTL(COM1-010)46047.861111111146047.861111111146047.9166666667</v>
      </c>
      <c r="Q1222" s="32" t="str">
        <f aca="false">_xlfn.CONCAT(H1222,I1222,J1222)</f>
        <v>DAURDE</v>
      </c>
    </row>
    <row r="1223" customFormat="false" ht="15" hidden="false" customHeight="false" outlineLevel="0" collapsed="false">
      <c r="B1223" s="32" t="s">
        <v>48</v>
      </c>
      <c r="C1223" s="32" t="s">
        <v>304</v>
      </c>
      <c r="D1223" s="33" t="n">
        <v>46047.8611111111</v>
      </c>
      <c r="E1223" s="33" t="n">
        <v>46047.8611111111</v>
      </c>
      <c r="F1223" s="33" t="n">
        <v>46047.9166666667</v>
      </c>
      <c r="G1223" s="34" t="n">
        <f aca="false">F1223-E1223</f>
        <v>0.0555555555555556</v>
      </c>
      <c r="H1223" s="39" t="s">
        <v>252</v>
      </c>
      <c r="J1223" s="39" t="s">
        <v>253</v>
      </c>
      <c r="K1223" s="32" t="s">
        <v>266</v>
      </c>
      <c r="L1223" s="32" t="s">
        <v>275</v>
      </c>
      <c r="M1223" s="39" t="s">
        <v>255</v>
      </c>
      <c r="N1223" s="39" t="s">
        <v>256</v>
      </c>
      <c r="O1223" s="32" t="s">
        <v>628</v>
      </c>
      <c r="P1223" s="40" t="str">
        <f aca="false">_xlfn.CONCAT(B1223,C1223,D1223,E1223,F1223)</f>
        <v>BC Caiaponia1SG60KTL(COM1-011)46047.861111111146047.861111111146047.9166666667</v>
      </c>
      <c r="Q1223" s="32" t="str">
        <f aca="false">_xlfn.CONCAT(H1223,I1223,J1223)</f>
        <v>DAURDE</v>
      </c>
    </row>
    <row r="1224" customFormat="false" ht="15" hidden="false" customHeight="false" outlineLevel="0" collapsed="false">
      <c r="B1224" s="32" t="s">
        <v>48</v>
      </c>
      <c r="C1224" s="32" t="s">
        <v>305</v>
      </c>
      <c r="D1224" s="33" t="n">
        <v>46047.8611111111</v>
      </c>
      <c r="E1224" s="33" t="n">
        <v>46047.8611111111</v>
      </c>
      <c r="F1224" s="33" t="n">
        <v>46047.9166666667</v>
      </c>
      <c r="G1224" s="34" t="n">
        <f aca="false">F1224-E1224</f>
        <v>0.0555555555555556</v>
      </c>
      <c r="H1224" s="39" t="s">
        <v>252</v>
      </c>
      <c r="J1224" s="39" t="s">
        <v>253</v>
      </c>
      <c r="K1224" s="32" t="s">
        <v>266</v>
      </c>
      <c r="L1224" s="32" t="s">
        <v>275</v>
      </c>
      <c r="M1224" s="39" t="s">
        <v>255</v>
      </c>
      <c r="N1224" s="39" t="s">
        <v>256</v>
      </c>
      <c r="O1224" s="32" t="s">
        <v>628</v>
      </c>
      <c r="P1224" s="40" t="str">
        <f aca="false">_xlfn.CONCAT(B1224,C1224,D1224,E1224,F1224)</f>
        <v>BC Caiaponia1SG60KTL(COM1-012)46047.861111111146047.861111111146047.9166666667</v>
      </c>
      <c r="Q1224" s="32" t="str">
        <f aca="false">_xlfn.CONCAT(H1224,I1224,J1224)</f>
        <v>DAURDE</v>
      </c>
    </row>
    <row r="1225" customFormat="false" ht="15" hidden="false" customHeight="false" outlineLevel="0" collapsed="false">
      <c r="B1225" s="32" t="s">
        <v>48</v>
      </c>
      <c r="C1225" s="32" t="s">
        <v>306</v>
      </c>
      <c r="D1225" s="33" t="n">
        <v>46047.8611111111</v>
      </c>
      <c r="E1225" s="33" t="n">
        <v>46047.8611111111</v>
      </c>
      <c r="F1225" s="33" t="n">
        <v>46047.9166666667</v>
      </c>
      <c r="G1225" s="34" t="n">
        <f aca="false">F1225-E1225</f>
        <v>0.0555555555555556</v>
      </c>
      <c r="H1225" s="39" t="s">
        <v>252</v>
      </c>
      <c r="J1225" s="39" t="s">
        <v>253</v>
      </c>
      <c r="K1225" s="32" t="s">
        <v>266</v>
      </c>
      <c r="L1225" s="32" t="s">
        <v>275</v>
      </c>
      <c r="M1225" s="39" t="s">
        <v>255</v>
      </c>
      <c r="N1225" s="39" t="s">
        <v>256</v>
      </c>
      <c r="O1225" s="32" t="s">
        <v>628</v>
      </c>
      <c r="P1225" s="40" t="str">
        <f aca="false">_xlfn.CONCAT(B1225,C1225,D1225,E1225,F1225)</f>
        <v>BC Caiaponia1SG60KTL(COM1-013)46047.861111111146047.861111111146047.9166666667</v>
      </c>
      <c r="Q1225" s="32" t="str">
        <f aca="false">_xlfn.CONCAT(H1225,I1225,J1225)</f>
        <v>DAURDE</v>
      </c>
    </row>
    <row r="1226" customFormat="false" ht="15" hidden="false" customHeight="false" outlineLevel="0" collapsed="false">
      <c r="B1226" s="32" t="s">
        <v>48</v>
      </c>
      <c r="C1226" s="32" t="s">
        <v>307</v>
      </c>
      <c r="D1226" s="33" t="n">
        <v>46047.8611111111</v>
      </c>
      <c r="E1226" s="33" t="n">
        <v>46047.8611111111</v>
      </c>
      <c r="F1226" s="33" t="n">
        <v>46047.9166666667</v>
      </c>
      <c r="G1226" s="34" t="n">
        <f aca="false">F1226-E1226</f>
        <v>0.0555555555555556</v>
      </c>
      <c r="H1226" s="39" t="s">
        <v>252</v>
      </c>
      <c r="J1226" s="39" t="s">
        <v>253</v>
      </c>
      <c r="K1226" s="32" t="s">
        <v>266</v>
      </c>
      <c r="L1226" s="32" t="s">
        <v>275</v>
      </c>
      <c r="M1226" s="39" t="s">
        <v>255</v>
      </c>
      <c r="N1226" s="39" t="s">
        <v>256</v>
      </c>
      <c r="O1226" s="32" t="s">
        <v>628</v>
      </c>
      <c r="P1226" s="40" t="str">
        <f aca="false">_xlfn.CONCAT(B1226,C1226,D1226,E1226,F1226)</f>
        <v>BC Caiaponia1SG60KTL(COM1-014)46047.861111111146047.861111111146047.9166666667</v>
      </c>
      <c r="Q1226" s="32" t="str">
        <f aca="false">_xlfn.CONCAT(H1226,I1226,J1226)</f>
        <v>DAURDE</v>
      </c>
    </row>
    <row r="1227" customFormat="false" ht="15" hidden="false" customHeight="false" outlineLevel="0" collapsed="false">
      <c r="B1227" s="32" t="s">
        <v>48</v>
      </c>
      <c r="C1227" s="32" t="s">
        <v>308</v>
      </c>
      <c r="D1227" s="33" t="n">
        <v>46047.8611111111</v>
      </c>
      <c r="E1227" s="33" t="n">
        <v>46047.8611111111</v>
      </c>
      <c r="F1227" s="33" t="n">
        <v>46047.9166666667</v>
      </c>
      <c r="G1227" s="34" t="n">
        <f aca="false">F1227-E1227</f>
        <v>0.0555555555555556</v>
      </c>
      <c r="H1227" s="39" t="s">
        <v>252</v>
      </c>
      <c r="J1227" s="39" t="s">
        <v>253</v>
      </c>
      <c r="K1227" s="32" t="s">
        <v>266</v>
      </c>
      <c r="L1227" s="32" t="s">
        <v>275</v>
      </c>
      <c r="M1227" s="39" t="s">
        <v>255</v>
      </c>
      <c r="N1227" s="39" t="s">
        <v>256</v>
      </c>
      <c r="O1227" s="32" t="s">
        <v>628</v>
      </c>
      <c r="P1227" s="40" t="str">
        <f aca="false">_xlfn.CONCAT(B1227,C1227,D1227,E1227,F1227)</f>
        <v>BC Caiaponia1SG60KTL(COM1-015)46047.861111111146047.861111111146047.9166666667</v>
      </c>
      <c r="Q1227" s="32" t="str">
        <f aca="false">_xlfn.CONCAT(H1227,I1227,J1227)</f>
        <v>DAURDE</v>
      </c>
    </row>
    <row r="1228" customFormat="false" ht="15" hidden="false" customHeight="false" outlineLevel="0" collapsed="false">
      <c r="B1228" s="32" t="s">
        <v>48</v>
      </c>
      <c r="C1228" s="32" t="s">
        <v>309</v>
      </c>
      <c r="D1228" s="33" t="n">
        <v>46047.8611111111</v>
      </c>
      <c r="E1228" s="33" t="n">
        <v>46047.8611111111</v>
      </c>
      <c r="F1228" s="33" t="n">
        <v>46047.9166666667</v>
      </c>
      <c r="G1228" s="34" t="n">
        <f aca="false">F1228-E1228</f>
        <v>0.0555555555555556</v>
      </c>
      <c r="H1228" s="39" t="s">
        <v>252</v>
      </c>
      <c r="J1228" s="39" t="s">
        <v>253</v>
      </c>
      <c r="K1228" s="32" t="s">
        <v>266</v>
      </c>
      <c r="L1228" s="32" t="s">
        <v>275</v>
      </c>
      <c r="M1228" s="39" t="s">
        <v>255</v>
      </c>
      <c r="N1228" s="39" t="s">
        <v>256</v>
      </c>
      <c r="O1228" s="32" t="s">
        <v>628</v>
      </c>
      <c r="P1228" s="40" t="str">
        <f aca="false">_xlfn.CONCAT(B1228,C1228,D1228,E1228,F1228)</f>
        <v>BC Caiaponia1SG60KTL(COM3-016)_001_00946047.861111111146047.861111111146047.9166666667</v>
      </c>
      <c r="Q1228" s="32" t="str">
        <f aca="false">_xlfn.CONCAT(H1228,I1228,J1228)</f>
        <v>DAURDE</v>
      </c>
    </row>
    <row r="1229" customFormat="false" ht="15" hidden="false" customHeight="false" outlineLevel="0" collapsed="false">
      <c r="B1229" s="32" t="s">
        <v>48</v>
      </c>
      <c r="C1229" s="32" t="s">
        <v>310</v>
      </c>
      <c r="D1229" s="33" t="n">
        <v>46047.8611111111</v>
      </c>
      <c r="E1229" s="33" t="n">
        <v>46047.8611111111</v>
      </c>
      <c r="F1229" s="33" t="n">
        <v>46047.9166666667</v>
      </c>
      <c r="G1229" s="34" t="n">
        <f aca="false">F1229-E1229</f>
        <v>0.0555555555555556</v>
      </c>
      <c r="H1229" s="39" t="s">
        <v>252</v>
      </c>
      <c r="J1229" s="39" t="s">
        <v>253</v>
      </c>
      <c r="K1229" s="32" t="s">
        <v>266</v>
      </c>
      <c r="L1229" s="32" t="s">
        <v>275</v>
      </c>
      <c r="M1229" s="39" t="s">
        <v>255</v>
      </c>
      <c r="N1229" s="39" t="s">
        <v>256</v>
      </c>
      <c r="O1229" s="32" t="s">
        <v>628</v>
      </c>
      <c r="P1229" s="40" t="str">
        <f aca="false">_xlfn.CONCAT(B1229,C1229,D1229,E1229,F1229)</f>
        <v>BC Caiaponia1SG60KTL(COM3-017)_001_01246047.861111111146047.861111111146047.9166666667</v>
      </c>
      <c r="Q1229" s="32" t="str">
        <f aca="false">_xlfn.CONCAT(H1229,I1229,J1229)</f>
        <v>DAURDE</v>
      </c>
    </row>
    <row r="1230" customFormat="false" ht="15" hidden="false" customHeight="false" outlineLevel="0" collapsed="false">
      <c r="B1230" s="32" t="s">
        <v>48</v>
      </c>
      <c r="C1230" s="32" t="s">
        <v>311</v>
      </c>
      <c r="D1230" s="33" t="n">
        <v>46047.8611111111</v>
      </c>
      <c r="E1230" s="33" t="n">
        <v>46047.8611111111</v>
      </c>
      <c r="F1230" s="33" t="n">
        <v>46047.9166666667</v>
      </c>
      <c r="G1230" s="34" t="n">
        <f aca="false">F1230-E1230</f>
        <v>0.0555555555555556</v>
      </c>
      <c r="H1230" s="39" t="s">
        <v>252</v>
      </c>
      <c r="J1230" s="39" t="s">
        <v>253</v>
      </c>
      <c r="K1230" s="32" t="s">
        <v>266</v>
      </c>
      <c r="L1230" s="32" t="s">
        <v>275</v>
      </c>
      <c r="M1230" s="39" t="s">
        <v>255</v>
      </c>
      <c r="N1230" s="39" t="s">
        <v>256</v>
      </c>
      <c r="O1230" s="32" t="s">
        <v>628</v>
      </c>
      <c r="P1230" s="40" t="str">
        <f aca="false">_xlfn.CONCAT(B1230,C1230,D1230,E1230,F1230)</f>
        <v>BC Caiaponia1SG60KTL(COM3-018)_001_00846047.861111111146047.861111111146047.9166666667</v>
      </c>
      <c r="Q1230" s="32" t="str">
        <f aca="false">_xlfn.CONCAT(H1230,I1230,J1230)</f>
        <v>DAURDE</v>
      </c>
    </row>
    <row r="1231" customFormat="false" ht="15" hidden="false" customHeight="false" outlineLevel="0" collapsed="false">
      <c r="B1231" s="32" t="s">
        <v>48</v>
      </c>
      <c r="C1231" s="32" t="s">
        <v>312</v>
      </c>
      <c r="D1231" s="33" t="n">
        <v>46047.8611111111</v>
      </c>
      <c r="E1231" s="33" t="n">
        <v>46047.8611111111</v>
      </c>
      <c r="F1231" s="33" t="n">
        <v>46047.9166666667</v>
      </c>
      <c r="G1231" s="34" t="n">
        <f aca="false">F1231-E1231</f>
        <v>0.0555555555555556</v>
      </c>
      <c r="H1231" s="39" t="s">
        <v>252</v>
      </c>
      <c r="J1231" s="39" t="s">
        <v>253</v>
      </c>
      <c r="K1231" s="32" t="s">
        <v>266</v>
      </c>
      <c r="L1231" s="32" t="s">
        <v>275</v>
      </c>
      <c r="M1231" s="39" t="s">
        <v>255</v>
      </c>
      <c r="N1231" s="39" t="s">
        <v>256</v>
      </c>
      <c r="O1231" s="32" t="s">
        <v>628</v>
      </c>
      <c r="P1231" s="40" t="str">
        <f aca="false">_xlfn.CONCAT(B1231,C1231,D1231,E1231,F1231)</f>
        <v>BC Caiaponia1SG60KTL(COM3-019)_001_01946047.861111111146047.861111111146047.9166666667</v>
      </c>
      <c r="Q1231" s="32" t="str">
        <f aca="false">_xlfn.CONCAT(H1231,I1231,J1231)</f>
        <v>DAURDE</v>
      </c>
    </row>
    <row r="1232" customFormat="false" ht="15" hidden="false" customHeight="false" outlineLevel="0" collapsed="false">
      <c r="B1232" s="32" t="s">
        <v>48</v>
      </c>
      <c r="C1232" s="32" t="s">
        <v>313</v>
      </c>
      <c r="D1232" s="33" t="n">
        <v>46047.8611111111</v>
      </c>
      <c r="E1232" s="33" t="n">
        <v>46047.8611111111</v>
      </c>
      <c r="F1232" s="33" t="n">
        <v>46047.9166666667</v>
      </c>
      <c r="G1232" s="34" t="n">
        <f aca="false">F1232-E1232</f>
        <v>0.0555555555555556</v>
      </c>
      <c r="H1232" s="39" t="s">
        <v>252</v>
      </c>
      <c r="J1232" s="39" t="s">
        <v>253</v>
      </c>
      <c r="K1232" s="32" t="s">
        <v>266</v>
      </c>
      <c r="L1232" s="32" t="s">
        <v>275</v>
      </c>
      <c r="M1232" s="39" t="s">
        <v>255</v>
      </c>
      <c r="N1232" s="39" t="s">
        <v>256</v>
      </c>
      <c r="O1232" s="32" t="s">
        <v>628</v>
      </c>
      <c r="P1232" s="40" t="str">
        <f aca="false">_xlfn.CONCAT(B1232,C1232,D1232,E1232,F1232)</f>
        <v>BC Caiaponia1SG60KTL(COM3-020)_001_02046047.861111111146047.861111111146047.9166666667</v>
      </c>
      <c r="Q1232" s="32" t="str">
        <f aca="false">_xlfn.CONCAT(H1232,I1232,J1232)</f>
        <v>DAURDE</v>
      </c>
    </row>
    <row r="1233" customFormat="false" ht="15" hidden="false" customHeight="false" outlineLevel="0" collapsed="false">
      <c r="B1233" s="32" t="s">
        <v>48</v>
      </c>
      <c r="C1233" s="32" t="s">
        <v>314</v>
      </c>
      <c r="D1233" s="33" t="n">
        <v>46047.8611111111</v>
      </c>
      <c r="E1233" s="33" t="n">
        <v>46047.8611111111</v>
      </c>
      <c r="F1233" s="33" t="n">
        <v>46047.9166666667</v>
      </c>
      <c r="G1233" s="34" t="n">
        <f aca="false">F1233-E1233</f>
        <v>0.0555555555555556</v>
      </c>
      <c r="H1233" s="39" t="s">
        <v>252</v>
      </c>
      <c r="J1233" s="39" t="s">
        <v>253</v>
      </c>
      <c r="K1233" s="32" t="s">
        <v>266</v>
      </c>
      <c r="L1233" s="32" t="s">
        <v>275</v>
      </c>
      <c r="M1233" s="39" t="s">
        <v>255</v>
      </c>
      <c r="N1233" s="39" t="s">
        <v>256</v>
      </c>
      <c r="O1233" s="32" t="s">
        <v>628</v>
      </c>
      <c r="P1233" s="40" t="str">
        <f aca="false">_xlfn.CONCAT(B1233,C1233,D1233,E1233,F1233)</f>
        <v>BC Caiaponia1SG60KTL(COM2-026)46047.861111111146047.861111111146047.9166666667</v>
      </c>
      <c r="Q1233" s="32" t="str">
        <f aca="false">_xlfn.CONCAT(H1233,I1233,J1233)</f>
        <v>DAURDE</v>
      </c>
    </row>
    <row r="1234" customFormat="false" ht="15" hidden="false" customHeight="false" outlineLevel="0" collapsed="false">
      <c r="B1234" s="32" t="s">
        <v>48</v>
      </c>
      <c r="C1234" s="32" t="s">
        <v>315</v>
      </c>
      <c r="D1234" s="33" t="n">
        <v>46047.8611111111</v>
      </c>
      <c r="E1234" s="33" t="n">
        <v>46047.8611111111</v>
      </c>
      <c r="F1234" s="33" t="n">
        <v>46047.9166666667</v>
      </c>
      <c r="G1234" s="34" t="n">
        <f aca="false">F1234-E1234</f>
        <v>0.0555555555555556</v>
      </c>
      <c r="H1234" s="39" t="s">
        <v>252</v>
      </c>
      <c r="J1234" s="39" t="s">
        <v>253</v>
      </c>
      <c r="K1234" s="32" t="s">
        <v>266</v>
      </c>
      <c r="L1234" s="32" t="s">
        <v>275</v>
      </c>
      <c r="M1234" s="39" t="s">
        <v>255</v>
      </c>
      <c r="N1234" s="39" t="s">
        <v>256</v>
      </c>
      <c r="O1234" s="32" t="s">
        <v>628</v>
      </c>
      <c r="P1234" s="40" t="str">
        <f aca="false">_xlfn.CONCAT(B1234,C1234,D1234,E1234,F1234)</f>
        <v>BC Caiaponia1SG60KTL(COM2-027)46047.861111111146047.861111111146047.9166666667</v>
      </c>
      <c r="Q1234" s="32" t="str">
        <f aca="false">_xlfn.CONCAT(H1234,I1234,J1234)</f>
        <v>DAURDE</v>
      </c>
    </row>
    <row r="1235" customFormat="false" ht="15" hidden="false" customHeight="false" outlineLevel="0" collapsed="false">
      <c r="B1235" s="32" t="s">
        <v>48</v>
      </c>
      <c r="C1235" s="32" t="s">
        <v>316</v>
      </c>
      <c r="D1235" s="33" t="n">
        <v>46047.8611111111</v>
      </c>
      <c r="E1235" s="33" t="n">
        <v>46047.8611111111</v>
      </c>
      <c r="F1235" s="33" t="n">
        <v>46047.9166666667</v>
      </c>
      <c r="G1235" s="34" t="n">
        <f aca="false">F1235-E1235</f>
        <v>0.0555555555555556</v>
      </c>
      <c r="H1235" s="39" t="s">
        <v>252</v>
      </c>
      <c r="J1235" s="39" t="s">
        <v>253</v>
      </c>
      <c r="K1235" s="32" t="s">
        <v>266</v>
      </c>
      <c r="L1235" s="32" t="s">
        <v>275</v>
      </c>
      <c r="M1235" s="39" t="s">
        <v>255</v>
      </c>
      <c r="N1235" s="39" t="s">
        <v>256</v>
      </c>
      <c r="O1235" s="32" t="s">
        <v>628</v>
      </c>
      <c r="P1235" s="40" t="str">
        <f aca="false">_xlfn.CONCAT(B1235,C1235,D1235,E1235,F1235)</f>
        <v>BC Caiaponia1SG60KTL(COM2-028)46047.861111111146047.861111111146047.9166666667</v>
      </c>
      <c r="Q1235" s="32" t="str">
        <f aca="false">_xlfn.CONCAT(H1235,I1235,J1235)</f>
        <v>DAURDE</v>
      </c>
    </row>
    <row r="1236" customFormat="false" ht="15" hidden="false" customHeight="false" outlineLevel="0" collapsed="false">
      <c r="B1236" s="32" t="s">
        <v>48</v>
      </c>
      <c r="C1236" s="32" t="s">
        <v>317</v>
      </c>
      <c r="D1236" s="33" t="n">
        <v>46047.8611111111</v>
      </c>
      <c r="E1236" s="33" t="n">
        <v>46047.8611111111</v>
      </c>
      <c r="F1236" s="33" t="n">
        <v>46047.9166666667</v>
      </c>
      <c r="G1236" s="34" t="n">
        <f aca="false">F1236-E1236</f>
        <v>0.0555555555555556</v>
      </c>
      <c r="H1236" s="39" t="s">
        <v>252</v>
      </c>
      <c r="J1236" s="39" t="s">
        <v>253</v>
      </c>
      <c r="K1236" s="32" t="s">
        <v>266</v>
      </c>
      <c r="L1236" s="32" t="s">
        <v>275</v>
      </c>
      <c r="M1236" s="39" t="s">
        <v>255</v>
      </c>
      <c r="N1236" s="39" t="s">
        <v>256</v>
      </c>
      <c r="O1236" s="32" t="s">
        <v>628</v>
      </c>
      <c r="P1236" s="40" t="str">
        <f aca="false">_xlfn.CONCAT(B1236,C1236,D1236,E1236,F1236)</f>
        <v>BC Caiaponia1SG60KTL(COM2-029)46047.861111111146047.861111111146047.9166666667</v>
      </c>
      <c r="Q1236" s="32" t="str">
        <f aca="false">_xlfn.CONCAT(H1236,I1236,J1236)</f>
        <v>DAURDE</v>
      </c>
    </row>
    <row r="1237" customFormat="false" ht="15" hidden="false" customHeight="false" outlineLevel="0" collapsed="false">
      <c r="B1237" s="32" t="s">
        <v>48</v>
      </c>
      <c r="C1237" s="32" t="s">
        <v>318</v>
      </c>
      <c r="D1237" s="33" t="n">
        <v>46047.8611111111</v>
      </c>
      <c r="E1237" s="33" t="n">
        <v>46047.8611111111</v>
      </c>
      <c r="F1237" s="33" t="n">
        <v>46047.9166666667</v>
      </c>
      <c r="G1237" s="34" t="n">
        <f aca="false">F1237-E1237</f>
        <v>0.0555555555555556</v>
      </c>
      <c r="H1237" s="39" t="s">
        <v>252</v>
      </c>
      <c r="J1237" s="39" t="s">
        <v>253</v>
      </c>
      <c r="K1237" s="32" t="s">
        <v>266</v>
      </c>
      <c r="L1237" s="32" t="s">
        <v>275</v>
      </c>
      <c r="M1237" s="39" t="s">
        <v>255</v>
      </c>
      <c r="N1237" s="39" t="s">
        <v>256</v>
      </c>
      <c r="O1237" s="32" t="s">
        <v>628</v>
      </c>
      <c r="P1237" s="40" t="str">
        <f aca="false">_xlfn.CONCAT(B1237,C1237,D1237,E1237,F1237)</f>
        <v>BC Caiaponia1SG50CX(COM1-021)46047.861111111146047.861111111146047.9166666667</v>
      </c>
      <c r="Q1237" s="32" t="str">
        <f aca="false">_xlfn.CONCAT(H1237,I1237,J1237)</f>
        <v>DAURDE</v>
      </c>
    </row>
    <row r="1238" customFormat="false" ht="15" hidden="false" customHeight="false" outlineLevel="0" collapsed="false">
      <c r="B1238" s="32" t="s">
        <v>48</v>
      </c>
      <c r="C1238" s="32" t="s">
        <v>319</v>
      </c>
      <c r="D1238" s="33" t="n">
        <v>46047.8611111111</v>
      </c>
      <c r="E1238" s="33" t="n">
        <v>46047.8611111111</v>
      </c>
      <c r="F1238" s="33" t="n">
        <v>46047.9166666667</v>
      </c>
      <c r="G1238" s="34" t="n">
        <f aca="false">F1238-E1238</f>
        <v>0.0555555555555556</v>
      </c>
      <c r="H1238" s="39" t="s">
        <v>252</v>
      </c>
      <c r="J1238" s="39" t="s">
        <v>253</v>
      </c>
      <c r="K1238" s="32" t="s">
        <v>266</v>
      </c>
      <c r="L1238" s="32" t="s">
        <v>275</v>
      </c>
      <c r="M1238" s="39" t="s">
        <v>255</v>
      </c>
      <c r="N1238" s="39" t="s">
        <v>256</v>
      </c>
      <c r="O1238" s="32" t="s">
        <v>628</v>
      </c>
      <c r="P1238" s="40" t="str">
        <f aca="false">_xlfn.CONCAT(B1238,C1238,D1238,E1238,F1238)</f>
        <v>BC Caiaponia1SG50CX(COM1-022)46047.861111111146047.861111111146047.9166666667</v>
      </c>
      <c r="Q1238" s="32" t="str">
        <f aca="false">_xlfn.CONCAT(H1238,I1238,J1238)</f>
        <v>DAURDE</v>
      </c>
    </row>
    <row r="1239" customFormat="false" ht="15" hidden="false" customHeight="false" outlineLevel="0" collapsed="false">
      <c r="B1239" s="32" t="s">
        <v>48</v>
      </c>
      <c r="C1239" s="32" t="s">
        <v>320</v>
      </c>
      <c r="D1239" s="33" t="n">
        <v>46047.8611111111</v>
      </c>
      <c r="E1239" s="33" t="n">
        <v>46047.8611111111</v>
      </c>
      <c r="F1239" s="33" t="n">
        <v>46047.9166666667</v>
      </c>
      <c r="G1239" s="34" t="n">
        <f aca="false">F1239-E1239</f>
        <v>0.0555555555555556</v>
      </c>
      <c r="H1239" s="39" t="s">
        <v>252</v>
      </c>
      <c r="J1239" s="39" t="s">
        <v>253</v>
      </c>
      <c r="K1239" s="32" t="s">
        <v>266</v>
      </c>
      <c r="L1239" s="32" t="s">
        <v>275</v>
      </c>
      <c r="M1239" s="39" t="s">
        <v>255</v>
      </c>
      <c r="N1239" s="39" t="s">
        <v>256</v>
      </c>
      <c r="O1239" s="32" t="s">
        <v>628</v>
      </c>
      <c r="P1239" s="40" t="str">
        <f aca="false">_xlfn.CONCAT(B1239,C1239,D1239,E1239,F1239)</f>
        <v>BC Caiaponia1SG50CX(COM1-023)46047.861111111146047.861111111146047.9166666667</v>
      </c>
      <c r="Q1239" s="32" t="str">
        <f aca="false">_xlfn.CONCAT(H1239,I1239,J1239)</f>
        <v>DAURDE</v>
      </c>
    </row>
    <row r="1240" customFormat="false" ht="15" hidden="false" customHeight="false" outlineLevel="0" collapsed="false">
      <c r="B1240" s="32" t="s">
        <v>48</v>
      </c>
      <c r="C1240" s="32" t="s">
        <v>321</v>
      </c>
      <c r="D1240" s="33" t="n">
        <v>46047.8611111111</v>
      </c>
      <c r="E1240" s="33" t="n">
        <v>46047.8611111111</v>
      </c>
      <c r="F1240" s="33" t="n">
        <v>46047.9166666667</v>
      </c>
      <c r="G1240" s="34" t="n">
        <f aca="false">F1240-E1240</f>
        <v>0.0555555555555556</v>
      </c>
      <c r="H1240" s="39" t="s">
        <v>252</v>
      </c>
      <c r="J1240" s="39" t="s">
        <v>253</v>
      </c>
      <c r="K1240" s="32" t="s">
        <v>266</v>
      </c>
      <c r="L1240" s="32" t="s">
        <v>275</v>
      </c>
      <c r="M1240" s="39" t="s">
        <v>255</v>
      </c>
      <c r="N1240" s="39" t="s">
        <v>256</v>
      </c>
      <c r="O1240" s="32" t="s">
        <v>628</v>
      </c>
      <c r="P1240" s="40" t="str">
        <f aca="false">_xlfn.CONCAT(B1240,C1240,D1240,E1240,F1240)</f>
        <v>BC Caiaponia1SG50CX(COM1-024)46047.861111111146047.861111111146047.9166666667</v>
      </c>
      <c r="Q1240" s="32" t="str">
        <f aca="false">_xlfn.CONCAT(H1240,I1240,J1240)</f>
        <v>DAURDE</v>
      </c>
    </row>
    <row r="1241" customFormat="false" ht="15" hidden="false" customHeight="false" outlineLevel="0" collapsed="false">
      <c r="B1241" s="32" t="s">
        <v>48</v>
      </c>
      <c r="C1241" s="32" t="s">
        <v>322</v>
      </c>
      <c r="D1241" s="33" t="n">
        <v>46047.8611111111</v>
      </c>
      <c r="E1241" s="33" t="n">
        <v>46047.8611111111</v>
      </c>
      <c r="F1241" s="33" t="n">
        <v>46047.9166666667</v>
      </c>
      <c r="G1241" s="34" t="n">
        <f aca="false">F1241-E1241</f>
        <v>0.0555555555555556</v>
      </c>
      <c r="H1241" s="39" t="s">
        <v>252</v>
      </c>
      <c r="J1241" s="39" t="s">
        <v>253</v>
      </c>
      <c r="K1241" s="32" t="s">
        <v>266</v>
      </c>
      <c r="L1241" s="32" t="s">
        <v>275</v>
      </c>
      <c r="M1241" s="39" t="s">
        <v>255</v>
      </c>
      <c r="N1241" s="39" t="s">
        <v>256</v>
      </c>
      <c r="O1241" s="32" t="s">
        <v>628</v>
      </c>
      <c r="P1241" s="40" t="str">
        <f aca="false">_xlfn.CONCAT(B1241,C1241,D1241,E1241,F1241)</f>
        <v>BC Caiaponia1SG50CX(COM1-025)46047.861111111146047.861111111146047.9166666667</v>
      </c>
      <c r="Q1241" s="32" t="str">
        <f aca="false">_xlfn.CONCAT(H1241,I1241,J1241)</f>
        <v>DAURDE</v>
      </c>
    </row>
    <row r="1242" customFormat="false" ht="15" hidden="false" customHeight="false" outlineLevel="0" collapsed="false">
      <c r="B1242" s="32" t="s">
        <v>250</v>
      </c>
      <c r="C1242" s="32" t="s">
        <v>251</v>
      </c>
      <c r="D1242" s="33" t="n">
        <v>46047.8611111111</v>
      </c>
      <c r="E1242" s="33" t="n">
        <v>46047.8611111111</v>
      </c>
      <c r="F1242" s="33" t="n">
        <v>46047.9166666667</v>
      </c>
      <c r="G1242" s="34" t="n">
        <f aca="false">F1242-E1242</f>
        <v>0.0555555555555556</v>
      </c>
      <c r="H1242" s="39" t="s">
        <v>252</v>
      </c>
      <c r="J1242" s="39" t="s">
        <v>253</v>
      </c>
      <c r="K1242" s="32" t="s">
        <v>266</v>
      </c>
      <c r="L1242" s="32" t="s">
        <v>275</v>
      </c>
      <c r="M1242" s="39" t="s">
        <v>255</v>
      </c>
      <c r="N1242" s="39" t="s">
        <v>256</v>
      </c>
      <c r="O1242" s="32" t="s">
        <v>628</v>
      </c>
      <c r="P1242" s="40" t="str">
        <f aca="false">_xlfn.CONCAT(B1242,C1242,D1242,E1242,F1242)</f>
        <v>BC Caiaponia2.1215KTL-H3(MBUS-12)46047.861111111146047.861111111146047.9166666667</v>
      </c>
      <c r="Q1242" s="32" t="str">
        <f aca="false">_xlfn.CONCAT(H1242,I1242,J1242)</f>
        <v>DAURDE</v>
      </c>
    </row>
    <row r="1243" customFormat="false" ht="15" hidden="false" customHeight="false" outlineLevel="0" collapsed="false">
      <c r="B1243" s="32" t="s">
        <v>250</v>
      </c>
      <c r="C1243" s="32" t="s">
        <v>258</v>
      </c>
      <c r="D1243" s="33" t="n">
        <v>46047.8611111111</v>
      </c>
      <c r="E1243" s="33" t="n">
        <v>46047.8611111111</v>
      </c>
      <c r="F1243" s="33" t="n">
        <v>46047.9166666667</v>
      </c>
      <c r="G1243" s="34" t="n">
        <f aca="false">F1243-E1243</f>
        <v>0.0555555555555556</v>
      </c>
      <c r="H1243" s="39" t="s">
        <v>252</v>
      </c>
      <c r="J1243" s="39" t="s">
        <v>253</v>
      </c>
      <c r="K1243" s="32" t="s">
        <v>266</v>
      </c>
      <c r="L1243" s="32" t="s">
        <v>275</v>
      </c>
      <c r="M1243" s="39" t="s">
        <v>255</v>
      </c>
      <c r="N1243" s="39" t="s">
        <v>256</v>
      </c>
      <c r="O1243" s="32" t="s">
        <v>628</v>
      </c>
      <c r="P1243" s="40" t="str">
        <f aca="false">_xlfn.CONCAT(B1243,C1243,D1243,E1243,F1243)</f>
        <v>BC Caiaponia2.1215KTL-H3(MBUS-13)46047.861111111146047.861111111146047.9166666667</v>
      </c>
      <c r="Q1243" s="32" t="str">
        <f aca="false">_xlfn.CONCAT(H1243,I1243,J1243)</f>
        <v>DAURDE</v>
      </c>
    </row>
    <row r="1244" customFormat="false" ht="15" hidden="false" customHeight="false" outlineLevel="0" collapsed="false">
      <c r="B1244" s="32" t="s">
        <v>250</v>
      </c>
      <c r="C1244" s="32" t="s">
        <v>259</v>
      </c>
      <c r="D1244" s="33" t="n">
        <v>46047.8611111111</v>
      </c>
      <c r="E1244" s="33" t="n">
        <v>46047.8611111111</v>
      </c>
      <c r="F1244" s="33" t="n">
        <v>46047.9166666667</v>
      </c>
      <c r="G1244" s="34" t="n">
        <f aca="false">F1244-E1244</f>
        <v>0.0555555555555556</v>
      </c>
      <c r="H1244" s="39" t="s">
        <v>252</v>
      </c>
      <c r="J1244" s="39" t="s">
        <v>253</v>
      </c>
      <c r="K1244" s="32" t="s">
        <v>266</v>
      </c>
      <c r="L1244" s="32" t="s">
        <v>275</v>
      </c>
      <c r="M1244" s="39" t="s">
        <v>255</v>
      </c>
      <c r="N1244" s="39" t="s">
        <v>256</v>
      </c>
      <c r="O1244" s="32" t="s">
        <v>628</v>
      </c>
      <c r="P1244" s="40" t="str">
        <f aca="false">_xlfn.CONCAT(B1244,C1244,D1244,E1244,F1244)</f>
        <v>BC Caiaponia2.1215KTL-H3(MBUS-14)46047.861111111146047.861111111146047.9166666667</v>
      </c>
      <c r="Q1244" s="32" t="str">
        <f aca="false">_xlfn.CONCAT(H1244,I1244,J1244)</f>
        <v>DAURDE</v>
      </c>
    </row>
    <row r="1245" customFormat="false" ht="15" hidden="false" customHeight="false" outlineLevel="0" collapsed="false">
      <c r="B1245" s="32" t="s">
        <v>250</v>
      </c>
      <c r="C1245" s="32" t="s">
        <v>260</v>
      </c>
      <c r="D1245" s="33" t="n">
        <v>46047.8611111111</v>
      </c>
      <c r="E1245" s="33" t="n">
        <v>46047.8611111111</v>
      </c>
      <c r="F1245" s="33" t="n">
        <v>46047.9166666667</v>
      </c>
      <c r="G1245" s="34" t="n">
        <f aca="false">F1245-E1245</f>
        <v>0.0555555555555556</v>
      </c>
      <c r="H1245" s="39" t="s">
        <v>252</v>
      </c>
      <c r="J1245" s="39" t="s">
        <v>253</v>
      </c>
      <c r="K1245" s="32" t="s">
        <v>266</v>
      </c>
      <c r="L1245" s="32" t="s">
        <v>275</v>
      </c>
      <c r="M1245" s="39" t="s">
        <v>255</v>
      </c>
      <c r="N1245" s="39" t="s">
        <v>256</v>
      </c>
      <c r="O1245" s="32" t="s">
        <v>628</v>
      </c>
      <c r="P1245" s="40" t="str">
        <f aca="false">_xlfn.CONCAT(B1245,C1245,D1245,E1245,F1245)</f>
        <v>BC Caiaponia2.1215KTL-H3(MBUS-15)46047.861111111146047.861111111146047.9166666667</v>
      </c>
      <c r="Q1245" s="32" t="str">
        <f aca="false">_xlfn.CONCAT(H1245,I1245,J1245)</f>
        <v>DAURDE</v>
      </c>
    </row>
    <row r="1246" customFormat="false" ht="15" hidden="false" customHeight="false" outlineLevel="0" collapsed="false">
      <c r="B1246" s="32" t="s">
        <v>250</v>
      </c>
      <c r="C1246" s="32" t="s">
        <v>261</v>
      </c>
      <c r="D1246" s="33" t="n">
        <v>46047.8611111111</v>
      </c>
      <c r="E1246" s="33" t="n">
        <v>46047.8611111111</v>
      </c>
      <c r="F1246" s="33" t="n">
        <v>46047.9166666667</v>
      </c>
      <c r="G1246" s="34" t="n">
        <f aca="false">F1246-E1246</f>
        <v>0.0555555555555556</v>
      </c>
      <c r="H1246" s="39" t="s">
        <v>252</v>
      </c>
      <c r="J1246" s="39" t="s">
        <v>253</v>
      </c>
      <c r="K1246" s="32" t="s">
        <v>266</v>
      </c>
      <c r="L1246" s="32" t="s">
        <v>275</v>
      </c>
      <c r="M1246" s="39" t="s">
        <v>255</v>
      </c>
      <c r="N1246" s="39" t="s">
        <v>256</v>
      </c>
      <c r="O1246" s="32" t="s">
        <v>628</v>
      </c>
      <c r="P1246" s="40" t="str">
        <f aca="false">_xlfn.CONCAT(B1246,C1246,D1246,E1246,F1246)</f>
        <v>BC Caiaponia2.1215KTL-H3(MBUS-16)46047.861111111146047.861111111146047.9166666667</v>
      </c>
      <c r="Q1246" s="32" t="str">
        <f aca="false">_xlfn.CONCAT(H1246,I1246,J1246)</f>
        <v>DAURDE</v>
      </c>
    </row>
    <row r="1247" customFormat="false" ht="15" hidden="false" customHeight="false" outlineLevel="0" collapsed="false">
      <c r="B1247" s="32" t="s">
        <v>262</v>
      </c>
      <c r="C1247" s="32" t="s">
        <v>251</v>
      </c>
      <c r="D1247" s="33" t="n">
        <v>46047.8611111111</v>
      </c>
      <c r="E1247" s="33" t="n">
        <v>46047.8611111111</v>
      </c>
      <c r="F1247" s="33" t="n">
        <v>46047.9166666667</v>
      </c>
      <c r="G1247" s="34" t="n">
        <f aca="false">F1247-E1247</f>
        <v>0.0555555555555556</v>
      </c>
      <c r="H1247" s="39" t="s">
        <v>252</v>
      </c>
      <c r="J1247" s="39" t="s">
        <v>253</v>
      </c>
      <c r="K1247" s="32" t="s">
        <v>266</v>
      </c>
      <c r="L1247" s="32" t="s">
        <v>275</v>
      </c>
      <c r="M1247" s="39" t="s">
        <v>255</v>
      </c>
      <c r="N1247" s="39" t="s">
        <v>256</v>
      </c>
      <c r="O1247" s="32" t="s">
        <v>628</v>
      </c>
      <c r="P1247" s="40" t="str">
        <f aca="false">_xlfn.CONCAT(B1247,C1247,D1247,E1247,F1247)</f>
        <v>BC Caiaponia2.2215KTL-H3(MBUS-12)46047.861111111146047.861111111146047.9166666667</v>
      </c>
      <c r="Q1247" s="32" t="str">
        <f aca="false">_xlfn.CONCAT(H1247,I1247,J1247)</f>
        <v>DAURDE</v>
      </c>
    </row>
    <row r="1248" customFormat="false" ht="15" hidden="false" customHeight="false" outlineLevel="0" collapsed="false">
      <c r="B1248" s="32" t="s">
        <v>262</v>
      </c>
      <c r="C1248" s="32" t="s">
        <v>258</v>
      </c>
      <c r="D1248" s="33" t="n">
        <v>46047.8611111111</v>
      </c>
      <c r="E1248" s="33" t="n">
        <v>46047.8611111111</v>
      </c>
      <c r="F1248" s="33" t="n">
        <v>46047.9166666667</v>
      </c>
      <c r="G1248" s="34" t="n">
        <f aca="false">F1248-E1248</f>
        <v>0.0555555555555556</v>
      </c>
      <c r="H1248" s="39" t="s">
        <v>252</v>
      </c>
      <c r="J1248" s="39" t="s">
        <v>253</v>
      </c>
      <c r="K1248" s="32" t="s">
        <v>266</v>
      </c>
      <c r="L1248" s="32" t="s">
        <v>275</v>
      </c>
      <c r="M1248" s="39" t="s">
        <v>255</v>
      </c>
      <c r="N1248" s="39" t="s">
        <v>256</v>
      </c>
      <c r="O1248" s="32" t="s">
        <v>628</v>
      </c>
      <c r="P1248" s="40" t="str">
        <f aca="false">_xlfn.CONCAT(B1248,C1248,D1248,E1248,F1248)</f>
        <v>BC Caiaponia2.2215KTL-H3(MBUS-13)46047.861111111146047.861111111146047.9166666667</v>
      </c>
      <c r="Q1248" s="32" t="str">
        <f aca="false">_xlfn.CONCAT(H1248,I1248,J1248)</f>
        <v>DAURDE</v>
      </c>
    </row>
    <row r="1249" customFormat="false" ht="15" hidden="false" customHeight="false" outlineLevel="0" collapsed="false">
      <c r="B1249" s="32" t="s">
        <v>262</v>
      </c>
      <c r="C1249" s="32" t="s">
        <v>259</v>
      </c>
      <c r="D1249" s="33" t="n">
        <v>46047.8611111111</v>
      </c>
      <c r="E1249" s="33" t="n">
        <v>46047.8611111111</v>
      </c>
      <c r="F1249" s="33" t="n">
        <v>46047.9166666667</v>
      </c>
      <c r="G1249" s="34" t="n">
        <f aca="false">F1249-E1249</f>
        <v>0.0555555555555556</v>
      </c>
      <c r="H1249" s="39" t="s">
        <v>252</v>
      </c>
      <c r="J1249" s="39" t="s">
        <v>253</v>
      </c>
      <c r="K1249" s="32" t="s">
        <v>266</v>
      </c>
      <c r="L1249" s="32" t="s">
        <v>275</v>
      </c>
      <c r="M1249" s="39" t="s">
        <v>255</v>
      </c>
      <c r="N1249" s="39" t="s">
        <v>256</v>
      </c>
      <c r="O1249" s="32" t="s">
        <v>628</v>
      </c>
      <c r="P1249" s="40" t="str">
        <f aca="false">_xlfn.CONCAT(B1249,C1249,D1249,E1249,F1249)</f>
        <v>BC Caiaponia2.2215KTL-H3(MBUS-14)46047.861111111146047.861111111146047.9166666667</v>
      </c>
      <c r="Q1249" s="32" t="str">
        <f aca="false">_xlfn.CONCAT(H1249,I1249,J1249)</f>
        <v>DAURDE</v>
      </c>
    </row>
    <row r="1250" customFormat="false" ht="15" hidden="false" customHeight="false" outlineLevel="0" collapsed="false">
      <c r="B1250" s="32" t="s">
        <v>262</v>
      </c>
      <c r="C1250" s="32" t="s">
        <v>260</v>
      </c>
      <c r="D1250" s="33" t="n">
        <v>46047.8611111111</v>
      </c>
      <c r="E1250" s="33" t="n">
        <v>46047.8611111111</v>
      </c>
      <c r="F1250" s="33" t="n">
        <v>46047.9166666667</v>
      </c>
      <c r="G1250" s="34" t="n">
        <f aca="false">F1250-E1250</f>
        <v>0.0555555555555556</v>
      </c>
      <c r="H1250" s="39" t="s">
        <v>252</v>
      </c>
      <c r="J1250" s="39" t="s">
        <v>253</v>
      </c>
      <c r="K1250" s="32" t="s">
        <v>266</v>
      </c>
      <c r="L1250" s="32" t="s">
        <v>275</v>
      </c>
      <c r="M1250" s="39" t="s">
        <v>255</v>
      </c>
      <c r="N1250" s="39" t="s">
        <v>256</v>
      </c>
      <c r="O1250" s="32" t="s">
        <v>628</v>
      </c>
      <c r="P1250" s="40" t="str">
        <f aca="false">_xlfn.CONCAT(B1250,C1250,D1250,E1250,F1250)</f>
        <v>BC Caiaponia2.2215KTL-H3(MBUS-15)46047.861111111146047.861111111146047.9166666667</v>
      </c>
      <c r="Q1250" s="32" t="str">
        <f aca="false">_xlfn.CONCAT(H1250,I1250,J1250)</f>
        <v>DAURDE</v>
      </c>
    </row>
    <row r="1251" customFormat="false" ht="15" hidden="false" customHeight="false" outlineLevel="0" collapsed="false">
      <c r="B1251" s="32" t="s">
        <v>262</v>
      </c>
      <c r="C1251" s="32" t="s">
        <v>261</v>
      </c>
      <c r="D1251" s="33" t="n">
        <v>46047.8611111111</v>
      </c>
      <c r="E1251" s="33" t="n">
        <v>46047.8611111111</v>
      </c>
      <c r="F1251" s="33" t="n">
        <v>46047.9166666667</v>
      </c>
      <c r="G1251" s="34" t="n">
        <f aca="false">F1251-E1251</f>
        <v>0.0555555555555556</v>
      </c>
      <c r="H1251" s="39" t="s">
        <v>252</v>
      </c>
      <c r="J1251" s="39" t="s">
        <v>253</v>
      </c>
      <c r="K1251" s="32" t="s">
        <v>266</v>
      </c>
      <c r="L1251" s="32" t="s">
        <v>275</v>
      </c>
      <c r="M1251" s="39" t="s">
        <v>255</v>
      </c>
      <c r="N1251" s="39" t="s">
        <v>256</v>
      </c>
      <c r="O1251" s="32" t="s">
        <v>628</v>
      </c>
      <c r="P1251" s="40" t="str">
        <f aca="false">_xlfn.CONCAT(B1251,C1251,D1251,E1251,F1251)</f>
        <v>BC Caiaponia2.2215KTL-H3(MBUS-16)46047.861111111146047.861111111146047.9166666667</v>
      </c>
      <c r="Q1251" s="32" t="str">
        <f aca="false">_xlfn.CONCAT(H1251,I1251,J1251)</f>
        <v>DAURDE</v>
      </c>
    </row>
    <row r="1252" customFormat="false" ht="15" hidden="false" customHeight="false" outlineLevel="0" collapsed="false">
      <c r="B1252" s="32" t="s">
        <v>263</v>
      </c>
      <c r="C1252" s="32" t="s">
        <v>251</v>
      </c>
      <c r="D1252" s="33" t="n">
        <v>46047.8611111111</v>
      </c>
      <c r="E1252" s="33" t="n">
        <v>46047.8611111111</v>
      </c>
      <c r="F1252" s="33" t="n">
        <v>46047.9166666667</v>
      </c>
      <c r="G1252" s="34" t="n">
        <f aca="false">F1252-E1252</f>
        <v>0.0555555555555556</v>
      </c>
      <c r="H1252" s="39" t="s">
        <v>252</v>
      </c>
      <c r="J1252" s="39" t="s">
        <v>253</v>
      </c>
      <c r="K1252" s="32" t="s">
        <v>266</v>
      </c>
      <c r="L1252" s="32" t="s">
        <v>275</v>
      </c>
      <c r="M1252" s="39" t="s">
        <v>255</v>
      </c>
      <c r="N1252" s="39" t="s">
        <v>256</v>
      </c>
      <c r="O1252" s="32" t="s">
        <v>628</v>
      </c>
      <c r="P1252" s="40" t="str">
        <f aca="false">_xlfn.CONCAT(B1252,C1252,D1252,E1252,F1252)</f>
        <v>BC Caiaponia2.3215KTL-H3(MBUS-12)46047.861111111146047.861111111146047.9166666667</v>
      </c>
      <c r="Q1252" s="32" t="str">
        <f aca="false">_xlfn.CONCAT(H1252,I1252,J1252)</f>
        <v>DAURDE</v>
      </c>
    </row>
    <row r="1253" customFormat="false" ht="15" hidden="false" customHeight="false" outlineLevel="0" collapsed="false">
      <c r="B1253" s="32" t="s">
        <v>263</v>
      </c>
      <c r="C1253" s="32" t="s">
        <v>258</v>
      </c>
      <c r="D1253" s="33" t="n">
        <v>46047.8611111111</v>
      </c>
      <c r="E1253" s="33" t="n">
        <v>46047.8611111111</v>
      </c>
      <c r="F1253" s="33" t="n">
        <v>46047.9166666667</v>
      </c>
      <c r="G1253" s="34" t="n">
        <f aca="false">F1253-E1253</f>
        <v>0.0555555555555556</v>
      </c>
      <c r="H1253" s="39" t="s">
        <v>252</v>
      </c>
      <c r="J1253" s="39" t="s">
        <v>253</v>
      </c>
      <c r="K1253" s="32" t="s">
        <v>266</v>
      </c>
      <c r="L1253" s="32" t="s">
        <v>275</v>
      </c>
      <c r="M1253" s="39" t="s">
        <v>255</v>
      </c>
      <c r="N1253" s="39" t="s">
        <v>256</v>
      </c>
      <c r="O1253" s="32" t="s">
        <v>628</v>
      </c>
      <c r="P1253" s="40" t="str">
        <f aca="false">_xlfn.CONCAT(B1253,C1253,D1253,E1253,F1253)</f>
        <v>BC Caiaponia2.3215KTL-H3(MBUS-13)46047.861111111146047.861111111146047.9166666667</v>
      </c>
      <c r="Q1253" s="32" t="str">
        <f aca="false">_xlfn.CONCAT(H1253,I1253,J1253)</f>
        <v>DAURDE</v>
      </c>
    </row>
    <row r="1254" customFormat="false" ht="15" hidden="false" customHeight="false" outlineLevel="0" collapsed="false">
      <c r="B1254" s="32" t="s">
        <v>263</v>
      </c>
      <c r="C1254" s="32" t="s">
        <v>259</v>
      </c>
      <c r="D1254" s="33" t="n">
        <v>46047.8611111111</v>
      </c>
      <c r="E1254" s="33" t="n">
        <v>46047.8611111111</v>
      </c>
      <c r="F1254" s="33" t="n">
        <v>46047.9166666667</v>
      </c>
      <c r="G1254" s="34" t="n">
        <f aca="false">F1254-E1254</f>
        <v>0.0555555555555556</v>
      </c>
      <c r="H1254" s="39" t="s">
        <v>252</v>
      </c>
      <c r="J1254" s="39" t="s">
        <v>253</v>
      </c>
      <c r="K1254" s="32" t="s">
        <v>266</v>
      </c>
      <c r="L1254" s="32" t="s">
        <v>275</v>
      </c>
      <c r="M1254" s="39" t="s">
        <v>255</v>
      </c>
      <c r="N1254" s="39" t="s">
        <v>256</v>
      </c>
      <c r="O1254" s="32" t="s">
        <v>628</v>
      </c>
      <c r="P1254" s="40" t="str">
        <f aca="false">_xlfn.CONCAT(B1254,C1254,D1254,E1254,F1254)</f>
        <v>BC Caiaponia2.3215KTL-H3(MBUS-14)46047.861111111146047.861111111146047.9166666667</v>
      </c>
      <c r="Q1254" s="32" t="str">
        <f aca="false">_xlfn.CONCAT(H1254,I1254,J1254)</f>
        <v>DAURDE</v>
      </c>
    </row>
    <row r="1255" customFormat="false" ht="15" hidden="false" customHeight="false" outlineLevel="0" collapsed="false">
      <c r="B1255" s="32" t="s">
        <v>263</v>
      </c>
      <c r="C1255" s="32" t="s">
        <v>260</v>
      </c>
      <c r="D1255" s="33" t="n">
        <v>46047.8611111111</v>
      </c>
      <c r="E1255" s="33" t="n">
        <v>46047.8611111111</v>
      </c>
      <c r="F1255" s="33" t="n">
        <v>46047.9166666667</v>
      </c>
      <c r="G1255" s="34" t="n">
        <f aca="false">F1255-E1255</f>
        <v>0.0555555555555556</v>
      </c>
      <c r="H1255" s="39" t="s">
        <v>252</v>
      </c>
      <c r="J1255" s="39" t="s">
        <v>253</v>
      </c>
      <c r="K1255" s="32" t="s">
        <v>266</v>
      </c>
      <c r="L1255" s="32" t="s">
        <v>275</v>
      </c>
      <c r="M1255" s="39" t="s">
        <v>255</v>
      </c>
      <c r="N1255" s="39" t="s">
        <v>256</v>
      </c>
      <c r="O1255" s="32" t="s">
        <v>628</v>
      </c>
      <c r="P1255" s="40" t="str">
        <f aca="false">_xlfn.CONCAT(B1255,C1255,D1255,E1255,F1255)</f>
        <v>BC Caiaponia2.3215KTL-H3(MBUS-15)46047.861111111146047.861111111146047.9166666667</v>
      </c>
      <c r="Q1255" s="32" t="str">
        <f aca="false">_xlfn.CONCAT(H1255,I1255,J1255)</f>
        <v>DAURDE</v>
      </c>
    </row>
    <row r="1256" customFormat="false" ht="15" hidden="false" customHeight="false" outlineLevel="0" collapsed="false">
      <c r="B1256" s="32" t="s">
        <v>263</v>
      </c>
      <c r="C1256" s="32" t="s">
        <v>261</v>
      </c>
      <c r="D1256" s="33" t="n">
        <v>46047.8611111111</v>
      </c>
      <c r="E1256" s="33" t="n">
        <v>46047.8611111111</v>
      </c>
      <c r="F1256" s="33" t="n">
        <v>46047.9166666667</v>
      </c>
      <c r="G1256" s="34" t="n">
        <f aca="false">F1256-E1256</f>
        <v>0.0555555555555556</v>
      </c>
      <c r="H1256" s="39" t="s">
        <v>252</v>
      </c>
      <c r="J1256" s="39" t="s">
        <v>253</v>
      </c>
      <c r="K1256" s="32" t="s">
        <v>266</v>
      </c>
      <c r="L1256" s="32" t="s">
        <v>275</v>
      </c>
      <c r="M1256" s="39" t="s">
        <v>255</v>
      </c>
      <c r="N1256" s="39" t="s">
        <v>256</v>
      </c>
      <c r="O1256" s="32" t="s">
        <v>628</v>
      </c>
      <c r="P1256" s="40" t="str">
        <f aca="false">_xlfn.CONCAT(B1256,C1256,D1256,E1256,F1256)</f>
        <v>BC Caiaponia2.3215KTL-H3(MBUS-16)46047.861111111146047.861111111146047.9166666667</v>
      </c>
      <c r="Q1256" s="32" t="str">
        <f aca="false">_xlfn.CONCAT(H1256,I1256,J1256)</f>
        <v>DAURDE</v>
      </c>
    </row>
    <row r="1257" customFormat="false" ht="15" hidden="false" customHeight="false" outlineLevel="0" collapsed="false">
      <c r="B1257" s="32" t="s">
        <v>142</v>
      </c>
      <c r="C1257" s="32" t="s">
        <v>274</v>
      </c>
      <c r="D1257" s="33" t="n">
        <v>46048.2673611111</v>
      </c>
      <c r="E1257" s="33" t="n">
        <v>46048.2673611111</v>
      </c>
      <c r="F1257" s="33" t="n">
        <v>46048.2986111111</v>
      </c>
      <c r="G1257" s="34" t="n">
        <f aca="false">F1257-E1257</f>
        <v>0.03125</v>
      </c>
      <c r="H1257" s="39" t="s">
        <v>252</v>
      </c>
      <c r="J1257" s="39" t="s">
        <v>253</v>
      </c>
      <c r="K1257" s="32" t="s">
        <v>266</v>
      </c>
      <c r="L1257" s="32" t="s">
        <v>275</v>
      </c>
      <c r="M1257" s="39" t="s">
        <v>255</v>
      </c>
      <c r="N1257" s="39" t="s">
        <v>256</v>
      </c>
      <c r="O1257" s="32" t="s">
        <v>632</v>
      </c>
      <c r="P1257" s="40" t="str">
        <f aca="false">_xlfn.CONCAT(B1257,C1257,D1257,E1257,F1257)</f>
        <v>BC Rio Monte1Inverter3546048.267361111146048.267361111146048.2986111111</v>
      </c>
      <c r="Q1257" s="32" t="str">
        <f aca="false">_xlfn.CONCAT(H1257,I1257,J1257)</f>
        <v>DAURDE</v>
      </c>
    </row>
    <row r="1258" customFormat="false" ht="15" hidden="false" customHeight="false" outlineLevel="0" collapsed="false">
      <c r="B1258" s="32" t="s">
        <v>142</v>
      </c>
      <c r="C1258" s="32" t="s">
        <v>276</v>
      </c>
      <c r="D1258" s="33" t="n">
        <v>46048.2673611111</v>
      </c>
      <c r="E1258" s="33" t="n">
        <v>46048.2673611111</v>
      </c>
      <c r="F1258" s="33" t="n">
        <v>46048.2986111111</v>
      </c>
      <c r="G1258" s="34" t="n">
        <f aca="false">F1258-E1258</f>
        <v>0.03125</v>
      </c>
      <c r="H1258" s="39" t="s">
        <v>252</v>
      </c>
      <c r="J1258" s="39" t="s">
        <v>253</v>
      </c>
      <c r="K1258" s="32" t="s">
        <v>266</v>
      </c>
      <c r="L1258" s="32" t="s">
        <v>275</v>
      </c>
      <c r="M1258" s="39" t="s">
        <v>255</v>
      </c>
      <c r="N1258" s="39" t="s">
        <v>256</v>
      </c>
      <c r="O1258" s="32" t="s">
        <v>632</v>
      </c>
      <c r="P1258" s="40" t="str">
        <f aca="false">_xlfn.CONCAT(B1258,C1258,D1258,E1258,F1258)</f>
        <v>BC Rio Monte1Inverter4046048.267361111146048.267361111146048.2986111111</v>
      </c>
      <c r="Q1258" s="32" t="str">
        <f aca="false">_xlfn.CONCAT(H1258,I1258,J1258)</f>
        <v>DAURDE</v>
      </c>
    </row>
    <row r="1259" customFormat="false" ht="15" hidden="false" customHeight="false" outlineLevel="0" collapsed="false">
      <c r="B1259" s="32" t="s">
        <v>142</v>
      </c>
      <c r="C1259" s="32" t="s">
        <v>277</v>
      </c>
      <c r="D1259" s="33" t="n">
        <v>46048.2673611111</v>
      </c>
      <c r="E1259" s="33" t="n">
        <v>46048.2673611111</v>
      </c>
      <c r="F1259" s="33" t="n">
        <v>46048.2986111111</v>
      </c>
      <c r="G1259" s="34" t="n">
        <f aca="false">F1259-E1259</f>
        <v>0.03125</v>
      </c>
      <c r="H1259" s="39" t="s">
        <v>252</v>
      </c>
      <c r="J1259" s="39" t="s">
        <v>253</v>
      </c>
      <c r="K1259" s="32" t="s">
        <v>266</v>
      </c>
      <c r="L1259" s="32" t="s">
        <v>275</v>
      </c>
      <c r="M1259" s="39" t="s">
        <v>255</v>
      </c>
      <c r="N1259" s="39" t="s">
        <v>256</v>
      </c>
      <c r="O1259" s="32" t="s">
        <v>632</v>
      </c>
      <c r="P1259" s="40" t="str">
        <f aca="false">_xlfn.CONCAT(B1259,C1259,D1259,E1259,F1259)</f>
        <v>BC Rio Monte1Inverter4246048.267361111146048.267361111146048.2986111111</v>
      </c>
      <c r="Q1259" s="32" t="str">
        <f aca="false">_xlfn.CONCAT(H1259,I1259,J1259)</f>
        <v>DAURDE</v>
      </c>
    </row>
    <row r="1260" customFormat="false" ht="15" hidden="false" customHeight="false" outlineLevel="0" collapsed="false">
      <c r="B1260" s="32" t="s">
        <v>142</v>
      </c>
      <c r="C1260" s="32" t="s">
        <v>278</v>
      </c>
      <c r="D1260" s="33" t="n">
        <v>46048.2673611111</v>
      </c>
      <c r="E1260" s="33" t="n">
        <v>46048.2673611111</v>
      </c>
      <c r="F1260" s="33" t="n">
        <v>46048.2986111111</v>
      </c>
      <c r="G1260" s="34" t="n">
        <f aca="false">F1260-E1260</f>
        <v>0.03125</v>
      </c>
      <c r="H1260" s="39" t="s">
        <v>252</v>
      </c>
      <c r="J1260" s="39" t="s">
        <v>253</v>
      </c>
      <c r="K1260" s="32" t="s">
        <v>266</v>
      </c>
      <c r="L1260" s="32" t="s">
        <v>275</v>
      </c>
      <c r="M1260" s="39" t="s">
        <v>255</v>
      </c>
      <c r="N1260" s="39" t="s">
        <v>256</v>
      </c>
      <c r="O1260" s="32" t="s">
        <v>632</v>
      </c>
      <c r="P1260" s="40" t="str">
        <f aca="false">_xlfn.CONCAT(B1260,C1260,D1260,E1260,F1260)</f>
        <v>BC Rio Monte1Inverter4146048.267361111146048.267361111146048.2986111111</v>
      </c>
      <c r="Q1260" s="32" t="str">
        <f aca="false">_xlfn.CONCAT(H1260,I1260,J1260)</f>
        <v>DAURDE</v>
      </c>
    </row>
    <row r="1261" customFormat="false" ht="15" hidden="false" customHeight="false" outlineLevel="0" collapsed="false">
      <c r="B1261" s="32" t="s">
        <v>142</v>
      </c>
      <c r="C1261" s="32" t="s">
        <v>279</v>
      </c>
      <c r="D1261" s="33" t="n">
        <v>46048.2673611111</v>
      </c>
      <c r="E1261" s="33" t="n">
        <v>46048.2673611111</v>
      </c>
      <c r="F1261" s="33" t="n">
        <v>46048.2986111111</v>
      </c>
      <c r="G1261" s="34" t="n">
        <f aca="false">F1261-E1261</f>
        <v>0.03125</v>
      </c>
      <c r="H1261" s="39" t="s">
        <v>252</v>
      </c>
      <c r="J1261" s="39" t="s">
        <v>253</v>
      </c>
      <c r="K1261" s="32" t="s">
        <v>266</v>
      </c>
      <c r="L1261" s="32" t="s">
        <v>275</v>
      </c>
      <c r="M1261" s="39" t="s">
        <v>255</v>
      </c>
      <c r="N1261" s="39" t="s">
        <v>256</v>
      </c>
      <c r="O1261" s="32" t="s">
        <v>632</v>
      </c>
      <c r="P1261" s="40" t="str">
        <f aca="false">_xlfn.CONCAT(B1261,C1261,D1261,E1261,F1261)</f>
        <v>BC Rio Monte1Inverter4446048.267361111146048.267361111146048.2986111111</v>
      </c>
      <c r="Q1261" s="32" t="str">
        <f aca="false">_xlfn.CONCAT(H1261,I1261,J1261)</f>
        <v>DAURDE</v>
      </c>
    </row>
    <row r="1262" customFormat="false" ht="15" hidden="false" customHeight="false" outlineLevel="0" collapsed="false">
      <c r="B1262" s="32" t="s">
        <v>142</v>
      </c>
      <c r="C1262" s="32" t="s">
        <v>280</v>
      </c>
      <c r="D1262" s="33" t="n">
        <v>46048.2673611111</v>
      </c>
      <c r="E1262" s="33" t="n">
        <v>46048.2673611111</v>
      </c>
      <c r="F1262" s="33" t="n">
        <v>46048.2986111111</v>
      </c>
      <c r="G1262" s="34" t="n">
        <f aca="false">F1262-E1262</f>
        <v>0.03125</v>
      </c>
      <c r="H1262" s="39" t="s">
        <v>252</v>
      </c>
      <c r="J1262" s="39" t="s">
        <v>253</v>
      </c>
      <c r="K1262" s="32" t="s">
        <v>266</v>
      </c>
      <c r="L1262" s="32" t="s">
        <v>275</v>
      </c>
      <c r="M1262" s="39" t="s">
        <v>255</v>
      </c>
      <c r="N1262" s="39" t="s">
        <v>256</v>
      </c>
      <c r="O1262" s="32" t="s">
        <v>632</v>
      </c>
      <c r="P1262" s="40" t="str">
        <f aca="false">_xlfn.CONCAT(B1262,C1262,D1262,E1262,F1262)</f>
        <v>BC Rio Monte1Inverter4346048.267361111146048.267361111146048.2986111111</v>
      </c>
      <c r="Q1262" s="32" t="str">
        <f aca="false">_xlfn.CONCAT(H1262,I1262,J1262)</f>
        <v>DAURDE</v>
      </c>
    </row>
    <row r="1263" customFormat="false" ht="15" hidden="false" customHeight="false" outlineLevel="0" collapsed="false">
      <c r="B1263" s="32" t="s">
        <v>142</v>
      </c>
      <c r="C1263" s="32" t="s">
        <v>281</v>
      </c>
      <c r="D1263" s="33" t="n">
        <v>46048.2673611111</v>
      </c>
      <c r="E1263" s="33" t="n">
        <v>46048.2673611111</v>
      </c>
      <c r="F1263" s="33" t="n">
        <v>46048.2986111111</v>
      </c>
      <c r="G1263" s="34" t="n">
        <f aca="false">F1263-E1263</f>
        <v>0.03125</v>
      </c>
      <c r="H1263" s="39" t="s">
        <v>252</v>
      </c>
      <c r="J1263" s="39" t="s">
        <v>253</v>
      </c>
      <c r="K1263" s="32" t="s">
        <v>266</v>
      </c>
      <c r="L1263" s="32" t="s">
        <v>275</v>
      </c>
      <c r="M1263" s="39" t="s">
        <v>255</v>
      </c>
      <c r="N1263" s="39" t="s">
        <v>256</v>
      </c>
      <c r="O1263" s="32" t="s">
        <v>632</v>
      </c>
      <c r="P1263" s="40" t="str">
        <f aca="false">_xlfn.CONCAT(B1263,C1263,D1263,E1263,F1263)</f>
        <v>BC Rio Monte1Inverter4546048.267361111146048.267361111146048.2986111111</v>
      </c>
      <c r="Q1263" s="32" t="str">
        <f aca="false">_xlfn.CONCAT(H1263,I1263,J1263)</f>
        <v>DAURDE</v>
      </c>
    </row>
    <row r="1264" customFormat="false" ht="15" hidden="false" customHeight="false" outlineLevel="0" collapsed="false">
      <c r="B1264" s="32" t="s">
        <v>142</v>
      </c>
      <c r="C1264" s="32" t="s">
        <v>633</v>
      </c>
      <c r="D1264" s="33" t="n">
        <v>46048.2673611111</v>
      </c>
      <c r="E1264" s="33" t="n">
        <v>46048.2673611111</v>
      </c>
      <c r="F1264" s="33" t="n">
        <v>46048.2986111111</v>
      </c>
      <c r="G1264" s="34" t="n">
        <f aca="false">F1264-E1264</f>
        <v>0.03125</v>
      </c>
      <c r="H1264" s="39" t="s">
        <v>252</v>
      </c>
      <c r="J1264" s="39" t="s">
        <v>253</v>
      </c>
      <c r="K1264" s="32" t="s">
        <v>266</v>
      </c>
      <c r="L1264" s="32" t="s">
        <v>275</v>
      </c>
      <c r="M1264" s="39" t="s">
        <v>255</v>
      </c>
      <c r="N1264" s="39" t="s">
        <v>256</v>
      </c>
      <c r="O1264" s="32" t="s">
        <v>632</v>
      </c>
      <c r="P1264" s="40" t="str">
        <f aca="false">_xlfn.CONCAT(B1264,C1264,D1264,E1264,F1264)</f>
        <v>BC Rio Monte1Inverter3446048.267361111146048.267361111146048.2986111111</v>
      </c>
      <c r="Q1264" s="32" t="str">
        <f aca="false">_xlfn.CONCAT(H1264,I1264,J1264)</f>
        <v>DAURDE</v>
      </c>
    </row>
    <row r="1265" customFormat="false" ht="15" hidden="false" customHeight="false" outlineLevel="0" collapsed="false">
      <c r="B1265" s="32" t="s">
        <v>142</v>
      </c>
      <c r="C1265" s="32" t="s">
        <v>634</v>
      </c>
      <c r="D1265" s="33" t="n">
        <v>46048.2673611111</v>
      </c>
      <c r="E1265" s="33" t="n">
        <v>46048.2673611111</v>
      </c>
      <c r="F1265" s="33" t="n">
        <v>46048.2986111111</v>
      </c>
      <c r="G1265" s="34" t="n">
        <f aca="false">F1265-E1265</f>
        <v>0.03125</v>
      </c>
      <c r="H1265" s="39" t="s">
        <v>252</v>
      </c>
      <c r="J1265" s="39" t="s">
        <v>253</v>
      </c>
      <c r="K1265" s="32" t="s">
        <v>266</v>
      </c>
      <c r="L1265" s="32" t="s">
        <v>275</v>
      </c>
      <c r="M1265" s="39" t="s">
        <v>255</v>
      </c>
      <c r="N1265" s="39" t="s">
        <v>256</v>
      </c>
      <c r="O1265" s="32" t="s">
        <v>632</v>
      </c>
      <c r="P1265" s="40" t="str">
        <f aca="false">_xlfn.CONCAT(B1265,C1265,D1265,E1265,F1265)</f>
        <v>BC Rio Monte1Inverter3746048.267361111146048.267361111146048.2986111111</v>
      </c>
      <c r="Q1265" s="32" t="str">
        <f aca="false">_xlfn.CONCAT(H1265,I1265,J1265)</f>
        <v>DAURDE</v>
      </c>
    </row>
    <row r="1266" customFormat="false" ht="15" hidden="false" customHeight="false" outlineLevel="0" collapsed="false">
      <c r="B1266" s="32" t="s">
        <v>142</v>
      </c>
      <c r="C1266" s="32" t="s">
        <v>635</v>
      </c>
      <c r="D1266" s="33" t="n">
        <v>46048.2673611111</v>
      </c>
      <c r="E1266" s="33" t="n">
        <v>46048.2673611111</v>
      </c>
      <c r="F1266" s="33" t="n">
        <v>46048.2986111111</v>
      </c>
      <c r="G1266" s="34" t="n">
        <f aca="false">F1266-E1266</f>
        <v>0.03125</v>
      </c>
      <c r="H1266" s="39" t="s">
        <v>252</v>
      </c>
      <c r="J1266" s="39" t="s">
        <v>253</v>
      </c>
      <c r="K1266" s="32" t="s">
        <v>266</v>
      </c>
      <c r="L1266" s="32" t="s">
        <v>275</v>
      </c>
      <c r="M1266" s="39" t="s">
        <v>255</v>
      </c>
      <c r="N1266" s="39" t="s">
        <v>256</v>
      </c>
      <c r="O1266" s="32" t="s">
        <v>632</v>
      </c>
      <c r="P1266" s="40" t="str">
        <f aca="false">_xlfn.CONCAT(B1266,C1266,D1266,E1266,F1266)</f>
        <v>BC Rio Monte1Inverter3346048.267361111146048.267361111146048.2986111111</v>
      </c>
      <c r="Q1266" s="32" t="str">
        <f aca="false">_xlfn.CONCAT(H1266,I1266,J1266)</f>
        <v>DAURDE</v>
      </c>
    </row>
    <row r="1267" customFormat="false" ht="15" hidden="false" customHeight="false" outlineLevel="0" collapsed="false">
      <c r="B1267" s="32" t="s">
        <v>142</v>
      </c>
      <c r="C1267" s="32" t="s">
        <v>636</v>
      </c>
      <c r="D1267" s="33" t="n">
        <v>46048.2673611111</v>
      </c>
      <c r="E1267" s="33" t="n">
        <v>46048.2673611111</v>
      </c>
      <c r="F1267" s="33" t="n">
        <v>46048.2986111111</v>
      </c>
      <c r="G1267" s="34" t="n">
        <f aca="false">F1267-E1267</f>
        <v>0.03125</v>
      </c>
      <c r="H1267" s="39" t="s">
        <v>252</v>
      </c>
      <c r="J1267" s="39" t="s">
        <v>253</v>
      </c>
      <c r="K1267" s="32" t="s">
        <v>266</v>
      </c>
      <c r="L1267" s="32" t="s">
        <v>275</v>
      </c>
      <c r="M1267" s="39" t="s">
        <v>255</v>
      </c>
      <c r="N1267" s="39" t="s">
        <v>256</v>
      </c>
      <c r="O1267" s="32" t="s">
        <v>632</v>
      </c>
      <c r="P1267" s="40" t="str">
        <f aca="false">_xlfn.CONCAT(B1267,C1267,D1267,E1267,F1267)</f>
        <v>BC Rio Monte1Inverter2946048.267361111146048.267361111146048.2986111111</v>
      </c>
      <c r="Q1267" s="32" t="str">
        <f aca="false">_xlfn.CONCAT(H1267,I1267,J1267)</f>
        <v>DAURDE</v>
      </c>
    </row>
    <row r="1268" customFormat="false" ht="15" hidden="false" customHeight="false" outlineLevel="0" collapsed="false">
      <c r="B1268" s="32" t="s">
        <v>142</v>
      </c>
      <c r="C1268" s="32" t="s">
        <v>506</v>
      </c>
      <c r="D1268" s="33" t="n">
        <v>46048.2673611111</v>
      </c>
      <c r="E1268" s="33" t="n">
        <v>46048.2673611111</v>
      </c>
      <c r="F1268" s="33" t="n">
        <v>46048.2986111111</v>
      </c>
      <c r="G1268" s="34" t="n">
        <f aca="false">F1268-E1268</f>
        <v>0.03125</v>
      </c>
      <c r="H1268" s="39" t="s">
        <v>252</v>
      </c>
      <c r="J1268" s="39" t="s">
        <v>253</v>
      </c>
      <c r="K1268" s="32" t="s">
        <v>266</v>
      </c>
      <c r="L1268" s="32" t="s">
        <v>275</v>
      </c>
      <c r="M1268" s="39" t="s">
        <v>255</v>
      </c>
      <c r="N1268" s="39" t="s">
        <v>256</v>
      </c>
      <c r="O1268" s="32" t="s">
        <v>632</v>
      </c>
      <c r="P1268" s="40" t="str">
        <f aca="false">_xlfn.CONCAT(B1268,C1268,D1268,E1268,F1268)</f>
        <v>BC Rio Monte1Inverter3646048.267361111146048.267361111146048.2986111111</v>
      </c>
      <c r="Q1268" s="32" t="str">
        <f aca="false">_xlfn.CONCAT(H1268,I1268,J1268)</f>
        <v>DAURDE</v>
      </c>
      <c r="R1268" s="45"/>
    </row>
    <row r="1269" customFormat="false" ht="15" hidden="false" customHeight="false" outlineLevel="0" collapsed="false">
      <c r="B1269" s="32" t="s">
        <v>142</v>
      </c>
      <c r="C1269" s="32" t="s">
        <v>637</v>
      </c>
      <c r="D1269" s="33" t="n">
        <v>46048.2673611111</v>
      </c>
      <c r="E1269" s="33" t="n">
        <v>46048.2673611111</v>
      </c>
      <c r="F1269" s="33" t="n">
        <v>46048.2986111111</v>
      </c>
      <c r="G1269" s="34" t="n">
        <f aca="false">F1269-E1269</f>
        <v>0.03125</v>
      </c>
      <c r="H1269" s="39" t="s">
        <v>252</v>
      </c>
      <c r="J1269" s="39" t="s">
        <v>253</v>
      </c>
      <c r="K1269" s="32" t="s">
        <v>266</v>
      </c>
      <c r="L1269" s="32" t="s">
        <v>275</v>
      </c>
      <c r="M1269" s="39" t="s">
        <v>255</v>
      </c>
      <c r="N1269" s="39" t="s">
        <v>256</v>
      </c>
      <c r="O1269" s="32" t="s">
        <v>632</v>
      </c>
      <c r="P1269" s="40" t="str">
        <f aca="false">_xlfn.CONCAT(B1269,C1269,D1269,E1269,F1269)</f>
        <v>BC Rio Monte1Inverter3946048.267361111146048.267361111146048.2986111111</v>
      </c>
      <c r="Q1269" s="32" t="str">
        <f aca="false">_xlfn.CONCAT(H1269,I1269,J1269)</f>
        <v>DAURDE</v>
      </c>
    </row>
    <row r="1270" customFormat="false" ht="15" hidden="false" customHeight="false" outlineLevel="0" collapsed="false">
      <c r="B1270" s="32" t="s">
        <v>142</v>
      </c>
      <c r="C1270" s="32" t="s">
        <v>638</v>
      </c>
      <c r="D1270" s="33" t="n">
        <v>46048.2673611111</v>
      </c>
      <c r="E1270" s="33" t="n">
        <v>46048.2673611111</v>
      </c>
      <c r="F1270" s="33" t="n">
        <v>46048.2986111111</v>
      </c>
      <c r="G1270" s="34" t="n">
        <f aca="false">F1270-E1270</f>
        <v>0.03125</v>
      </c>
      <c r="H1270" s="39" t="s">
        <v>252</v>
      </c>
      <c r="J1270" s="39" t="s">
        <v>253</v>
      </c>
      <c r="K1270" s="32" t="s">
        <v>266</v>
      </c>
      <c r="L1270" s="32" t="s">
        <v>275</v>
      </c>
      <c r="M1270" s="39" t="s">
        <v>255</v>
      </c>
      <c r="N1270" s="39" t="s">
        <v>256</v>
      </c>
      <c r="O1270" s="32" t="s">
        <v>632</v>
      </c>
      <c r="P1270" s="40" t="str">
        <f aca="false">_xlfn.CONCAT(B1270,C1270,D1270,E1270,F1270)</f>
        <v>BC Rio Monte1Inverter3146048.267361111146048.267361111146048.2986111111</v>
      </c>
      <c r="Q1270" s="32" t="str">
        <f aca="false">_xlfn.CONCAT(H1270,I1270,J1270)</f>
        <v>DAURDE</v>
      </c>
    </row>
    <row r="1271" customFormat="false" ht="15" hidden="false" customHeight="false" outlineLevel="0" collapsed="false">
      <c r="B1271" s="32" t="s">
        <v>142</v>
      </c>
      <c r="C1271" s="32" t="s">
        <v>639</v>
      </c>
      <c r="D1271" s="33" t="n">
        <v>46048.2673611111</v>
      </c>
      <c r="E1271" s="33" t="n">
        <v>46048.2673611111</v>
      </c>
      <c r="F1271" s="33" t="n">
        <v>46048.2986111111</v>
      </c>
      <c r="G1271" s="34" t="n">
        <f aca="false">F1271-E1271</f>
        <v>0.03125</v>
      </c>
      <c r="H1271" s="39" t="s">
        <v>252</v>
      </c>
      <c r="J1271" s="39" t="s">
        <v>253</v>
      </c>
      <c r="K1271" s="32" t="s">
        <v>266</v>
      </c>
      <c r="L1271" s="32" t="s">
        <v>275</v>
      </c>
      <c r="M1271" s="39" t="s">
        <v>255</v>
      </c>
      <c r="N1271" s="39" t="s">
        <v>256</v>
      </c>
      <c r="O1271" s="32" t="s">
        <v>632</v>
      </c>
      <c r="P1271" s="40" t="str">
        <f aca="false">_xlfn.CONCAT(B1271,C1271,D1271,E1271,F1271)</f>
        <v>BC Rio Monte1Inverter3046048.267361111146048.267361111146048.2986111111</v>
      </c>
      <c r="Q1271" s="32" t="str">
        <f aca="false">_xlfn.CONCAT(H1271,I1271,J1271)</f>
        <v>DAURDE</v>
      </c>
    </row>
    <row r="1272" customFormat="false" ht="15" hidden="false" customHeight="false" outlineLevel="0" collapsed="false">
      <c r="B1272" s="32" t="s">
        <v>142</v>
      </c>
      <c r="C1272" s="32" t="s">
        <v>640</v>
      </c>
      <c r="D1272" s="33" t="n">
        <v>46048.2673611111</v>
      </c>
      <c r="E1272" s="33" t="n">
        <v>46048.2673611111</v>
      </c>
      <c r="F1272" s="33" t="n">
        <v>46048.2986111111</v>
      </c>
      <c r="G1272" s="34" t="n">
        <f aca="false">F1272-E1272</f>
        <v>0.03125</v>
      </c>
      <c r="H1272" s="39" t="s">
        <v>252</v>
      </c>
      <c r="J1272" s="39" t="s">
        <v>253</v>
      </c>
      <c r="K1272" s="32" t="s">
        <v>266</v>
      </c>
      <c r="L1272" s="32" t="s">
        <v>275</v>
      </c>
      <c r="M1272" s="39" t="s">
        <v>255</v>
      </c>
      <c r="N1272" s="39" t="s">
        <v>256</v>
      </c>
      <c r="O1272" s="32" t="s">
        <v>632</v>
      </c>
      <c r="P1272" s="40" t="str">
        <f aca="false">_xlfn.CONCAT(B1272,C1272,D1272,E1272,F1272)</f>
        <v>BC Rio Monte1Inverter3846048.267361111146048.267361111146048.2986111111</v>
      </c>
      <c r="Q1272" s="32" t="str">
        <f aca="false">_xlfn.CONCAT(H1272,I1272,J1272)</f>
        <v>DAURDE</v>
      </c>
    </row>
    <row r="1273" customFormat="false" ht="15" hidden="false" customHeight="false" outlineLevel="0" collapsed="false">
      <c r="B1273" s="32" t="s">
        <v>142</v>
      </c>
      <c r="C1273" s="32" t="s">
        <v>641</v>
      </c>
      <c r="D1273" s="33" t="n">
        <v>46048.2673611111</v>
      </c>
      <c r="E1273" s="33" t="n">
        <v>46048.2673611111</v>
      </c>
      <c r="F1273" s="33" t="n">
        <v>46048.2986111111</v>
      </c>
      <c r="G1273" s="34" t="n">
        <f aca="false">F1273-E1273</f>
        <v>0.03125</v>
      </c>
      <c r="H1273" s="39" t="s">
        <v>252</v>
      </c>
      <c r="J1273" s="39" t="s">
        <v>253</v>
      </c>
      <c r="K1273" s="32" t="s">
        <v>266</v>
      </c>
      <c r="L1273" s="32" t="s">
        <v>275</v>
      </c>
      <c r="M1273" s="39" t="s">
        <v>255</v>
      </c>
      <c r="N1273" s="39" t="s">
        <v>256</v>
      </c>
      <c r="O1273" s="32" t="s">
        <v>632</v>
      </c>
      <c r="P1273" s="40" t="str">
        <f aca="false">_xlfn.CONCAT(B1273,C1273,D1273,E1273,F1273)</f>
        <v>BC Rio Monte1Inverter3246048.267361111146048.267361111146048.2986111111</v>
      </c>
      <c r="Q1273" s="32" t="str">
        <f aca="false">_xlfn.CONCAT(H1273,I1273,J1273)</f>
        <v>DAURDE</v>
      </c>
    </row>
    <row r="1274" customFormat="false" ht="15" hidden="false" customHeight="false" outlineLevel="0" collapsed="false">
      <c r="B1274" s="32" t="s">
        <v>500</v>
      </c>
      <c r="C1274" s="32" t="s">
        <v>488</v>
      </c>
      <c r="D1274" s="33" t="n">
        <v>46048.3541666667</v>
      </c>
      <c r="E1274" s="33" t="n">
        <v>46048.3541666667</v>
      </c>
      <c r="F1274" s="33" t="n">
        <v>46048.3548611111</v>
      </c>
      <c r="G1274" s="34" t="n">
        <f aca="false">F1274-E1274</f>
        <v>0.000694444444444445</v>
      </c>
      <c r="H1274" s="39" t="s">
        <v>283</v>
      </c>
      <c r="I1274" s="32" t="s">
        <v>284</v>
      </c>
      <c r="J1274" s="39" t="s">
        <v>285</v>
      </c>
      <c r="K1274" s="32" t="s">
        <v>286</v>
      </c>
      <c r="L1274" s="32" t="s">
        <v>352</v>
      </c>
      <c r="M1274" s="39" t="s">
        <v>288</v>
      </c>
      <c r="N1274" s="39" t="s">
        <v>289</v>
      </c>
      <c r="O1274" s="32" t="s">
        <v>642</v>
      </c>
      <c r="P1274" s="40" t="str">
        <f aca="false">_xlfn.CONCAT(B1274,C1274,D1274,E1274,F1274)</f>
        <v>BC Corumba2.2U02.I0146048.354166666746048.354166666746048.3548611111</v>
      </c>
      <c r="Q1274" s="32" t="str">
        <f aca="false">_xlfn.CONCAT(H1274,I1274,J1274)</f>
        <v>LIGRFOCOM</v>
      </c>
    </row>
    <row r="1275" customFormat="false" ht="15" hidden="false" customHeight="false" outlineLevel="0" collapsed="false">
      <c r="B1275" s="32" t="s">
        <v>500</v>
      </c>
      <c r="C1275" s="32" t="s">
        <v>489</v>
      </c>
      <c r="D1275" s="33" t="n">
        <v>46048.3541666667</v>
      </c>
      <c r="E1275" s="33" t="n">
        <v>46048.3541666667</v>
      </c>
      <c r="F1275" s="33" t="n">
        <v>46048.3548611111</v>
      </c>
      <c r="G1275" s="34" t="n">
        <f aca="false">F1275-E1275</f>
        <v>0.000694444444444445</v>
      </c>
      <c r="H1275" s="39" t="s">
        <v>283</v>
      </c>
      <c r="I1275" s="32" t="s">
        <v>284</v>
      </c>
      <c r="J1275" s="39" t="s">
        <v>285</v>
      </c>
      <c r="K1275" s="32" t="s">
        <v>286</v>
      </c>
      <c r="L1275" s="32" t="s">
        <v>352</v>
      </c>
      <c r="M1275" s="39" t="s">
        <v>288</v>
      </c>
      <c r="N1275" s="39" t="s">
        <v>289</v>
      </c>
      <c r="O1275" s="32" t="s">
        <v>642</v>
      </c>
      <c r="P1275" s="40" t="str">
        <f aca="false">_xlfn.CONCAT(B1275,C1275,D1275,E1275,F1275)</f>
        <v>BC Corumba2.2U02.I0246048.354166666746048.354166666746048.3548611111</v>
      </c>
      <c r="Q1275" s="32" t="str">
        <f aca="false">_xlfn.CONCAT(H1275,I1275,J1275)</f>
        <v>LIGRFOCOM</v>
      </c>
    </row>
    <row r="1276" customFormat="false" ht="15" hidden="false" customHeight="false" outlineLevel="0" collapsed="false">
      <c r="B1276" s="32" t="s">
        <v>500</v>
      </c>
      <c r="C1276" s="32" t="s">
        <v>490</v>
      </c>
      <c r="D1276" s="33" t="n">
        <v>46048.3541666667</v>
      </c>
      <c r="E1276" s="33" t="n">
        <v>46048.3541666667</v>
      </c>
      <c r="F1276" s="33" t="n">
        <v>46048.3548611111</v>
      </c>
      <c r="G1276" s="34" t="n">
        <f aca="false">F1276-E1276</f>
        <v>0.000694444444444445</v>
      </c>
      <c r="H1276" s="39" t="s">
        <v>283</v>
      </c>
      <c r="I1276" s="32" t="s">
        <v>284</v>
      </c>
      <c r="J1276" s="39" t="s">
        <v>285</v>
      </c>
      <c r="K1276" s="32" t="s">
        <v>286</v>
      </c>
      <c r="L1276" s="32" t="s">
        <v>352</v>
      </c>
      <c r="M1276" s="39" t="s">
        <v>288</v>
      </c>
      <c r="N1276" s="39" t="s">
        <v>289</v>
      </c>
      <c r="O1276" s="32" t="s">
        <v>642</v>
      </c>
      <c r="P1276" s="40" t="str">
        <f aca="false">_xlfn.CONCAT(B1276,C1276,D1276,E1276,F1276)</f>
        <v>BC Corumba2.2U02.I0346048.354166666746048.354166666746048.3548611111</v>
      </c>
      <c r="Q1276" s="32" t="str">
        <f aca="false">_xlfn.CONCAT(H1276,I1276,J1276)</f>
        <v>LIGRFOCOM</v>
      </c>
    </row>
    <row r="1277" customFormat="false" ht="15" hidden="false" customHeight="false" outlineLevel="0" collapsed="false">
      <c r="B1277" s="32" t="s">
        <v>500</v>
      </c>
      <c r="C1277" s="32" t="s">
        <v>491</v>
      </c>
      <c r="D1277" s="33" t="n">
        <v>46048.3541666667</v>
      </c>
      <c r="E1277" s="33" t="n">
        <v>46048.3541666667</v>
      </c>
      <c r="F1277" s="33" t="n">
        <v>46048.3548611111</v>
      </c>
      <c r="G1277" s="34" t="n">
        <f aca="false">F1277-E1277</f>
        <v>0.000694444444444445</v>
      </c>
      <c r="H1277" s="39" t="s">
        <v>283</v>
      </c>
      <c r="I1277" s="32" t="s">
        <v>284</v>
      </c>
      <c r="J1277" s="39" t="s">
        <v>285</v>
      </c>
      <c r="K1277" s="32" t="s">
        <v>286</v>
      </c>
      <c r="L1277" s="32" t="s">
        <v>352</v>
      </c>
      <c r="M1277" s="39" t="s">
        <v>288</v>
      </c>
      <c r="N1277" s="39" t="s">
        <v>289</v>
      </c>
      <c r="O1277" s="32" t="s">
        <v>642</v>
      </c>
      <c r="P1277" s="40" t="str">
        <f aca="false">_xlfn.CONCAT(B1277,C1277,D1277,E1277,F1277)</f>
        <v>BC Corumba2.2U02.I0446048.354166666746048.354166666746048.3548611111</v>
      </c>
      <c r="Q1277" s="32" t="str">
        <f aca="false">_xlfn.CONCAT(H1277,I1277,J1277)</f>
        <v>LIGRFOCOM</v>
      </c>
    </row>
    <row r="1278" customFormat="false" ht="15" hidden="false" customHeight="false" outlineLevel="0" collapsed="false">
      <c r="B1278" s="32" t="s">
        <v>500</v>
      </c>
      <c r="C1278" s="32" t="s">
        <v>492</v>
      </c>
      <c r="D1278" s="33" t="n">
        <v>46048.3541666667</v>
      </c>
      <c r="E1278" s="33" t="n">
        <v>46048.3541666667</v>
      </c>
      <c r="F1278" s="33" t="n">
        <v>46048.3548611111</v>
      </c>
      <c r="G1278" s="34" t="n">
        <f aca="false">F1278-E1278</f>
        <v>0.000694444444444445</v>
      </c>
      <c r="H1278" s="39" t="s">
        <v>283</v>
      </c>
      <c r="I1278" s="32" t="s">
        <v>284</v>
      </c>
      <c r="J1278" s="39" t="s">
        <v>285</v>
      </c>
      <c r="K1278" s="32" t="s">
        <v>286</v>
      </c>
      <c r="L1278" s="32" t="s">
        <v>352</v>
      </c>
      <c r="M1278" s="39" t="s">
        <v>288</v>
      </c>
      <c r="N1278" s="39" t="s">
        <v>289</v>
      </c>
      <c r="O1278" s="32" t="s">
        <v>642</v>
      </c>
      <c r="P1278" s="40" t="str">
        <f aca="false">_xlfn.CONCAT(B1278,C1278,D1278,E1278,F1278)</f>
        <v>BC Corumba2.2U02.I0546048.354166666746048.354166666746048.3548611111</v>
      </c>
      <c r="Q1278" s="32" t="str">
        <f aca="false">_xlfn.CONCAT(H1278,I1278,J1278)</f>
        <v>LIGRFOCOM</v>
      </c>
    </row>
    <row r="1279" customFormat="false" ht="15" hidden="false" customHeight="false" outlineLevel="0" collapsed="false">
      <c r="B1279" s="32" t="s">
        <v>339</v>
      </c>
      <c r="C1279" s="32" t="s">
        <v>324</v>
      </c>
      <c r="D1279" s="33" t="n">
        <v>46048.4131944444</v>
      </c>
      <c r="E1279" s="33" t="n">
        <v>46048.4131944444</v>
      </c>
      <c r="F1279" s="33" t="n">
        <v>46048.4590277778</v>
      </c>
      <c r="G1279" s="34" t="n">
        <f aca="false">F1279-E1279</f>
        <v>0.0458333333333333</v>
      </c>
      <c r="H1279" s="39" t="s">
        <v>252</v>
      </c>
      <c r="J1279" s="39" t="s">
        <v>253</v>
      </c>
      <c r="K1279" s="32" t="s">
        <v>266</v>
      </c>
      <c r="L1279" s="32" t="s">
        <v>643</v>
      </c>
      <c r="M1279" s="39" t="s">
        <v>255</v>
      </c>
      <c r="N1279" s="39" t="s">
        <v>256</v>
      </c>
      <c r="O1279" s="32" t="s">
        <v>644</v>
      </c>
      <c r="P1279" s="40" t="str">
        <f aca="false">_xlfn.CONCAT(B1279,C1279,D1279,E1279,F1279)</f>
        <v>BC Formoso2.1Inverter(MBUS-12)46048.413194444446048.413194444446048.4590277778</v>
      </c>
      <c r="Q1279" s="32" t="str">
        <f aca="false">_xlfn.CONCAT(H1279,I1279,J1279)</f>
        <v>DAURDE</v>
      </c>
    </row>
    <row r="1280" customFormat="false" ht="15" hidden="false" customHeight="false" outlineLevel="0" collapsed="false">
      <c r="B1280" s="32" t="s">
        <v>339</v>
      </c>
      <c r="C1280" s="32" t="s">
        <v>327</v>
      </c>
      <c r="D1280" s="33" t="n">
        <v>46048.4131944444</v>
      </c>
      <c r="E1280" s="33" t="n">
        <v>46048.4131944444</v>
      </c>
      <c r="F1280" s="33" t="n">
        <v>46048.4590277778</v>
      </c>
      <c r="G1280" s="34" t="n">
        <f aca="false">F1280-E1280</f>
        <v>0.0458333333333333</v>
      </c>
      <c r="H1280" s="39" t="s">
        <v>252</v>
      </c>
      <c r="J1280" s="39" t="s">
        <v>253</v>
      </c>
      <c r="K1280" s="32" t="s">
        <v>266</v>
      </c>
      <c r="L1280" s="32" t="s">
        <v>643</v>
      </c>
      <c r="M1280" s="39" t="s">
        <v>255</v>
      </c>
      <c r="N1280" s="39" t="s">
        <v>256</v>
      </c>
      <c r="O1280" s="32" t="s">
        <v>644</v>
      </c>
      <c r="P1280" s="40" t="str">
        <f aca="false">_xlfn.CONCAT(B1280,C1280,D1280,E1280,F1280)</f>
        <v>BC Formoso2.1Inverter(MBUS-14)46048.413194444446048.413194444446048.4590277778</v>
      </c>
      <c r="Q1280" s="32" t="str">
        <f aca="false">_xlfn.CONCAT(H1280,I1280,J1280)</f>
        <v>DAURDE</v>
      </c>
    </row>
    <row r="1281" customFormat="false" ht="15" hidden="false" customHeight="false" outlineLevel="0" collapsed="false">
      <c r="B1281" s="32" t="s">
        <v>339</v>
      </c>
      <c r="C1281" s="32" t="s">
        <v>326</v>
      </c>
      <c r="D1281" s="33" t="n">
        <v>46048.4131944444</v>
      </c>
      <c r="E1281" s="33" t="n">
        <v>46048.4131944444</v>
      </c>
      <c r="F1281" s="33" t="n">
        <v>46048.4590277778</v>
      </c>
      <c r="G1281" s="34" t="n">
        <f aca="false">F1281-E1281</f>
        <v>0.0458333333333333</v>
      </c>
      <c r="H1281" s="39" t="s">
        <v>252</v>
      </c>
      <c r="J1281" s="39" t="s">
        <v>253</v>
      </c>
      <c r="K1281" s="32" t="s">
        <v>266</v>
      </c>
      <c r="L1281" s="32" t="s">
        <v>643</v>
      </c>
      <c r="M1281" s="39" t="s">
        <v>255</v>
      </c>
      <c r="N1281" s="39" t="s">
        <v>256</v>
      </c>
      <c r="O1281" s="32" t="s">
        <v>644</v>
      </c>
      <c r="P1281" s="40" t="str">
        <f aca="false">_xlfn.CONCAT(B1281,C1281,D1281,E1281,F1281)</f>
        <v>BC Formoso2.1Inverter(MBUS-13)46048.413194444446048.413194444446048.4590277778</v>
      </c>
      <c r="Q1281" s="32" t="str">
        <f aca="false">_xlfn.CONCAT(H1281,I1281,J1281)</f>
        <v>DAURDE</v>
      </c>
    </row>
    <row r="1282" customFormat="false" ht="15" hidden="false" customHeight="false" outlineLevel="0" collapsed="false">
      <c r="B1282" s="32" t="s">
        <v>339</v>
      </c>
      <c r="C1282" s="32" t="s">
        <v>265</v>
      </c>
      <c r="D1282" s="33" t="n">
        <v>46048.4131944444</v>
      </c>
      <c r="E1282" s="33" t="n">
        <v>46048.4131944444</v>
      </c>
      <c r="F1282" s="33" t="n">
        <v>46048.4590277778</v>
      </c>
      <c r="G1282" s="34" t="n">
        <f aca="false">F1282-E1282</f>
        <v>0.0458333333333333</v>
      </c>
      <c r="H1282" s="39" t="s">
        <v>252</v>
      </c>
      <c r="J1282" s="39" t="s">
        <v>253</v>
      </c>
      <c r="K1282" s="32" t="s">
        <v>266</v>
      </c>
      <c r="L1282" s="32" t="s">
        <v>643</v>
      </c>
      <c r="M1282" s="39" t="s">
        <v>255</v>
      </c>
      <c r="N1282" s="39" t="s">
        <v>256</v>
      </c>
      <c r="O1282" s="32" t="s">
        <v>644</v>
      </c>
      <c r="P1282" s="40" t="str">
        <f aca="false">_xlfn.CONCAT(B1282,C1282,D1282,E1282,F1282)</f>
        <v>BC Formoso2.1Inverter(MBUS-1)46048.413194444446048.413194444446048.4590277778</v>
      </c>
      <c r="Q1282" s="32" t="str">
        <f aca="false">_xlfn.CONCAT(H1282,I1282,J1282)</f>
        <v>DAURDE</v>
      </c>
    </row>
    <row r="1283" customFormat="false" ht="15" hidden="false" customHeight="false" outlineLevel="0" collapsed="false">
      <c r="B1283" s="32" t="s">
        <v>501</v>
      </c>
      <c r="C1283" s="32" t="s">
        <v>494</v>
      </c>
      <c r="D1283" s="33" t="n">
        <v>46049.1979166667</v>
      </c>
      <c r="E1283" s="33" t="n">
        <v>46049.1979166667</v>
      </c>
      <c r="F1283" s="33" t="n">
        <v>46049.2951388889</v>
      </c>
      <c r="G1283" s="34" t="n">
        <f aca="false">F1283-E1283</f>
        <v>0.0972222222222222</v>
      </c>
      <c r="H1283" s="39" t="s">
        <v>283</v>
      </c>
      <c r="I1283" s="32" t="s">
        <v>284</v>
      </c>
      <c r="J1283" s="39" t="s">
        <v>285</v>
      </c>
      <c r="K1283" s="32" t="s">
        <v>286</v>
      </c>
      <c r="L1283" s="32" t="s">
        <v>645</v>
      </c>
      <c r="M1283" s="39" t="s">
        <v>288</v>
      </c>
      <c r="N1283" s="39" t="s">
        <v>289</v>
      </c>
      <c r="O1283" s="32" t="s">
        <v>646</v>
      </c>
      <c r="P1283" s="40" t="str">
        <f aca="false">_xlfn.CONCAT(B1283,C1283,D1283,E1283,F1283)</f>
        <v>BC Corumba2.3U03.I0146049.197916666746049.197916666746049.2951388889</v>
      </c>
      <c r="Q1283" s="32" t="str">
        <f aca="false">_xlfn.CONCAT(H1283,I1283,J1283)</f>
        <v>LIGRFOCOM</v>
      </c>
    </row>
    <row r="1284" customFormat="false" ht="15" hidden="false" customHeight="false" outlineLevel="0" collapsed="false">
      <c r="B1284" s="32" t="s">
        <v>501</v>
      </c>
      <c r="C1284" s="32" t="s">
        <v>495</v>
      </c>
      <c r="D1284" s="33" t="n">
        <v>46049.1979166667</v>
      </c>
      <c r="E1284" s="33" t="n">
        <v>46049.1979166667</v>
      </c>
      <c r="F1284" s="33" t="n">
        <v>46049.2951388889</v>
      </c>
      <c r="G1284" s="34" t="n">
        <f aca="false">F1284-E1284</f>
        <v>0.0972222222222222</v>
      </c>
      <c r="H1284" s="39" t="s">
        <v>283</v>
      </c>
      <c r="I1284" s="32" t="s">
        <v>284</v>
      </c>
      <c r="J1284" s="39" t="s">
        <v>285</v>
      </c>
      <c r="K1284" s="32" t="s">
        <v>286</v>
      </c>
      <c r="L1284" s="32" t="s">
        <v>645</v>
      </c>
      <c r="M1284" s="39" t="s">
        <v>288</v>
      </c>
      <c r="N1284" s="39" t="s">
        <v>289</v>
      </c>
      <c r="O1284" s="32" t="s">
        <v>646</v>
      </c>
      <c r="P1284" s="40" t="str">
        <f aca="false">_xlfn.CONCAT(B1284,C1284,D1284,E1284,F1284)</f>
        <v>BC Corumba2.3U03.I0246049.197916666746049.197916666746049.2951388889</v>
      </c>
      <c r="Q1284" s="32" t="str">
        <f aca="false">_xlfn.CONCAT(H1284,I1284,J1284)</f>
        <v>LIGRFOCOM</v>
      </c>
    </row>
    <row r="1285" customFormat="false" ht="15" hidden="false" customHeight="false" outlineLevel="0" collapsed="false">
      <c r="B1285" s="32" t="s">
        <v>501</v>
      </c>
      <c r="C1285" s="32" t="s">
        <v>496</v>
      </c>
      <c r="D1285" s="33" t="n">
        <v>46049.1979166667</v>
      </c>
      <c r="E1285" s="33" t="n">
        <v>46049.1979166667</v>
      </c>
      <c r="F1285" s="33" t="n">
        <v>46049.2951388889</v>
      </c>
      <c r="G1285" s="34" t="n">
        <f aca="false">F1285-E1285</f>
        <v>0.0972222222222222</v>
      </c>
      <c r="H1285" s="39" t="s">
        <v>283</v>
      </c>
      <c r="I1285" s="32" t="s">
        <v>284</v>
      </c>
      <c r="J1285" s="39" t="s">
        <v>285</v>
      </c>
      <c r="K1285" s="32" t="s">
        <v>286</v>
      </c>
      <c r="L1285" s="32" t="s">
        <v>645</v>
      </c>
      <c r="M1285" s="39" t="s">
        <v>288</v>
      </c>
      <c r="N1285" s="39" t="s">
        <v>289</v>
      </c>
      <c r="O1285" s="32" t="s">
        <v>646</v>
      </c>
      <c r="P1285" s="40" t="str">
        <f aca="false">_xlfn.CONCAT(B1285,C1285,D1285,E1285,F1285)</f>
        <v>BC Corumba2.3U03.I0346049.197916666746049.197916666746049.2951388889</v>
      </c>
      <c r="Q1285" s="32" t="str">
        <f aca="false">_xlfn.CONCAT(H1285,I1285,J1285)</f>
        <v>LIGRFOCOM</v>
      </c>
    </row>
    <row r="1286" customFormat="false" ht="15" hidden="false" customHeight="false" outlineLevel="0" collapsed="false">
      <c r="B1286" s="41" t="s">
        <v>331</v>
      </c>
      <c r="C1286" s="41" t="s">
        <v>332</v>
      </c>
      <c r="D1286" s="42" t="n">
        <v>46049.3576388889</v>
      </c>
      <c r="E1286" s="42" t="n">
        <v>46049.3576388889</v>
      </c>
      <c r="F1286" s="42" t="n">
        <v>46049.3958333333</v>
      </c>
      <c r="G1286" s="43" t="n">
        <f aca="false">F1286-E1286</f>
        <v>0.0381944444444445</v>
      </c>
      <c r="H1286" s="41" t="s">
        <v>252</v>
      </c>
      <c r="I1286" s="41"/>
      <c r="J1286" s="41" t="s">
        <v>333</v>
      </c>
      <c r="K1286" s="41" t="s">
        <v>334</v>
      </c>
      <c r="L1286" s="41" t="s">
        <v>335</v>
      </c>
      <c r="M1286" s="41" t="s">
        <v>336</v>
      </c>
      <c r="N1286" s="41" t="s">
        <v>289</v>
      </c>
      <c r="O1286" s="41" t="s">
        <v>647</v>
      </c>
      <c r="P1286" s="44" t="str">
        <f aca="false">_xlfn.CONCAT(B1286,C1286,D1286,E1286,F1286)</f>
        <v>BC Vazante 1.1Inverter1346049.357638888946049.357638888946049.3958333333</v>
      </c>
      <c r="Q1286" s="41" t="str">
        <f aca="false">_xlfn.CONCAT(H1286,I1286,J1286)</f>
        <v>DAUINV</v>
      </c>
    </row>
    <row r="1287" customFormat="false" ht="15" hidden="false" customHeight="false" outlineLevel="0" collapsed="false">
      <c r="B1287" s="32" t="s">
        <v>323</v>
      </c>
      <c r="C1287" s="32" t="s">
        <v>324</v>
      </c>
      <c r="D1287" s="33" t="n">
        <v>46049.4861111111</v>
      </c>
      <c r="E1287" s="33" t="n">
        <v>46049.4861111111</v>
      </c>
      <c r="F1287" s="33" t="n">
        <v>46049.8006944444</v>
      </c>
      <c r="G1287" s="34" t="n">
        <f aca="false">F1287-E1287</f>
        <v>0.314583333333333</v>
      </c>
      <c r="H1287" s="39" t="s">
        <v>384</v>
      </c>
      <c r="J1287" s="39" t="s">
        <v>253</v>
      </c>
      <c r="K1287" s="32" t="e">
        <f aca="false">_xlfn.xlookup(J1287,[1]REF!D$1:D$1048576,[1]REF!E$1:E$1048576)</f>
        <v>#NAME?</v>
      </c>
      <c r="L1287" s="32" t="s">
        <v>648</v>
      </c>
      <c r="M1287" s="39" t="s">
        <v>255</v>
      </c>
      <c r="N1287" s="39" t="s">
        <v>256</v>
      </c>
      <c r="O1287" s="32" t="s">
        <v>649</v>
      </c>
      <c r="P1287" s="40" t="str">
        <f aca="false">_xlfn.CONCAT(B1287,C1287,D1287,E1287,F1287)</f>
        <v>BC Ibiuna 1.1Inverter(MBUS-12)46049.486111111146049.486111111146049.8006944444</v>
      </c>
      <c r="Q1287" s="32" t="str">
        <f aca="false">_xlfn.CONCAT(H1287,I1287,J1287)</f>
        <v>DPRRDE</v>
      </c>
    </row>
    <row r="1288" customFormat="false" ht="15" hidden="false" customHeight="false" outlineLevel="0" collapsed="false">
      <c r="B1288" s="32" t="s">
        <v>323</v>
      </c>
      <c r="C1288" s="32" t="s">
        <v>326</v>
      </c>
      <c r="D1288" s="33" t="n">
        <v>46049.4861111111</v>
      </c>
      <c r="E1288" s="33" t="n">
        <v>46049.4861111111</v>
      </c>
      <c r="F1288" s="33" t="n">
        <v>46049.8006944444</v>
      </c>
      <c r="G1288" s="34" t="n">
        <f aca="false">F1288-E1288</f>
        <v>0.314583333333333</v>
      </c>
      <c r="H1288" s="39" t="s">
        <v>384</v>
      </c>
      <c r="J1288" s="39" t="s">
        <v>253</v>
      </c>
      <c r="K1288" s="32" t="e">
        <f aca="false">_xlfn.xlookup(J1288,[1]REF!D$1:D$1048576,[1]REF!E$1:E$1048576)</f>
        <v>#NAME?</v>
      </c>
      <c r="L1288" s="32" t="s">
        <v>648</v>
      </c>
      <c r="M1288" s="39" t="s">
        <v>255</v>
      </c>
      <c r="N1288" s="39" t="s">
        <v>256</v>
      </c>
      <c r="O1288" s="32" t="s">
        <v>649</v>
      </c>
      <c r="P1288" s="40" t="str">
        <f aca="false">_xlfn.CONCAT(B1288,C1288,D1288,E1288,F1288)</f>
        <v>BC Ibiuna 1.1Inverter(MBUS-13)46049.486111111146049.486111111146049.8006944444</v>
      </c>
      <c r="Q1288" s="32" t="str">
        <f aca="false">_xlfn.CONCAT(H1288,I1288,J1288)</f>
        <v>DPRRDE</v>
      </c>
    </row>
    <row r="1289" customFormat="false" ht="15" hidden="false" customHeight="false" outlineLevel="0" collapsed="false">
      <c r="B1289" s="32" t="s">
        <v>323</v>
      </c>
      <c r="C1289" s="32" t="s">
        <v>327</v>
      </c>
      <c r="D1289" s="33" t="n">
        <v>46049.4861111111</v>
      </c>
      <c r="E1289" s="33" t="n">
        <v>46049.4861111111</v>
      </c>
      <c r="F1289" s="33" t="n">
        <v>46049.8006944444</v>
      </c>
      <c r="G1289" s="34" t="n">
        <f aca="false">F1289-E1289</f>
        <v>0.314583333333333</v>
      </c>
      <c r="H1289" s="39" t="s">
        <v>384</v>
      </c>
      <c r="J1289" s="39" t="s">
        <v>253</v>
      </c>
      <c r="K1289" s="32" t="e">
        <f aca="false">_xlfn.xlookup(J1289,[1]REF!D$1:D$1048576,[1]REF!E$1:E$1048576)</f>
        <v>#NAME?</v>
      </c>
      <c r="L1289" s="32" t="s">
        <v>648</v>
      </c>
      <c r="M1289" s="39" t="s">
        <v>255</v>
      </c>
      <c r="N1289" s="39" t="s">
        <v>256</v>
      </c>
      <c r="O1289" s="32" t="s">
        <v>649</v>
      </c>
      <c r="P1289" s="40" t="str">
        <f aca="false">_xlfn.CONCAT(B1289,C1289,D1289,E1289,F1289)</f>
        <v>BC Ibiuna 1.1Inverter(MBUS-14)46049.486111111146049.486111111146049.8006944444</v>
      </c>
      <c r="Q1289" s="32" t="str">
        <f aca="false">_xlfn.CONCAT(H1289,I1289,J1289)</f>
        <v>DPRRDE</v>
      </c>
    </row>
    <row r="1290" customFormat="false" ht="15" hidden="false" customHeight="false" outlineLevel="0" collapsed="false">
      <c r="B1290" s="32" t="s">
        <v>323</v>
      </c>
      <c r="C1290" s="32" t="s">
        <v>328</v>
      </c>
      <c r="D1290" s="33" t="n">
        <v>46049.4861111111</v>
      </c>
      <c r="E1290" s="33" t="n">
        <v>46049.4861111111</v>
      </c>
      <c r="F1290" s="33" t="n">
        <v>46049.8006944444</v>
      </c>
      <c r="G1290" s="34" t="n">
        <f aca="false">F1290-E1290</f>
        <v>0.314583333333333</v>
      </c>
      <c r="H1290" s="39" t="s">
        <v>384</v>
      </c>
      <c r="J1290" s="39" t="s">
        <v>253</v>
      </c>
      <c r="K1290" s="32" t="e">
        <f aca="false">_xlfn.xlookup(J1290,[1]REF!D$1:D$1048576,[1]REF!E$1:E$1048576)</f>
        <v>#NAME?</v>
      </c>
      <c r="L1290" s="32" t="s">
        <v>648</v>
      </c>
      <c r="M1290" s="39" t="s">
        <v>255</v>
      </c>
      <c r="N1290" s="39" t="s">
        <v>256</v>
      </c>
      <c r="O1290" s="32" t="s">
        <v>649</v>
      </c>
      <c r="P1290" s="40" t="str">
        <f aca="false">_xlfn.CONCAT(B1290,C1290,D1290,E1290,F1290)</f>
        <v>BC Ibiuna 1.1Inverter(MBUS-15)46049.486111111146049.486111111146049.8006944444</v>
      </c>
      <c r="Q1290" s="32" t="str">
        <f aca="false">_xlfn.CONCAT(H1290,I1290,J1290)</f>
        <v>DPRRDE</v>
      </c>
    </row>
    <row r="1291" customFormat="false" ht="15" hidden="false" customHeight="false" outlineLevel="0" collapsed="false">
      <c r="B1291" s="32" t="s">
        <v>329</v>
      </c>
      <c r="C1291" s="32" t="s">
        <v>324</v>
      </c>
      <c r="D1291" s="33" t="n">
        <v>46049.4861111111</v>
      </c>
      <c r="E1291" s="33" t="n">
        <v>46049.4861111111</v>
      </c>
      <c r="F1291" s="33" t="n">
        <v>46049.8006944444</v>
      </c>
      <c r="G1291" s="34" t="n">
        <f aca="false">F1291-E1291</f>
        <v>0.314583333333333</v>
      </c>
      <c r="H1291" s="39" t="s">
        <v>384</v>
      </c>
      <c r="J1291" s="39" t="s">
        <v>253</v>
      </c>
      <c r="K1291" s="39" t="e">
        <f aca="false">_xlfn.xlookup(J1291,[1]REF!D$1:D$1048576,[1]REF!E$1:E$1048576)</f>
        <v>#NAME?</v>
      </c>
      <c r="L1291" s="32" t="s">
        <v>648</v>
      </c>
      <c r="M1291" s="39" t="s">
        <v>255</v>
      </c>
      <c r="N1291" s="39" t="s">
        <v>256</v>
      </c>
      <c r="O1291" s="32" t="s">
        <v>649</v>
      </c>
      <c r="P1291" s="40" t="str">
        <f aca="false">_xlfn.CONCAT(B1291,C1291,D1291,E1291,F1291)</f>
        <v>BC Ibiuna 1.2Inverter(MBUS-12)46049.486111111146049.486111111146049.8006944444</v>
      </c>
      <c r="Q1291" s="32" t="str">
        <f aca="false">_xlfn.CONCAT(H1291,I1291,J1291)</f>
        <v>DPRRDE</v>
      </c>
    </row>
    <row r="1292" customFormat="false" ht="15" hidden="false" customHeight="false" outlineLevel="0" collapsed="false">
      <c r="B1292" s="32" t="s">
        <v>329</v>
      </c>
      <c r="C1292" s="32" t="s">
        <v>326</v>
      </c>
      <c r="D1292" s="33" t="n">
        <v>46049.4861111111</v>
      </c>
      <c r="E1292" s="33" t="n">
        <v>46049.4861111111</v>
      </c>
      <c r="F1292" s="33" t="n">
        <v>46049.8006944444</v>
      </c>
      <c r="G1292" s="34" t="n">
        <f aca="false">F1292-E1292</f>
        <v>0.314583333333333</v>
      </c>
      <c r="H1292" s="39" t="s">
        <v>384</v>
      </c>
      <c r="J1292" s="39" t="s">
        <v>253</v>
      </c>
      <c r="K1292" s="39" t="e">
        <f aca="false">_xlfn.xlookup(J1292,[1]REF!D$1:D$1048576,[1]REF!E$1:E$1048576)</f>
        <v>#NAME?</v>
      </c>
      <c r="L1292" s="32" t="s">
        <v>648</v>
      </c>
      <c r="M1292" s="39" t="s">
        <v>255</v>
      </c>
      <c r="N1292" s="39" t="s">
        <v>256</v>
      </c>
      <c r="O1292" s="32" t="s">
        <v>649</v>
      </c>
      <c r="P1292" s="40" t="str">
        <f aca="false">_xlfn.CONCAT(B1292,C1292,D1292,E1292,F1292)</f>
        <v>BC Ibiuna 1.2Inverter(MBUS-13)46049.486111111146049.486111111146049.8006944444</v>
      </c>
      <c r="Q1292" s="32" t="str">
        <f aca="false">_xlfn.CONCAT(H1292,I1292,J1292)</f>
        <v>DPRRDE</v>
      </c>
    </row>
    <row r="1293" customFormat="false" ht="15" hidden="false" customHeight="false" outlineLevel="0" collapsed="false">
      <c r="B1293" s="32" t="s">
        <v>329</v>
      </c>
      <c r="C1293" s="32" t="s">
        <v>327</v>
      </c>
      <c r="D1293" s="33" t="n">
        <v>46049.4861111111</v>
      </c>
      <c r="E1293" s="33" t="n">
        <v>46049.4861111111</v>
      </c>
      <c r="F1293" s="33" t="n">
        <v>46049.8006944444</v>
      </c>
      <c r="G1293" s="34" t="n">
        <f aca="false">F1293-E1293</f>
        <v>0.314583333333333</v>
      </c>
      <c r="H1293" s="39" t="s">
        <v>384</v>
      </c>
      <c r="J1293" s="39" t="s">
        <v>253</v>
      </c>
      <c r="K1293" s="39" t="e">
        <f aca="false">_xlfn.xlookup(J1293,[1]REF!D$1:D$1048576,[1]REF!E$1:E$1048576)</f>
        <v>#NAME?</v>
      </c>
      <c r="L1293" s="32" t="s">
        <v>648</v>
      </c>
      <c r="M1293" s="39" t="s">
        <v>255</v>
      </c>
      <c r="N1293" s="39" t="s">
        <v>256</v>
      </c>
      <c r="O1293" s="32" t="s">
        <v>649</v>
      </c>
      <c r="P1293" s="40" t="str">
        <f aca="false">_xlfn.CONCAT(B1293,C1293,D1293,E1293,F1293)</f>
        <v>BC Ibiuna 1.2Inverter(MBUS-14)46049.486111111146049.486111111146049.8006944444</v>
      </c>
      <c r="Q1293" s="32" t="str">
        <f aca="false">_xlfn.CONCAT(H1293,I1293,J1293)</f>
        <v>DPRRDE</v>
      </c>
    </row>
    <row r="1294" customFormat="false" ht="15" hidden="false" customHeight="false" outlineLevel="0" collapsed="false">
      <c r="B1294" s="32" t="s">
        <v>329</v>
      </c>
      <c r="C1294" s="32" t="s">
        <v>328</v>
      </c>
      <c r="D1294" s="33" t="n">
        <v>46049.4861111111</v>
      </c>
      <c r="E1294" s="33" t="n">
        <v>46049.4861111111</v>
      </c>
      <c r="F1294" s="33" t="n">
        <v>46049.8006944444</v>
      </c>
      <c r="G1294" s="34" t="n">
        <f aca="false">F1294-E1294</f>
        <v>0.314583333333333</v>
      </c>
      <c r="H1294" s="39" t="s">
        <v>384</v>
      </c>
      <c r="J1294" s="39" t="s">
        <v>253</v>
      </c>
      <c r="K1294" s="39" t="e">
        <f aca="false">_xlfn.xlookup(J1294,[1]REF!D$1:D$1048576,[1]REF!E$1:E$1048576)</f>
        <v>#NAME?</v>
      </c>
      <c r="L1294" s="32" t="s">
        <v>648</v>
      </c>
      <c r="M1294" s="39" t="s">
        <v>255</v>
      </c>
      <c r="N1294" s="39" t="s">
        <v>256</v>
      </c>
      <c r="O1294" s="32" t="s">
        <v>649</v>
      </c>
      <c r="P1294" s="40" t="str">
        <f aca="false">_xlfn.CONCAT(B1294,C1294,D1294,E1294,F1294)</f>
        <v>BC Ibiuna 1.2Inverter(MBUS-15)46049.486111111146049.486111111146049.8006944444</v>
      </c>
      <c r="Q1294" s="32" t="str">
        <f aca="false">_xlfn.CONCAT(H1294,I1294,J1294)</f>
        <v>DPRRDE</v>
      </c>
    </row>
    <row r="1295" customFormat="false" ht="15" hidden="false" customHeight="false" outlineLevel="0" collapsed="false">
      <c r="B1295" s="32" t="s">
        <v>358</v>
      </c>
      <c r="C1295" s="32" t="s">
        <v>324</v>
      </c>
      <c r="D1295" s="33" t="n">
        <v>46049.5069444444</v>
      </c>
      <c r="E1295" s="33" t="n">
        <v>46049.5069444444</v>
      </c>
      <c r="F1295" s="33" t="n">
        <v>46049.5520833333</v>
      </c>
      <c r="G1295" s="34" t="n">
        <f aca="false">F1295-E1295</f>
        <v>0.0451388888888889</v>
      </c>
      <c r="H1295" s="39" t="s">
        <v>283</v>
      </c>
      <c r="I1295" s="32" t="s">
        <v>284</v>
      </c>
      <c r="J1295" s="39" t="s">
        <v>285</v>
      </c>
      <c r="K1295" s="39" t="s">
        <v>286</v>
      </c>
      <c r="L1295" s="32" t="s">
        <v>352</v>
      </c>
      <c r="M1295" s="39" t="s">
        <v>288</v>
      </c>
      <c r="N1295" s="39" t="s">
        <v>289</v>
      </c>
      <c r="O1295" s="32" t="s">
        <v>650</v>
      </c>
      <c r="P1295" s="40" t="str">
        <f aca="false">_xlfn.CONCAT(B1295,C1295,D1295,E1295,F1295)</f>
        <v>ARAGUATINS 1.1Inverter(MBUS-12)46049.506944444446049.506944444446049.5520833333</v>
      </c>
      <c r="Q1295" s="32" t="str">
        <f aca="false">_xlfn.CONCAT(H1295,I1295,J1295)</f>
        <v>LIGRFOCOM</v>
      </c>
    </row>
    <row r="1296" customFormat="false" ht="15" hidden="false" customHeight="false" outlineLevel="0" collapsed="false">
      <c r="B1296" s="32" t="s">
        <v>358</v>
      </c>
      <c r="C1296" s="32" t="s">
        <v>326</v>
      </c>
      <c r="D1296" s="33" t="n">
        <v>46049.5069444444</v>
      </c>
      <c r="E1296" s="33" t="n">
        <v>46049.5069444444</v>
      </c>
      <c r="F1296" s="33" t="n">
        <v>46049.5520833333</v>
      </c>
      <c r="G1296" s="34" t="n">
        <f aca="false">F1296-E1296</f>
        <v>0.0451388888888889</v>
      </c>
      <c r="H1296" s="39" t="s">
        <v>283</v>
      </c>
      <c r="I1296" s="32" t="s">
        <v>284</v>
      </c>
      <c r="J1296" s="39" t="s">
        <v>285</v>
      </c>
      <c r="K1296" s="39" t="s">
        <v>286</v>
      </c>
      <c r="L1296" s="32" t="s">
        <v>352</v>
      </c>
      <c r="M1296" s="39" t="s">
        <v>288</v>
      </c>
      <c r="N1296" s="39" t="s">
        <v>289</v>
      </c>
      <c r="O1296" s="32" t="s">
        <v>650</v>
      </c>
      <c r="P1296" s="40" t="str">
        <f aca="false">_xlfn.CONCAT(B1296,C1296,D1296,E1296,F1296)</f>
        <v>ARAGUATINS 1.1Inverter(MBUS-13)46049.506944444446049.506944444446049.5520833333</v>
      </c>
      <c r="Q1296" s="32" t="str">
        <f aca="false">_xlfn.CONCAT(H1296,I1296,J1296)</f>
        <v>LIGRFOCOM</v>
      </c>
    </row>
    <row r="1297" customFormat="false" ht="15" hidden="false" customHeight="false" outlineLevel="0" collapsed="false">
      <c r="B1297" s="32" t="s">
        <v>358</v>
      </c>
      <c r="C1297" s="32" t="s">
        <v>327</v>
      </c>
      <c r="D1297" s="33" t="n">
        <v>46049.5069444444</v>
      </c>
      <c r="E1297" s="33" t="n">
        <v>46049.5069444444</v>
      </c>
      <c r="F1297" s="33" t="n">
        <v>46049.5520833333</v>
      </c>
      <c r="G1297" s="34" t="n">
        <f aca="false">F1297-E1297</f>
        <v>0.0451388888888889</v>
      </c>
      <c r="H1297" s="39" t="s">
        <v>283</v>
      </c>
      <c r="I1297" s="32" t="s">
        <v>284</v>
      </c>
      <c r="J1297" s="39" t="s">
        <v>285</v>
      </c>
      <c r="K1297" s="39" t="s">
        <v>286</v>
      </c>
      <c r="L1297" s="32" t="s">
        <v>352</v>
      </c>
      <c r="M1297" s="39" t="s">
        <v>288</v>
      </c>
      <c r="N1297" s="39" t="s">
        <v>289</v>
      </c>
      <c r="O1297" s="32" t="s">
        <v>650</v>
      </c>
      <c r="P1297" s="40" t="str">
        <f aca="false">_xlfn.CONCAT(B1297,C1297,D1297,E1297,F1297)</f>
        <v>ARAGUATINS 1.1Inverter(MBUS-14)46049.506944444446049.506944444446049.5520833333</v>
      </c>
      <c r="Q1297" s="32" t="str">
        <f aca="false">_xlfn.CONCAT(H1297,I1297,J1297)</f>
        <v>LIGRFOCOM</v>
      </c>
    </row>
    <row r="1298" customFormat="false" ht="15" hidden="false" customHeight="false" outlineLevel="0" collapsed="false">
      <c r="B1298" s="32" t="s">
        <v>358</v>
      </c>
      <c r="C1298" s="32" t="s">
        <v>328</v>
      </c>
      <c r="D1298" s="33" t="n">
        <v>46049.5069444444</v>
      </c>
      <c r="E1298" s="33" t="n">
        <v>46049.5069444444</v>
      </c>
      <c r="F1298" s="33" t="n">
        <v>46049.5520833333</v>
      </c>
      <c r="G1298" s="34" t="n">
        <f aca="false">F1298-E1298</f>
        <v>0.0451388888888889</v>
      </c>
      <c r="H1298" s="39" t="s">
        <v>283</v>
      </c>
      <c r="I1298" s="32" t="s">
        <v>284</v>
      </c>
      <c r="J1298" s="39" t="s">
        <v>285</v>
      </c>
      <c r="K1298" s="39" t="s">
        <v>286</v>
      </c>
      <c r="L1298" s="32" t="s">
        <v>352</v>
      </c>
      <c r="M1298" s="39" t="s">
        <v>288</v>
      </c>
      <c r="N1298" s="39" t="s">
        <v>289</v>
      </c>
      <c r="O1298" s="32" t="s">
        <v>650</v>
      </c>
      <c r="P1298" s="40" t="str">
        <f aca="false">_xlfn.CONCAT(B1298,C1298,D1298,E1298,F1298)</f>
        <v>ARAGUATINS 1.1Inverter(MBUS-15)46049.506944444446049.506944444446049.5520833333</v>
      </c>
      <c r="Q1298" s="32" t="str">
        <f aca="false">_xlfn.CONCAT(H1298,I1298,J1298)</f>
        <v>LIGRFOCOM</v>
      </c>
    </row>
    <row r="1299" customFormat="false" ht="15" hidden="false" customHeight="false" outlineLevel="0" collapsed="false">
      <c r="B1299" s="32" t="s">
        <v>361</v>
      </c>
      <c r="C1299" s="32" t="s">
        <v>324</v>
      </c>
      <c r="D1299" s="33" t="n">
        <v>46049.5069444444</v>
      </c>
      <c r="E1299" s="33" t="n">
        <v>46049.5069444444</v>
      </c>
      <c r="F1299" s="33" t="n">
        <v>46049.5520833333</v>
      </c>
      <c r="G1299" s="34" t="n">
        <f aca="false">F1299-E1299</f>
        <v>0.0451388888888889</v>
      </c>
      <c r="H1299" s="39" t="s">
        <v>283</v>
      </c>
      <c r="I1299" s="32" t="s">
        <v>284</v>
      </c>
      <c r="J1299" s="39" t="s">
        <v>285</v>
      </c>
      <c r="K1299" s="32" t="s">
        <v>286</v>
      </c>
      <c r="L1299" s="32" t="s">
        <v>352</v>
      </c>
      <c r="M1299" s="39" t="s">
        <v>288</v>
      </c>
      <c r="N1299" s="39" t="s">
        <v>289</v>
      </c>
      <c r="O1299" s="32" t="s">
        <v>650</v>
      </c>
      <c r="P1299" s="40" t="str">
        <f aca="false">_xlfn.CONCAT(B1299,C1299,D1299,E1299,F1299)</f>
        <v>ARAGUATINS 1.2Inverter(MBUS-12)46049.506944444446049.506944444446049.5520833333</v>
      </c>
      <c r="Q1299" s="32" t="str">
        <f aca="false">_xlfn.CONCAT(H1299,I1299,J1299)</f>
        <v>LIGRFOCOM</v>
      </c>
    </row>
    <row r="1300" customFormat="false" ht="15" hidden="false" customHeight="false" outlineLevel="0" collapsed="false">
      <c r="B1300" s="32" t="s">
        <v>361</v>
      </c>
      <c r="C1300" s="32" t="s">
        <v>326</v>
      </c>
      <c r="D1300" s="33" t="n">
        <v>46049.5069444444</v>
      </c>
      <c r="E1300" s="33" t="n">
        <v>46049.5069444444</v>
      </c>
      <c r="F1300" s="33" t="n">
        <v>46049.5520833333</v>
      </c>
      <c r="G1300" s="34" t="n">
        <f aca="false">F1300-E1300</f>
        <v>0.0451388888888889</v>
      </c>
      <c r="H1300" s="39" t="s">
        <v>283</v>
      </c>
      <c r="I1300" s="32" t="s">
        <v>284</v>
      </c>
      <c r="J1300" s="39" t="s">
        <v>285</v>
      </c>
      <c r="K1300" s="32" t="s">
        <v>286</v>
      </c>
      <c r="L1300" s="32" t="s">
        <v>352</v>
      </c>
      <c r="M1300" s="39" t="s">
        <v>288</v>
      </c>
      <c r="N1300" s="39" t="s">
        <v>289</v>
      </c>
      <c r="O1300" s="32" t="s">
        <v>650</v>
      </c>
      <c r="P1300" s="40" t="str">
        <f aca="false">_xlfn.CONCAT(B1300,C1300,D1300,E1300,F1300)</f>
        <v>ARAGUATINS 1.2Inverter(MBUS-13)46049.506944444446049.506944444446049.5520833333</v>
      </c>
      <c r="Q1300" s="32" t="str">
        <f aca="false">_xlfn.CONCAT(H1300,I1300,J1300)</f>
        <v>LIGRFOCOM</v>
      </c>
    </row>
    <row r="1301" customFormat="false" ht="15" hidden="false" customHeight="false" outlineLevel="0" collapsed="false">
      <c r="B1301" s="32" t="s">
        <v>361</v>
      </c>
      <c r="C1301" s="32" t="s">
        <v>327</v>
      </c>
      <c r="D1301" s="33" t="n">
        <v>46049.5069444444</v>
      </c>
      <c r="E1301" s="33" t="n">
        <v>46049.5069444444</v>
      </c>
      <c r="F1301" s="33" t="n">
        <v>46049.5520833333</v>
      </c>
      <c r="G1301" s="34" t="n">
        <f aca="false">F1301-E1301</f>
        <v>0.0451388888888889</v>
      </c>
      <c r="H1301" s="39" t="s">
        <v>283</v>
      </c>
      <c r="I1301" s="32" t="s">
        <v>284</v>
      </c>
      <c r="J1301" s="39" t="s">
        <v>285</v>
      </c>
      <c r="K1301" s="32" t="s">
        <v>286</v>
      </c>
      <c r="L1301" s="32" t="s">
        <v>352</v>
      </c>
      <c r="M1301" s="39" t="s">
        <v>288</v>
      </c>
      <c r="N1301" s="39" t="s">
        <v>289</v>
      </c>
      <c r="O1301" s="32" t="s">
        <v>650</v>
      </c>
      <c r="P1301" s="40" t="str">
        <f aca="false">_xlfn.CONCAT(B1301,C1301,D1301,E1301,F1301)</f>
        <v>ARAGUATINS 1.2Inverter(MBUS-14)46049.506944444446049.506944444446049.5520833333</v>
      </c>
      <c r="Q1301" s="32" t="str">
        <f aca="false">_xlfn.CONCAT(H1301,I1301,J1301)</f>
        <v>LIGRFOCOM</v>
      </c>
    </row>
    <row r="1302" customFormat="false" ht="15" hidden="false" customHeight="false" outlineLevel="0" collapsed="false">
      <c r="B1302" s="32" t="s">
        <v>361</v>
      </c>
      <c r="C1302" s="32" t="s">
        <v>328</v>
      </c>
      <c r="D1302" s="33" t="n">
        <v>46049.5069444444</v>
      </c>
      <c r="E1302" s="33" t="n">
        <v>46049.5069444444</v>
      </c>
      <c r="F1302" s="33" t="n">
        <v>46049.5520833333</v>
      </c>
      <c r="G1302" s="34" t="n">
        <f aca="false">F1302-E1302</f>
        <v>0.0451388888888889</v>
      </c>
      <c r="H1302" s="39" t="s">
        <v>283</v>
      </c>
      <c r="I1302" s="32" t="s">
        <v>284</v>
      </c>
      <c r="J1302" s="39" t="s">
        <v>285</v>
      </c>
      <c r="K1302" s="32" t="s">
        <v>286</v>
      </c>
      <c r="L1302" s="32" t="s">
        <v>352</v>
      </c>
      <c r="M1302" s="39" t="s">
        <v>288</v>
      </c>
      <c r="N1302" s="39" t="s">
        <v>289</v>
      </c>
      <c r="O1302" s="32" t="s">
        <v>650</v>
      </c>
      <c r="P1302" s="40" t="str">
        <f aca="false">_xlfn.CONCAT(B1302,C1302,D1302,E1302,F1302)</f>
        <v>ARAGUATINS 1.2Inverter(MBUS-15)46049.506944444446049.506944444446049.5520833333</v>
      </c>
      <c r="Q1302" s="32" t="str">
        <f aca="false">_xlfn.CONCAT(H1302,I1302,J1302)</f>
        <v>LIGRFOCOM</v>
      </c>
    </row>
    <row r="1303" customFormat="false" ht="15" hidden="false" customHeight="false" outlineLevel="0" collapsed="false">
      <c r="B1303" s="32" t="s">
        <v>362</v>
      </c>
      <c r="C1303" s="32" t="s">
        <v>363</v>
      </c>
      <c r="D1303" s="33" t="n">
        <v>46049.5069444444</v>
      </c>
      <c r="E1303" s="33" t="n">
        <v>46049.5069444444</v>
      </c>
      <c r="F1303" s="33" t="n">
        <v>46049.5520833333</v>
      </c>
      <c r="G1303" s="34" t="n">
        <f aca="false">F1303-E1303</f>
        <v>0.0451388888888889</v>
      </c>
      <c r="H1303" s="39" t="s">
        <v>283</v>
      </c>
      <c r="I1303" s="32" t="s">
        <v>284</v>
      </c>
      <c r="J1303" s="39" t="s">
        <v>285</v>
      </c>
      <c r="K1303" s="32" t="s">
        <v>286</v>
      </c>
      <c r="L1303" s="32" t="s">
        <v>352</v>
      </c>
      <c r="M1303" s="39" t="s">
        <v>288</v>
      </c>
      <c r="N1303" s="39" t="s">
        <v>289</v>
      </c>
      <c r="O1303" s="32" t="s">
        <v>650</v>
      </c>
      <c r="P1303" s="40" t="str">
        <f aca="false">_xlfn.CONCAT(B1303,C1303,D1303,E1303,F1303)</f>
        <v>ARAGUATINS 1.3Inverter(MBUS-20)46049.506944444446049.506944444446049.5520833333</v>
      </c>
      <c r="Q1303" s="32" t="str">
        <f aca="false">_xlfn.CONCAT(H1303,I1303,J1303)</f>
        <v>LIGRFOCOM</v>
      </c>
    </row>
    <row r="1304" customFormat="false" ht="15" hidden="false" customHeight="false" outlineLevel="0" collapsed="false">
      <c r="B1304" s="32" t="s">
        <v>362</v>
      </c>
      <c r="C1304" s="32" t="s">
        <v>265</v>
      </c>
      <c r="D1304" s="33" t="n">
        <v>46049.5069444444</v>
      </c>
      <c r="E1304" s="33" t="n">
        <v>46049.5069444444</v>
      </c>
      <c r="F1304" s="33" t="n">
        <v>46049.5520833333</v>
      </c>
      <c r="G1304" s="34" t="n">
        <f aca="false">F1304-E1304</f>
        <v>0.0451388888888889</v>
      </c>
      <c r="H1304" s="39" t="s">
        <v>283</v>
      </c>
      <c r="I1304" s="32" t="s">
        <v>284</v>
      </c>
      <c r="J1304" s="39" t="s">
        <v>285</v>
      </c>
      <c r="K1304" s="32" t="s">
        <v>286</v>
      </c>
      <c r="L1304" s="32" t="s">
        <v>352</v>
      </c>
      <c r="M1304" s="39" t="s">
        <v>288</v>
      </c>
      <c r="N1304" s="39" t="s">
        <v>289</v>
      </c>
      <c r="O1304" s="32" t="s">
        <v>650</v>
      </c>
      <c r="P1304" s="40" t="str">
        <f aca="false">_xlfn.CONCAT(B1304,C1304,D1304,E1304,F1304)</f>
        <v>ARAGUATINS 1.3Inverter(MBUS-1)46049.506944444446049.506944444446049.5520833333</v>
      </c>
      <c r="Q1304" s="32" t="str">
        <f aca="false">_xlfn.CONCAT(H1304,I1304,J1304)</f>
        <v>LIGRFOCOM</v>
      </c>
    </row>
    <row r="1305" customFormat="false" ht="15" hidden="false" customHeight="false" outlineLevel="0" collapsed="false">
      <c r="B1305" s="32" t="s">
        <v>367</v>
      </c>
      <c r="C1305" s="32" t="s">
        <v>324</v>
      </c>
      <c r="D1305" s="33" t="n">
        <v>46049.5069444444</v>
      </c>
      <c r="E1305" s="33" t="n">
        <v>46049.5069444444</v>
      </c>
      <c r="F1305" s="33" t="n">
        <v>46049.5520833333</v>
      </c>
      <c r="G1305" s="34" t="n">
        <f aca="false">F1305-E1305</f>
        <v>0.0451388888888889</v>
      </c>
      <c r="H1305" s="39" t="s">
        <v>283</v>
      </c>
      <c r="I1305" s="32" t="s">
        <v>284</v>
      </c>
      <c r="J1305" s="39" t="s">
        <v>285</v>
      </c>
      <c r="K1305" s="32" t="s">
        <v>286</v>
      </c>
      <c r="L1305" s="32" t="s">
        <v>352</v>
      </c>
      <c r="M1305" s="39" t="s">
        <v>288</v>
      </c>
      <c r="N1305" s="39" t="s">
        <v>289</v>
      </c>
      <c r="O1305" s="32" t="s">
        <v>650</v>
      </c>
      <c r="P1305" s="40" t="str">
        <f aca="false">_xlfn.CONCAT(B1305,C1305,D1305,E1305,F1305)</f>
        <v>ARAGUATINS 2.1Inverter(MBUS-12)46049.506944444446049.506944444446049.5520833333</v>
      </c>
      <c r="Q1305" s="32" t="str">
        <f aca="false">_xlfn.CONCAT(H1305,I1305,J1305)</f>
        <v>LIGRFOCOM</v>
      </c>
    </row>
    <row r="1306" customFormat="false" ht="15" hidden="false" customHeight="false" outlineLevel="0" collapsed="false">
      <c r="B1306" s="32" t="s">
        <v>367</v>
      </c>
      <c r="C1306" s="32" t="s">
        <v>328</v>
      </c>
      <c r="D1306" s="33" t="n">
        <v>46049.5069444444</v>
      </c>
      <c r="E1306" s="33" t="n">
        <v>46049.5069444444</v>
      </c>
      <c r="F1306" s="33" t="n">
        <v>46049.5520833333</v>
      </c>
      <c r="G1306" s="34" t="n">
        <f aca="false">F1306-E1306</f>
        <v>0.0451388888888889</v>
      </c>
      <c r="H1306" s="39" t="s">
        <v>283</v>
      </c>
      <c r="I1306" s="32" t="s">
        <v>284</v>
      </c>
      <c r="J1306" s="39" t="s">
        <v>285</v>
      </c>
      <c r="K1306" s="32" t="s">
        <v>286</v>
      </c>
      <c r="L1306" s="32" t="s">
        <v>352</v>
      </c>
      <c r="M1306" s="39" t="s">
        <v>288</v>
      </c>
      <c r="N1306" s="39" t="s">
        <v>289</v>
      </c>
      <c r="O1306" s="32" t="s">
        <v>650</v>
      </c>
      <c r="P1306" s="40" t="str">
        <f aca="false">_xlfn.CONCAT(B1306,C1306,D1306,E1306,F1306)</f>
        <v>ARAGUATINS 2.1Inverter(MBUS-15)46049.506944444446049.506944444446049.5520833333</v>
      </c>
      <c r="Q1306" s="32" t="str">
        <f aca="false">_xlfn.CONCAT(H1306,I1306,J1306)</f>
        <v>LIGRFOCOM</v>
      </c>
    </row>
    <row r="1307" customFormat="false" ht="15" hidden="false" customHeight="false" outlineLevel="0" collapsed="false">
      <c r="B1307" s="32" t="s">
        <v>367</v>
      </c>
      <c r="C1307" s="32" t="s">
        <v>327</v>
      </c>
      <c r="D1307" s="33" t="n">
        <v>46049.5069444444</v>
      </c>
      <c r="E1307" s="33" t="n">
        <v>46049.5069444444</v>
      </c>
      <c r="F1307" s="33" t="n">
        <v>46049.5520833333</v>
      </c>
      <c r="G1307" s="34" t="n">
        <f aca="false">F1307-E1307</f>
        <v>0.0451388888888889</v>
      </c>
      <c r="H1307" s="39" t="s">
        <v>283</v>
      </c>
      <c r="I1307" s="32" t="s">
        <v>284</v>
      </c>
      <c r="J1307" s="39" t="s">
        <v>285</v>
      </c>
      <c r="K1307" s="32" t="s">
        <v>286</v>
      </c>
      <c r="L1307" s="32" t="s">
        <v>352</v>
      </c>
      <c r="M1307" s="39" t="s">
        <v>288</v>
      </c>
      <c r="N1307" s="39" t="s">
        <v>289</v>
      </c>
      <c r="O1307" s="32" t="s">
        <v>650</v>
      </c>
      <c r="P1307" s="40" t="str">
        <f aca="false">_xlfn.CONCAT(B1307,C1307,D1307,E1307,F1307)</f>
        <v>ARAGUATINS 2.1Inverter(MBUS-14)46049.506944444446049.506944444446049.5520833333</v>
      </c>
      <c r="Q1307" s="32" t="str">
        <f aca="false">_xlfn.CONCAT(H1307,I1307,J1307)</f>
        <v>LIGRFOCOM</v>
      </c>
    </row>
    <row r="1308" customFormat="false" ht="15" hidden="false" customHeight="false" outlineLevel="0" collapsed="false">
      <c r="B1308" s="32" t="s">
        <v>367</v>
      </c>
      <c r="C1308" s="32" t="s">
        <v>265</v>
      </c>
      <c r="D1308" s="33" t="n">
        <v>46049.5069444444</v>
      </c>
      <c r="E1308" s="33" t="n">
        <v>46049.5069444444</v>
      </c>
      <c r="F1308" s="33" t="n">
        <v>46049.5520833333</v>
      </c>
      <c r="G1308" s="34" t="n">
        <f aca="false">F1308-E1308</f>
        <v>0.0451388888888889</v>
      </c>
      <c r="H1308" s="39" t="s">
        <v>283</v>
      </c>
      <c r="I1308" s="32" t="s">
        <v>284</v>
      </c>
      <c r="J1308" s="39" t="s">
        <v>285</v>
      </c>
      <c r="K1308" s="32" t="s">
        <v>286</v>
      </c>
      <c r="L1308" s="32" t="s">
        <v>352</v>
      </c>
      <c r="M1308" s="39" t="s">
        <v>288</v>
      </c>
      <c r="N1308" s="39" t="s">
        <v>289</v>
      </c>
      <c r="O1308" s="32" t="s">
        <v>650</v>
      </c>
      <c r="P1308" s="40" t="str">
        <f aca="false">_xlfn.CONCAT(B1308,C1308,D1308,E1308,F1308)</f>
        <v>ARAGUATINS 2.1Inverter(MBUS-1)46049.506944444446049.506944444446049.5520833333</v>
      </c>
      <c r="Q1308" s="32" t="str">
        <f aca="false">_xlfn.CONCAT(H1308,I1308,J1308)</f>
        <v>LIGRFOCOM</v>
      </c>
    </row>
    <row r="1309" customFormat="false" ht="15" hidden="false" customHeight="false" outlineLevel="0" collapsed="false">
      <c r="B1309" s="32" t="s">
        <v>460</v>
      </c>
      <c r="C1309" s="32" t="s">
        <v>328</v>
      </c>
      <c r="D1309" s="33" t="n">
        <v>46049.5069444444</v>
      </c>
      <c r="E1309" s="33" t="n">
        <v>46049.5069444444</v>
      </c>
      <c r="F1309" s="33" t="n">
        <v>46049.5520833333</v>
      </c>
      <c r="G1309" s="34" t="n">
        <f aca="false">F1309-E1309</f>
        <v>0.0451388888888889</v>
      </c>
      <c r="H1309" s="39" t="s">
        <v>283</v>
      </c>
      <c r="I1309" s="32" t="s">
        <v>284</v>
      </c>
      <c r="J1309" s="39" t="s">
        <v>285</v>
      </c>
      <c r="K1309" s="32" t="s">
        <v>286</v>
      </c>
      <c r="L1309" s="32" t="s">
        <v>352</v>
      </c>
      <c r="M1309" s="39" t="s">
        <v>288</v>
      </c>
      <c r="N1309" s="39" t="s">
        <v>289</v>
      </c>
      <c r="O1309" s="32" t="s">
        <v>650</v>
      </c>
      <c r="P1309" s="40" t="str">
        <f aca="false">_xlfn.CONCAT(B1309,C1309,D1309,E1309,F1309)</f>
        <v>ARAGUATINS 2.2Inverter(MBUS-15)46049.506944444446049.506944444446049.5520833333</v>
      </c>
      <c r="Q1309" s="32" t="str">
        <f aca="false">_xlfn.CONCAT(H1309,I1309,J1309)</f>
        <v>LIGRFOCOM</v>
      </c>
    </row>
    <row r="1310" customFormat="false" ht="15" hidden="false" customHeight="false" outlineLevel="0" collapsed="false">
      <c r="B1310" s="32" t="s">
        <v>460</v>
      </c>
      <c r="C1310" s="32" t="s">
        <v>326</v>
      </c>
      <c r="D1310" s="33" t="n">
        <v>46049.5069444444</v>
      </c>
      <c r="E1310" s="33" t="n">
        <v>46049.5069444444</v>
      </c>
      <c r="F1310" s="33" t="n">
        <v>46049.5520833333</v>
      </c>
      <c r="G1310" s="34" t="n">
        <f aca="false">F1310-E1310</f>
        <v>0.0451388888888889</v>
      </c>
      <c r="H1310" s="39" t="s">
        <v>283</v>
      </c>
      <c r="I1310" s="32" t="s">
        <v>284</v>
      </c>
      <c r="J1310" s="39" t="s">
        <v>285</v>
      </c>
      <c r="K1310" s="32" t="s">
        <v>286</v>
      </c>
      <c r="L1310" s="32" t="s">
        <v>352</v>
      </c>
      <c r="M1310" s="39" t="s">
        <v>288</v>
      </c>
      <c r="N1310" s="39" t="s">
        <v>289</v>
      </c>
      <c r="O1310" s="32" t="s">
        <v>650</v>
      </c>
      <c r="P1310" s="40" t="str">
        <f aca="false">_xlfn.CONCAT(B1310,C1310,D1310,E1310,F1310)</f>
        <v>ARAGUATINS 2.2Inverter(MBUS-13)46049.506944444446049.506944444446049.5520833333</v>
      </c>
      <c r="Q1310" s="32" t="str">
        <f aca="false">_xlfn.CONCAT(H1310,I1310,J1310)</f>
        <v>LIGRFOCOM</v>
      </c>
    </row>
    <row r="1311" customFormat="false" ht="15" hidden="false" customHeight="false" outlineLevel="0" collapsed="false">
      <c r="B1311" s="32" t="s">
        <v>460</v>
      </c>
      <c r="C1311" s="32" t="s">
        <v>327</v>
      </c>
      <c r="D1311" s="33" t="n">
        <v>46049.5069444444</v>
      </c>
      <c r="E1311" s="33" t="n">
        <v>46049.5069444444</v>
      </c>
      <c r="F1311" s="33" t="n">
        <v>46049.5520833333</v>
      </c>
      <c r="G1311" s="34" t="n">
        <f aca="false">F1311-E1311</f>
        <v>0.0451388888888889</v>
      </c>
      <c r="H1311" s="39" t="s">
        <v>283</v>
      </c>
      <c r="I1311" s="32" t="s">
        <v>284</v>
      </c>
      <c r="J1311" s="39" t="s">
        <v>285</v>
      </c>
      <c r="K1311" s="32" t="s">
        <v>286</v>
      </c>
      <c r="L1311" s="32" t="s">
        <v>352</v>
      </c>
      <c r="M1311" s="39" t="s">
        <v>288</v>
      </c>
      <c r="N1311" s="39" t="s">
        <v>289</v>
      </c>
      <c r="O1311" s="32" t="s">
        <v>650</v>
      </c>
      <c r="P1311" s="40" t="str">
        <f aca="false">_xlfn.CONCAT(B1311,C1311,D1311,E1311,F1311)</f>
        <v>ARAGUATINS 2.2Inverter(MBUS-14)46049.506944444446049.506944444446049.5520833333</v>
      </c>
      <c r="Q1311" s="32" t="str">
        <f aca="false">_xlfn.CONCAT(H1311,I1311,J1311)</f>
        <v>LIGRFOCOM</v>
      </c>
    </row>
    <row r="1312" customFormat="false" ht="15" hidden="false" customHeight="false" outlineLevel="0" collapsed="false">
      <c r="B1312" s="32" t="s">
        <v>460</v>
      </c>
      <c r="C1312" s="32" t="s">
        <v>324</v>
      </c>
      <c r="D1312" s="33" t="n">
        <v>46049.5069444444</v>
      </c>
      <c r="E1312" s="33" t="n">
        <v>46049.5069444444</v>
      </c>
      <c r="F1312" s="33" t="n">
        <v>46049.5520833333</v>
      </c>
      <c r="G1312" s="34" t="n">
        <f aca="false">F1312-E1312</f>
        <v>0.0451388888888889</v>
      </c>
      <c r="H1312" s="39" t="s">
        <v>283</v>
      </c>
      <c r="I1312" s="32" t="s">
        <v>284</v>
      </c>
      <c r="J1312" s="39" t="s">
        <v>285</v>
      </c>
      <c r="K1312" s="32" t="s">
        <v>286</v>
      </c>
      <c r="L1312" s="32" t="s">
        <v>352</v>
      </c>
      <c r="M1312" s="39" t="s">
        <v>288</v>
      </c>
      <c r="N1312" s="39" t="s">
        <v>289</v>
      </c>
      <c r="O1312" s="32" t="s">
        <v>650</v>
      </c>
      <c r="P1312" s="40" t="str">
        <f aca="false">_xlfn.CONCAT(B1312,C1312,D1312,E1312,F1312)</f>
        <v>ARAGUATINS 2.2Inverter(MBUS-12)46049.506944444446049.506944444446049.5520833333</v>
      </c>
      <c r="Q1312" s="32" t="str">
        <f aca="false">_xlfn.CONCAT(H1312,I1312,J1312)</f>
        <v>LIGRFOCOM</v>
      </c>
    </row>
    <row r="1313" customFormat="false" ht="15" hidden="false" customHeight="false" outlineLevel="0" collapsed="false">
      <c r="B1313" s="32" t="s">
        <v>461</v>
      </c>
      <c r="C1313" s="32" t="s">
        <v>324</v>
      </c>
      <c r="D1313" s="33" t="n">
        <v>46049.5069444444</v>
      </c>
      <c r="E1313" s="33" t="n">
        <v>46049.5069444444</v>
      </c>
      <c r="F1313" s="33" t="n">
        <v>46049.5520833333</v>
      </c>
      <c r="G1313" s="34" t="n">
        <f aca="false">F1313-E1313</f>
        <v>0.0451388888888889</v>
      </c>
      <c r="H1313" s="39" t="s">
        <v>283</v>
      </c>
      <c r="I1313" s="32" t="s">
        <v>284</v>
      </c>
      <c r="J1313" s="39" t="s">
        <v>285</v>
      </c>
      <c r="K1313" s="32" t="s">
        <v>286</v>
      </c>
      <c r="L1313" s="32" t="s">
        <v>352</v>
      </c>
      <c r="M1313" s="39" t="s">
        <v>288</v>
      </c>
      <c r="N1313" s="39" t="s">
        <v>289</v>
      </c>
      <c r="O1313" s="32" t="s">
        <v>650</v>
      </c>
      <c r="P1313" s="40" t="str">
        <f aca="false">_xlfn.CONCAT(B1313,C1313,D1313,E1313,F1313)</f>
        <v>ARAGUATINS 2.3Inverter(MBUS-12)46049.506944444446049.506944444446049.5520833333</v>
      </c>
      <c r="Q1313" s="32" t="str">
        <f aca="false">_xlfn.CONCAT(H1313,I1313,J1313)</f>
        <v>LIGRFOCOM</v>
      </c>
    </row>
    <row r="1314" customFormat="false" ht="15" hidden="false" customHeight="false" outlineLevel="0" collapsed="false">
      <c r="B1314" s="32" t="s">
        <v>461</v>
      </c>
      <c r="C1314" s="32" t="s">
        <v>326</v>
      </c>
      <c r="D1314" s="33" t="n">
        <v>46049.5069444444</v>
      </c>
      <c r="E1314" s="33" t="n">
        <v>46049.5069444444</v>
      </c>
      <c r="F1314" s="33" t="n">
        <v>46049.5520833333</v>
      </c>
      <c r="G1314" s="34" t="n">
        <f aca="false">F1314-E1314</f>
        <v>0.0451388888888889</v>
      </c>
      <c r="H1314" s="39" t="s">
        <v>283</v>
      </c>
      <c r="I1314" s="32" t="s">
        <v>284</v>
      </c>
      <c r="J1314" s="39" t="s">
        <v>285</v>
      </c>
      <c r="K1314" s="32" t="s">
        <v>286</v>
      </c>
      <c r="L1314" s="32" t="s">
        <v>352</v>
      </c>
      <c r="M1314" s="39" t="s">
        <v>288</v>
      </c>
      <c r="N1314" s="39" t="s">
        <v>289</v>
      </c>
      <c r="O1314" s="32" t="s">
        <v>650</v>
      </c>
      <c r="P1314" s="40" t="str">
        <f aca="false">_xlfn.CONCAT(B1314,C1314,D1314,E1314,F1314)</f>
        <v>ARAGUATINS 2.3Inverter(MBUS-13)46049.506944444446049.506944444446049.5520833333</v>
      </c>
      <c r="Q1314" s="32" t="str">
        <f aca="false">_xlfn.CONCAT(H1314,I1314,J1314)</f>
        <v>LIGRFOCOM</v>
      </c>
    </row>
    <row r="1315" customFormat="false" ht="15" hidden="false" customHeight="false" outlineLevel="0" collapsed="false">
      <c r="B1315" s="32" t="s">
        <v>651</v>
      </c>
      <c r="C1315" s="32" t="s">
        <v>265</v>
      </c>
      <c r="D1315" s="33" t="n">
        <v>46049.5138888889</v>
      </c>
      <c r="E1315" s="33" t="n">
        <v>46049.5138888889</v>
      </c>
      <c r="F1315" s="49" t="n">
        <v>46053.9999884259</v>
      </c>
      <c r="G1315" s="34" t="n">
        <f aca="false">F1315-E1315</f>
        <v>4.48609953703704</v>
      </c>
      <c r="H1315" s="39" t="s">
        <v>252</v>
      </c>
      <c r="J1315" s="39" t="s">
        <v>333</v>
      </c>
      <c r="K1315" s="32" t="s">
        <v>334</v>
      </c>
      <c r="L1315" s="32" t="s">
        <v>652</v>
      </c>
      <c r="M1315" s="39" t="s">
        <v>336</v>
      </c>
      <c r="N1315" s="39" t="s">
        <v>289</v>
      </c>
      <c r="O1315" s="47" t="s">
        <v>653</v>
      </c>
      <c r="P1315" s="40" t="str">
        <f aca="false">_xlfn.CONCAT(B1315,C1315,D1315,E1315,F1315)</f>
        <v>BC Vazante2.2Inverter(MBUS-1)46049.513888888946049.513888888946053.9999884259</v>
      </c>
      <c r="Q1315" s="32" t="str">
        <f aca="false">_xlfn.CONCAT(H1315,I1315,J1315)</f>
        <v>DAUINV</v>
      </c>
    </row>
    <row r="1316" customFormat="false" ht="15" hidden="false" customHeight="false" outlineLevel="0" collapsed="false">
      <c r="B1316" s="32" t="s">
        <v>331</v>
      </c>
      <c r="C1316" s="32" t="s">
        <v>654</v>
      </c>
      <c r="D1316" s="33" t="n">
        <v>46049.5826388889</v>
      </c>
      <c r="E1316" s="33" t="n">
        <v>46049.5826388889</v>
      </c>
      <c r="F1316" s="33" t="n">
        <v>46049.6041666667</v>
      </c>
      <c r="G1316" s="34" t="n">
        <f aca="false">F1316-E1316</f>
        <v>0.0215277777777778</v>
      </c>
      <c r="H1316" s="39" t="s">
        <v>252</v>
      </c>
      <c r="J1316" s="39" t="s">
        <v>253</v>
      </c>
      <c r="K1316" s="32" t="s">
        <v>266</v>
      </c>
      <c r="L1316" s="32" t="s">
        <v>655</v>
      </c>
      <c r="M1316" s="39" t="s">
        <v>255</v>
      </c>
      <c r="N1316" s="39" t="s">
        <v>256</v>
      </c>
      <c r="O1316" s="32" t="s">
        <v>656</v>
      </c>
      <c r="P1316" s="40" t="str">
        <f aca="false">_xlfn.CONCAT(B1316,C1316,D1316,E1316,F1316)</f>
        <v>BC Vazante 1.1Inverter1246049.582638888946049.582638888946049.6041666667</v>
      </c>
      <c r="Q1316" s="32" t="str">
        <f aca="false">_xlfn.CONCAT(H1316,I1316,J1316)</f>
        <v>DAURDE</v>
      </c>
    </row>
    <row r="1317" customFormat="false" ht="15" hidden="false" customHeight="false" outlineLevel="0" collapsed="false">
      <c r="B1317" s="32" t="s">
        <v>48</v>
      </c>
      <c r="C1317" s="32" t="s">
        <v>294</v>
      </c>
      <c r="D1317" s="33" t="n">
        <v>46049.6006944444</v>
      </c>
      <c r="E1317" s="33" t="n">
        <v>46049.6006944444</v>
      </c>
      <c r="F1317" s="33" t="n">
        <v>46049.6805555556</v>
      </c>
      <c r="G1317" s="34" t="n">
        <f aca="false">F1317-E1317</f>
        <v>0.0798611111111111</v>
      </c>
      <c r="H1317" s="39" t="s">
        <v>252</v>
      </c>
      <c r="J1317" s="39" t="s">
        <v>253</v>
      </c>
      <c r="K1317" s="32" t="s">
        <v>266</v>
      </c>
      <c r="L1317" s="32" t="s">
        <v>657</v>
      </c>
      <c r="M1317" s="39" t="s">
        <v>255</v>
      </c>
      <c r="N1317" s="39" t="s">
        <v>256</v>
      </c>
      <c r="O1317" s="32" t="s">
        <v>644</v>
      </c>
      <c r="P1317" s="40" t="str">
        <f aca="false">_xlfn.CONCAT(B1317,C1317,D1317,E1317,F1317)</f>
        <v>BC Caiaponia1SG60KTL(COM1-001)_001_00746049.600694444446049.600694444446049.6805555556</v>
      </c>
      <c r="Q1317" s="32" t="str">
        <f aca="false">_xlfn.CONCAT(H1317,I1317,J1317)</f>
        <v>DAURDE</v>
      </c>
    </row>
    <row r="1318" customFormat="false" ht="15" hidden="false" customHeight="false" outlineLevel="0" collapsed="false">
      <c r="B1318" s="32" t="s">
        <v>48</v>
      </c>
      <c r="C1318" s="32" t="s">
        <v>295</v>
      </c>
      <c r="D1318" s="33" t="n">
        <v>46049.6006944444</v>
      </c>
      <c r="E1318" s="33" t="n">
        <v>46049.6006944444</v>
      </c>
      <c r="F1318" s="33" t="n">
        <v>46049.6805555556</v>
      </c>
      <c r="G1318" s="34" t="n">
        <f aca="false">F1318-E1318</f>
        <v>0.0798611111111111</v>
      </c>
      <c r="H1318" s="39" t="s">
        <v>252</v>
      </c>
      <c r="J1318" s="39" t="s">
        <v>253</v>
      </c>
      <c r="K1318" s="32" t="s">
        <v>266</v>
      </c>
      <c r="L1318" s="32" t="s">
        <v>657</v>
      </c>
      <c r="M1318" s="39" t="s">
        <v>255</v>
      </c>
      <c r="N1318" s="39" t="s">
        <v>256</v>
      </c>
      <c r="O1318" s="32" t="s">
        <v>644</v>
      </c>
      <c r="P1318" s="40" t="str">
        <f aca="false">_xlfn.CONCAT(B1318,C1318,D1318,E1318,F1318)</f>
        <v>BC Caiaponia1SG60KTL(COM1-002)_001_01046049.600694444446049.600694444446049.6805555556</v>
      </c>
      <c r="Q1318" s="32" t="str">
        <f aca="false">_xlfn.CONCAT(H1318,I1318,J1318)</f>
        <v>DAURDE</v>
      </c>
    </row>
    <row r="1319" customFormat="false" ht="15" hidden="false" customHeight="false" outlineLevel="0" collapsed="false">
      <c r="B1319" s="32" t="s">
        <v>48</v>
      </c>
      <c r="C1319" s="32" t="s">
        <v>296</v>
      </c>
      <c r="D1319" s="33" t="n">
        <v>46049.6006944444</v>
      </c>
      <c r="E1319" s="33" t="n">
        <v>46049.6006944444</v>
      </c>
      <c r="F1319" s="33" t="n">
        <v>46049.6805555556</v>
      </c>
      <c r="G1319" s="34" t="n">
        <f aca="false">F1319-E1319</f>
        <v>0.0798611111111111</v>
      </c>
      <c r="H1319" s="39" t="s">
        <v>252</v>
      </c>
      <c r="J1319" s="39" t="s">
        <v>253</v>
      </c>
      <c r="K1319" s="32" t="s">
        <v>266</v>
      </c>
      <c r="L1319" s="32" t="s">
        <v>657</v>
      </c>
      <c r="M1319" s="39" t="s">
        <v>255</v>
      </c>
      <c r="N1319" s="39" t="s">
        <v>256</v>
      </c>
      <c r="O1319" s="32" t="s">
        <v>644</v>
      </c>
      <c r="P1319" s="40" t="str">
        <f aca="false">_xlfn.CONCAT(B1319,C1319,D1319,E1319,F1319)</f>
        <v>BC Caiaponia1SG60KTL(COM1-003)_001_01146049.600694444446049.600694444446049.6805555556</v>
      </c>
      <c r="Q1319" s="32" t="str">
        <f aca="false">_xlfn.CONCAT(H1319,I1319,J1319)</f>
        <v>DAURDE</v>
      </c>
    </row>
    <row r="1320" customFormat="false" ht="15" hidden="false" customHeight="false" outlineLevel="0" collapsed="false">
      <c r="B1320" s="32" t="s">
        <v>48</v>
      </c>
      <c r="C1320" s="32" t="s">
        <v>297</v>
      </c>
      <c r="D1320" s="33" t="n">
        <v>46049.6006944444</v>
      </c>
      <c r="E1320" s="33" t="n">
        <v>46049.6006944444</v>
      </c>
      <c r="F1320" s="33" t="n">
        <v>46049.6805555556</v>
      </c>
      <c r="G1320" s="34" t="n">
        <f aca="false">F1320-E1320</f>
        <v>0.0798611111111111</v>
      </c>
      <c r="H1320" s="39" t="s">
        <v>252</v>
      </c>
      <c r="J1320" s="39" t="s">
        <v>253</v>
      </c>
      <c r="K1320" s="32" t="s">
        <v>266</v>
      </c>
      <c r="L1320" s="32" t="s">
        <v>657</v>
      </c>
      <c r="M1320" s="39" t="s">
        <v>255</v>
      </c>
      <c r="N1320" s="39" t="s">
        <v>256</v>
      </c>
      <c r="O1320" s="32" t="s">
        <v>644</v>
      </c>
      <c r="P1320" s="40" t="str">
        <f aca="false">_xlfn.CONCAT(B1320,C1320,D1320,E1320,F1320)</f>
        <v>BC Caiaponia1SG60KTL(COM1-004)_001_01446049.600694444446049.600694444446049.6805555556</v>
      </c>
      <c r="Q1320" s="32" t="str">
        <f aca="false">_xlfn.CONCAT(H1320,I1320,J1320)</f>
        <v>DAURDE</v>
      </c>
    </row>
    <row r="1321" customFormat="false" ht="15" hidden="false" customHeight="false" outlineLevel="0" collapsed="false">
      <c r="B1321" s="32" t="s">
        <v>48</v>
      </c>
      <c r="C1321" s="32" t="s">
        <v>298</v>
      </c>
      <c r="D1321" s="33" t="n">
        <v>46049.6006944444</v>
      </c>
      <c r="E1321" s="33" t="n">
        <v>46049.6006944444</v>
      </c>
      <c r="F1321" s="33" t="n">
        <v>46049.6805555556</v>
      </c>
      <c r="G1321" s="34" t="n">
        <f aca="false">F1321-E1321</f>
        <v>0.0798611111111111</v>
      </c>
      <c r="H1321" s="39" t="s">
        <v>252</v>
      </c>
      <c r="J1321" s="39" t="s">
        <v>253</v>
      </c>
      <c r="K1321" s="32" t="s">
        <v>266</v>
      </c>
      <c r="L1321" s="32" t="s">
        <v>657</v>
      </c>
      <c r="M1321" s="39" t="s">
        <v>255</v>
      </c>
      <c r="N1321" s="39" t="s">
        <v>256</v>
      </c>
      <c r="O1321" s="32" t="s">
        <v>644</v>
      </c>
      <c r="P1321" s="40" t="str">
        <f aca="false">_xlfn.CONCAT(B1321,C1321,D1321,E1321,F1321)</f>
        <v>BC Caiaponia1SG60KTL(COM1-005)_001_01746049.600694444446049.600694444446049.6805555556</v>
      </c>
      <c r="Q1321" s="32" t="str">
        <f aca="false">_xlfn.CONCAT(H1321,I1321,J1321)</f>
        <v>DAURDE</v>
      </c>
    </row>
    <row r="1322" customFormat="false" ht="15" hidden="false" customHeight="false" outlineLevel="0" collapsed="false">
      <c r="B1322" s="32" t="s">
        <v>48</v>
      </c>
      <c r="C1322" s="32" t="s">
        <v>299</v>
      </c>
      <c r="D1322" s="33" t="n">
        <v>46049.6006944444</v>
      </c>
      <c r="E1322" s="33" t="n">
        <v>46049.6006944444</v>
      </c>
      <c r="F1322" s="33" t="n">
        <v>46049.6805555556</v>
      </c>
      <c r="G1322" s="34" t="n">
        <f aca="false">F1322-E1322</f>
        <v>0.0798611111111111</v>
      </c>
      <c r="H1322" s="39" t="s">
        <v>252</v>
      </c>
      <c r="J1322" s="39" t="s">
        <v>253</v>
      </c>
      <c r="K1322" s="32" t="s">
        <v>266</v>
      </c>
      <c r="L1322" s="32" t="s">
        <v>657</v>
      </c>
      <c r="M1322" s="39" t="s">
        <v>255</v>
      </c>
      <c r="N1322" s="39" t="s">
        <v>256</v>
      </c>
      <c r="O1322" s="32" t="s">
        <v>644</v>
      </c>
      <c r="P1322" s="40" t="str">
        <f aca="false">_xlfn.CONCAT(B1322,C1322,D1322,E1322,F1322)</f>
        <v>BC Caiaponia1SG60KTL(COM1-006)_001_01646049.600694444446049.600694444446049.6805555556</v>
      </c>
      <c r="Q1322" s="32" t="str">
        <f aca="false">_xlfn.CONCAT(H1322,I1322,J1322)</f>
        <v>DAURDE</v>
      </c>
    </row>
    <row r="1323" customFormat="false" ht="15" hidden="false" customHeight="false" outlineLevel="0" collapsed="false">
      <c r="B1323" s="32" t="s">
        <v>48</v>
      </c>
      <c r="C1323" s="32" t="s">
        <v>300</v>
      </c>
      <c r="D1323" s="33" t="n">
        <v>46049.6006944444</v>
      </c>
      <c r="E1323" s="33" t="n">
        <v>46049.6006944444</v>
      </c>
      <c r="F1323" s="33" t="n">
        <v>46049.6805555556</v>
      </c>
      <c r="G1323" s="34" t="n">
        <f aca="false">F1323-E1323</f>
        <v>0.0798611111111111</v>
      </c>
      <c r="H1323" s="39" t="s">
        <v>252</v>
      </c>
      <c r="J1323" s="39" t="s">
        <v>253</v>
      </c>
      <c r="K1323" s="32" t="s">
        <v>266</v>
      </c>
      <c r="L1323" s="32" t="s">
        <v>657</v>
      </c>
      <c r="M1323" s="39" t="s">
        <v>255</v>
      </c>
      <c r="N1323" s="39" t="s">
        <v>256</v>
      </c>
      <c r="O1323" s="32" t="s">
        <v>644</v>
      </c>
      <c r="P1323" s="40" t="str">
        <f aca="false">_xlfn.CONCAT(B1323,C1323,D1323,E1323,F1323)</f>
        <v>BC Caiaponia1SG60KTL(COM1-007)_001_01346049.600694444446049.600694444446049.6805555556</v>
      </c>
      <c r="Q1323" s="32" t="str">
        <f aca="false">_xlfn.CONCAT(H1323,I1323,J1323)</f>
        <v>DAURDE</v>
      </c>
    </row>
    <row r="1324" customFormat="false" ht="15" hidden="false" customHeight="false" outlineLevel="0" collapsed="false">
      <c r="B1324" s="32" t="s">
        <v>48</v>
      </c>
      <c r="C1324" s="32" t="s">
        <v>301</v>
      </c>
      <c r="D1324" s="33" t="n">
        <v>46049.6006944444</v>
      </c>
      <c r="E1324" s="33" t="n">
        <v>46049.6006944444</v>
      </c>
      <c r="F1324" s="33" t="n">
        <v>46049.6805555556</v>
      </c>
      <c r="G1324" s="34" t="n">
        <f aca="false">F1324-E1324</f>
        <v>0.0798611111111111</v>
      </c>
      <c r="H1324" s="39" t="s">
        <v>252</v>
      </c>
      <c r="J1324" s="39" t="s">
        <v>253</v>
      </c>
      <c r="K1324" s="32" t="s">
        <v>266</v>
      </c>
      <c r="L1324" s="32" t="s">
        <v>657</v>
      </c>
      <c r="M1324" s="39" t="s">
        <v>255</v>
      </c>
      <c r="N1324" s="39" t="s">
        <v>256</v>
      </c>
      <c r="O1324" s="32" t="s">
        <v>644</v>
      </c>
      <c r="P1324" s="40" t="str">
        <f aca="false">_xlfn.CONCAT(B1324,C1324,D1324,E1324,F1324)</f>
        <v>BC Caiaponia1SG60KTL(COM1-008)_001_00146049.600694444446049.600694444446049.6805555556</v>
      </c>
      <c r="Q1324" s="32" t="str">
        <f aca="false">_xlfn.CONCAT(H1324,I1324,J1324)</f>
        <v>DAURDE</v>
      </c>
    </row>
    <row r="1325" customFormat="false" ht="15" hidden="false" customHeight="false" outlineLevel="0" collapsed="false">
      <c r="B1325" s="32" t="s">
        <v>48</v>
      </c>
      <c r="C1325" s="32" t="s">
        <v>302</v>
      </c>
      <c r="D1325" s="33" t="n">
        <v>46049.6006944444</v>
      </c>
      <c r="E1325" s="33" t="n">
        <v>46049.6006944444</v>
      </c>
      <c r="F1325" s="33" t="n">
        <v>46049.6805555556</v>
      </c>
      <c r="G1325" s="34" t="n">
        <f aca="false">F1325-E1325</f>
        <v>0.0798611111111111</v>
      </c>
      <c r="H1325" s="39" t="s">
        <v>252</v>
      </c>
      <c r="J1325" s="39" t="s">
        <v>253</v>
      </c>
      <c r="K1325" s="32" t="s">
        <v>266</v>
      </c>
      <c r="L1325" s="32" t="s">
        <v>657</v>
      </c>
      <c r="M1325" s="39" t="s">
        <v>255</v>
      </c>
      <c r="N1325" s="39" t="s">
        <v>256</v>
      </c>
      <c r="O1325" s="32" t="s">
        <v>644</v>
      </c>
      <c r="P1325" s="40" t="str">
        <f aca="false">_xlfn.CONCAT(B1325,C1325,D1325,E1325,F1325)</f>
        <v>BC Caiaponia1SG60KTL(COM1-009)46049.600694444446049.600694444446049.6805555556</v>
      </c>
      <c r="Q1325" s="32" t="str">
        <f aca="false">_xlfn.CONCAT(H1325,I1325,J1325)</f>
        <v>DAURDE</v>
      </c>
    </row>
    <row r="1326" customFormat="false" ht="15" hidden="false" customHeight="false" outlineLevel="0" collapsed="false">
      <c r="B1326" s="32" t="s">
        <v>48</v>
      </c>
      <c r="C1326" s="32" t="s">
        <v>303</v>
      </c>
      <c r="D1326" s="33" t="n">
        <v>46049.6006944444</v>
      </c>
      <c r="E1326" s="33" t="n">
        <v>46049.6006944444</v>
      </c>
      <c r="F1326" s="33" t="n">
        <v>46049.6805555556</v>
      </c>
      <c r="G1326" s="34" t="n">
        <f aca="false">F1326-E1326</f>
        <v>0.0798611111111111</v>
      </c>
      <c r="H1326" s="39" t="s">
        <v>252</v>
      </c>
      <c r="J1326" s="39" t="s">
        <v>253</v>
      </c>
      <c r="K1326" s="32" t="s">
        <v>266</v>
      </c>
      <c r="L1326" s="32" t="s">
        <v>657</v>
      </c>
      <c r="M1326" s="39" t="s">
        <v>255</v>
      </c>
      <c r="N1326" s="39" t="s">
        <v>256</v>
      </c>
      <c r="O1326" s="32" t="s">
        <v>644</v>
      </c>
      <c r="P1326" s="40" t="str">
        <f aca="false">_xlfn.CONCAT(B1326,C1326,D1326,E1326,F1326)</f>
        <v>BC Caiaponia1SG60KTL(COM1-010)46049.600694444446049.600694444446049.6805555556</v>
      </c>
      <c r="Q1326" s="32" t="str">
        <f aca="false">_xlfn.CONCAT(H1326,I1326,J1326)</f>
        <v>DAURDE</v>
      </c>
    </row>
    <row r="1327" customFormat="false" ht="15" hidden="false" customHeight="false" outlineLevel="0" collapsed="false">
      <c r="B1327" s="32" t="s">
        <v>48</v>
      </c>
      <c r="C1327" s="32" t="s">
        <v>304</v>
      </c>
      <c r="D1327" s="33" t="n">
        <v>46049.6006944444</v>
      </c>
      <c r="E1327" s="33" t="n">
        <v>46049.6006944444</v>
      </c>
      <c r="F1327" s="33" t="n">
        <v>46049.6805555556</v>
      </c>
      <c r="G1327" s="34" t="n">
        <f aca="false">F1327-E1327</f>
        <v>0.0798611111111111</v>
      </c>
      <c r="H1327" s="39" t="s">
        <v>252</v>
      </c>
      <c r="J1327" s="39" t="s">
        <v>253</v>
      </c>
      <c r="K1327" s="32" t="s">
        <v>266</v>
      </c>
      <c r="L1327" s="32" t="s">
        <v>657</v>
      </c>
      <c r="M1327" s="39" t="s">
        <v>255</v>
      </c>
      <c r="N1327" s="39" t="s">
        <v>256</v>
      </c>
      <c r="O1327" s="32" t="s">
        <v>644</v>
      </c>
      <c r="P1327" s="40" t="str">
        <f aca="false">_xlfn.CONCAT(B1327,C1327,D1327,E1327,F1327)</f>
        <v>BC Caiaponia1SG60KTL(COM1-011)46049.600694444446049.600694444446049.6805555556</v>
      </c>
      <c r="Q1327" s="32" t="str">
        <f aca="false">_xlfn.CONCAT(H1327,I1327,J1327)</f>
        <v>DAURDE</v>
      </c>
    </row>
    <row r="1328" customFormat="false" ht="15" hidden="false" customHeight="false" outlineLevel="0" collapsed="false">
      <c r="B1328" s="32" t="s">
        <v>48</v>
      </c>
      <c r="C1328" s="32" t="s">
        <v>305</v>
      </c>
      <c r="D1328" s="33" t="n">
        <v>46049.6006944444</v>
      </c>
      <c r="E1328" s="33" t="n">
        <v>46049.6006944444</v>
      </c>
      <c r="F1328" s="33" t="n">
        <v>46049.6805555556</v>
      </c>
      <c r="G1328" s="34" t="n">
        <f aca="false">F1328-E1328</f>
        <v>0.0798611111111111</v>
      </c>
      <c r="H1328" s="39" t="s">
        <v>252</v>
      </c>
      <c r="J1328" s="39" t="s">
        <v>253</v>
      </c>
      <c r="K1328" s="32" t="s">
        <v>266</v>
      </c>
      <c r="L1328" s="32" t="s">
        <v>657</v>
      </c>
      <c r="M1328" s="39" t="s">
        <v>255</v>
      </c>
      <c r="N1328" s="39" t="s">
        <v>256</v>
      </c>
      <c r="O1328" s="32" t="s">
        <v>644</v>
      </c>
      <c r="P1328" s="40" t="str">
        <f aca="false">_xlfn.CONCAT(B1328,C1328,D1328,E1328,F1328)</f>
        <v>BC Caiaponia1SG60KTL(COM1-012)46049.600694444446049.600694444446049.6805555556</v>
      </c>
      <c r="Q1328" s="32" t="str">
        <f aca="false">_xlfn.CONCAT(H1328,I1328,J1328)</f>
        <v>DAURDE</v>
      </c>
    </row>
    <row r="1329" customFormat="false" ht="15" hidden="false" customHeight="false" outlineLevel="0" collapsed="false">
      <c r="B1329" s="32" t="s">
        <v>48</v>
      </c>
      <c r="C1329" s="32" t="s">
        <v>306</v>
      </c>
      <c r="D1329" s="33" t="n">
        <v>46049.6006944444</v>
      </c>
      <c r="E1329" s="33" t="n">
        <v>46049.6006944444</v>
      </c>
      <c r="F1329" s="33" t="n">
        <v>46049.6805555556</v>
      </c>
      <c r="G1329" s="34" t="n">
        <f aca="false">F1329-E1329</f>
        <v>0.0798611111111111</v>
      </c>
      <c r="H1329" s="39" t="s">
        <v>252</v>
      </c>
      <c r="J1329" s="39" t="s">
        <v>253</v>
      </c>
      <c r="K1329" s="32" t="s">
        <v>266</v>
      </c>
      <c r="L1329" s="32" t="s">
        <v>657</v>
      </c>
      <c r="M1329" s="39" t="s">
        <v>255</v>
      </c>
      <c r="N1329" s="39" t="s">
        <v>256</v>
      </c>
      <c r="O1329" s="32" t="s">
        <v>644</v>
      </c>
      <c r="P1329" s="40" t="str">
        <f aca="false">_xlfn.CONCAT(B1329,C1329,D1329,E1329,F1329)</f>
        <v>BC Caiaponia1SG60KTL(COM1-013)46049.600694444446049.600694444446049.6805555556</v>
      </c>
      <c r="Q1329" s="32" t="str">
        <f aca="false">_xlfn.CONCAT(H1329,I1329,J1329)</f>
        <v>DAURDE</v>
      </c>
    </row>
    <row r="1330" customFormat="false" ht="15" hidden="false" customHeight="false" outlineLevel="0" collapsed="false">
      <c r="B1330" s="32" t="s">
        <v>48</v>
      </c>
      <c r="C1330" s="32" t="s">
        <v>307</v>
      </c>
      <c r="D1330" s="33" t="n">
        <v>46049.6006944444</v>
      </c>
      <c r="E1330" s="33" t="n">
        <v>46049.6006944444</v>
      </c>
      <c r="F1330" s="33" t="n">
        <v>46049.6805555556</v>
      </c>
      <c r="G1330" s="34" t="n">
        <f aca="false">F1330-E1330</f>
        <v>0.0798611111111111</v>
      </c>
      <c r="H1330" s="39" t="s">
        <v>252</v>
      </c>
      <c r="J1330" s="39" t="s">
        <v>253</v>
      </c>
      <c r="K1330" s="32" t="s">
        <v>266</v>
      </c>
      <c r="L1330" s="32" t="s">
        <v>657</v>
      </c>
      <c r="M1330" s="39" t="s">
        <v>255</v>
      </c>
      <c r="N1330" s="39" t="s">
        <v>256</v>
      </c>
      <c r="O1330" s="32" t="s">
        <v>644</v>
      </c>
      <c r="P1330" s="40" t="str">
        <f aca="false">_xlfn.CONCAT(B1330,C1330,D1330,E1330,F1330)</f>
        <v>BC Caiaponia1SG60KTL(COM1-014)46049.600694444446049.600694444446049.6805555556</v>
      </c>
      <c r="Q1330" s="32" t="str">
        <f aca="false">_xlfn.CONCAT(H1330,I1330,J1330)</f>
        <v>DAURDE</v>
      </c>
    </row>
    <row r="1331" customFormat="false" ht="15" hidden="false" customHeight="false" outlineLevel="0" collapsed="false">
      <c r="B1331" s="32" t="s">
        <v>48</v>
      </c>
      <c r="C1331" s="32" t="s">
        <v>308</v>
      </c>
      <c r="D1331" s="33" t="n">
        <v>46049.6006944444</v>
      </c>
      <c r="E1331" s="33" t="n">
        <v>46049.6006944444</v>
      </c>
      <c r="F1331" s="33" t="n">
        <v>46049.6805555556</v>
      </c>
      <c r="G1331" s="34" t="n">
        <f aca="false">F1331-E1331</f>
        <v>0.0798611111111111</v>
      </c>
      <c r="H1331" s="39" t="s">
        <v>252</v>
      </c>
      <c r="J1331" s="39" t="s">
        <v>253</v>
      </c>
      <c r="K1331" s="32" t="s">
        <v>266</v>
      </c>
      <c r="L1331" s="32" t="s">
        <v>657</v>
      </c>
      <c r="M1331" s="39" t="s">
        <v>255</v>
      </c>
      <c r="N1331" s="39" t="s">
        <v>256</v>
      </c>
      <c r="O1331" s="32" t="s">
        <v>644</v>
      </c>
      <c r="P1331" s="40" t="str">
        <f aca="false">_xlfn.CONCAT(B1331,C1331,D1331,E1331,F1331)</f>
        <v>BC Caiaponia1SG60KTL(COM1-015)46049.600694444446049.600694444446049.6805555556</v>
      </c>
      <c r="Q1331" s="32" t="str">
        <f aca="false">_xlfn.CONCAT(H1331,I1331,J1331)</f>
        <v>DAURDE</v>
      </c>
    </row>
    <row r="1332" customFormat="false" ht="15" hidden="false" customHeight="false" outlineLevel="0" collapsed="false">
      <c r="B1332" s="32" t="s">
        <v>48</v>
      </c>
      <c r="C1332" s="32" t="s">
        <v>309</v>
      </c>
      <c r="D1332" s="33" t="n">
        <v>46049.6006944444</v>
      </c>
      <c r="E1332" s="33" t="n">
        <v>46049.6006944444</v>
      </c>
      <c r="F1332" s="33" t="n">
        <v>46049.6805555556</v>
      </c>
      <c r="G1332" s="34" t="n">
        <f aca="false">F1332-E1332</f>
        <v>0.0798611111111111</v>
      </c>
      <c r="H1332" s="39" t="s">
        <v>252</v>
      </c>
      <c r="J1332" s="39" t="s">
        <v>253</v>
      </c>
      <c r="K1332" s="32" t="s">
        <v>266</v>
      </c>
      <c r="L1332" s="32" t="s">
        <v>657</v>
      </c>
      <c r="M1332" s="39" t="s">
        <v>255</v>
      </c>
      <c r="N1332" s="39" t="s">
        <v>256</v>
      </c>
      <c r="O1332" s="32" t="s">
        <v>644</v>
      </c>
      <c r="P1332" s="40" t="str">
        <f aca="false">_xlfn.CONCAT(B1332,C1332,D1332,E1332,F1332)</f>
        <v>BC Caiaponia1SG60KTL(COM3-016)_001_00946049.600694444446049.600694444446049.6805555556</v>
      </c>
      <c r="Q1332" s="32" t="str">
        <f aca="false">_xlfn.CONCAT(H1332,I1332,J1332)</f>
        <v>DAURDE</v>
      </c>
    </row>
    <row r="1333" customFormat="false" ht="15" hidden="false" customHeight="false" outlineLevel="0" collapsed="false">
      <c r="B1333" s="32" t="s">
        <v>48</v>
      </c>
      <c r="C1333" s="32" t="s">
        <v>310</v>
      </c>
      <c r="D1333" s="33" t="n">
        <v>46049.6006944444</v>
      </c>
      <c r="E1333" s="33" t="n">
        <v>46049.6006944444</v>
      </c>
      <c r="F1333" s="33" t="n">
        <v>46049.6805555556</v>
      </c>
      <c r="G1333" s="34" t="n">
        <f aca="false">F1333-E1333</f>
        <v>0.0798611111111111</v>
      </c>
      <c r="H1333" s="39" t="s">
        <v>252</v>
      </c>
      <c r="J1333" s="39" t="s">
        <v>253</v>
      </c>
      <c r="K1333" s="32" t="s">
        <v>266</v>
      </c>
      <c r="L1333" s="32" t="s">
        <v>657</v>
      </c>
      <c r="M1333" s="39" t="s">
        <v>255</v>
      </c>
      <c r="N1333" s="39" t="s">
        <v>256</v>
      </c>
      <c r="O1333" s="32" t="s">
        <v>644</v>
      </c>
      <c r="P1333" s="40" t="str">
        <f aca="false">_xlfn.CONCAT(B1333,C1333,D1333,E1333,F1333)</f>
        <v>BC Caiaponia1SG60KTL(COM3-017)_001_01246049.600694444446049.600694444446049.6805555556</v>
      </c>
      <c r="Q1333" s="32" t="str">
        <f aca="false">_xlfn.CONCAT(H1333,I1333,J1333)</f>
        <v>DAURDE</v>
      </c>
    </row>
    <row r="1334" customFormat="false" ht="15" hidden="false" customHeight="false" outlineLevel="0" collapsed="false">
      <c r="B1334" s="32" t="s">
        <v>48</v>
      </c>
      <c r="C1334" s="32" t="s">
        <v>311</v>
      </c>
      <c r="D1334" s="33" t="n">
        <v>46049.6006944444</v>
      </c>
      <c r="E1334" s="33" t="n">
        <v>46049.6006944444</v>
      </c>
      <c r="F1334" s="33" t="n">
        <v>46049.6805555556</v>
      </c>
      <c r="G1334" s="34" t="n">
        <f aca="false">F1334-E1334</f>
        <v>0.0798611111111111</v>
      </c>
      <c r="H1334" s="39" t="s">
        <v>252</v>
      </c>
      <c r="J1334" s="39" t="s">
        <v>253</v>
      </c>
      <c r="K1334" s="32" t="s">
        <v>266</v>
      </c>
      <c r="L1334" s="32" t="s">
        <v>657</v>
      </c>
      <c r="M1334" s="39" t="s">
        <v>255</v>
      </c>
      <c r="N1334" s="39" t="s">
        <v>256</v>
      </c>
      <c r="O1334" s="32" t="s">
        <v>644</v>
      </c>
      <c r="P1334" s="40" t="str">
        <f aca="false">_xlfn.CONCAT(B1334,C1334,D1334,E1334,F1334)</f>
        <v>BC Caiaponia1SG60KTL(COM3-018)_001_00846049.600694444446049.600694444446049.6805555556</v>
      </c>
      <c r="Q1334" s="32" t="str">
        <f aca="false">_xlfn.CONCAT(H1334,I1334,J1334)</f>
        <v>DAURDE</v>
      </c>
    </row>
    <row r="1335" customFormat="false" ht="15" hidden="false" customHeight="false" outlineLevel="0" collapsed="false">
      <c r="B1335" s="32" t="s">
        <v>48</v>
      </c>
      <c r="C1335" s="32" t="s">
        <v>312</v>
      </c>
      <c r="D1335" s="33" t="n">
        <v>46049.6006944444</v>
      </c>
      <c r="E1335" s="33" t="n">
        <v>46049.6006944444</v>
      </c>
      <c r="F1335" s="33" t="n">
        <v>46049.6805555556</v>
      </c>
      <c r="G1335" s="34" t="n">
        <f aca="false">F1335-E1335</f>
        <v>0.0798611111111111</v>
      </c>
      <c r="H1335" s="39" t="s">
        <v>252</v>
      </c>
      <c r="J1335" s="39" t="s">
        <v>253</v>
      </c>
      <c r="K1335" s="32" t="s">
        <v>266</v>
      </c>
      <c r="L1335" s="32" t="s">
        <v>657</v>
      </c>
      <c r="M1335" s="39" t="s">
        <v>255</v>
      </c>
      <c r="N1335" s="39" t="s">
        <v>256</v>
      </c>
      <c r="O1335" s="32" t="s">
        <v>644</v>
      </c>
      <c r="P1335" s="40" t="str">
        <f aca="false">_xlfn.CONCAT(B1335,C1335,D1335,E1335,F1335)</f>
        <v>BC Caiaponia1SG60KTL(COM3-019)_001_01946049.600694444446049.600694444446049.6805555556</v>
      </c>
      <c r="Q1335" s="32" t="str">
        <f aca="false">_xlfn.CONCAT(H1335,I1335,J1335)</f>
        <v>DAURDE</v>
      </c>
    </row>
    <row r="1336" customFormat="false" ht="15" hidden="false" customHeight="false" outlineLevel="0" collapsed="false">
      <c r="B1336" s="32" t="s">
        <v>48</v>
      </c>
      <c r="C1336" s="32" t="s">
        <v>313</v>
      </c>
      <c r="D1336" s="33" t="n">
        <v>46049.6006944444</v>
      </c>
      <c r="E1336" s="33" t="n">
        <v>46049.6006944444</v>
      </c>
      <c r="F1336" s="33" t="n">
        <v>46049.6805555556</v>
      </c>
      <c r="G1336" s="34" t="n">
        <f aca="false">F1336-E1336</f>
        <v>0.0798611111111111</v>
      </c>
      <c r="H1336" s="39" t="s">
        <v>252</v>
      </c>
      <c r="J1336" s="39" t="s">
        <v>253</v>
      </c>
      <c r="K1336" s="32" t="s">
        <v>266</v>
      </c>
      <c r="L1336" s="32" t="s">
        <v>657</v>
      </c>
      <c r="M1336" s="39" t="s">
        <v>255</v>
      </c>
      <c r="N1336" s="39" t="s">
        <v>256</v>
      </c>
      <c r="O1336" s="32" t="s">
        <v>644</v>
      </c>
      <c r="P1336" s="40" t="str">
        <f aca="false">_xlfn.CONCAT(B1336,C1336,D1336,E1336,F1336)</f>
        <v>BC Caiaponia1SG60KTL(COM3-020)_001_02046049.600694444446049.600694444446049.6805555556</v>
      </c>
      <c r="Q1336" s="32" t="str">
        <f aca="false">_xlfn.CONCAT(H1336,I1336,J1336)</f>
        <v>DAURDE</v>
      </c>
    </row>
    <row r="1337" customFormat="false" ht="15" hidden="false" customHeight="false" outlineLevel="0" collapsed="false">
      <c r="B1337" s="32" t="s">
        <v>48</v>
      </c>
      <c r="C1337" s="32" t="s">
        <v>314</v>
      </c>
      <c r="D1337" s="33" t="n">
        <v>46049.6006944444</v>
      </c>
      <c r="E1337" s="33" t="n">
        <v>46049.6006944444</v>
      </c>
      <c r="F1337" s="33" t="n">
        <v>46049.6805555556</v>
      </c>
      <c r="G1337" s="34" t="n">
        <f aca="false">F1337-E1337</f>
        <v>0.0798611111111111</v>
      </c>
      <c r="H1337" s="39" t="s">
        <v>252</v>
      </c>
      <c r="J1337" s="39" t="s">
        <v>253</v>
      </c>
      <c r="K1337" s="32" t="s">
        <v>266</v>
      </c>
      <c r="L1337" s="32" t="s">
        <v>657</v>
      </c>
      <c r="M1337" s="39" t="s">
        <v>255</v>
      </c>
      <c r="N1337" s="39" t="s">
        <v>256</v>
      </c>
      <c r="O1337" s="32" t="s">
        <v>644</v>
      </c>
      <c r="P1337" s="40" t="str">
        <f aca="false">_xlfn.CONCAT(B1337,C1337,D1337,E1337,F1337)</f>
        <v>BC Caiaponia1SG60KTL(COM2-026)46049.600694444446049.600694444446049.6805555556</v>
      </c>
      <c r="Q1337" s="32" t="str">
        <f aca="false">_xlfn.CONCAT(H1337,I1337,J1337)</f>
        <v>DAURDE</v>
      </c>
    </row>
    <row r="1338" customFormat="false" ht="15" hidden="false" customHeight="false" outlineLevel="0" collapsed="false">
      <c r="B1338" s="32" t="s">
        <v>48</v>
      </c>
      <c r="C1338" s="32" t="s">
        <v>315</v>
      </c>
      <c r="D1338" s="33" t="n">
        <v>46049.6006944444</v>
      </c>
      <c r="E1338" s="33" t="n">
        <v>46049.6006944444</v>
      </c>
      <c r="F1338" s="33" t="n">
        <v>46049.6805555556</v>
      </c>
      <c r="G1338" s="34" t="n">
        <f aca="false">F1338-E1338</f>
        <v>0.0798611111111111</v>
      </c>
      <c r="H1338" s="39" t="s">
        <v>252</v>
      </c>
      <c r="J1338" s="39" t="s">
        <v>253</v>
      </c>
      <c r="K1338" s="32" t="s">
        <v>266</v>
      </c>
      <c r="L1338" s="32" t="s">
        <v>657</v>
      </c>
      <c r="M1338" s="39" t="s">
        <v>255</v>
      </c>
      <c r="N1338" s="39" t="s">
        <v>256</v>
      </c>
      <c r="O1338" s="32" t="s">
        <v>644</v>
      </c>
      <c r="P1338" s="40" t="str">
        <f aca="false">_xlfn.CONCAT(B1338,C1338,D1338,E1338,F1338)</f>
        <v>BC Caiaponia1SG60KTL(COM2-027)46049.600694444446049.600694444446049.6805555556</v>
      </c>
      <c r="Q1338" s="32" t="str">
        <f aca="false">_xlfn.CONCAT(H1338,I1338,J1338)</f>
        <v>DAURDE</v>
      </c>
    </row>
    <row r="1339" customFormat="false" ht="15" hidden="false" customHeight="false" outlineLevel="0" collapsed="false">
      <c r="B1339" s="32" t="s">
        <v>48</v>
      </c>
      <c r="C1339" s="32" t="s">
        <v>316</v>
      </c>
      <c r="D1339" s="33" t="n">
        <v>46049.6006944444</v>
      </c>
      <c r="E1339" s="33" t="n">
        <v>46049.6006944444</v>
      </c>
      <c r="F1339" s="33" t="n">
        <v>46049.6805555556</v>
      </c>
      <c r="G1339" s="34" t="n">
        <f aca="false">F1339-E1339</f>
        <v>0.0798611111111111</v>
      </c>
      <c r="H1339" s="39" t="s">
        <v>252</v>
      </c>
      <c r="J1339" s="39" t="s">
        <v>253</v>
      </c>
      <c r="K1339" s="32" t="s">
        <v>266</v>
      </c>
      <c r="L1339" s="32" t="s">
        <v>657</v>
      </c>
      <c r="M1339" s="39" t="s">
        <v>255</v>
      </c>
      <c r="N1339" s="39" t="s">
        <v>256</v>
      </c>
      <c r="O1339" s="32" t="s">
        <v>644</v>
      </c>
      <c r="P1339" s="40" t="str">
        <f aca="false">_xlfn.CONCAT(B1339,C1339,D1339,E1339,F1339)</f>
        <v>BC Caiaponia1SG60KTL(COM2-028)46049.600694444446049.600694444446049.6805555556</v>
      </c>
      <c r="Q1339" s="32" t="str">
        <f aca="false">_xlfn.CONCAT(H1339,I1339,J1339)</f>
        <v>DAURDE</v>
      </c>
    </row>
    <row r="1340" customFormat="false" ht="15" hidden="false" customHeight="false" outlineLevel="0" collapsed="false">
      <c r="B1340" s="32" t="s">
        <v>48</v>
      </c>
      <c r="C1340" s="32" t="s">
        <v>317</v>
      </c>
      <c r="D1340" s="33" t="n">
        <v>46049.6006944444</v>
      </c>
      <c r="E1340" s="33" t="n">
        <v>46049.6006944444</v>
      </c>
      <c r="F1340" s="33" t="n">
        <v>46049.6805555556</v>
      </c>
      <c r="G1340" s="34" t="n">
        <f aca="false">F1340-E1340</f>
        <v>0.0798611111111111</v>
      </c>
      <c r="H1340" s="39" t="s">
        <v>252</v>
      </c>
      <c r="J1340" s="39" t="s">
        <v>253</v>
      </c>
      <c r="K1340" s="32" t="s">
        <v>266</v>
      </c>
      <c r="L1340" s="32" t="s">
        <v>657</v>
      </c>
      <c r="M1340" s="39" t="s">
        <v>255</v>
      </c>
      <c r="N1340" s="39" t="s">
        <v>256</v>
      </c>
      <c r="O1340" s="32" t="s">
        <v>644</v>
      </c>
      <c r="P1340" s="40" t="str">
        <f aca="false">_xlfn.CONCAT(B1340,C1340,D1340,E1340,F1340)</f>
        <v>BC Caiaponia1SG60KTL(COM2-029)46049.600694444446049.600694444446049.6805555556</v>
      </c>
      <c r="Q1340" s="32" t="str">
        <f aca="false">_xlfn.CONCAT(H1340,I1340,J1340)</f>
        <v>DAURDE</v>
      </c>
    </row>
    <row r="1341" customFormat="false" ht="15" hidden="false" customHeight="false" outlineLevel="0" collapsed="false">
      <c r="B1341" s="32" t="s">
        <v>48</v>
      </c>
      <c r="C1341" s="32" t="s">
        <v>318</v>
      </c>
      <c r="D1341" s="33" t="n">
        <v>46049.6006944444</v>
      </c>
      <c r="E1341" s="33" t="n">
        <v>46049.6006944444</v>
      </c>
      <c r="F1341" s="33" t="n">
        <v>46049.6805555556</v>
      </c>
      <c r="G1341" s="34" t="n">
        <f aca="false">F1341-E1341</f>
        <v>0.0798611111111111</v>
      </c>
      <c r="H1341" s="39" t="s">
        <v>252</v>
      </c>
      <c r="J1341" s="39" t="s">
        <v>253</v>
      </c>
      <c r="K1341" s="32" t="s">
        <v>266</v>
      </c>
      <c r="L1341" s="32" t="s">
        <v>657</v>
      </c>
      <c r="M1341" s="39" t="s">
        <v>255</v>
      </c>
      <c r="N1341" s="39" t="s">
        <v>256</v>
      </c>
      <c r="O1341" s="32" t="s">
        <v>644</v>
      </c>
      <c r="P1341" s="40" t="str">
        <f aca="false">_xlfn.CONCAT(B1341,C1341,D1341,E1341,F1341)</f>
        <v>BC Caiaponia1SG50CX(COM1-021)46049.600694444446049.600694444446049.6805555556</v>
      </c>
      <c r="Q1341" s="32" t="str">
        <f aca="false">_xlfn.CONCAT(H1341,I1341,J1341)</f>
        <v>DAURDE</v>
      </c>
    </row>
    <row r="1342" customFormat="false" ht="15" hidden="false" customHeight="false" outlineLevel="0" collapsed="false">
      <c r="B1342" s="32" t="s">
        <v>48</v>
      </c>
      <c r="C1342" s="32" t="s">
        <v>319</v>
      </c>
      <c r="D1342" s="33" t="n">
        <v>46049.6006944444</v>
      </c>
      <c r="E1342" s="33" t="n">
        <v>46049.6006944444</v>
      </c>
      <c r="F1342" s="33" t="n">
        <v>46049.6805555556</v>
      </c>
      <c r="G1342" s="34" t="n">
        <f aca="false">F1342-E1342</f>
        <v>0.0798611111111111</v>
      </c>
      <c r="H1342" s="39" t="s">
        <v>252</v>
      </c>
      <c r="J1342" s="39" t="s">
        <v>253</v>
      </c>
      <c r="K1342" s="32" t="s">
        <v>266</v>
      </c>
      <c r="L1342" s="32" t="s">
        <v>657</v>
      </c>
      <c r="M1342" s="39" t="s">
        <v>255</v>
      </c>
      <c r="N1342" s="39" t="s">
        <v>256</v>
      </c>
      <c r="O1342" s="32" t="s">
        <v>644</v>
      </c>
      <c r="P1342" s="40" t="str">
        <f aca="false">_xlfn.CONCAT(B1342,C1342,D1342,E1342,F1342)</f>
        <v>BC Caiaponia1SG50CX(COM1-022)46049.600694444446049.600694444446049.6805555556</v>
      </c>
      <c r="Q1342" s="32" t="str">
        <f aca="false">_xlfn.CONCAT(H1342,I1342,J1342)</f>
        <v>DAURDE</v>
      </c>
    </row>
    <row r="1343" customFormat="false" ht="15" hidden="false" customHeight="false" outlineLevel="0" collapsed="false">
      <c r="B1343" s="32" t="s">
        <v>48</v>
      </c>
      <c r="C1343" s="32" t="s">
        <v>320</v>
      </c>
      <c r="D1343" s="33" t="n">
        <v>46049.6006944444</v>
      </c>
      <c r="E1343" s="33" t="n">
        <v>46049.6006944444</v>
      </c>
      <c r="F1343" s="33" t="n">
        <v>46049.6805555556</v>
      </c>
      <c r="G1343" s="34" t="n">
        <f aca="false">F1343-E1343</f>
        <v>0.0798611111111111</v>
      </c>
      <c r="H1343" s="39" t="s">
        <v>252</v>
      </c>
      <c r="J1343" s="39" t="s">
        <v>253</v>
      </c>
      <c r="K1343" s="32" t="s">
        <v>266</v>
      </c>
      <c r="L1343" s="32" t="s">
        <v>657</v>
      </c>
      <c r="M1343" s="39" t="s">
        <v>255</v>
      </c>
      <c r="N1343" s="39" t="s">
        <v>256</v>
      </c>
      <c r="O1343" s="32" t="s">
        <v>644</v>
      </c>
      <c r="P1343" s="40" t="str">
        <f aca="false">_xlfn.CONCAT(B1343,C1343,D1343,E1343,F1343)</f>
        <v>BC Caiaponia1SG50CX(COM1-023)46049.600694444446049.600694444446049.6805555556</v>
      </c>
      <c r="Q1343" s="32" t="str">
        <f aca="false">_xlfn.CONCAT(H1343,I1343,J1343)</f>
        <v>DAURDE</v>
      </c>
    </row>
    <row r="1344" customFormat="false" ht="15" hidden="false" customHeight="false" outlineLevel="0" collapsed="false">
      <c r="B1344" s="32" t="s">
        <v>48</v>
      </c>
      <c r="C1344" s="32" t="s">
        <v>321</v>
      </c>
      <c r="D1344" s="33" t="n">
        <v>46049.6006944444</v>
      </c>
      <c r="E1344" s="33" t="n">
        <v>46049.6006944444</v>
      </c>
      <c r="F1344" s="33" t="n">
        <v>46049.6805555556</v>
      </c>
      <c r="G1344" s="34" t="n">
        <f aca="false">F1344-E1344</f>
        <v>0.0798611111111111</v>
      </c>
      <c r="H1344" s="39" t="s">
        <v>252</v>
      </c>
      <c r="J1344" s="39" t="s">
        <v>253</v>
      </c>
      <c r="K1344" s="32" t="s">
        <v>266</v>
      </c>
      <c r="L1344" s="32" t="s">
        <v>657</v>
      </c>
      <c r="M1344" s="39" t="s">
        <v>255</v>
      </c>
      <c r="N1344" s="39" t="s">
        <v>256</v>
      </c>
      <c r="O1344" s="32" t="s">
        <v>644</v>
      </c>
      <c r="P1344" s="40" t="str">
        <f aca="false">_xlfn.CONCAT(B1344,C1344,D1344,E1344,F1344)</f>
        <v>BC Caiaponia1SG50CX(COM1-024)46049.600694444446049.600694444446049.6805555556</v>
      </c>
      <c r="Q1344" s="32" t="str">
        <f aca="false">_xlfn.CONCAT(H1344,I1344,J1344)</f>
        <v>DAURDE</v>
      </c>
    </row>
    <row r="1345" customFormat="false" ht="15" hidden="false" customHeight="false" outlineLevel="0" collapsed="false">
      <c r="B1345" s="32" t="s">
        <v>48</v>
      </c>
      <c r="C1345" s="32" t="s">
        <v>322</v>
      </c>
      <c r="D1345" s="33" t="n">
        <v>46049.6006944444</v>
      </c>
      <c r="E1345" s="33" t="n">
        <v>46049.6006944444</v>
      </c>
      <c r="F1345" s="33" t="n">
        <v>46049.6805555556</v>
      </c>
      <c r="G1345" s="34" t="n">
        <f aca="false">F1345-E1345</f>
        <v>0.0798611111111111</v>
      </c>
      <c r="H1345" s="39" t="s">
        <v>252</v>
      </c>
      <c r="J1345" s="39" t="s">
        <v>253</v>
      </c>
      <c r="K1345" s="32" t="s">
        <v>266</v>
      </c>
      <c r="L1345" s="32" t="s">
        <v>657</v>
      </c>
      <c r="M1345" s="39" t="s">
        <v>255</v>
      </c>
      <c r="N1345" s="39" t="s">
        <v>256</v>
      </c>
      <c r="O1345" s="32" t="s">
        <v>644</v>
      </c>
      <c r="P1345" s="40" t="str">
        <f aca="false">_xlfn.CONCAT(B1345,C1345,D1345,E1345,F1345)</f>
        <v>BC Caiaponia1SG50CX(COM1-025)46049.600694444446049.600694444446049.6805555556</v>
      </c>
      <c r="Q1345" s="32" t="str">
        <f aca="false">_xlfn.CONCAT(H1345,I1345,J1345)</f>
        <v>DAURDE</v>
      </c>
    </row>
    <row r="1346" customFormat="false" ht="15" hidden="false" customHeight="false" outlineLevel="0" collapsed="false">
      <c r="B1346" s="32" t="s">
        <v>250</v>
      </c>
      <c r="C1346" s="32" t="s">
        <v>251</v>
      </c>
      <c r="D1346" s="33" t="n">
        <v>46049.6006944444</v>
      </c>
      <c r="E1346" s="33" t="n">
        <v>46049.6006944444</v>
      </c>
      <c r="F1346" s="33" t="n">
        <v>46049.6805555556</v>
      </c>
      <c r="G1346" s="34" t="n">
        <f aca="false">F1346-E1346</f>
        <v>0.0798611111111111</v>
      </c>
      <c r="H1346" s="39" t="s">
        <v>252</v>
      </c>
      <c r="J1346" s="39" t="s">
        <v>253</v>
      </c>
      <c r="K1346" s="32" t="s">
        <v>266</v>
      </c>
      <c r="L1346" s="32" t="s">
        <v>657</v>
      </c>
      <c r="M1346" s="39" t="s">
        <v>255</v>
      </c>
      <c r="N1346" s="39" t="s">
        <v>256</v>
      </c>
      <c r="O1346" s="32" t="s">
        <v>644</v>
      </c>
      <c r="P1346" s="40" t="str">
        <f aca="false">_xlfn.CONCAT(B1346,C1346,D1346,E1346,F1346)</f>
        <v>BC Caiaponia2.1215KTL-H3(MBUS-12)46049.600694444446049.600694444446049.6805555556</v>
      </c>
      <c r="Q1346" s="32" t="str">
        <f aca="false">_xlfn.CONCAT(H1346,I1346,J1346)</f>
        <v>DAURDE</v>
      </c>
    </row>
    <row r="1347" customFormat="false" ht="15" hidden="false" customHeight="false" outlineLevel="0" collapsed="false">
      <c r="B1347" s="32" t="s">
        <v>250</v>
      </c>
      <c r="C1347" s="32" t="s">
        <v>258</v>
      </c>
      <c r="D1347" s="33" t="n">
        <v>46049.6006944444</v>
      </c>
      <c r="E1347" s="33" t="n">
        <v>46049.6006944444</v>
      </c>
      <c r="F1347" s="33" t="n">
        <v>46049.6805555556</v>
      </c>
      <c r="G1347" s="34" t="n">
        <f aca="false">F1347-E1347</f>
        <v>0.0798611111111111</v>
      </c>
      <c r="H1347" s="39" t="s">
        <v>252</v>
      </c>
      <c r="J1347" s="39" t="s">
        <v>253</v>
      </c>
      <c r="K1347" s="32" t="s">
        <v>266</v>
      </c>
      <c r="L1347" s="32" t="s">
        <v>657</v>
      </c>
      <c r="M1347" s="39" t="s">
        <v>255</v>
      </c>
      <c r="N1347" s="39" t="s">
        <v>256</v>
      </c>
      <c r="O1347" s="32" t="s">
        <v>644</v>
      </c>
      <c r="P1347" s="40" t="str">
        <f aca="false">_xlfn.CONCAT(B1347,C1347,D1347,E1347,F1347)</f>
        <v>BC Caiaponia2.1215KTL-H3(MBUS-13)46049.600694444446049.600694444446049.6805555556</v>
      </c>
      <c r="Q1347" s="32" t="str">
        <f aca="false">_xlfn.CONCAT(H1347,I1347,J1347)</f>
        <v>DAURDE</v>
      </c>
    </row>
    <row r="1348" customFormat="false" ht="15" hidden="false" customHeight="false" outlineLevel="0" collapsed="false">
      <c r="B1348" s="32" t="s">
        <v>250</v>
      </c>
      <c r="C1348" s="32" t="s">
        <v>259</v>
      </c>
      <c r="D1348" s="33" t="n">
        <v>46049.6006944444</v>
      </c>
      <c r="E1348" s="33" t="n">
        <v>46049.6006944444</v>
      </c>
      <c r="F1348" s="33" t="n">
        <v>46049.6805555556</v>
      </c>
      <c r="G1348" s="34" t="n">
        <f aca="false">F1348-E1348</f>
        <v>0.0798611111111111</v>
      </c>
      <c r="H1348" s="39" t="s">
        <v>252</v>
      </c>
      <c r="J1348" s="39" t="s">
        <v>253</v>
      </c>
      <c r="K1348" s="32" t="s">
        <v>266</v>
      </c>
      <c r="L1348" s="32" t="s">
        <v>657</v>
      </c>
      <c r="M1348" s="39" t="s">
        <v>255</v>
      </c>
      <c r="N1348" s="39" t="s">
        <v>256</v>
      </c>
      <c r="O1348" s="32" t="s">
        <v>644</v>
      </c>
      <c r="P1348" s="40" t="str">
        <f aca="false">_xlfn.CONCAT(B1348,C1348,D1348,E1348,F1348)</f>
        <v>BC Caiaponia2.1215KTL-H3(MBUS-14)46049.600694444446049.600694444446049.6805555556</v>
      </c>
      <c r="Q1348" s="32" t="str">
        <f aca="false">_xlfn.CONCAT(H1348,I1348,J1348)</f>
        <v>DAURDE</v>
      </c>
    </row>
    <row r="1349" customFormat="false" ht="15" hidden="false" customHeight="false" outlineLevel="0" collapsed="false">
      <c r="B1349" s="32" t="s">
        <v>250</v>
      </c>
      <c r="C1349" s="32" t="s">
        <v>260</v>
      </c>
      <c r="D1349" s="33" t="n">
        <v>46049.6006944444</v>
      </c>
      <c r="E1349" s="33" t="n">
        <v>46049.6006944444</v>
      </c>
      <c r="F1349" s="33" t="n">
        <v>46049.6805555556</v>
      </c>
      <c r="G1349" s="34" t="n">
        <f aca="false">F1349-E1349</f>
        <v>0.0798611111111111</v>
      </c>
      <c r="H1349" s="39" t="s">
        <v>252</v>
      </c>
      <c r="J1349" s="39" t="s">
        <v>253</v>
      </c>
      <c r="K1349" s="32" t="s">
        <v>266</v>
      </c>
      <c r="L1349" s="32" t="s">
        <v>657</v>
      </c>
      <c r="M1349" s="39" t="s">
        <v>255</v>
      </c>
      <c r="N1349" s="39" t="s">
        <v>256</v>
      </c>
      <c r="O1349" s="32" t="s">
        <v>644</v>
      </c>
      <c r="P1349" s="40" t="str">
        <f aca="false">_xlfn.CONCAT(B1349,C1349,D1349,E1349,F1349)</f>
        <v>BC Caiaponia2.1215KTL-H3(MBUS-15)46049.600694444446049.600694444446049.6805555556</v>
      </c>
      <c r="Q1349" s="32" t="str">
        <f aca="false">_xlfn.CONCAT(H1349,I1349,J1349)</f>
        <v>DAURDE</v>
      </c>
    </row>
    <row r="1350" customFormat="false" ht="15" hidden="false" customHeight="false" outlineLevel="0" collapsed="false">
      <c r="B1350" s="32" t="s">
        <v>250</v>
      </c>
      <c r="C1350" s="32" t="s">
        <v>261</v>
      </c>
      <c r="D1350" s="33" t="n">
        <v>46049.6006944444</v>
      </c>
      <c r="E1350" s="33" t="n">
        <v>46049.6006944444</v>
      </c>
      <c r="F1350" s="33" t="n">
        <v>46049.6805555556</v>
      </c>
      <c r="G1350" s="34" t="n">
        <f aca="false">F1350-E1350</f>
        <v>0.0798611111111111</v>
      </c>
      <c r="H1350" s="39" t="s">
        <v>252</v>
      </c>
      <c r="J1350" s="39" t="s">
        <v>253</v>
      </c>
      <c r="K1350" s="32" t="s">
        <v>266</v>
      </c>
      <c r="L1350" s="32" t="s">
        <v>657</v>
      </c>
      <c r="M1350" s="39" t="s">
        <v>255</v>
      </c>
      <c r="N1350" s="39" t="s">
        <v>256</v>
      </c>
      <c r="O1350" s="32" t="s">
        <v>644</v>
      </c>
      <c r="P1350" s="40" t="str">
        <f aca="false">_xlfn.CONCAT(B1350,C1350,D1350,E1350,F1350)</f>
        <v>BC Caiaponia2.1215KTL-H3(MBUS-16)46049.600694444446049.600694444446049.6805555556</v>
      </c>
      <c r="Q1350" s="32" t="str">
        <f aca="false">_xlfn.CONCAT(H1350,I1350,J1350)</f>
        <v>DAURDE</v>
      </c>
    </row>
    <row r="1351" customFormat="false" ht="15" hidden="false" customHeight="false" outlineLevel="0" collapsed="false">
      <c r="B1351" s="32" t="s">
        <v>262</v>
      </c>
      <c r="C1351" s="32" t="s">
        <v>251</v>
      </c>
      <c r="D1351" s="33" t="n">
        <v>46049.6006944444</v>
      </c>
      <c r="E1351" s="33" t="n">
        <v>46049.6006944444</v>
      </c>
      <c r="F1351" s="33" t="n">
        <v>46049.6805555556</v>
      </c>
      <c r="G1351" s="34" t="n">
        <f aca="false">F1351-E1351</f>
        <v>0.0798611111111111</v>
      </c>
      <c r="H1351" s="39" t="s">
        <v>252</v>
      </c>
      <c r="J1351" s="39" t="s">
        <v>253</v>
      </c>
      <c r="K1351" s="32" t="s">
        <v>266</v>
      </c>
      <c r="L1351" s="32" t="s">
        <v>657</v>
      </c>
      <c r="M1351" s="39" t="s">
        <v>255</v>
      </c>
      <c r="N1351" s="39" t="s">
        <v>256</v>
      </c>
      <c r="O1351" s="32" t="s">
        <v>644</v>
      </c>
      <c r="P1351" s="40" t="str">
        <f aca="false">_xlfn.CONCAT(B1351,C1351,D1351,E1351,F1351)</f>
        <v>BC Caiaponia2.2215KTL-H3(MBUS-12)46049.600694444446049.600694444446049.6805555556</v>
      </c>
      <c r="Q1351" s="32" t="str">
        <f aca="false">_xlfn.CONCAT(H1351,I1351,J1351)</f>
        <v>DAURDE</v>
      </c>
    </row>
    <row r="1352" customFormat="false" ht="15" hidden="false" customHeight="false" outlineLevel="0" collapsed="false">
      <c r="B1352" s="32" t="s">
        <v>262</v>
      </c>
      <c r="C1352" s="32" t="s">
        <v>258</v>
      </c>
      <c r="D1352" s="33" t="n">
        <v>46049.6006944444</v>
      </c>
      <c r="E1352" s="33" t="n">
        <v>46049.6006944444</v>
      </c>
      <c r="F1352" s="33" t="n">
        <v>46049.6805555556</v>
      </c>
      <c r="G1352" s="34" t="n">
        <f aca="false">F1352-E1352</f>
        <v>0.0798611111111111</v>
      </c>
      <c r="H1352" s="39" t="s">
        <v>252</v>
      </c>
      <c r="J1352" s="39" t="s">
        <v>253</v>
      </c>
      <c r="K1352" s="32" t="s">
        <v>266</v>
      </c>
      <c r="L1352" s="32" t="s">
        <v>657</v>
      </c>
      <c r="M1352" s="39" t="s">
        <v>255</v>
      </c>
      <c r="N1352" s="39" t="s">
        <v>256</v>
      </c>
      <c r="O1352" s="32" t="s">
        <v>644</v>
      </c>
      <c r="P1352" s="40" t="str">
        <f aca="false">_xlfn.CONCAT(B1352,C1352,D1352,E1352,F1352)</f>
        <v>BC Caiaponia2.2215KTL-H3(MBUS-13)46049.600694444446049.600694444446049.6805555556</v>
      </c>
      <c r="Q1352" s="32" t="str">
        <f aca="false">_xlfn.CONCAT(H1352,I1352,J1352)</f>
        <v>DAURDE</v>
      </c>
    </row>
    <row r="1353" customFormat="false" ht="15" hidden="false" customHeight="false" outlineLevel="0" collapsed="false">
      <c r="B1353" s="32" t="s">
        <v>262</v>
      </c>
      <c r="C1353" s="32" t="s">
        <v>259</v>
      </c>
      <c r="D1353" s="33" t="n">
        <v>46049.6006944444</v>
      </c>
      <c r="E1353" s="33" t="n">
        <v>46049.6006944444</v>
      </c>
      <c r="F1353" s="33" t="n">
        <v>46049.6805555556</v>
      </c>
      <c r="G1353" s="34" t="n">
        <f aca="false">F1353-E1353</f>
        <v>0.0798611111111111</v>
      </c>
      <c r="H1353" s="39" t="s">
        <v>252</v>
      </c>
      <c r="J1353" s="39" t="s">
        <v>253</v>
      </c>
      <c r="K1353" s="32" t="s">
        <v>266</v>
      </c>
      <c r="L1353" s="32" t="s">
        <v>657</v>
      </c>
      <c r="M1353" s="39" t="s">
        <v>255</v>
      </c>
      <c r="N1353" s="39" t="s">
        <v>256</v>
      </c>
      <c r="O1353" s="32" t="s">
        <v>644</v>
      </c>
      <c r="P1353" s="40" t="str">
        <f aca="false">_xlfn.CONCAT(B1353,C1353,D1353,E1353,F1353)</f>
        <v>BC Caiaponia2.2215KTL-H3(MBUS-14)46049.600694444446049.600694444446049.6805555556</v>
      </c>
      <c r="Q1353" s="32" t="str">
        <f aca="false">_xlfn.CONCAT(H1353,I1353,J1353)</f>
        <v>DAURDE</v>
      </c>
    </row>
    <row r="1354" customFormat="false" ht="15" hidden="false" customHeight="false" outlineLevel="0" collapsed="false">
      <c r="B1354" s="32" t="s">
        <v>262</v>
      </c>
      <c r="C1354" s="32" t="s">
        <v>260</v>
      </c>
      <c r="D1354" s="33" t="n">
        <v>46049.6006944444</v>
      </c>
      <c r="E1354" s="33" t="n">
        <v>46049.6006944444</v>
      </c>
      <c r="F1354" s="33" t="n">
        <v>46049.6805555556</v>
      </c>
      <c r="G1354" s="34" t="n">
        <f aca="false">F1354-E1354</f>
        <v>0.0798611111111111</v>
      </c>
      <c r="H1354" s="39" t="s">
        <v>252</v>
      </c>
      <c r="J1354" s="39" t="s">
        <v>253</v>
      </c>
      <c r="K1354" s="32" t="s">
        <v>266</v>
      </c>
      <c r="L1354" s="32" t="s">
        <v>657</v>
      </c>
      <c r="M1354" s="39" t="s">
        <v>255</v>
      </c>
      <c r="N1354" s="39" t="s">
        <v>256</v>
      </c>
      <c r="O1354" s="32" t="s">
        <v>644</v>
      </c>
      <c r="P1354" s="40" t="str">
        <f aca="false">_xlfn.CONCAT(B1354,C1354,D1354,E1354,F1354)</f>
        <v>BC Caiaponia2.2215KTL-H3(MBUS-15)46049.600694444446049.600694444446049.6805555556</v>
      </c>
      <c r="Q1354" s="32" t="str">
        <f aca="false">_xlfn.CONCAT(H1354,I1354,J1354)</f>
        <v>DAURDE</v>
      </c>
    </row>
    <row r="1355" customFormat="false" ht="15" hidden="false" customHeight="false" outlineLevel="0" collapsed="false">
      <c r="B1355" s="32" t="s">
        <v>262</v>
      </c>
      <c r="C1355" s="32" t="s">
        <v>261</v>
      </c>
      <c r="D1355" s="33" t="n">
        <v>46049.6006944444</v>
      </c>
      <c r="E1355" s="33" t="n">
        <v>46049.6006944444</v>
      </c>
      <c r="F1355" s="33" t="n">
        <v>46049.6805555556</v>
      </c>
      <c r="G1355" s="34" t="n">
        <f aca="false">F1355-E1355</f>
        <v>0.0798611111111111</v>
      </c>
      <c r="H1355" s="39" t="s">
        <v>252</v>
      </c>
      <c r="J1355" s="39" t="s">
        <v>253</v>
      </c>
      <c r="K1355" s="32" t="s">
        <v>266</v>
      </c>
      <c r="L1355" s="32" t="s">
        <v>657</v>
      </c>
      <c r="M1355" s="39" t="s">
        <v>255</v>
      </c>
      <c r="N1355" s="39" t="s">
        <v>256</v>
      </c>
      <c r="O1355" s="32" t="s">
        <v>644</v>
      </c>
      <c r="P1355" s="40" t="str">
        <f aca="false">_xlfn.CONCAT(B1355,C1355,D1355,E1355,F1355)</f>
        <v>BC Caiaponia2.2215KTL-H3(MBUS-16)46049.600694444446049.600694444446049.6805555556</v>
      </c>
      <c r="Q1355" s="32" t="str">
        <f aca="false">_xlfn.CONCAT(H1355,I1355,J1355)</f>
        <v>DAURDE</v>
      </c>
    </row>
    <row r="1356" customFormat="false" ht="15" hidden="false" customHeight="false" outlineLevel="0" collapsed="false">
      <c r="B1356" s="32" t="s">
        <v>263</v>
      </c>
      <c r="C1356" s="32" t="s">
        <v>251</v>
      </c>
      <c r="D1356" s="33" t="n">
        <v>46049.6006944444</v>
      </c>
      <c r="E1356" s="33" t="n">
        <v>46049.6006944444</v>
      </c>
      <c r="F1356" s="33" t="n">
        <v>46049.6805555556</v>
      </c>
      <c r="G1356" s="34" t="n">
        <f aca="false">F1356-E1356</f>
        <v>0.0798611111111111</v>
      </c>
      <c r="H1356" s="39" t="s">
        <v>252</v>
      </c>
      <c r="J1356" s="39" t="s">
        <v>253</v>
      </c>
      <c r="K1356" s="32" t="s">
        <v>266</v>
      </c>
      <c r="L1356" s="32" t="s">
        <v>657</v>
      </c>
      <c r="M1356" s="39" t="s">
        <v>255</v>
      </c>
      <c r="N1356" s="39" t="s">
        <v>256</v>
      </c>
      <c r="O1356" s="32" t="s">
        <v>644</v>
      </c>
      <c r="P1356" s="40" t="str">
        <f aca="false">_xlfn.CONCAT(B1356,C1356,D1356,E1356,F1356)</f>
        <v>BC Caiaponia2.3215KTL-H3(MBUS-12)46049.600694444446049.600694444446049.6805555556</v>
      </c>
      <c r="Q1356" s="32" t="str">
        <f aca="false">_xlfn.CONCAT(H1356,I1356,J1356)</f>
        <v>DAURDE</v>
      </c>
    </row>
    <row r="1357" customFormat="false" ht="15" hidden="false" customHeight="false" outlineLevel="0" collapsed="false">
      <c r="B1357" s="32" t="s">
        <v>263</v>
      </c>
      <c r="C1357" s="32" t="s">
        <v>258</v>
      </c>
      <c r="D1357" s="33" t="n">
        <v>46049.6006944444</v>
      </c>
      <c r="E1357" s="33" t="n">
        <v>46049.6006944444</v>
      </c>
      <c r="F1357" s="33" t="n">
        <v>46049.6805555556</v>
      </c>
      <c r="G1357" s="34" t="n">
        <f aca="false">F1357-E1357</f>
        <v>0.0798611111111111</v>
      </c>
      <c r="H1357" s="39" t="s">
        <v>252</v>
      </c>
      <c r="J1357" s="39" t="s">
        <v>253</v>
      </c>
      <c r="K1357" s="32" t="s">
        <v>266</v>
      </c>
      <c r="L1357" s="32" t="s">
        <v>657</v>
      </c>
      <c r="M1357" s="39" t="s">
        <v>255</v>
      </c>
      <c r="N1357" s="39" t="s">
        <v>256</v>
      </c>
      <c r="O1357" s="32" t="s">
        <v>644</v>
      </c>
      <c r="P1357" s="40" t="str">
        <f aca="false">_xlfn.CONCAT(B1357,C1357,D1357,E1357,F1357)</f>
        <v>BC Caiaponia2.3215KTL-H3(MBUS-13)46049.600694444446049.600694444446049.6805555556</v>
      </c>
      <c r="Q1357" s="32" t="str">
        <f aca="false">_xlfn.CONCAT(H1357,I1357,J1357)</f>
        <v>DAURDE</v>
      </c>
    </row>
    <row r="1358" customFormat="false" ht="15" hidden="false" customHeight="false" outlineLevel="0" collapsed="false">
      <c r="B1358" s="32" t="s">
        <v>263</v>
      </c>
      <c r="C1358" s="32" t="s">
        <v>259</v>
      </c>
      <c r="D1358" s="33" t="n">
        <v>46049.6006944444</v>
      </c>
      <c r="E1358" s="33" t="n">
        <v>46049.6006944444</v>
      </c>
      <c r="F1358" s="33" t="n">
        <v>46049.6805555556</v>
      </c>
      <c r="G1358" s="34" t="n">
        <f aca="false">F1358-E1358</f>
        <v>0.0798611111111111</v>
      </c>
      <c r="H1358" s="39" t="s">
        <v>252</v>
      </c>
      <c r="J1358" s="39" t="s">
        <v>253</v>
      </c>
      <c r="K1358" s="32" t="s">
        <v>266</v>
      </c>
      <c r="L1358" s="32" t="s">
        <v>657</v>
      </c>
      <c r="M1358" s="39" t="s">
        <v>255</v>
      </c>
      <c r="N1358" s="39" t="s">
        <v>256</v>
      </c>
      <c r="O1358" s="32" t="s">
        <v>644</v>
      </c>
      <c r="P1358" s="40" t="str">
        <f aca="false">_xlfn.CONCAT(B1358,C1358,D1358,E1358,F1358)</f>
        <v>BC Caiaponia2.3215KTL-H3(MBUS-14)46049.600694444446049.600694444446049.6805555556</v>
      </c>
      <c r="Q1358" s="32" t="str">
        <f aca="false">_xlfn.CONCAT(H1358,I1358,J1358)</f>
        <v>DAURDE</v>
      </c>
    </row>
    <row r="1359" customFormat="false" ht="15" hidden="false" customHeight="false" outlineLevel="0" collapsed="false">
      <c r="B1359" s="32" t="s">
        <v>263</v>
      </c>
      <c r="C1359" s="32" t="s">
        <v>260</v>
      </c>
      <c r="D1359" s="33" t="n">
        <v>46049.6006944444</v>
      </c>
      <c r="E1359" s="33" t="n">
        <v>46049.6006944444</v>
      </c>
      <c r="F1359" s="33" t="n">
        <v>46049.6805555556</v>
      </c>
      <c r="G1359" s="34" t="n">
        <f aca="false">F1359-E1359</f>
        <v>0.0798611111111111</v>
      </c>
      <c r="H1359" s="39" t="s">
        <v>252</v>
      </c>
      <c r="J1359" s="39" t="s">
        <v>253</v>
      </c>
      <c r="K1359" s="32" t="s">
        <v>266</v>
      </c>
      <c r="L1359" s="32" t="s">
        <v>657</v>
      </c>
      <c r="M1359" s="39" t="s">
        <v>255</v>
      </c>
      <c r="N1359" s="39" t="s">
        <v>256</v>
      </c>
      <c r="O1359" s="32" t="s">
        <v>644</v>
      </c>
      <c r="P1359" s="40" t="str">
        <f aca="false">_xlfn.CONCAT(B1359,C1359,D1359,E1359,F1359)</f>
        <v>BC Caiaponia2.3215KTL-H3(MBUS-15)46049.600694444446049.600694444446049.6805555556</v>
      </c>
      <c r="Q1359" s="32" t="str">
        <f aca="false">_xlfn.CONCAT(H1359,I1359,J1359)</f>
        <v>DAURDE</v>
      </c>
    </row>
    <row r="1360" customFormat="false" ht="15" hidden="false" customHeight="false" outlineLevel="0" collapsed="false">
      <c r="B1360" s="32" t="s">
        <v>263</v>
      </c>
      <c r="C1360" s="32" t="s">
        <v>261</v>
      </c>
      <c r="D1360" s="33" t="n">
        <v>46049.6006944444</v>
      </c>
      <c r="E1360" s="33" t="n">
        <v>46049.6006944444</v>
      </c>
      <c r="F1360" s="33" t="n">
        <v>46049.6805555556</v>
      </c>
      <c r="G1360" s="34" t="n">
        <f aca="false">F1360-E1360</f>
        <v>0.0798611111111111</v>
      </c>
      <c r="H1360" s="39" t="s">
        <v>252</v>
      </c>
      <c r="J1360" s="39" t="s">
        <v>253</v>
      </c>
      <c r="K1360" s="32" t="s">
        <v>266</v>
      </c>
      <c r="L1360" s="32" t="s">
        <v>657</v>
      </c>
      <c r="M1360" s="39" t="s">
        <v>255</v>
      </c>
      <c r="N1360" s="39" t="s">
        <v>256</v>
      </c>
      <c r="O1360" s="32" t="s">
        <v>644</v>
      </c>
      <c r="P1360" s="40" t="str">
        <f aca="false">_xlfn.CONCAT(B1360,C1360,D1360,E1360,F1360)</f>
        <v>BC Caiaponia2.3215KTL-H3(MBUS-16)46049.600694444446049.600694444446049.6805555556</v>
      </c>
      <c r="Q1360" s="32" t="str">
        <f aca="false">_xlfn.CONCAT(H1360,I1360,J1360)</f>
        <v>DAURDE</v>
      </c>
    </row>
    <row r="1361" customFormat="false" ht="15" hidden="false" customHeight="false" outlineLevel="0" collapsed="false">
      <c r="B1361" s="41" t="s">
        <v>48</v>
      </c>
      <c r="C1361" s="32" t="s">
        <v>294</v>
      </c>
      <c r="D1361" s="33" t="n">
        <v>46049.6006944444</v>
      </c>
      <c r="E1361" s="33" t="n">
        <v>46049.6006944444</v>
      </c>
      <c r="F1361" s="33" t="n">
        <v>46049.6805555556</v>
      </c>
      <c r="G1361" s="34" t="n">
        <f aca="false">F1361-E1361</f>
        <v>0.0798611111111111</v>
      </c>
      <c r="H1361" s="39" t="s">
        <v>252</v>
      </c>
      <c r="J1361" s="39" t="s">
        <v>253</v>
      </c>
      <c r="K1361" s="32" t="s">
        <v>266</v>
      </c>
      <c r="L1361" s="32" t="s">
        <v>254</v>
      </c>
      <c r="M1361" s="39" t="s">
        <v>255</v>
      </c>
      <c r="N1361" s="39" t="s">
        <v>256</v>
      </c>
      <c r="O1361" s="32" t="s">
        <v>257</v>
      </c>
      <c r="P1361" s="40" t="str">
        <f aca="false">_xlfn.CONCAT(B1361,C1361,D1361,E1361,F1361)</f>
        <v>BC Caiaponia1SG60KTL(COM1-001)_001_00746049.600694444446049.600694444446049.6805555556</v>
      </c>
      <c r="Q1361" s="32" t="str">
        <f aca="false">_xlfn.CONCAT(H1361,I1361,J1361)</f>
        <v>DAURDE</v>
      </c>
    </row>
    <row r="1362" customFormat="false" ht="15" hidden="false" customHeight="false" outlineLevel="0" collapsed="false">
      <c r="B1362" s="41" t="s">
        <v>48</v>
      </c>
      <c r="C1362" s="32" t="s">
        <v>295</v>
      </c>
      <c r="D1362" s="33" t="n">
        <v>46049.6006944444</v>
      </c>
      <c r="E1362" s="33" t="n">
        <v>46049.6006944444</v>
      </c>
      <c r="F1362" s="33" t="n">
        <v>46049.6805555556</v>
      </c>
      <c r="G1362" s="34" t="n">
        <f aca="false">F1362-E1362</f>
        <v>0.0798611111111111</v>
      </c>
      <c r="H1362" s="39" t="s">
        <v>252</v>
      </c>
      <c r="J1362" s="39" t="s">
        <v>253</v>
      </c>
      <c r="K1362" s="32" t="s">
        <v>266</v>
      </c>
      <c r="L1362" s="32" t="s">
        <v>254</v>
      </c>
      <c r="M1362" s="39" t="s">
        <v>255</v>
      </c>
      <c r="N1362" s="39" t="s">
        <v>256</v>
      </c>
      <c r="O1362" s="32" t="s">
        <v>257</v>
      </c>
      <c r="P1362" s="40" t="str">
        <f aca="false">_xlfn.CONCAT(B1362,C1362,D1362,E1362,F1362)</f>
        <v>BC Caiaponia1SG60KTL(COM1-002)_001_01046049.600694444446049.600694444446049.6805555556</v>
      </c>
      <c r="Q1362" s="32" t="str">
        <f aca="false">_xlfn.CONCAT(H1362,I1362,J1362)</f>
        <v>DAURDE</v>
      </c>
    </row>
    <row r="1363" customFormat="false" ht="15" hidden="false" customHeight="false" outlineLevel="0" collapsed="false">
      <c r="B1363" s="32" t="s">
        <v>48</v>
      </c>
      <c r="C1363" s="32" t="s">
        <v>296</v>
      </c>
      <c r="D1363" s="33" t="n">
        <v>46049.6006944444</v>
      </c>
      <c r="E1363" s="33" t="n">
        <v>46049.6006944444</v>
      </c>
      <c r="F1363" s="33" t="n">
        <v>46049.6805554977</v>
      </c>
      <c r="G1363" s="34" t="n">
        <f aca="false">F1363-E1363</f>
        <v>0.0798610532407407</v>
      </c>
      <c r="H1363" s="39" t="s">
        <v>252</v>
      </c>
      <c r="J1363" s="39" t="s">
        <v>253</v>
      </c>
      <c r="K1363" s="32" t="s">
        <v>266</v>
      </c>
      <c r="L1363" s="32" t="s">
        <v>254</v>
      </c>
      <c r="M1363" s="39" t="s">
        <v>255</v>
      </c>
      <c r="N1363" s="39" t="s">
        <v>256</v>
      </c>
      <c r="O1363" s="32" t="s">
        <v>257</v>
      </c>
      <c r="P1363" s="40" t="str">
        <f aca="false">_xlfn.CONCAT(B1363,C1363,D1363,E1363,F1363)</f>
        <v>BC Caiaponia1SG60KTL(COM1-003)_001_01146049.600694444446049.600694444446049.6805554977</v>
      </c>
      <c r="Q1363" s="32" t="str">
        <f aca="false">_xlfn.CONCAT(H1363,I1363,J1363)</f>
        <v>DAURDE</v>
      </c>
    </row>
    <row r="1364" customFormat="false" ht="15" hidden="false" customHeight="false" outlineLevel="0" collapsed="false">
      <c r="B1364" s="32" t="s">
        <v>48</v>
      </c>
      <c r="C1364" s="32" t="s">
        <v>297</v>
      </c>
      <c r="D1364" s="33" t="n">
        <v>46049.6006944444</v>
      </c>
      <c r="E1364" s="33" t="n">
        <v>46049.6006944444</v>
      </c>
      <c r="F1364" s="33" t="n">
        <v>46049.6805554977</v>
      </c>
      <c r="G1364" s="34" t="n">
        <f aca="false">F1364-E1364</f>
        <v>0.0798610532407407</v>
      </c>
      <c r="H1364" s="39" t="s">
        <v>252</v>
      </c>
      <c r="J1364" s="39" t="s">
        <v>253</v>
      </c>
      <c r="K1364" s="32" t="s">
        <v>266</v>
      </c>
      <c r="L1364" s="32" t="s">
        <v>254</v>
      </c>
      <c r="M1364" s="39" t="s">
        <v>255</v>
      </c>
      <c r="N1364" s="39" t="s">
        <v>256</v>
      </c>
      <c r="O1364" s="32" t="s">
        <v>257</v>
      </c>
      <c r="P1364" s="40" t="str">
        <f aca="false">_xlfn.CONCAT(B1364,C1364,D1364,E1364,F1364)</f>
        <v>BC Caiaponia1SG60KTL(COM1-004)_001_01446049.600694444446049.600694444446049.6805554977</v>
      </c>
      <c r="Q1364" s="32" t="str">
        <f aca="false">_xlfn.CONCAT(H1364,I1364,J1364)</f>
        <v>DAURDE</v>
      </c>
    </row>
    <row r="1365" customFormat="false" ht="15" hidden="false" customHeight="false" outlineLevel="0" collapsed="false">
      <c r="B1365" s="32" t="s">
        <v>48</v>
      </c>
      <c r="C1365" s="32" t="s">
        <v>298</v>
      </c>
      <c r="D1365" s="33" t="n">
        <v>46049.6006944444</v>
      </c>
      <c r="E1365" s="33" t="n">
        <v>46049.6006944444</v>
      </c>
      <c r="F1365" s="33" t="n">
        <v>46049.6805554977</v>
      </c>
      <c r="G1365" s="34" t="n">
        <f aca="false">F1365-E1365</f>
        <v>0.0798610532407407</v>
      </c>
      <c r="H1365" s="39" t="s">
        <v>252</v>
      </c>
      <c r="J1365" s="39" t="s">
        <v>253</v>
      </c>
      <c r="K1365" s="32" t="s">
        <v>266</v>
      </c>
      <c r="L1365" s="32" t="s">
        <v>254</v>
      </c>
      <c r="M1365" s="39" t="s">
        <v>255</v>
      </c>
      <c r="N1365" s="39" t="s">
        <v>256</v>
      </c>
      <c r="O1365" s="32" t="s">
        <v>257</v>
      </c>
      <c r="P1365" s="40" t="str">
        <f aca="false">_xlfn.CONCAT(B1365,C1365,D1365,E1365,F1365)</f>
        <v>BC Caiaponia1SG60KTL(COM1-005)_001_01746049.600694444446049.600694444446049.6805554977</v>
      </c>
      <c r="Q1365" s="32" t="str">
        <f aca="false">_xlfn.CONCAT(H1365,I1365,J1365)</f>
        <v>DAURDE</v>
      </c>
    </row>
    <row r="1366" customFormat="false" ht="15" hidden="false" customHeight="false" outlineLevel="0" collapsed="false">
      <c r="B1366" s="32" t="s">
        <v>48</v>
      </c>
      <c r="C1366" s="32" t="s">
        <v>299</v>
      </c>
      <c r="D1366" s="33" t="n">
        <v>46049.6006944444</v>
      </c>
      <c r="E1366" s="33" t="n">
        <v>46049.6006944444</v>
      </c>
      <c r="F1366" s="33" t="n">
        <v>46049.6805554977</v>
      </c>
      <c r="G1366" s="34" t="n">
        <f aca="false">F1366-E1366</f>
        <v>0.0798610532407407</v>
      </c>
      <c r="H1366" s="39" t="s">
        <v>252</v>
      </c>
      <c r="J1366" s="39" t="s">
        <v>253</v>
      </c>
      <c r="K1366" s="32" t="s">
        <v>266</v>
      </c>
      <c r="L1366" s="32" t="s">
        <v>254</v>
      </c>
      <c r="M1366" s="39" t="s">
        <v>255</v>
      </c>
      <c r="N1366" s="39" t="s">
        <v>256</v>
      </c>
      <c r="O1366" s="32" t="s">
        <v>257</v>
      </c>
      <c r="P1366" s="40" t="str">
        <f aca="false">_xlfn.CONCAT(B1366,C1366,D1366,E1366,F1366)</f>
        <v>BC Caiaponia1SG60KTL(COM1-006)_001_01646049.600694444446049.600694444446049.6805554977</v>
      </c>
      <c r="Q1366" s="32" t="str">
        <f aca="false">_xlfn.CONCAT(H1366,I1366,J1366)</f>
        <v>DAURDE</v>
      </c>
    </row>
    <row r="1367" customFormat="false" ht="15" hidden="false" customHeight="false" outlineLevel="0" collapsed="false">
      <c r="B1367" s="32" t="s">
        <v>48</v>
      </c>
      <c r="C1367" s="32" t="s">
        <v>300</v>
      </c>
      <c r="D1367" s="33" t="n">
        <v>46049.6006944444</v>
      </c>
      <c r="E1367" s="33" t="n">
        <v>46049.6006944444</v>
      </c>
      <c r="F1367" s="33" t="n">
        <v>46049.6805554977</v>
      </c>
      <c r="G1367" s="34" t="n">
        <f aca="false">F1367-E1367</f>
        <v>0.0798610532407407</v>
      </c>
      <c r="H1367" s="39" t="s">
        <v>252</v>
      </c>
      <c r="J1367" s="39" t="s">
        <v>253</v>
      </c>
      <c r="K1367" s="32" t="s">
        <v>266</v>
      </c>
      <c r="L1367" s="32" t="s">
        <v>254</v>
      </c>
      <c r="M1367" s="39" t="s">
        <v>255</v>
      </c>
      <c r="N1367" s="39" t="s">
        <v>256</v>
      </c>
      <c r="O1367" s="32" t="s">
        <v>257</v>
      </c>
      <c r="P1367" s="40" t="str">
        <f aca="false">_xlfn.CONCAT(B1367,C1367,D1367,E1367,F1367)</f>
        <v>BC Caiaponia1SG60KTL(COM1-007)_001_01346049.600694444446049.600694444446049.6805554977</v>
      </c>
      <c r="Q1367" s="32" t="str">
        <f aca="false">_xlfn.CONCAT(H1367,I1367,J1367)</f>
        <v>DAURDE</v>
      </c>
    </row>
    <row r="1368" customFormat="false" ht="15" hidden="false" customHeight="false" outlineLevel="0" collapsed="false">
      <c r="B1368" s="32" t="s">
        <v>48</v>
      </c>
      <c r="C1368" s="32" t="s">
        <v>301</v>
      </c>
      <c r="D1368" s="33" t="n">
        <v>46049.6006944444</v>
      </c>
      <c r="E1368" s="33" t="n">
        <v>46049.6006944444</v>
      </c>
      <c r="F1368" s="33" t="n">
        <v>46049.6805554977</v>
      </c>
      <c r="G1368" s="34" t="n">
        <f aca="false">F1368-E1368</f>
        <v>0.0798610532407407</v>
      </c>
      <c r="H1368" s="39" t="s">
        <v>252</v>
      </c>
      <c r="J1368" s="39" t="s">
        <v>253</v>
      </c>
      <c r="K1368" s="32" t="s">
        <v>266</v>
      </c>
      <c r="L1368" s="32" t="s">
        <v>254</v>
      </c>
      <c r="M1368" s="39" t="s">
        <v>255</v>
      </c>
      <c r="N1368" s="39" t="s">
        <v>256</v>
      </c>
      <c r="O1368" s="32" t="s">
        <v>257</v>
      </c>
      <c r="P1368" s="40" t="str">
        <f aca="false">_xlfn.CONCAT(B1368,C1368,D1368,E1368,F1368)</f>
        <v>BC Caiaponia1SG60KTL(COM1-008)_001_00146049.600694444446049.600694444446049.6805554977</v>
      </c>
      <c r="Q1368" s="32" t="str">
        <f aca="false">_xlfn.CONCAT(H1368,I1368,J1368)</f>
        <v>DAURDE</v>
      </c>
    </row>
    <row r="1369" customFormat="false" ht="15" hidden="false" customHeight="false" outlineLevel="0" collapsed="false">
      <c r="B1369" s="32" t="s">
        <v>48</v>
      </c>
      <c r="C1369" s="32" t="s">
        <v>302</v>
      </c>
      <c r="D1369" s="33" t="n">
        <v>46049.6006944444</v>
      </c>
      <c r="E1369" s="33" t="n">
        <v>46049.6006944444</v>
      </c>
      <c r="F1369" s="33" t="n">
        <v>46049.6805554977</v>
      </c>
      <c r="G1369" s="34" t="n">
        <f aca="false">F1369-E1369</f>
        <v>0.0798610532407407</v>
      </c>
      <c r="H1369" s="39" t="s">
        <v>252</v>
      </c>
      <c r="J1369" s="39" t="s">
        <v>253</v>
      </c>
      <c r="K1369" s="32" t="s">
        <v>266</v>
      </c>
      <c r="L1369" s="32" t="s">
        <v>254</v>
      </c>
      <c r="M1369" s="39" t="s">
        <v>255</v>
      </c>
      <c r="N1369" s="39" t="s">
        <v>256</v>
      </c>
      <c r="O1369" s="32" t="s">
        <v>257</v>
      </c>
      <c r="P1369" s="40" t="str">
        <f aca="false">_xlfn.CONCAT(B1369,C1369,D1369,E1369,F1369)</f>
        <v>BC Caiaponia1SG60KTL(COM1-009)46049.600694444446049.600694444446049.6805554977</v>
      </c>
      <c r="Q1369" s="32" t="str">
        <f aca="false">_xlfn.CONCAT(H1369,I1369,J1369)</f>
        <v>DAURDE</v>
      </c>
    </row>
    <row r="1370" customFormat="false" ht="15" hidden="false" customHeight="false" outlineLevel="0" collapsed="false">
      <c r="B1370" s="32" t="s">
        <v>48</v>
      </c>
      <c r="C1370" s="32" t="s">
        <v>303</v>
      </c>
      <c r="D1370" s="33" t="n">
        <v>46049.6006944444</v>
      </c>
      <c r="E1370" s="33" t="n">
        <v>46049.6006944444</v>
      </c>
      <c r="F1370" s="33" t="n">
        <v>46049.6805554977</v>
      </c>
      <c r="G1370" s="34" t="n">
        <f aca="false">F1370-E1370</f>
        <v>0.0798610532407407</v>
      </c>
      <c r="H1370" s="39" t="s">
        <v>252</v>
      </c>
      <c r="J1370" s="39" t="s">
        <v>253</v>
      </c>
      <c r="K1370" s="32" t="s">
        <v>266</v>
      </c>
      <c r="L1370" s="32" t="s">
        <v>254</v>
      </c>
      <c r="M1370" s="39" t="s">
        <v>255</v>
      </c>
      <c r="N1370" s="39" t="s">
        <v>256</v>
      </c>
      <c r="O1370" s="32" t="s">
        <v>257</v>
      </c>
      <c r="P1370" s="40" t="str">
        <f aca="false">_xlfn.CONCAT(B1370,C1370,D1370,E1370,F1370)</f>
        <v>BC Caiaponia1SG60KTL(COM1-010)46049.600694444446049.600694444446049.6805554977</v>
      </c>
      <c r="Q1370" s="32" t="str">
        <f aca="false">_xlfn.CONCAT(H1370,I1370,J1370)</f>
        <v>DAURDE</v>
      </c>
    </row>
    <row r="1371" customFormat="false" ht="15" hidden="false" customHeight="false" outlineLevel="0" collapsed="false">
      <c r="B1371" s="32" t="s">
        <v>48</v>
      </c>
      <c r="C1371" s="32" t="s">
        <v>304</v>
      </c>
      <c r="D1371" s="33" t="n">
        <v>46049.6006944444</v>
      </c>
      <c r="E1371" s="33" t="n">
        <v>46049.6006944444</v>
      </c>
      <c r="F1371" s="33" t="n">
        <v>46049.6805554977</v>
      </c>
      <c r="G1371" s="34" t="n">
        <f aca="false">F1371-E1371</f>
        <v>0.0798610532407407</v>
      </c>
      <c r="H1371" s="39" t="s">
        <v>252</v>
      </c>
      <c r="J1371" s="39" t="s">
        <v>253</v>
      </c>
      <c r="K1371" s="32" t="s">
        <v>266</v>
      </c>
      <c r="L1371" s="32" t="s">
        <v>254</v>
      </c>
      <c r="M1371" s="39" t="s">
        <v>255</v>
      </c>
      <c r="N1371" s="39" t="s">
        <v>256</v>
      </c>
      <c r="O1371" s="32" t="s">
        <v>257</v>
      </c>
      <c r="P1371" s="40" t="str">
        <f aca="false">_xlfn.CONCAT(B1371,C1371,D1371,E1371,F1371)</f>
        <v>BC Caiaponia1SG60KTL(COM1-011)46049.600694444446049.600694444446049.6805554977</v>
      </c>
      <c r="Q1371" s="32" t="str">
        <f aca="false">_xlfn.CONCAT(H1371,I1371,J1371)</f>
        <v>DAURDE</v>
      </c>
    </row>
    <row r="1372" customFormat="false" ht="15" hidden="false" customHeight="false" outlineLevel="0" collapsed="false">
      <c r="B1372" s="32" t="s">
        <v>48</v>
      </c>
      <c r="C1372" s="32" t="s">
        <v>305</v>
      </c>
      <c r="D1372" s="33" t="n">
        <v>46049.6006944444</v>
      </c>
      <c r="E1372" s="33" t="n">
        <v>46049.6006944444</v>
      </c>
      <c r="F1372" s="33" t="n">
        <v>46049.6805554977</v>
      </c>
      <c r="G1372" s="34" t="n">
        <f aca="false">F1372-E1372</f>
        <v>0.0798610532407407</v>
      </c>
      <c r="H1372" s="39" t="s">
        <v>252</v>
      </c>
      <c r="J1372" s="39" t="s">
        <v>253</v>
      </c>
      <c r="K1372" s="32" t="s">
        <v>266</v>
      </c>
      <c r="L1372" s="32" t="s">
        <v>254</v>
      </c>
      <c r="M1372" s="39" t="s">
        <v>255</v>
      </c>
      <c r="N1372" s="39" t="s">
        <v>256</v>
      </c>
      <c r="O1372" s="32" t="s">
        <v>257</v>
      </c>
      <c r="P1372" s="40" t="str">
        <f aca="false">_xlfn.CONCAT(B1372,C1372,D1372,E1372,F1372)</f>
        <v>BC Caiaponia1SG60KTL(COM1-012)46049.600694444446049.600694444446049.6805554977</v>
      </c>
      <c r="Q1372" s="32" t="str">
        <f aca="false">_xlfn.CONCAT(H1372,I1372,J1372)</f>
        <v>DAURDE</v>
      </c>
    </row>
    <row r="1373" customFormat="false" ht="15" hidden="false" customHeight="false" outlineLevel="0" collapsed="false">
      <c r="B1373" s="32" t="s">
        <v>48</v>
      </c>
      <c r="C1373" s="32" t="s">
        <v>306</v>
      </c>
      <c r="D1373" s="33" t="n">
        <v>46049.6006944444</v>
      </c>
      <c r="E1373" s="33" t="n">
        <v>46049.6006944444</v>
      </c>
      <c r="F1373" s="33" t="n">
        <v>46049.6805554977</v>
      </c>
      <c r="G1373" s="34" t="n">
        <f aca="false">F1373-E1373</f>
        <v>0.0798610532407407</v>
      </c>
      <c r="H1373" s="39" t="s">
        <v>252</v>
      </c>
      <c r="J1373" s="39" t="s">
        <v>253</v>
      </c>
      <c r="K1373" s="32" t="s">
        <v>266</v>
      </c>
      <c r="L1373" s="32" t="s">
        <v>254</v>
      </c>
      <c r="M1373" s="39" t="s">
        <v>255</v>
      </c>
      <c r="N1373" s="39" t="s">
        <v>256</v>
      </c>
      <c r="O1373" s="32" t="s">
        <v>257</v>
      </c>
      <c r="P1373" s="40" t="str">
        <f aca="false">_xlfn.CONCAT(B1373,C1373,D1373,E1373,F1373)</f>
        <v>BC Caiaponia1SG60KTL(COM1-013)46049.600694444446049.600694444446049.6805554977</v>
      </c>
      <c r="Q1373" s="32" t="str">
        <f aca="false">_xlfn.CONCAT(H1373,I1373,J1373)</f>
        <v>DAURDE</v>
      </c>
    </row>
    <row r="1374" customFormat="false" ht="15" hidden="false" customHeight="false" outlineLevel="0" collapsed="false">
      <c r="B1374" s="32" t="s">
        <v>48</v>
      </c>
      <c r="C1374" s="32" t="s">
        <v>307</v>
      </c>
      <c r="D1374" s="33" t="n">
        <v>46049.6006944444</v>
      </c>
      <c r="E1374" s="33" t="n">
        <v>46049.6006944444</v>
      </c>
      <c r="F1374" s="33" t="n">
        <v>46049.6805554977</v>
      </c>
      <c r="G1374" s="34" t="n">
        <f aca="false">F1374-E1374</f>
        <v>0.0798610532407407</v>
      </c>
      <c r="H1374" s="39" t="s">
        <v>252</v>
      </c>
      <c r="J1374" s="39" t="s">
        <v>253</v>
      </c>
      <c r="K1374" s="32" t="s">
        <v>266</v>
      </c>
      <c r="L1374" s="32" t="s">
        <v>254</v>
      </c>
      <c r="M1374" s="39" t="s">
        <v>255</v>
      </c>
      <c r="N1374" s="39" t="s">
        <v>256</v>
      </c>
      <c r="O1374" s="32" t="s">
        <v>257</v>
      </c>
      <c r="P1374" s="40" t="str">
        <f aca="false">_xlfn.CONCAT(B1374,C1374,D1374,E1374,F1374)</f>
        <v>BC Caiaponia1SG60KTL(COM1-014)46049.600694444446049.600694444446049.6805554977</v>
      </c>
      <c r="Q1374" s="32" t="str">
        <f aca="false">_xlfn.CONCAT(H1374,I1374,J1374)</f>
        <v>DAURDE</v>
      </c>
    </row>
    <row r="1375" customFormat="false" ht="15" hidden="false" customHeight="false" outlineLevel="0" collapsed="false">
      <c r="B1375" s="32" t="s">
        <v>48</v>
      </c>
      <c r="C1375" s="32" t="s">
        <v>308</v>
      </c>
      <c r="D1375" s="33" t="n">
        <v>46049.6006944444</v>
      </c>
      <c r="E1375" s="33" t="n">
        <v>46049.6006944444</v>
      </c>
      <c r="F1375" s="33" t="n">
        <v>46049.6805554977</v>
      </c>
      <c r="G1375" s="34" t="n">
        <f aca="false">F1375-E1375</f>
        <v>0.0798610532407407</v>
      </c>
      <c r="H1375" s="39" t="s">
        <v>252</v>
      </c>
      <c r="J1375" s="39" t="s">
        <v>253</v>
      </c>
      <c r="K1375" s="32" t="s">
        <v>266</v>
      </c>
      <c r="L1375" s="32" t="s">
        <v>254</v>
      </c>
      <c r="M1375" s="39" t="s">
        <v>255</v>
      </c>
      <c r="N1375" s="39" t="s">
        <v>256</v>
      </c>
      <c r="O1375" s="32" t="s">
        <v>257</v>
      </c>
      <c r="P1375" s="40" t="str">
        <f aca="false">_xlfn.CONCAT(B1375,C1375,D1375,E1375,F1375)</f>
        <v>BC Caiaponia1SG60KTL(COM1-015)46049.600694444446049.600694444446049.6805554977</v>
      </c>
      <c r="Q1375" s="32" t="str">
        <f aca="false">_xlfn.CONCAT(H1375,I1375,J1375)</f>
        <v>DAURDE</v>
      </c>
    </row>
    <row r="1376" customFormat="false" ht="15" hidden="false" customHeight="false" outlineLevel="0" collapsed="false">
      <c r="B1376" s="32" t="s">
        <v>48</v>
      </c>
      <c r="C1376" s="32" t="s">
        <v>309</v>
      </c>
      <c r="D1376" s="33" t="n">
        <v>46049.6006944444</v>
      </c>
      <c r="E1376" s="33" t="n">
        <v>46049.6006944444</v>
      </c>
      <c r="F1376" s="33" t="n">
        <v>46049.6805554977</v>
      </c>
      <c r="G1376" s="34" t="n">
        <f aca="false">F1376-E1376</f>
        <v>0.0798610532407407</v>
      </c>
      <c r="H1376" s="39" t="s">
        <v>252</v>
      </c>
      <c r="J1376" s="39" t="s">
        <v>253</v>
      </c>
      <c r="K1376" s="32" t="s">
        <v>266</v>
      </c>
      <c r="L1376" s="32" t="s">
        <v>254</v>
      </c>
      <c r="M1376" s="39" t="s">
        <v>255</v>
      </c>
      <c r="N1376" s="39" t="s">
        <v>256</v>
      </c>
      <c r="O1376" s="32" t="s">
        <v>257</v>
      </c>
      <c r="P1376" s="40" t="str">
        <f aca="false">_xlfn.CONCAT(B1376,C1376,D1376,E1376,F1376)</f>
        <v>BC Caiaponia1SG60KTL(COM3-016)_001_00946049.600694444446049.600694444446049.6805554977</v>
      </c>
      <c r="Q1376" s="32" t="str">
        <f aca="false">_xlfn.CONCAT(H1376,I1376,J1376)</f>
        <v>DAURDE</v>
      </c>
    </row>
    <row r="1377" customFormat="false" ht="15" hidden="false" customHeight="false" outlineLevel="0" collapsed="false">
      <c r="B1377" s="32" t="s">
        <v>48</v>
      </c>
      <c r="C1377" s="32" t="s">
        <v>310</v>
      </c>
      <c r="D1377" s="33" t="n">
        <v>46049.6006944444</v>
      </c>
      <c r="E1377" s="33" t="n">
        <v>46049.6006944444</v>
      </c>
      <c r="F1377" s="33" t="n">
        <v>46049.6805554977</v>
      </c>
      <c r="G1377" s="34" t="n">
        <f aca="false">F1377-E1377</f>
        <v>0.0798610532407407</v>
      </c>
      <c r="H1377" s="39" t="s">
        <v>252</v>
      </c>
      <c r="J1377" s="39" t="s">
        <v>253</v>
      </c>
      <c r="K1377" s="32" t="s">
        <v>266</v>
      </c>
      <c r="L1377" s="32" t="s">
        <v>254</v>
      </c>
      <c r="M1377" s="39" t="s">
        <v>255</v>
      </c>
      <c r="N1377" s="39" t="s">
        <v>256</v>
      </c>
      <c r="O1377" s="32" t="s">
        <v>257</v>
      </c>
      <c r="P1377" s="40" t="str">
        <f aca="false">_xlfn.CONCAT(B1377,C1377,D1377,E1377,F1377)</f>
        <v>BC Caiaponia1SG60KTL(COM3-017)_001_01246049.600694444446049.600694444446049.6805554977</v>
      </c>
      <c r="Q1377" s="32" t="str">
        <f aca="false">_xlfn.CONCAT(H1377,I1377,J1377)</f>
        <v>DAURDE</v>
      </c>
    </row>
    <row r="1378" customFormat="false" ht="15" hidden="false" customHeight="false" outlineLevel="0" collapsed="false">
      <c r="B1378" s="32" t="s">
        <v>48</v>
      </c>
      <c r="C1378" s="32" t="s">
        <v>311</v>
      </c>
      <c r="D1378" s="33" t="n">
        <v>46049.6006944444</v>
      </c>
      <c r="E1378" s="33" t="n">
        <v>46049.6006944444</v>
      </c>
      <c r="F1378" s="33" t="n">
        <v>46049.6805554977</v>
      </c>
      <c r="G1378" s="34" t="n">
        <f aca="false">F1378-E1378</f>
        <v>0.0798610532407407</v>
      </c>
      <c r="H1378" s="39" t="s">
        <v>252</v>
      </c>
      <c r="J1378" s="39" t="s">
        <v>253</v>
      </c>
      <c r="K1378" s="32" t="s">
        <v>266</v>
      </c>
      <c r="L1378" s="32" t="s">
        <v>254</v>
      </c>
      <c r="M1378" s="39" t="s">
        <v>255</v>
      </c>
      <c r="N1378" s="39" t="s">
        <v>256</v>
      </c>
      <c r="O1378" s="32" t="s">
        <v>257</v>
      </c>
      <c r="P1378" s="40" t="str">
        <f aca="false">_xlfn.CONCAT(B1378,C1378,D1378,E1378,F1378)</f>
        <v>BC Caiaponia1SG60KTL(COM3-018)_001_00846049.600694444446049.600694444446049.6805554977</v>
      </c>
      <c r="Q1378" s="32" t="str">
        <f aca="false">_xlfn.CONCAT(H1378,I1378,J1378)</f>
        <v>DAURDE</v>
      </c>
    </row>
    <row r="1379" customFormat="false" ht="15" hidden="false" customHeight="false" outlineLevel="0" collapsed="false">
      <c r="B1379" s="32" t="s">
        <v>48</v>
      </c>
      <c r="C1379" s="32" t="s">
        <v>312</v>
      </c>
      <c r="D1379" s="33" t="n">
        <v>46049.6006944444</v>
      </c>
      <c r="E1379" s="33" t="n">
        <v>46049.6006944444</v>
      </c>
      <c r="F1379" s="33" t="n">
        <v>46049.6805554977</v>
      </c>
      <c r="G1379" s="34" t="n">
        <f aca="false">F1379-E1379</f>
        <v>0.0798610532407407</v>
      </c>
      <c r="H1379" s="39" t="s">
        <v>252</v>
      </c>
      <c r="J1379" s="39" t="s">
        <v>253</v>
      </c>
      <c r="K1379" s="32" t="s">
        <v>266</v>
      </c>
      <c r="L1379" s="32" t="s">
        <v>254</v>
      </c>
      <c r="M1379" s="39" t="s">
        <v>255</v>
      </c>
      <c r="N1379" s="39" t="s">
        <v>256</v>
      </c>
      <c r="O1379" s="32" t="s">
        <v>257</v>
      </c>
      <c r="P1379" s="40" t="str">
        <f aca="false">_xlfn.CONCAT(B1379,C1379,D1379,E1379,F1379)</f>
        <v>BC Caiaponia1SG60KTL(COM3-019)_001_01946049.600694444446049.600694444446049.6805554977</v>
      </c>
      <c r="Q1379" s="32" t="str">
        <f aca="false">_xlfn.CONCAT(H1379,I1379,J1379)</f>
        <v>DAURDE</v>
      </c>
    </row>
    <row r="1380" customFormat="false" ht="15" hidden="false" customHeight="false" outlineLevel="0" collapsed="false">
      <c r="B1380" s="32" t="s">
        <v>48</v>
      </c>
      <c r="C1380" s="32" t="s">
        <v>313</v>
      </c>
      <c r="D1380" s="33" t="n">
        <v>46049.6006944444</v>
      </c>
      <c r="E1380" s="33" t="n">
        <v>46049.6006944444</v>
      </c>
      <c r="F1380" s="33" t="n">
        <v>46049.6805554977</v>
      </c>
      <c r="G1380" s="34" t="n">
        <f aca="false">F1380-E1380</f>
        <v>0.0798610532407407</v>
      </c>
      <c r="H1380" s="39" t="s">
        <v>252</v>
      </c>
      <c r="J1380" s="39" t="s">
        <v>253</v>
      </c>
      <c r="K1380" s="32" t="s">
        <v>266</v>
      </c>
      <c r="L1380" s="32" t="s">
        <v>254</v>
      </c>
      <c r="M1380" s="39" t="s">
        <v>255</v>
      </c>
      <c r="N1380" s="39" t="s">
        <v>256</v>
      </c>
      <c r="O1380" s="32" t="s">
        <v>257</v>
      </c>
      <c r="P1380" s="40" t="str">
        <f aca="false">_xlfn.CONCAT(B1380,C1380,D1380,E1380,F1380)</f>
        <v>BC Caiaponia1SG60KTL(COM3-020)_001_02046049.600694444446049.600694444446049.6805554977</v>
      </c>
      <c r="Q1380" s="32" t="str">
        <f aca="false">_xlfn.CONCAT(H1380,I1380,J1380)</f>
        <v>DAURDE</v>
      </c>
    </row>
    <row r="1381" customFormat="false" ht="15" hidden="false" customHeight="false" outlineLevel="0" collapsed="false">
      <c r="B1381" s="32" t="s">
        <v>48</v>
      </c>
      <c r="C1381" s="32" t="s">
        <v>314</v>
      </c>
      <c r="D1381" s="33" t="n">
        <v>46049.6006944444</v>
      </c>
      <c r="E1381" s="33" t="n">
        <v>46049.6006944444</v>
      </c>
      <c r="F1381" s="33" t="n">
        <v>46049.6805554977</v>
      </c>
      <c r="G1381" s="34" t="n">
        <f aca="false">F1381-E1381</f>
        <v>0.0798610532407407</v>
      </c>
      <c r="H1381" s="39" t="s">
        <v>252</v>
      </c>
      <c r="J1381" s="39" t="s">
        <v>253</v>
      </c>
      <c r="K1381" s="32" t="s">
        <v>266</v>
      </c>
      <c r="L1381" s="32" t="s">
        <v>254</v>
      </c>
      <c r="M1381" s="39" t="s">
        <v>255</v>
      </c>
      <c r="N1381" s="39" t="s">
        <v>256</v>
      </c>
      <c r="O1381" s="32" t="s">
        <v>257</v>
      </c>
      <c r="P1381" s="40" t="str">
        <f aca="false">_xlfn.CONCAT(B1381,C1381,D1381,E1381,F1381)</f>
        <v>BC Caiaponia1SG60KTL(COM2-026)46049.600694444446049.600694444446049.6805554977</v>
      </c>
      <c r="Q1381" s="32" t="str">
        <f aca="false">_xlfn.CONCAT(H1381,I1381,J1381)</f>
        <v>DAURDE</v>
      </c>
    </row>
    <row r="1382" customFormat="false" ht="15" hidden="false" customHeight="false" outlineLevel="0" collapsed="false">
      <c r="B1382" s="32" t="s">
        <v>48</v>
      </c>
      <c r="C1382" s="32" t="s">
        <v>315</v>
      </c>
      <c r="D1382" s="33" t="n">
        <v>46049.6006944444</v>
      </c>
      <c r="E1382" s="33" t="n">
        <v>46049.6006944444</v>
      </c>
      <c r="F1382" s="33" t="n">
        <v>46049.6805554977</v>
      </c>
      <c r="G1382" s="34" t="n">
        <f aca="false">F1382-E1382</f>
        <v>0.0798610532407407</v>
      </c>
      <c r="H1382" s="39" t="s">
        <v>252</v>
      </c>
      <c r="J1382" s="39" t="s">
        <v>253</v>
      </c>
      <c r="K1382" s="32" t="s">
        <v>266</v>
      </c>
      <c r="L1382" s="32" t="s">
        <v>254</v>
      </c>
      <c r="M1382" s="39" t="s">
        <v>255</v>
      </c>
      <c r="N1382" s="39" t="s">
        <v>256</v>
      </c>
      <c r="O1382" s="32" t="s">
        <v>257</v>
      </c>
      <c r="P1382" s="40" t="str">
        <f aca="false">_xlfn.CONCAT(B1382,C1382,D1382,E1382,F1382)</f>
        <v>BC Caiaponia1SG60KTL(COM2-027)46049.600694444446049.600694444446049.6805554977</v>
      </c>
      <c r="Q1382" s="32" t="str">
        <f aca="false">_xlfn.CONCAT(H1382,I1382,J1382)</f>
        <v>DAURDE</v>
      </c>
    </row>
    <row r="1383" customFormat="false" ht="15" hidden="false" customHeight="false" outlineLevel="0" collapsed="false">
      <c r="B1383" s="32" t="s">
        <v>48</v>
      </c>
      <c r="C1383" s="32" t="s">
        <v>316</v>
      </c>
      <c r="D1383" s="33" t="n">
        <v>46049.6006944444</v>
      </c>
      <c r="E1383" s="33" t="n">
        <v>46049.6006944444</v>
      </c>
      <c r="F1383" s="33" t="n">
        <v>46049.6805554977</v>
      </c>
      <c r="G1383" s="34" t="n">
        <f aca="false">F1383-E1383</f>
        <v>0.0798610532407407</v>
      </c>
      <c r="H1383" s="39" t="s">
        <v>252</v>
      </c>
      <c r="J1383" s="39" t="s">
        <v>253</v>
      </c>
      <c r="K1383" s="32" t="s">
        <v>266</v>
      </c>
      <c r="L1383" s="32" t="s">
        <v>254</v>
      </c>
      <c r="M1383" s="39" t="s">
        <v>255</v>
      </c>
      <c r="N1383" s="39" t="s">
        <v>256</v>
      </c>
      <c r="O1383" s="32" t="s">
        <v>257</v>
      </c>
      <c r="P1383" s="40" t="str">
        <f aca="false">_xlfn.CONCAT(B1383,C1383,D1383,E1383,F1383)</f>
        <v>BC Caiaponia1SG60KTL(COM2-028)46049.600694444446049.600694444446049.6805554977</v>
      </c>
      <c r="Q1383" s="32" t="str">
        <f aca="false">_xlfn.CONCAT(H1383,I1383,J1383)</f>
        <v>DAURDE</v>
      </c>
    </row>
    <row r="1384" customFormat="false" ht="15" hidden="false" customHeight="false" outlineLevel="0" collapsed="false">
      <c r="B1384" s="32" t="s">
        <v>48</v>
      </c>
      <c r="C1384" s="32" t="s">
        <v>317</v>
      </c>
      <c r="D1384" s="33" t="n">
        <v>46049.6006944444</v>
      </c>
      <c r="E1384" s="33" t="n">
        <v>46049.6006944444</v>
      </c>
      <c r="F1384" s="33" t="n">
        <v>46049.6805554977</v>
      </c>
      <c r="G1384" s="34" t="n">
        <f aca="false">F1384-E1384</f>
        <v>0.0798610532407407</v>
      </c>
      <c r="H1384" s="39" t="s">
        <v>252</v>
      </c>
      <c r="J1384" s="39" t="s">
        <v>253</v>
      </c>
      <c r="K1384" s="32" t="s">
        <v>266</v>
      </c>
      <c r="L1384" s="32" t="s">
        <v>254</v>
      </c>
      <c r="M1384" s="39" t="s">
        <v>255</v>
      </c>
      <c r="N1384" s="39" t="s">
        <v>256</v>
      </c>
      <c r="O1384" s="32" t="s">
        <v>257</v>
      </c>
      <c r="P1384" s="40" t="str">
        <f aca="false">_xlfn.CONCAT(B1384,C1384,D1384,E1384,F1384)</f>
        <v>BC Caiaponia1SG60KTL(COM2-029)46049.600694444446049.600694444446049.6805554977</v>
      </c>
      <c r="Q1384" s="32" t="str">
        <f aca="false">_xlfn.CONCAT(H1384,I1384,J1384)</f>
        <v>DAURDE</v>
      </c>
    </row>
    <row r="1385" customFormat="false" ht="15" hidden="false" customHeight="false" outlineLevel="0" collapsed="false">
      <c r="B1385" s="32" t="s">
        <v>48</v>
      </c>
      <c r="C1385" s="32" t="s">
        <v>318</v>
      </c>
      <c r="D1385" s="33" t="n">
        <v>46049.6006944444</v>
      </c>
      <c r="E1385" s="33" t="n">
        <v>46049.6006944444</v>
      </c>
      <c r="F1385" s="33" t="n">
        <v>46049.6805554977</v>
      </c>
      <c r="G1385" s="34" t="n">
        <f aca="false">F1385-E1385</f>
        <v>0.0798610532407407</v>
      </c>
      <c r="H1385" s="39" t="s">
        <v>252</v>
      </c>
      <c r="J1385" s="39" t="s">
        <v>253</v>
      </c>
      <c r="K1385" s="32" t="s">
        <v>266</v>
      </c>
      <c r="L1385" s="32" t="s">
        <v>254</v>
      </c>
      <c r="M1385" s="39" t="s">
        <v>255</v>
      </c>
      <c r="N1385" s="39" t="s">
        <v>256</v>
      </c>
      <c r="O1385" s="32" t="s">
        <v>257</v>
      </c>
      <c r="P1385" s="40" t="str">
        <f aca="false">_xlfn.CONCAT(B1385,C1385,D1385,E1385,F1385)</f>
        <v>BC Caiaponia1SG50CX(COM1-021)46049.600694444446049.600694444446049.6805554977</v>
      </c>
      <c r="Q1385" s="32" t="str">
        <f aca="false">_xlfn.CONCAT(H1385,I1385,J1385)</f>
        <v>DAURDE</v>
      </c>
    </row>
    <row r="1386" customFormat="false" ht="15" hidden="false" customHeight="false" outlineLevel="0" collapsed="false">
      <c r="B1386" s="32" t="s">
        <v>48</v>
      </c>
      <c r="C1386" s="32" t="s">
        <v>319</v>
      </c>
      <c r="D1386" s="33" t="n">
        <v>46049.6006944444</v>
      </c>
      <c r="E1386" s="33" t="n">
        <v>46049.6006944444</v>
      </c>
      <c r="F1386" s="33" t="n">
        <v>46049.6805554977</v>
      </c>
      <c r="G1386" s="34" t="n">
        <f aca="false">F1386-E1386</f>
        <v>0.0798610532407407</v>
      </c>
      <c r="H1386" s="39" t="s">
        <v>252</v>
      </c>
      <c r="J1386" s="39" t="s">
        <v>253</v>
      </c>
      <c r="K1386" s="32" t="s">
        <v>266</v>
      </c>
      <c r="L1386" s="32" t="s">
        <v>254</v>
      </c>
      <c r="M1386" s="39" t="s">
        <v>255</v>
      </c>
      <c r="N1386" s="39" t="s">
        <v>256</v>
      </c>
      <c r="O1386" s="32" t="s">
        <v>257</v>
      </c>
      <c r="P1386" s="40" t="str">
        <f aca="false">_xlfn.CONCAT(B1386,C1386,D1386,E1386,F1386)</f>
        <v>BC Caiaponia1SG50CX(COM1-022)46049.600694444446049.600694444446049.6805554977</v>
      </c>
      <c r="Q1386" s="32" t="str">
        <f aca="false">_xlfn.CONCAT(H1386,I1386,J1386)</f>
        <v>DAURDE</v>
      </c>
    </row>
    <row r="1387" customFormat="false" ht="15" hidden="false" customHeight="false" outlineLevel="0" collapsed="false">
      <c r="B1387" s="32" t="s">
        <v>48</v>
      </c>
      <c r="C1387" s="32" t="s">
        <v>320</v>
      </c>
      <c r="D1387" s="33" t="n">
        <v>46049.6006944444</v>
      </c>
      <c r="E1387" s="33" t="n">
        <v>46049.6006944444</v>
      </c>
      <c r="F1387" s="33" t="n">
        <v>46049.6805554977</v>
      </c>
      <c r="G1387" s="34" t="n">
        <f aca="false">F1387-E1387</f>
        <v>0.0798610532407407</v>
      </c>
      <c r="H1387" s="39" t="s">
        <v>252</v>
      </c>
      <c r="J1387" s="39" t="s">
        <v>253</v>
      </c>
      <c r="K1387" s="32" t="s">
        <v>266</v>
      </c>
      <c r="L1387" s="32" t="s">
        <v>254</v>
      </c>
      <c r="M1387" s="39" t="s">
        <v>255</v>
      </c>
      <c r="N1387" s="39" t="s">
        <v>256</v>
      </c>
      <c r="O1387" s="32" t="s">
        <v>257</v>
      </c>
      <c r="P1387" s="40" t="str">
        <f aca="false">_xlfn.CONCAT(B1387,C1387,D1387,E1387,F1387)</f>
        <v>BC Caiaponia1SG50CX(COM1-023)46049.600694444446049.600694444446049.6805554977</v>
      </c>
      <c r="Q1387" s="32" t="str">
        <f aca="false">_xlfn.CONCAT(H1387,I1387,J1387)</f>
        <v>DAURDE</v>
      </c>
    </row>
    <row r="1388" customFormat="false" ht="15" hidden="false" customHeight="false" outlineLevel="0" collapsed="false">
      <c r="B1388" s="32" t="s">
        <v>48</v>
      </c>
      <c r="C1388" s="32" t="s">
        <v>321</v>
      </c>
      <c r="D1388" s="33" t="n">
        <v>46049.6006944444</v>
      </c>
      <c r="E1388" s="33" t="n">
        <v>46049.6006944444</v>
      </c>
      <c r="F1388" s="33" t="n">
        <v>46049.6805554977</v>
      </c>
      <c r="G1388" s="34" t="n">
        <f aca="false">F1388-E1388</f>
        <v>0.0798610532407407</v>
      </c>
      <c r="H1388" s="39" t="s">
        <v>252</v>
      </c>
      <c r="J1388" s="39" t="s">
        <v>253</v>
      </c>
      <c r="K1388" s="32" t="s">
        <v>266</v>
      </c>
      <c r="L1388" s="32" t="s">
        <v>254</v>
      </c>
      <c r="M1388" s="39" t="s">
        <v>255</v>
      </c>
      <c r="N1388" s="39" t="s">
        <v>256</v>
      </c>
      <c r="O1388" s="32" t="s">
        <v>257</v>
      </c>
      <c r="P1388" s="40" t="str">
        <f aca="false">_xlfn.CONCAT(B1388,C1388,D1388,E1388,F1388)</f>
        <v>BC Caiaponia1SG50CX(COM1-024)46049.600694444446049.600694444446049.6805554977</v>
      </c>
      <c r="Q1388" s="32" t="str">
        <f aca="false">_xlfn.CONCAT(H1388,I1388,J1388)</f>
        <v>DAURDE</v>
      </c>
    </row>
    <row r="1389" customFormat="false" ht="15" hidden="false" customHeight="false" outlineLevel="0" collapsed="false">
      <c r="B1389" s="32" t="s">
        <v>48</v>
      </c>
      <c r="C1389" s="32" t="s">
        <v>322</v>
      </c>
      <c r="D1389" s="33" t="n">
        <v>46049.6006944444</v>
      </c>
      <c r="E1389" s="33" t="n">
        <v>46049.6006944444</v>
      </c>
      <c r="F1389" s="33" t="n">
        <v>46049.6805554977</v>
      </c>
      <c r="G1389" s="34" t="n">
        <f aca="false">F1389-E1389</f>
        <v>0.0798610532407407</v>
      </c>
      <c r="H1389" s="39" t="s">
        <v>252</v>
      </c>
      <c r="J1389" s="39" t="s">
        <v>253</v>
      </c>
      <c r="K1389" s="32" t="s">
        <v>266</v>
      </c>
      <c r="L1389" s="32" t="s">
        <v>254</v>
      </c>
      <c r="M1389" s="39" t="s">
        <v>255</v>
      </c>
      <c r="N1389" s="39" t="s">
        <v>256</v>
      </c>
      <c r="O1389" s="32" t="s">
        <v>257</v>
      </c>
      <c r="P1389" s="40" t="str">
        <f aca="false">_xlfn.CONCAT(B1389,C1389,D1389,E1389,F1389)</f>
        <v>BC Caiaponia1SG50CX(COM1-025)46049.600694444446049.600694444446049.6805554977</v>
      </c>
      <c r="Q1389" s="32" t="str">
        <f aca="false">_xlfn.CONCAT(H1389,I1389,J1389)</f>
        <v>DAURDE</v>
      </c>
    </row>
    <row r="1390" customFormat="false" ht="15" hidden="false" customHeight="false" outlineLevel="0" collapsed="false">
      <c r="B1390" s="32" t="s">
        <v>250</v>
      </c>
      <c r="C1390" s="32" t="s">
        <v>251</v>
      </c>
      <c r="D1390" s="33" t="n">
        <v>46049.6006944444</v>
      </c>
      <c r="E1390" s="33" t="n">
        <v>46049.6006944444</v>
      </c>
      <c r="F1390" s="33" t="n">
        <v>46049.6805554977</v>
      </c>
      <c r="G1390" s="34" t="n">
        <f aca="false">F1390-E1390</f>
        <v>0.0798610532407407</v>
      </c>
      <c r="H1390" s="39" t="s">
        <v>252</v>
      </c>
      <c r="J1390" s="39" t="s">
        <v>253</v>
      </c>
      <c r="K1390" s="32" t="s">
        <v>266</v>
      </c>
      <c r="L1390" s="32" t="s">
        <v>254</v>
      </c>
      <c r="M1390" s="39" t="s">
        <v>255</v>
      </c>
      <c r="N1390" s="39" t="s">
        <v>256</v>
      </c>
      <c r="O1390" s="32" t="s">
        <v>257</v>
      </c>
      <c r="P1390" s="40" t="str">
        <f aca="false">_xlfn.CONCAT(B1390,C1390,D1390,E1390,F1390)</f>
        <v>BC Caiaponia2.1215KTL-H3(MBUS-12)46049.600694444446049.600694444446049.6805554977</v>
      </c>
      <c r="Q1390" s="32" t="str">
        <f aca="false">_xlfn.CONCAT(H1390,I1390,J1390)</f>
        <v>DAURDE</v>
      </c>
    </row>
    <row r="1391" customFormat="false" ht="15" hidden="false" customHeight="false" outlineLevel="0" collapsed="false">
      <c r="B1391" s="32" t="s">
        <v>250</v>
      </c>
      <c r="C1391" s="32" t="s">
        <v>258</v>
      </c>
      <c r="D1391" s="33" t="n">
        <v>46049.6006944444</v>
      </c>
      <c r="E1391" s="33" t="n">
        <v>46049.6006944444</v>
      </c>
      <c r="F1391" s="33" t="n">
        <v>46049.6805554977</v>
      </c>
      <c r="G1391" s="34" t="n">
        <f aca="false">F1391-E1391</f>
        <v>0.0798610532407407</v>
      </c>
      <c r="H1391" s="39" t="s">
        <v>252</v>
      </c>
      <c r="J1391" s="39" t="s">
        <v>253</v>
      </c>
      <c r="K1391" s="32" t="s">
        <v>266</v>
      </c>
      <c r="L1391" s="32" t="s">
        <v>254</v>
      </c>
      <c r="M1391" s="39" t="s">
        <v>255</v>
      </c>
      <c r="N1391" s="39" t="s">
        <v>256</v>
      </c>
      <c r="O1391" s="32" t="s">
        <v>257</v>
      </c>
      <c r="P1391" s="40" t="str">
        <f aca="false">_xlfn.CONCAT(B1391,C1391,D1391,E1391,F1391)</f>
        <v>BC Caiaponia2.1215KTL-H3(MBUS-13)46049.600694444446049.600694444446049.6805554977</v>
      </c>
      <c r="Q1391" s="32" t="str">
        <f aca="false">_xlfn.CONCAT(H1391,I1391,J1391)</f>
        <v>DAURDE</v>
      </c>
    </row>
    <row r="1392" customFormat="false" ht="15" hidden="false" customHeight="false" outlineLevel="0" collapsed="false">
      <c r="B1392" s="32" t="s">
        <v>250</v>
      </c>
      <c r="C1392" s="32" t="s">
        <v>259</v>
      </c>
      <c r="D1392" s="33" t="n">
        <v>46049.6006944444</v>
      </c>
      <c r="E1392" s="33" t="n">
        <v>46049.6006944444</v>
      </c>
      <c r="F1392" s="33" t="n">
        <v>46049.6805554977</v>
      </c>
      <c r="G1392" s="34" t="n">
        <f aca="false">F1392-E1392</f>
        <v>0.0798610532407407</v>
      </c>
      <c r="H1392" s="39" t="s">
        <v>252</v>
      </c>
      <c r="J1392" s="39" t="s">
        <v>253</v>
      </c>
      <c r="K1392" s="32" t="s">
        <v>266</v>
      </c>
      <c r="L1392" s="32" t="s">
        <v>254</v>
      </c>
      <c r="M1392" s="39" t="s">
        <v>255</v>
      </c>
      <c r="N1392" s="39" t="s">
        <v>256</v>
      </c>
      <c r="O1392" s="32" t="s">
        <v>257</v>
      </c>
      <c r="P1392" s="40" t="str">
        <f aca="false">_xlfn.CONCAT(B1392,C1392,D1392,E1392,F1392)</f>
        <v>BC Caiaponia2.1215KTL-H3(MBUS-14)46049.600694444446049.600694444446049.6805554977</v>
      </c>
      <c r="Q1392" s="32" t="str">
        <f aca="false">_xlfn.CONCAT(H1392,I1392,J1392)</f>
        <v>DAURDE</v>
      </c>
    </row>
    <row r="1393" customFormat="false" ht="15" hidden="false" customHeight="false" outlineLevel="0" collapsed="false">
      <c r="B1393" s="32" t="s">
        <v>250</v>
      </c>
      <c r="C1393" s="32" t="s">
        <v>260</v>
      </c>
      <c r="D1393" s="33" t="n">
        <v>46049.6006944444</v>
      </c>
      <c r="E1393" s="33" t="n">
        <v>46049.6006944444</v>
      </c>
      <c r="F1393" s="33" t="n">
        <v>46049.6805554977</v>
      </c>
      <c r="G1393" s="34" t="n">
        <f aca="false">F1393-E1393</f>
        <v>0.0798610532407407</v>
      </c>
      <c r="H1393" s="39" t="s">
        <v>252</v>
      </c>
      <c r="J1393" s="39" t="s">
        <v>253</v>
      </c>
      <c r="K1393" s="32" t="s">
        <v>266</v>
      </c>
      <c r="L1393" s="32" t="s">
        <v>254</v>
      </c>
      <c r="M1393" s="39" t="s">
        <v>255</v>
      </c>
      <c r="N1393" s="39" t="s">
        <v>256</v>
      </c>
      <c r="O1393" s="32" t="s">
        <v>257</v>
      </c>
      <c r="P1393" s="40" t="str">
        <f aca="false">_xlfn.CONCAT(B1393,C1393,D1393,E1393,F1393)</f>
        <v>BC Caiaponia2.1215KTL-H3(MBUS-15)46049.600694444446049.600694444446049.6805554977</v>
      </c>
      <c r="Q1393" s="32" t="str">
        <f aca="false">_xlfn.CONCAT(H1393,I1393,J1393)</f>
        <v>DAURDE</v>
      </c>
    </row>
    <row r="1394" customFormat="false" ht="15" hidden="false" customHeight="false" outlineLevel="0" collapsed="false">
      <c r="B1394" s="32" t="s">
        <v>250</v>
      </c>
      <c r="C1394" s="32" t="s">
        <v>261</v>
      </c>
      <c r="D1394" s="33" t="n">
        <v>46049.6006944444</v>
      </c>
      <c r="E1394" s="33" t="n">
        <v>46049.6006944444</v>
      </c>
      <c r="F1394" s="33" t="n">
        <v>46049.6805554977</v>
      </c>
      <c r="G1394" s="34" t="n">
        <f aca="false">F1394-E1394</f>
        <v>0.0798610532407407</v>
      </c>
      <c r="H1394" s="39" t="s">
        <v>252</v>
      </c>
      <c r="J1394" s="39" t="s">
        <v>253</v>
      </c>
      <c r="K1394" s="32" t="s">
        <v>266</v>
      </c>
      <c r="L1394" s="32" t="s">
        <v>254</v>
      </c>
      <c r="M1394" s="39" t="s">
        <v>255</v>
      </c>
      <c r="N1394" s="39" t="s">
        <v>256</v>
      </c>
      <c r="O1394" s="32" t="s">
        <v>257</v>
      </c>
      <c r="P1394" s="40" t="str">
        <f aca="false">_xlfn.CONCAT(B1394,C1394,D1394,E1394,F1394)</f>
        <v>BC Caiaponia2.1215KTL-H3(MBUS-16)46049.600694444446049.600694444446049.6805554977</v>
      </c>
      <c r="Q1394" s="32" t="str">
        <f aca="false">_xlfn.CONCAT(H1394,I1394,J1394)</f>
        <v>DAURDE</v>
      </c>
    </row>
    <row r="1395" customFormat="false" ht="15" hidden="false" customHeight="false" outlineLevel="0" collapsed="false">
      <c r="B1395" s="32" t="s">
        <v>262</v>
      </c>
      <c r="C1395" s="32" t="s">
        <v>251</v>
      </c>
      <c r="D1395" s="33" t="n">
        <v>46049.6006944444</v>
      </c>
      <c r="E1395" s="33" t="n">
        <v>46049.6006944444</v>
      </c>
      <c r="F1395" s="33" t="n">
        <v>46049.6805554977</v>
      </c>
      <c r="G1395" s="34" t="n">
        <f aca="false">F1395-E1395</f>
        <v>0.0798610532407407</v>
      </c>
      <c r="H1395" s="39" t="s">
        <v>252</v>
      </c>
      <c r="J1395" s="39" t="s">
        <v>253</v>
      </c>
      <c r="K1395" s="32" t="s">
        <v>266</v>
      </c>
      <c r="L1395" s="32" t="s">
        <v>254</v>
      </c>
      <c r="M1395" s="39" t="s">
        <v>255</v>
      </c>
      <c r="N1395" s="39" t="s">
        <v>256</v>
      </c>
      <c r="O1395" s="32" t="s">
        <v>257</v>
      </c>
      <c r="P1395" s="40" t="str">
        <f aca="false">_xlfn.CONCAT(B1395,C1395,D1395,E1395,F1395)</f>
        <v>BC Caiaponia2.2215KTL-H3(MBUS-12)46049.600694444446049.600694444446049.6805554977</v>
      </c>
      <c r="Q1395" s="32" t="str">
        <f aca="false">_xlfn.CONCAT(H1395,I1395,J1395)</f>
        <v>DAURDE</v>
      </c>
    </row>
    <row r="1396" customFormat="false" ht="15" hidden="false" customHeight="false" outlineLevel="0" collapsed="false">
      <c r="B1396" s="32" t="s">
        <v>262</v>
      </c>
      <c r="C1396" s="32" t="s">
        <v>258</v>
      </c>
      <c r="D1396" s="33" t="n">
        <v>46049.6006944444</v>
      </c>
      <c r="E1396" s="33" t="n">
        <v>46049.6006944444</v>
      </c>
      <c r="F1396" s="33" t="n">
        <v>46049.6805554977</v>
      </c>
      <c r="G1396" s="34" t="n">
        <f aca="false">F1396-E1396</f>
        <v>0.0798610532407407</v>
      </c>
      <c r="H1396" s="39" t="s">
        <v>252</v>
      </c>
      <c r="J1396" s="39" t="s">
        <v>253</v>
      </c>
      <c r="K1396" s="32" t="s">
        <v>266</v>
      </c>
      <c r="L1396" s="32" t="s">
        <v>254</v>
      </c>
      <c r="M1396" s="39" t="s">
        <v>255</v>
      </c>
      <c r="N1396" s="39" t="s">
        <v>256</v>
      </c>
      <c r="O1396" s="32" t="s">
        <v>257</v>
      </c>
      <c r="P1396" s="40" t="str">
        <f aca="false">_xlfn.CONCAT(B1396,C1396,D1396,E1396,F1396)</f>
        <v>BC Caiaponia2.2215KTL-H3(MBUS-13)46049.600694444446049.600694444446049.6805554977</v>
      </c>
      <c r="Q1396" s="32" t="str">
        <f aca="false">_xlfn.CONCAT(H1396,I1396,J1396)</f>
        <v>DAURDE</v>
      </c>
    </row>
    <row r="1397" customFormat="false" ht="15" hidden="false" customHeight="false" outlineLevel="0" collapsed="false">
      <c r="B1397" s="32" t="s">
        <v>262</v>
      </c>
      <c r="C1397" s="32" t="s">
        <v>259</v>
      </c>
      <c r="D1397" s="33" t="n">
        <v>46049.6006944444</v>
      </c>
      <c r="E1397" s="33" t="n">
        <v>46049.6006944444</v>
      </c>
      <c r="F1397" s="33" t="n">
        <v>46049.6805554977</v>
      </c>
      <c r="G1397" s="34" t="n">
        <f aca="false">F1397-E1397</f>
        <v>0.0798610532407407</v>
      </c>
      <c r="H1397" s="39" t="s">
        <v>252</v>
      </c>
      <c r="J1397" s="39" t="s">
        <v>253</v>
      </c>
      <c r="K1397" s="32" t="s">
        <v>266</v>
      </c>
      <c r="L1397" s="32" t="s">
        <v>254</v>
      </c>
      <c r="M1397" s="39" t="s">
        <v>255</v>
      </c>
      <c r="N1397" s="39" t="s">
        <v>256</v>
      </c>
      <c r="O1397" s="32" t="s">
        <v>257</v>
      </c>
      <c r="P1397" s="40" t="str">
        <f aca="false">_xlfn.CONCAT(B1397,C1397,D1397,E1397,F1397)</f>
        <v>BC Caiaponia2.2215KTL-H3(MBUS-14)46049.600694444446049.600694444446049.6805554977</v>
      </c>
      <c r="Q1397" s="32" t="str">
        <f aca="false">_xlfn.CONCAT(H1397,I1397,J1397)</f>
        <v>DAURDE</v>
      </c>
    </row>
    <row r="1398" customFormat="false" ht="15" hidden="false" customHeight="false" outlineLevel="0" collapsed="false">
      <c r="B1398" s="32" t="s">
        <v>262</v>
      </c>
      <c r="C1398" s="32" t="s">
        <v>260</v>
      </c>
      <c r="D1398" s="33" t="n">
        <v>46049.6006944444</v>
      </c>
      <c r="E1398" s="33" t="n">
        <v>46049.6006944444</v>
      </c>
      <c r="F1398" s="33" t="n">
        <v>46049.6805554977</v>
      </c>
      <c r="G1398" s="34" t="n">
        <f aca="false">F1398-E1398</f>
        <v>0.0798610532407407</v>
      </c>
      <c r="H1398" s="39" t="s">
        <v>252</v>
      </c>
      <c r="J1398" s="39" t="s">
        <v>253</v>
      </c>
      <c r="K1398" s="32" t="s">
        <v>266</v>
      </c>
      <c r="L1398" s="32" t="s">
        <v>254</v>
      </c>
      <c r="M1398" s="39" t="s">
        <v>255</v>
      </c>
      <c r="N1398" s="39" t="s">
        <v>256</v>
      </c>
      <c r="O1398" s="32" t="s">
        <v>257</v>
      </c>
      <c r="P1398" s="40" t="str">
        <f aca="false">_xlfn.CONCAT(B1398,C1398,D1398,E1398,F1398)</f>
        <v>BC Caiaponia2.2215KTL-H3(MBUS-15)46049.600694444446049.600694444446049.6805554977</v>
      </c>
      <c r="Q1398" s="32" t="str">
        <f aca="false">_xlfn.CONCAT(H1398,I1398,J1398)</f>
        <v>DAURDE</v>
      </c>
    </row>
    <row r="1399" customFormat="false" ht="15" hidden="false" customHeight="false" outlineLevel="0" collapsed="false">
      <c r="B1399" s="32" t="s">
        <v>262</v>
      </c>
      <c r="C1399" s="32" t="s">
        <v>261</v>
      </c>
      <c r="D1399" s="33" t="n">
        <v>46049.6006944444</v>
      </c>
      <c r="E1399" s="33" t="n">
        <v>46049.6006944444</v>
      </c>
      <c r="F1399" s="33" t="n">
        <v>46049.6805554977</v>
      </c>
      <c r="G1399" s="34" t="n">
        <f aca="false">F1399-E1399</f>
        <v>0.0798610532407407</v>
      </c>
      <c r="H1399" s="39" t="s">
        <v>252</v>
      </c>
      <c r="J1399" s="39" t="s">
        <v>253</v>
      </c>
      <c r="K1399" s="32" t="s">
        <v>266</v>
      </c>
      <c r="L1399" s="32" t="s">
        <v>254</v>
      </c>
      <c r="M1399" s="39" t="s">
        <v>255</v>
      </c>
      <c r="N1399" s="39" t="s">
        <v>256</v>
      </c>
      <c r="O1399" s="32" t="s">
        <v>257</v>
      </c>
      <c r="P1399" s="40" t="str">
        <f aca="false">_xlfn.CONCAT(B1399,C1399,D1399,E1399,F1399)</f>
        <v>BC Caiaponia2.2215KTL-H3(MBUS-16)46049.600694444446049.600694444446049.6805554977</v>
      </c>
      <c r="Q1399" s="32" t="str">
        <f aca="false">_xlfn.CONCAT(H1399,I1399,J1399)</f>
        <v>DAURDE</v>
      </c>
    </row>
    <row r="1400" customFormat="false" ht="15" hidden="false" customHeight="false" outlineLevel="0" collapsed="false">
      <c r="B1400" s="32" t="s">
        <v>263</v>
      </c>
      <c r="C1400" s="32" t="s">
        <v>251</v>
      </c>
      <c r="D1400" s="33" t="n">
        <v>46049.6006944444</v>
      </c>
      <c r="E1400" s="33" t="n">
        <v>46049.6006944444</v>
      </c>
      <c r="F1400" s="33" t="n">
        <v>46049.6805554977</v>
      </c>
      <c r="G1400" s="34" t="n">
        <f aca="false">F1400-E1400</f>
        <v>0.0798610532407407</v>
      </c>
      <c r="H1400" s="39" t="s">
        <v>252</v>
      </c>
      <c r="J1400" s="39" t="s">
        <v>253</v>
      </c>
      <c r="K1400" s="32" t="s">
        <v>266</v>
      </c>
      <c r="L1400" s="32" t="s">
        <v>254</v>
      </c>
      <c r="M1400" s="39" t="s">
        <v>255</v>
      </c>
      <c r="N1400" s="39" t="s">
        <v>256</v>
      </c>
      <c r="O1400" s="32" t="s">
        <v>257</v>
      </c>
      <c r="P1400" s="40" t="str">
        <f aca="false">_xlfn.CONCAT(B1400,C1400,D1400,E1400,F1400)</f>
        <v>BC Caiaponia2.3215KTL-H3(MBUS-12)46049.600694444446049.600694444446049.6805554977</v>
      </c>
      <c r="Q1400" s="32" t="str">
        <f aca="false">_xlfn.CONCAT(H1400,I1400,J1400)</f>
        <v>DAURDE</v>
      </c>
    </row>
    <row r="1401" customFormat="false" ht="15" hidden="false" customHeight="false" outlineLevel="0" collapsed="false">
      <c r="B1401" s="32" t="s">
        <v>263</v>
      </c>
      <c r="C1401" s="32" t="s">
        <v>258</v>
      </c>
      <c r="D1401" s="33" t="n">
        <v>46049.6006944444</v>
      </c>
      <c r="E1401" s="33" t="n">
        <v>46049.6006944444</v>
      </c>
      <c r="F1401" s="33" t="n">
        <v>46049.6805554977</v>
      </c>
      <c r="G1401" s="34" t="n">
        <f aca="false">F1401-E1401</f>
        <v>0.0798610532407407</v>
      </c>
      <c r="H1401" s="39" t="s">
        <v>252</v>
      </c>
      <c r="J1401" s="39" t="s">
        <v>253</v>
      </c>
      <c r="K1401" s="32" t="s">
        <v>266</v>
      </c>
      <c r="L1401" s="32" t="s">
        <v>254</v>
      </c>
      <c r="M1401" s="39" t="s">
        <v>255</v>
      </c>
      <c r="N1401" s="39" t="s">
        <v>256</v>
      </c>
      <c r="O1401" s="32" t="s">
        <v>257</v>
      </c>
      <c r="P1401" s="40" t="str">
        <f aca="false">_xlfn.CONCAT(B1401,C1401,D1401,E1401,F1401)</f>
        <v>BC Caiaponia2.3215KTL-H3(MBUS-13)46049.600694444446049.600694444446049.6805554977</v>
      </c>
      <c r="Q1401" s="32" t="str">
        <f aca="false">_xlfn.CONCAT(H1401,I1401,J1401)</f>
        <v>DAURDE</v>
      </c>
    </row>
    <row r="1402" customFormat="false" ht="15" hidden="false" customHeight="false" outlineLevel="0" collapsed="false">
      <c r="B1402" s="32" t="s">
        <v>263</v>
      </c>
      <c r="C1402" s="32" t="s">
        <v>259</v>
      </c>
      <c r="D1402" s="33" t="n">
        <v>46049.6006944444</v>
      </c>
      <c r="E1402" s="33" t="n">
        <v>46049.6006944444</v>
      </c>
      <c r="F1402" s="33" t="n">
        <v>46049.6805554977</v>
      </c>
      <c r="G1402" s="34" t="n">
        <f aca="false">F1402-E1402</f>
        <v>0.0798610532407407</v>
      </c>
      <c r="H1402" s="39" t="s">
        <v>252</v>
      </c>
      <c r="J1402" s="39" t="s">
        <v>253</v>
      </c>
      <c r="K1402" s="32" t="s">
        <v>266</v>
      </c>
      <c r="L1402" s="32" t="s">
        <v>254</v>
      </c>
      <c r="M1402" s="39" t="s">
        <v>255</v>
      </c>
      <c r="N1402" s="39" t="s">
        <v>256</v>
      </c>
      <c r="O1402" s="32" t="s">
        <v>257</v>
      </c>
      <c r="P1402" s="40" t="str">
        <f aca="false">_xlfn.CONCAT(B1402,C1402,D1402,E1402,F1402)</f>
        <v>BC Caiaponia2.3215KTL-H3(MBUS-14)46049.600694444446049.600694444446049.6805554977</v>
      </c>
      <c r="Q1402" s="32" t="str">
        <f aca="false">_xlfn.CONCAT(H1402,I1402,J1402)</f>
        <v>DAURDE</v>
      </c>
    </row>
    <row r="1403" customFormat="false" ht="15" hidden="false" customHeight="false" outlineLevel="0" collapsed="false">
      <c r="B1403" s="32" t="s">
        <v>263</v>
      </c>
      <c r="C1403" s="32" t="s">
        <v>260</v>
      </c>
      <c r="D1403" s="33" t="n">
        <v>46049.6006944444</v>
      </c>
      <c r="E1403" s="33" t="n">
        <v>46049.6006944444</v>
      </c>
      <c r="F1403" s="33" t="n">
        <v>46049.6805554977</v>
      </c>
      <c r="G1403" s="34" t="n">
        <f aca="false">F1403-E1403</f>
        <v>0.0798610532407407</v>
      </c>
      <c r="H1403" s="39" t="s">
        <v>252</v>
      </c>
      <c r="J1403" s="39" t="s">
        <v>253</v>
      </c>
      <c r="K1403" s="32" t="s">
        <v>266</v>
      </c>
      <c r="L1403" s="32" t="s">
        <v>254</v>
      </c>
      <c r="M1403" s="39" t="s">
        <v>255</v>
      </c>
      <c r="N1403" s="39" t="s">
        <v>256</v>
      </c>
      <c r="O1403" s="32" t="s">
        <v>257</v>
      </c>
      <c r="P1403" s="40" t="str">
        <f aca="false">_xlfn.CONCAT(B1403,C1403,D1403,E1403,F1403)</f>
        <v>BC Caiaponia2.3215KTL-H3(MBUS-15)46049.600694444446049.600694444446049.6805554977</v>
      </c>
      <c r="Q1403" s="32" t="str">
        <f aca="false">_xlfn.CONCAT(H1403,I1403,J1403)</f>
        <v>DAURDE</v>
      </c>
    </row>
    <row r="1404" customFormat="false" ht="15" hidden="false" customHeight="false" outlineLevel="0" collapsed="false">
      <c r="B1404" s="32" t="s">
        <v>263</v>
      </c>
      <c r="C1404" s="32" t="s">
        <v>261</v>
      </c>
      <c r="D1404" s="33" t="n">
        <v>46049.6006944444</v>
      </c>
      <c r="E1404" s="33" t="n">
        <v>46049.6006944444</v>
      </c>
      <c r="F1404" s="33" t="n">
        <v>46049.6805554977</v>
      </c>
      <c r="G1404" s="34" t="n">
        <f aca="false">F1404-E1404</f>
        <v>0.0798610532407407</v>
      </c>
      <c r="H1404" s="39" t="s">
        <v>252</v>
      </c>
      <c r="J1404" s="39" t="s">
        <v>253</v>
      </c>
      <c r="K1404" s="32" t="s">
        <v>266</v>
      </c>
      <c r="L1404" s="32" t="s">
        <v>254</v>
      </c>
      <c r="M1404" s="39" t="s">
        <v>255</v>
      </c>
      <c r="N1404" s="39" t="s">
        <v>256</v>
      </c>
      <c r="O1404" s="32" t="s">
        <v>257</v>
      </c>
      <c r="P1404" s="40" t="str">
        <f aca="false">_xlfn.CONCAT(B1404,C1404,D1404,E1404,F1404)</f>
        <v>BC Caiaponia2.3215KTL-H3(MBUS-16)46049.600694444446049.600694444446049.6805554977</v>
      </c>
      <c r="Q1404" s="32" t="str">
        <f aca="false">_xlfn.CONCAT(H1404,I1404,J1404)</f>
        <v>DAURDE</v>
      </c>
    </row>
    <row r="1405" customFormat="false" ht="15" hidden="false" customHeight="false" outlineLevel="0" collapsed="false">
      <c r="B1405" s="32" t="s">
        <v>264</v>
      </c>
      <c r="C1405" s="32" t="s">
        <v>265</v>
      </c>
      <c r="D1405" s="33" t="n">
        <v>46049.6284722222</v>
      </c>
      <c r="E1405" s="33" t="n">
        <v>46049.6284722222</v>
      </c>
      <c r="F1405" s="33" t="n">
        <v>46049.7701388889</v>
      </c>
      <c r="G1405" s="34" t="n">
        <f aca="false">F1405-E1405</f>
        <v>0.141666666666667</v>
      </c>
      <c r="H1405" s="39" t="s">
        <v>252</v>
      </c>
      <c r="J1405" s="39" t="s">
        <v>253</v>
      </c>
      <c r="K1405" s="32" t="s">
        <v>266</v>
      </c>
      <c r="L1405" s="32" t="s">
        <v>658</v>
      </c>
      <c r="M1405" s="39" t="s">
        <v>255</v>
      </c>
      <c r="N1405" s="39" t="s">
        <v>256</v>
      </c>
      <c r="O1405" s="32" t="s">
        <v>644</v>
      </c>
      <c r="P1405" s="40" t="str">
        <f aca="false">_xlfn.CONCAT(B1405,C1405,D1405,E1405,F1405)</f>
        <v>BC Aracu5.1Inverter(MBUS-1)46049.628472222246049.628472222246049.7701388889</v>
      </c>
      <c r="Q1405" s="32" t="str">
        <f aca="false">_xlfn.CONCAT(H1405,I1405,J1405)</f>
        <v>DAURDE</v>
      </c>
    </row>
    <row r="1406" customFormat="false" ht="15" hidden="false" customHeight="false" outlineLevel="0" collapsed="false">
      <c r="B1406" s="32" t="s">
        <v>270</v>
      </c>
      <c r="C1406" s="32" t="s">
        <v>265</v>
      </c>
      <c r="D1406" s="33" t="n">
        <v>46049.6284722222</v>
      </c>
      <c r="E1406" s="33" t="n">
        <v>46049.6284722222</v>
      </c>
      <c r="F1406" s="33" t="n">
        <v>46049.7701388889</v>
      </c>
      <c r="G1406" s="34" t="n">
        <f aca="false">F1406-E1406</f>
        <v>0.141666666666667</v>
      </c>
      <c r="H1406" s="39" t="s">
        <v>252</v>
      </c>
      <c r="J1406" s="39" t="s">
        <v>253</v>
      </c>
      <c r="K1406" s="32" t="s">
        <v>266</v>
      </c>
      <c r="L1406" s="32" t="s">
        <v>658</v>
      </c>
      <c r="M1406" s="39" t="s">
        <v>255</v>
      </c>
      <c r="N1406" s="39" t="s">
        <v>256</v>
      </c>
      <c r="O1406" s="32" t="s">
        <v>644</v>
      </c>
      <c r="P1406" s="40" t="str">
        <f aca="false">_xlfn.CONCAT(B1406,C1406,D1406,E1406,F1406)</f>
        <v>BC Aracu5.2Inverter(MBUS-1)46049.628472222246049.628472222246049.7701388889</v>
      </c>
      <c r="Q1406" s="32" t="str">
        <f aca="false">_xlfn.CONCAT(H1406,I1406,J1406)</f>
        <v>DAURDE</v>
      </c>
    </row>
    <row r="1407" customFormat="false" ht="15" hidden="false" customHeight="false" outlineLevel="0" collapsed="false">
      <c r="B1407" s="32" t="s">
        <v>271</v>
      </c>
      <c r="C1407" s="32" t="s">
        <v>265</v>
      </c>
      <c r="D1407" s="33" t="n">
        <v>46049.6284722222</v>
      </c>
      <c r="E1407" s="33" t="n">
        <v>46049.6284722222</v>
      </c>
      <c r="F1407" s="33" t="n">
        <v>46049.7701388889</v>
      </c>
      <c r="G1407" s="34" t="n">
        <f aca="false">F1407-E1407</f>
        <v>0.141666666666667</v>
      </c>
      <c r="H1407" s="39" t="s">
        <v>252</v>
      </c>
      <c r="J1407" s="39" t="s">
        <v>253</v>
      </c>
      <c r="K1407" s="32" t="s">
        <v>266</v>
      </c>
      <c r="L1407" s="32" t="s">
        <v>658</v>
      </c>
      <c r="M1407" s="39" t="s">
        <v>255</v>
      </c>
      <c r="N1407" s="39" t="s">
        <v>256</v>
      </c>
      <c r="O1407" s="32" t="s">
        <v>644</v>
      </c>
      <c r="P1407" s="40" t="str">
        <f aca="false">_xlfn.CONCAT(B1407,C1407,D1407,E1407,F1407)</f>
        <v>BC Aracu5.3Inverter(MBUS-1)46049.628472222246049.628472222246049.7701388889</v>
      </c>
      <c r="Q1407" s="32" t="str">
        <f aca="false">_xlfn.CONCAT(H1407,I1407,J1407)</f>
        <v>DAURDE</v>
      </c>
    </row>
    <row r="1408" customFormat="false" ht="15" hidden="false" customHeight="false" outlineLevel="0" collapsed="false">
      <c r="B1408" s="32" t="s">
        <v>272</v>
      </c>
      <c r="C1408" s="32" t="s">
        <v>265</v>
      </c>
      <c r="D1408" s="33" t="n">
        <v>46049.6284722222</v>
      </c>
      <c r="E1408" s="33" t="n">
        <v>46049.6284722222</v>
      </c>
      <c r="F1408" s="33" t="n">
        <v>46049.7701388889</v>
      </c>
      <c r="G1408" s="34" t="n">
        <f aca="false">F1408-E1408</f>
        <v>0.141666666666667</v>
      </c>
      <c r="H1408" s="32" t="s">
        <v>252</v>
      </c>
      <c r="J1408" s="32" t="s">
        <v>253</v>
      </c>
      <c r="K1408" s="32" t="s">
        <v>266</v>
      </c>
      <c r="L1408" s="32" t="s">
        <v>658</v>
      </c>
      <c r="M1408" s="32" t="s">
        <v>255</v>
      </c>
      <c r="N1408" s="32" t="s">
        <v>256</v>
      </c>
      <c r="O1408" s="32" t="s">
        <v>644</v>
      </c>
      <c r="P1408" s="40" t="str">
        <f aca="false">_xlfn.CONCAT(B1408,C1408,D1408,E1408,F1408)</f>
        <v>BC Aracu5.4Inverter(MBUS-1)46049.628472222246049.628472222246049.7701388889</v>
      </c>
      <c r="Q1408" s="32" t="str">
        <f aca="false">_xlfn.CONCAT(H1408,I1408,J1408)</f>
        <v>DAURDE</v>
      </c>
    </row>
    <row r="1409" customFormat="false" ht="15" hidden="false" customHeight="false" outlineLevel="0" collapsed="false">
      <c r="B1409" s="32" t="s">
        <v>273</v>
      </c>
      <c r="C1409" s="32" t="s">
        <v>265</v>
      </c>
      <c r="D1409" s="33" t="n">
        <v>46049.6284722222</v>
      </c>
      <c r="E1409" s="33" t="n">
        <v>46049.6284722222</v>
      </c>
      <c r="F1409" s="33" t="n">
        <v>46049.7701388889</v>
      </c>
      <c r="G1409" s="34" t="n">
        <f aca="false">F1409-E1409</f>
        <v>0.141666666666667</v>
      </c>
      <c r="H1409" s="32" t="s">
        <v>252</v>
      </c>
      <c r="J1409" s="32" t="s">
        <v>253</v>
      </c>
      <c r="K1409" s="32" t="s">
        <v>266</v>
      </c>
      <c r="L1409" s="32" t="s">
        <v>658</v>
      </c>
      <c r="M1409" s="32" t="s">
        <v>255</v>
      </c>
      <c r="N1409" s="32" t="s">
        <v>256</v>
      </c>
      <c r="O1409" s="32" t="s">
        <v>644</v>
      </c>
      <c r="P1409" s="40" t="str">
        <f aca="false">_xlfn.CONCAT(B1409,C1409,D1409,E1409,F1409)</f>
        <v>BC Aracu5.5Inverter(MBUS-1)46049.628472222246049.628472222246049.7701388889</v>
      </c>
      <c r="Q1409" s="32" t="str">
        <f aca="false">_xlfn.CONCAT(H1409,I1409,J1409)</f>
        <v>DAURDE</v>
      </c>
    </row>
    <row r="1410" customFormat="false" ht="15" hidden="false" customHeight="false" outlineLevel="0" collapsed="false">
      <c r="B1410" s="32" t="s">
        <v>339</v>
      </c>
      <c r="C1410" s="32" t="s">
        <v>324</v>
      </c>
      <c r="D1410" s="33" t="n">
        <v>46049.8402777778</v>
      </c>
      <c r="E1410" s="33" t="n">
        <v>46049.8402777778</v>
      </c>
      <c r="F1410" s="33" t="n">
        <v>46049.9375</v>
      </c>
      <c r="G1410" s="34" t="n">
        <f aca="false">F1410-E1410</f>
        <v>0.0972222222222222</v>
      </c>
      <c r="H1410" s="32" t="s">
        <v>252</v>
      </c>
      <c r="J1410" s="32" t="s">
        <v>253</v>
      </c>
      <c r="K1410" s="32" t="s">
        <v>266</v>
      </c>
      <c r="L1410" s="32" t="s">
        <v>659</v>
      </c>
      <c r="M1410" s="32" t="s">
        <v>255</v>
      </c>
      <c r="N1410" s="32" t="s">
        <v>256</v>
      </c>
      <c r="O1410" s="32" t="s">
        <v>644</v>
      </c>
      <c r="P1410" s="40" t="str">
        <f aca="false">_xlfn.CONCAT(B1410,C1410,D1410,E1410,F1410)</f>
        <v>BC Formoso2.1Inverter(MBUS-12)46049.840277777846049.840277777846049.9375</v>
      </c>
      <c r="Q1410" s="32" t="str">
        <f aca="false">_xlfn.CONCAT(H1410,I1410,J1410)</f>
        <v>DAURDE</v>
      </c>
    </row>
    <row r="1411" customFormat="false" ht="15" hidden="false" customHeight="false" outlineLevel="0" collapsed="false">
      <c r="B1411" s="32" t="s">
        <v>339</v>
      </c>
      <c r="C1411" s="32" t="s">
        <v>327</v>
      </c>
      <c r="D1411" s="33" t="n">
        <v>46049.8402777778</v>
      </c>
      <c r="E1411" s="33" t="n">
        <v>46049.8402777778</v>
      </c>
      <c r="F1411" s="33" t="n">
        <v>46049.9375</v>
      </c>
      <c r="G1411" s="34" t="n">
        <f aca="false">F1411-E1411</f>
        <v>0.0972222222222222</v>
      </c>
      <c r="H1411" s="32" t="s">
        <v>252</v>
      </c>
      <c r="J1411" s="32" t="s">
        <v>253</v>
      </c>
      <c r="K1411" s="32" t="s">
        <v>266</v>
      </c>
      <c r="L1411" s="32" t="s">
        <v>659</v>
      </c>
      <c r="M1411" s="32" t="s">
        <v>255</v>
      </c>
      <c r="N1411" s="32" t="s">
        <v>256</v>
      </c>
      <c r="O1411" s="32" t="s">
        <v>644</v>
      </c>
      <c r="P1411" s="40" t="str">
        <f aca="false">_xlfn.CONCAT(B1411,C1411,D1411,E1411,F1411)</f>
        <v>BC Formoso2.1Inverter(MBUS-14)46049.840277777846049.840277777846049.9375</v>
      </c>
      <c r="Q1411" s="32" t="str">
        <f aca="false">_xlfn.CONCAT(H1411,I1411,J1411)</f>
        <v>DAURDE</v>
      </c>
    </row>
    <row r="1412" customFormat="false" ht="15" hidden="false" customHeight="false" outlineLevel="0" collapsed="false">
      <c r="B1412" s="32" t="s">
        <v>339</v>
      </c>
      <c r="C1412" s="32" t="s">
        <v>326</v>
      </c>
      <c r="D1412" s="33" t="n">
        <v>46049.8402777778</v>
      </c>
      <c r="E1412" s="33" t="n">
        <v>46049.8402777778</v>
      </c>
      <c r="F1412" s="33" t="n">
        <v>46049.9375</v>
      </c>
      <c r="G1412" s="34" t="n">
        <f aca="false">F1412-E1412</f>
        <v>0.0972222222222222</v>
      </c>
      <c r="H1412" s="32" t="s">
        <v>252</v>
      </c>
      <c r="J1412" s="32" t="s">
        <v>253</v>
      </c>
      <c r="K1412" s="32" t="s">
        <v>266</v>
      </c>
      <c r="L1412" s="32" t="s">
        <v>659</v>
      </c>
      <c r="M1412" s="32" t="s">
        <v>255</v>
      </c>
      <c r="N1412" s="32" t="s">
        <v>256</v>
      </c>
      <c r="O1412" s="32" t="s">
        <v>644</v>
      </c>
      <c r="P1412" s="40" t="str">
        <f aca="false">_xlfn.CONCAT(B1412,C1412,D1412,E1412,F1412)</f>
        <v>BC Formoso2.1Inverter(MBUS-13)46049.840277777846049.840277777846049.9375</v>
      </c>
      <c r="Q1412" s="32" t="str">
        <f aca="false">_xlfn.CONCAT(H1412,I1412,J1412)</f>
        <v>DAURDE</v>
      </c>
    </row>
    <row r="1413" customFormat="false" ht="15" hidden="false" customHeight="false" outlineLevel="0" collapsed="false">
      <c r="B1413" s="32" t="s">
        <v>339</v>
      </c>
      <c r="C1413" s="32" t="s">
        <v>265</v>
      </c>
      <c r="D1413" s="33" t="n">
        <v>46049.8402777778</v>
      </c>
      <c r="E1413" s="33" t="n">
        <v>46049.8402777778</v>
      </c>
      <c r="F1413" s="33" t="n">
        <v>46049.9375</v>
      </c>
      <c r="G1413" s="34" t="n">
        <f aca="false">F1413-E1413</f>
        <v>0.0972222222222222</v>
      </c>
      <c r="H1413" s="32" t="s">
        <v>252</v>
      </c>
      <c r="J1413" s="32" t="s">
        <v>253</v>
      </c>
      <c r="K1413" s="32" t="s">
        <v>266</v>
      </c>
      <c r="L1413" s="32" t="s">
        <v>659</v>
      </c>
      <c r="M1413" s="32" t="s">
        <v>255</v>
      </c>
      <c r="N1413" s="32" t="s">
        <v>256</v>
      </c>
      <c r="O1413" s="32" t="s">
        <v>644</v>
      </c>
      <c r="P1413" s="40" t="str">
        <f aca="false">_xlfn.CONCAT(B1413,C1413,D1413,E1413,F1413)</f>
        <v>BC Formoso2.1Inverter(MBUS-1)46049.840277777846049.840277777846049.9375</v>
      </c>
      <c r="Q1413" s="32" t="str">
        <f aca="false">_xlfn.CONCAT(H1413,I1413,J1413)</f>
        <v>DAURDE</v>
      </c>
    </row>
    <row r="1414" customFormat="false" ht="15" hidden="false" customHeight="false" outlineLevel="0" collapsed="false">
      <c r="B1414" s="32" t="s">
        <v>340</v>
      </c>
      <c r="C1414" s="32" t="s">
        <v>327</v>
      </c>
      <c r="D1414" s="33" t="n">
        <v>46049.8402777778</v>
      </c>
      <c r="E1414" s="33" t="n">
        <v>46049.8402777778</v>
      </c>
      <c r="F1414" s="33" t="n">
        <v>46049.9375</v>
      </c>
      <c r="G1414" s="34" t="n">
        <f aca="false">F1414-E1414</f>
        <v>0.0972222222222222</v>
      </c>
      <c r="H1414" s="32" t="s">
        <v>252</v>
      </c>
      <c r="J1414" s="32" t="s">
        <v>253</v>
      </c>
      <c r="K1414" s="32" t="s">
        <v>266</v>
      </c>
      <c r="L1414" s="32" t="s">
        <v>659</v>
      </c>
      <c r="M1414" s="32" t="s">
        <v>255</v>
      </c>
      <c r="N1414" s="32" t="s">
        <v>256</v>
      </c>
      <c r="O1414" s="32" t="s">
        <v>644</v>
      </c>
      <c r="P1414" s="40" t="str">
        <f aca="false">_xlfn.CONCAT(B1414,C1414,D1414,E1414,F1414)</f>
        <v>BC Formoso2.2Inverter(MBUS-14)46049.840277777846049.840277777846049.9375</v>
      </c>
      <c r="Q1414" s="32" t="str">
        <f aca="false">_xlfn.CONCAT(H1414,I1414,J1414)</f>
        <v>DAURDE</v>
      </c>
    </row>
    <row r="1415" customFormat="false" ht="15" hidden="false" customHeight="false" outlineLevel="0" collapsed="false">
      <c r="B1415" s="32" t="s">
        <v>340</v>
      </c>
      <c r="C1415" s="32" t="s">
        <v>326</v>
      </c>
      <c r="D1415" s="33" t="n">
        <v>46049.8402777778</v>
      </c>
      <c r="E1415" s="33" t="n">
        <v>46049.8402777778</v>
      </c>
      <c r="F1415" s="33" t="n">
        <v>46049.9375</v>
      </c>
      <c r="G1415" s="34" t="n">
        <f aca="false">F1415-E1415</f>
        <v>0.0972222222222222</v>
      </c>
      <c r="H1415" s="32" t="s">
        <v>252</v>
      </c>
      <c r="J1415" s="32" t="s">
        <v>253</v>
      </c>
      <c r="K1415" s="32" t="s">
        <v>266</v>
      </c>
      <c r="L1415" s="32" t="s">
        <v>659</v>
      </c>
      <c r="M1415" s="32" t="s">
        <v>255</v>
      </c>
      <c r="N1415" s="32" t="s">
        <v>256</v>
      </c>
      <c r="O1415" s="32" t="s">
        <v>644</v>
      </c>
      <c r="P1415" s="40" t="str">
        <f aca="false">_xlfn.CONCAT(B1415,C1415,D1415,E1415,F1415)</f>
        <v>BC Formoso2.2Inverter(MBUS-13)46049.840277777846049.840277777846049.9375</v>
      </c>
      <c r="Q1415" s="32" t="str">
        <f aca="false">_xlfn.CONCAT(H1415,I1415,J1415)</f>
        <v>DAURDE</v>
      </c>
    </row>
    <row r="1416" customFormat="false" ht="15" hidden="false" customHeight="false" outlineLevel="0" collapsed="false">
      <c r="B1416" s="32" t="s">
        <v>340</v>
      </c>
      <c r="C1416" s="32" t="s">
        <v>324</v>
      </c>
      <c r="D1416" s="33" t="n">
        <v>46049.8402777778</v>
      </c>
      <c r="E1416" s="33" t="n">
        <v>46049.8402777778</v>
      </c>
      <c r="F1416" s="33" t="n">
        <v>46049.9375</v>
      </c>
      <c r="G1416" s="34" t="n">
        <f aca="false">F1416-E1416</f>
        <v>0.0972222222222222</v>
      </c>
      <c r="H1416" s="32" t="s">
        <v>252</v>
      </c>
      <c r="J1416" s="32" t="s">
        <v>253</v>
      </c>
      <c r="K1416" s="32" t="s">
        <v>266</v>
      </c>
      <c r="L1416" s="32" t="s">
        <v>659</v>
      </c>
      <c r="M1416" s="32" t="s">
        <v>255</v>
      </c>
      <c r="N1416" s="32" t="s">
        <v>256</v>
      </c>
      <c r="O1416" s="32" t="s">
        <v>644</v>
      </c>
      <c r="P1416" s="40" t="str">
        <f aca="false">_xlfn.CONCAT(B1416,C1416,D1416,E1416,F1416)</f>
        <v>BC Formoso2.2Inverter(MBUS-12)46049.840277777846049.840277777846049.9375</v>
      </c>
      <c r="Q1416" s="32" t="str">
        <f aca="false">_xlfn.CONCAT(H1416,I1416,J1416)</f>
        <v>DAURDE</v>
      </c>
    </row>
    <row r="1417" customFormat="false" ht="15" hidden="false" customHeight="false" outlineLevel="0" collapsed="false">
      <c r="B1417" s="32" t="s">
        <v>340</v>
      </c>
      <c r="C1417" s="32" t="s">
        <v>265</v>
      </c>
      <c r="D1417" s="33" t="n">
        <v>46049.8402777778</v>
      </c>
      <c r="E1417" s="33" t="n">
        <v>46049.8402777778</v>
      </c>
      <c r="F1417" s="33" t="n">
        <v>46049.9375</v>
      </c>
      <c r="G1417" s="34" t="n">
        <f aca="false">F1417-E1417</f>
        <v>0.0972222222222222</v>
      </c>
      <c r="H1417" s="32" t="s">
        <v>252</v>
      </c>
      <c r="J1417" s="32" t="s">
        <v>253</v>
      </c>
      <c r="K1417" s="32" t="s">
        <v>266</v>
      </c>
      <c r="L1417" s="32" t="s">
        <v>659</v>
      </c>
      <c r="M1417" s="32" t="s">
        <v>255</v>
      </c>
      <c r="N1417" s="32" t="s">
        <v>256</v>
      </c>
      <c r="O1417" s="32" t="s">
        <v>644</v>
      </c>
      <c r="P1417" s="40" t="str">
        <f aca="false">_xlfn.CONCAT(B1417,C1417,D1417,E1417,F1417)</f>
        <v>BC Formoso2.2Inverter(MBUS-1)46049.840277777846049.840277777846049.9375</v>
      </c>
      <c r="Q1417" s="32" t="str">
        <f aca="false">_xlfn.CONCAT(H1417,I1417,J1417)</f>
        <v>DAURDE</v>
      </c>
    </row>
    <row r="1418" customFormat="false" ht="15" hidden="false" customHeight="false" outlineLevel="0" collapsed="false">
      <c r="B1418" s="32" t="s">
        <v>341</v>
      </c>
      <c r="C1418" s="32" t="s">
        <v>326</v>
      </c>
      <c r="D1418" s="33" t="n">
        <v>46049.8402777778</v>
      </c>
      <c r="E1418" s="33" t="n">
        <v>46049.8402777778</v>
      </c>
      <c r="F1418" s="33" t="n">
        <v>46049.9375</v>
      </c>
      <c r="G1418" s="34" t="n">
        <f aca="false">F1418-E1418</f>
        <v>0.0972222222222222</v>
      </c>
      <c r="H1418" s="32" t="s">
        <v>252</v>
      </c>
      <c r="J1418" s="32" t="s">
        <v>253</v>
      </c>
      <c r="K1418" s="32" t="s">
        <v>266</v>
      </c>
      <c r="L1418" s="32" t="s">
        <v>659</v>
      </c>
      <c r="M1418" s="32" t="s">
        <v>255</v>
      </c>
      <c r="N1418" s="32" t="s">
        <v>256</v>
      </c>
      <c r="O1418" s="32" t="s">
        <v>644</v>
      </c>
      <c r="P1418" s="40" t="str">
        <f aca="false">_xlfn.CONCAT(B1418,C1418,D1418,E1418,F1418)</f>
        <v>BC Formoso2.3Inverter(MBUS-13)46049.840277777846049.840277777846049.9375</v>
      </c>
      <c r="Q1418" s="32" t="str">
        <f aca="false">_xlfn.CONCAT(H1418,I1418,J1418)</f>
        <v>DAURDE</v>
      </c>
    </row>
    <row r="1419" customFormat="false" ht="15" hidden="false" customHeight="false" outlineLevel="0" collapsed="false">
      <c r="B1419" s="32" t="s">
        <v>341</v>
      </c>
      <c r="C1419" s="32" t="s">
        <v>324</v>
      </c>
      <c r="D1419" s="33" t="n">
        <v>46049.8402777778</v>
      </c>
      <c r="E1419" s="33" t="n">
        <v>46049.8402777778</v>
      </c>
      <c r="F1419" s="33" t="n">
        <v>46049.9375</v>
      </c>
      <c r="G1419" s="34" t="n">
        <f aca="false">F1419-E1419</f>
        <v>0.0972222222222222</v>
      </c>
      <c r="H1419" s="32" t="s">
        <v>252</v>
      </c>
      <c r="J1419" s="32" t="s">
        <v>253</v>
      </c>
      <c r="K1419" s="32" t="s">
        <v>266</v>
      </c>
      <c r="L1419" s="32" t="s">
        <v>659</v>
      </c>
      <c r="M1419" s="32" t="s">
        <v>255</v>
      </c>
      <c r="N1419" s="32" t="s">
        <v>256</v>
      </c>
      <c r="O1419" s="32" t="s">
        <v>644</v>
      </c>
      <c r="P1419" s="40" t="str">
        <f aca="false">_xlfn.CONCAT(B1419,C1419,D1419,E1419,F1419)</f>
        <v>BC Formoso2.3Inverter(MBUS-12)46049.840277777846049.840277777846049.9375</v>
      </c>
      <c r="Q1419" s="32" t="str">
        <f aca="false">_xlfn.CONCAT(H1419,I1419,J1419)</f>
        <v>DAURDE</v>
      </c>
    </row>
    <row r="1420" customFormat="false" ht="15" hidden="false" customHeight="false" outlineLevel="0" collapsed="false">
      <c r="B1420" s="32" t="s">
        <v>358</v>
      </c>
      <c r="C1420" s="32" t="s">
        <v>324</v>
      </c>
      <c r="D1420" s="33" t="n">
        <v>46049.9375</v>
      </c>
      <c r="E1420" s="33" t="n">
        <v>46049.9375</v>
      </c>
      <c r="F1420" s="33" t="n">
        <v>46050.3326388889</v>
      </c>
      <c r="G1420" s="34" t="n">
        <f aca="false">F1420-E1420</f>
        <v>0.395138888888889</v>
      </c>
      <c r="H1420" s="32" t="s">
        <v>252</v>
      </c>
      <c r="J1420" s="32" t="s">
        <v>253</v>
      </c>
      <c r="K1420" s="32" t="s">
        <v>266</v>
      </c>
      <c r="L1420" s="32" t="s">
        <v>660</v>
      </c>
      <c r="M1420" s="32" t="s">
        <v>255</v>
      </c>
      <c r="N1420" s="32" t="s">
        <v>256</v>
      </c>
      <c r="O1420" s="32" t="s">
        <v>644</v>
      </c>
      <c r="P1420" s="40" t="str">
        <f aca="false">_xlfn.CONCAT(B1420,C1420,D1420,E1420,F1420)</f>
        <v>ARAGUATINS 1.1Inverter(MBUS-12)46049.937546049.937546050.3326388889</v>
      </c>
      <c r="Q1420" s="32" t="str">
        <f aca="false">_xlfn.CONCAT(H1420,I1420,J1420)</f>
        <v>DAURDE</v>
      </c>
    </row>
    <row r="1421" customFormat="false" ht="15" hidden="false" customHeight="false" outlineLevel="0" collapsed="false">
      <c r="B1421" s="32" t="s">
        <v>358</v>
      </c>
      <c r="C1421" s="32" t="s">
        <v>326</v>
      </c>
      <c r="D1421" s="33" t="n">
        <v>46049.9375</v>
      </c>
      <c r="E1421" s="33" t="n">
        <v>46049.9375</v>
      </c>
      <c r="F1421" s="33" t="n">
        <v>46050.3326388889</v>
      </c>
      <c r="G1421" s="34" t="n">
        <f aca="false">F1421-E1421</f>
        <v>0.395138888888889</v>
      </c>
      <c r="H1421" s="32" t="s">
        <v>252</v>
      </c>
      <c r="J1421" s="32" t="s">
        <v>253</v>
      </c>
      <c r="K1421" s="32" t="s">
        <v>266</v>
      </c>
      <c r="L1421" s="32" t="s">
        <v>660</v>
      </c>
      <c r="M1421" s="32" t="s">
        <v>255</v>
      </c>
      <c r="N1421" s="32" t="s">
        <v>256</v>
      </c>
      <c r="O1421" s="32" t="s">
        <v>644</v>
      </c>
      <c r="P1421" s="40" t="str">
        <f aca="false">_xlfn.CONCAT(B1421,C1421,D1421,E1421,F1421)</f>
        <v>ARAGUATINS 1.1Inverter(MBUS-13)46049.937546049.937546050.3326388889</v>
      </c>
      <c r="Q1421" s="32" t="str">
        <f aca="false">_xlfn.CONCAT(H1421,I1421,J1421)</f>
        <v>DAURDE</v>
      </c>
    </row>
    <row r="1422" customFormat="false" ht="15" hidden="false" customHeight="false" outlineLevel="0" collapsed="false">
      <c r="B1422" s="32" t="s">
        <v>358</v>
      </c>
      <c r="C1422" s="32" t="s">
        <v>327</v>
      </c>
      <c r="D1422" s="33" t="n">
        <v>46049.9375</v>
      </c>
      <c r="E1422" s="33" t="n">
        <v>46049.9375</v>
      </c>
      <c r="F1422" s="33" t="n">
        <v>46050.3326388889</v>
      </c>
      <c r="G1422" s="34" t="n">
        <f aca="false">F1422-E1422</f>
        <v>0.395138888888889</v>
      </c>
      <c r="H1422" s="32" t="s">
        <v>252</v>
      </c>
      <c r="J1422" s="32" t="s">
        <v>253</v>
      </c>
      <c r="K1422" s="32" t="s">
        <v>266</v>
      </c>
      <c r="L1422" s="32" t="s">
        <v>660</v>
      </c>
      <c r="M1422" s="32" t="s">
        <v>255</v>
      </c>
      <c r="N1422" s="32" t="s">
        <v>256</v>
      </c>
      <c r="O1422" s="32" t="s">
        <v>644</v>
      </c>
      <c r="P1422" s="40" t="str">
        <f aca="false">_xlfn.CONCAT(B1422,C1422,D1422,E1422,F1422)</f>
        <v>ARAGUATINS 1.1Inverter(MBUS-14)46049.937546049.937546050.3326388889</v>
      </c>
      <c r="Q1422" s="32" t="str">
        <f aca="false">_xlfn.CONCAT(H1422,I1422,J1422)</f>
        <v>DAURDE</v>
      </c>
    </row>
    <row r="1423" customFormat="false" ht="15" hidden="false" customHeight="false" outlineLevel="0" collapsed="false">
      <c r="B1423" s="32" t="s">
        <v>358</v>
      </c>
      <c r="C1423" s="32" t="s">
        <v>328</v>
      </c>
      <c r="D1423" s="33" t="n">
        <v>46049.9375</v>
      </c>
      <c r="E1423" s="33" t="n">
        <v>46049.9375</v>
      </c>
      <c r="F1423" s="33" t="n">
        <v>46050.3326388889</v>
      </c>
      <c r="G1423" s="34" t="n">
        <f aca="false">F1423-E1423</f>
        <v>0.395138888888889</v>
      </c>
      <c r="H1423" s="32" t="s">
        <v>252</v>
      </c>
      <c r="J1423" s="32" t="s">
        <v>253</v>
      </c>
      <c r="K1423" s="32" t="s">
        <v>266</v>
      </c>
      <c r="L1423" s="32" t="s">
        <v>660</v>
      </c>
      <c r="M1423" s="32" t="s">
        <v>255</v>
      </c>
      <c r="N1423" s="32" t="s">
        <v>256</v>
      </c>
      <c r="O1423" s="32" t="s">
        <v>644</v>
      </c>
      <c r="P1423" s="40" t="str">
        <f aca="false">_xlfn.CONCAT(B1423,C1423,D1423,E1423,F1423)</f>
        <v>ARAGUATINS 1.1Inverter(MBUS-15)46049.937546049.937546050.3326388889</v>
      </c>
      <c r="Q1423" s="32" t="str">
        <f aca="false">_xlfn.CONCAT(H1423,I1423,J1423)</f>
        <v>DAURDE</v>
      </c>
    </row>
    <row r="1424" customFormat="false" ht="15" hidden="false" customHeight="false" outlineLevel="0" collapsed="false">
      <c r="B1424" s="32" t="s">
        <v>361</v>
      </c>
      <c r="C1424" s="32" t="s">
        <v>324</v>
      </c>
      <c r="D1424" s="33" t="n">
        <v>46049.9375</v>
      </c>
      <c r="E1424" s="33" t="n">
        <v>46049.9375</v>
      </c>
      <c r="F1424" s="33" t="n">
        <v>46050.3326388889</v>
      </c>
      <c r="G1424" s="34" t="n">
        <f aca="false">F1424-E1424</f>
        <v>0.395138888888889</v>
      </c>
      <c r="H1424" s="32" t="s">
        <v>252</v>
      </c>
      <c r="J1424" s="32" t="s">
        <v>253</v>
      </c>
      <c r="K1424" s="32" t="s">
        <v>266</v>
      </c>
      <c r="L1424" s="32" t="s">
        <v>660</v>
      </c>
      <c r="M1424" s="32" t="s">
        <v>255</v>
      </c>
      <c r="N1424" s="32" t="s">
        <v>256</v>
      </c>
      <c r="O1424" s="32" t="s">
        <v>644</v>
      </c>
      <c r="P1424" s="40" t="str">
        <f aca="false">_xlfn.CONCAT(B1424,C1424,D1424,E1424,F1424)</f>
        <v>ARAGUATINS 1.2Inverter(MBUS-12)46049.937546049.937546050.3326388889</v>
      </c>
      <c r="Q1424" s="32" t="str">
        <f aca="false">_xlfn.CONCAT(H1424,I1424,J1424)</f>
        <v>DAURDE</v>
      </c>
    </row>
    <row r="1425" customFormat="false" ht="15" hidden="false" customHeight="false" outlineLevel="0" collapsed="false">
      <c r="B1425" s="32" t="s">
        <v>361</v>
      </c>
      <c r="C1425" s="32" t="s">
        <v>326</v>
      </c>
      <c r="D1425" s="33" t="n">
        <v>46049.9375</v>
      </c>
      <c r="E1425" s="33" t="n">
        <v>46049.9375</v>
      </c>
      <c r="F1425" s="33" t="n">
        <v>46050.3326388889</v>
      </c>
      <c r="G1425" s="34" t="n">
        <f aca="false">F1425-E1425</f>
        <v>0.395138888888889</v>
      </c>
      <c r="H1425" s="32" t="s">
        <v>252</v>
      </c>
      <c r="J1425" s="32" t="s">
        <v>253</v>
      </c>
      <c r="K1425" s="32" t="s">
        <v>266</v>
      </c>
      <c r="L1425" s="32" t="s">
        <v>660</v>
      </c>
      <c r="M1425" s="32" t="s">
        <v>255</v>
      </c>
      <c r="N1425" s="32" t="s">
        <v>256</v>
      </c>
      <c r="O1425" s="32" t="s">
        <v>644</v>
      </c>
      <c r="P1425" s="40" t="str">
        <f aca="false">_xlfn.CONCAT(B1425,C1425,D1425,E1425,F1425)</f>
        <v>ARAGUATINS 1.2Inverter(MBUS-13)46049.937546049.937546050.3326388889</v>
      </c>
      <c r="Q1425" s="32" t="str">
        <f aca="false">_xlfn.CONCAT(H1425,I1425,J1425)</f>
        <v>DAURDE</v>
      </c>
    </row>
    <row r="1426" customFormat="false" ht="15" hidden="false" customHeight="false" outlineLevel="0" collapsed="false">
      <c r="B1426" s="32" t="s">
        <v>361</v>
      </c>
      <c r="C1426" s="32" t="s">
        <v>327</v>
      </c>
      <c r="D1426" s="33" t="n">
        <v>46049.9375</v>
      </c>
      <c r="E1426" s="33" t="n">
        <v>46049.9375</v>
      </c>
      <c r="F1426" s="33" t="n">
        <v>46050.3326388889</v>
      </c>
      <c r="G1426" s="34" t="n">
        <f aca="false">F1426-E1426</f>
        <v>0.395138888888889</v>
      </c>
      <c r="H1426" s="32" t="s">
        <v>252</v>
      </c>
      <c r="J1426" s="32" t="s">
        <v>253</v>
      </c>
      <c r="K1426" s="32" t="s">
        <v>266</v>
      </c>
      <c r="L1426" s="32" t="s">
        <v>660</v>
      </c>
      <c r="M1426" s="32" t="s">
        <v>255</v>
      </c>
      <c r="N1426" s="32" t="s">
        <v>256</v>
      </c>
      <c r="O1426" s="32" t="s">
        <v>644</v>
      </c>
      <c r="P1426" s="40" t="str">
        <f aca="false">_xlfn.CONCAT(B1426,C1426,D1426,E1426,F1426)</f>
        <v>ARAGUATINS 1.2Inverter(MBUS-14)46049.937546049.937546050.3326388889</v>
      </c>
      <c r="Q1426" s="32" t="str">
        <f aca="false">_xlfn.CONCAT(H1426,I1426,J1426)</f>
        <v>DAURDE</v>
      </c>
    </row>
    <row r="1427" customFormat="false" ht="15" hidden="false" customHeight="false" outlineLevel="0" collapsed="false">
      <c r="B1427" s="32" t="s">
        <v>361</v>
      </c>
      <c r="C1427" s="32" t="s">
        <v>328</v>
      </c>
      <c r="D1427" s="33" t="n">
        <v>46049.9375</v>
      </c>
      <c r="E1427" s="33" t="n">
        <v>46049.9375</v>
      </c>
      <c r="F1427" s="33" t="n">
        <v>46050.3326388889</v>
      </c>
      <c r="G1427" s="34" t="n">
        <f aca="false">F1427-E1427</f>
        <v>0.395138888888889</v>
      </c>
      <c r="H1427" s="32" t="s">
        <v>252</v>
      </c>
      <c r="J1427" s="32" t="s">
        <v>253</v>
      </c>
      <c r="K1427" s="32" t="s">
        <v>266</v>
      </c>
      <c r="L1427" s="32" t="s">
        <v>660</v>
      </c>
      <c r="M1427" s="32" t="s">
        <v>255</v>
      </c>
      <c r="N1427" s="32" t="s">
        <v>256</v>
      </c>
      <c r="O1427" s="32" t="s">
        <v>644</v>
      </c>
      <c r="P1427" s="40" t="str">
        <f aca="false">_xlfn.CONCAT(B1427,C1427,D1427,E1427,F1427)</f>
        <v>ARAGUATINS 1.2Inverter(MBUS-15)46049.937546049.937546050.3326388889</v>
      </c>
      <c r="Q1427" s="32" t="str">
        <f aca="false">_xlfn.CONCAT(H1427,I1427,J1427)</f>
        <v>DAURDE</v>
      </c>
    </row>
    <row r="1428" customFormat="false" ht="15" hidden="false" customHeight="false" outlineLevel="0" collapsed="false">
      <c r="B1428" s="32" t="s">
        <v>362</v>
      </c>
      <c r="C1428" s="32" t="s">
        <v>363</v>
      </c>
      <c r="D1428" s="33" t="n">
        <v>46049.9375</v>
      </c>
      <c r="E1428" s="33" t="n">
        <v>46049.9375</v>
      </c>
      <c r="F1428" s="33" t="n">
        <v>46050.3326388889</v>
      </c>
      <c r="G1428" s="34" t="n">
        <f aca="false">F1428-E1428</f>
        <v>0.395138888888889</v>
      </c>
      <c r="H1428" s="32" t="s">
        <v>252</v>
      </c>
      <c r="J1428" s="32" t="s">
        <v>253</v>
      </c>
      <c r="K1428" s="32" t="s">
        <v>266</v>
      </c>
      <c r="L1428" s="32" t="s">
        <v>660</v>
      </c>
      <c r="M1428" s="32" t="s">
        <v>255</v>
      </c>
      <c r="N1428" s="32" t="s">
        <v>256</v>
      </c>
      <c r="O1428" s="32" t="s">
        <v>644</v>
      </c>
      <c r="P1428" s="40" t="str">
        <f aca="false">_xlfn.CONCAT(B1428,C1428,D1428,E1428,F1428)</f>
        <v>ARAGUATINS 1.3Inverter(MBUS-20)46049.937546049.937546050.3326388889</v>
      </c>
      <c r="Q1428" s="32" t="str">
        <f aca="false">_xlfn.CONCAT(H1428,I1428,J1428)</f>
        <v>DAURDE</v>
      </c>
    </row>
    <row r="1429" customFormat="false" ht="15" hidden="false" customHeight="false" outlineLevel="0" collapsed="false">
      <c r="B1429" s="32" t="s">
        <v>362</v>
      </c>
      <c r="C1429" s="32" t="s">
        <v>265</v>
      </c>
      <c r="D1429" s="33" t="n">
        <v>46049.9375</v>
      </c>
      <c r="E1429" s="33" t="n">
        <v>46049.9375</v>
      </c>
      <c r="F1429" s="33" t="n">
        <v>46050.3326388889</v>
      </c>
      <c r="G1429" s="34" t="n">
        <f aca="false">F1429-E1429</f>
        <v>0.395138888888889</v>
      </c>
      <c r="H1429" s="32" t="s">
        <v>252</v>
      </c>
      <c r="J1429" s="32" t="s">
        <v>253</v>
      </c>
      <c r="K1429" s="32" t="s">
        <v>266</v>
      </c>
      <c r="L1429" s="32" t="s">
        <v>660</v>
      </c>
      <c r="M1429" s="32" t="s">
        <v>255</v>
      </c>
      <c r="N1429" s="32" t="s">
        <v>256</v>
      </c>
      <c r="O1429" s="32" t="s">
        <v>644</v>
      </c>
      <c r="P1429" s="40" t="str">
        <f aca="false">_xlfn.CONCAT(B1429,C1429,D1429,E1429,F1429)</f>
        <v>ARAGUATINS 1.3Inverter(MBUS-1)46049.937546049.937546050.3326388889</v>
      </c>
      <c r="Q1429" s="32" t="str">
        <f aca="false">_xlfn.CONCAT(H1429,I1429,J1429)</f>
        <v>DAURDE</v>
      </c>
    </row>
    <row r="1430" customFormat="false" ht="15" hidden="false" customHeight="false" outlineLevel="0" collapsed="false">
      <c r="B1430" s="32" t="s">
        <v>48</v>
      </c>
      <c r="C1430" s="32" t="s">
        <v>294</v>
      </c>
      <c r="D1430" s="33" t="n">
        <v>46049.9652777778</v>
      </c>
      <c r="E1430" s="33" t="n">
        <v>46049.9652777778</v>
      </c>
      <c r="F1430" s="33" t="n">
        <v>46050.3319444444</v>
      </c>
      <c r="G1430" s="34" t="n">
        <f aca="false">F1430-E1430</f>
        <v>0.366666666666667</v>
      </c>
      <c r="H1430" s="32" t="s">
        <v>252</v>
      </c>
      <c r="J1430" s="32" t="s">
        <v>253</v>
      </c>
      <c r="K1430" s="32" t="s">
        <v>266</v>
      </c>
      <c r="L1430" s="32" t="s">
        <v>661</v>
      </c>
      <c r="M1430" s="32" t="s">
        <v>255</v>
      </c>
      <c r="N1430" s="32" t="s">
        <v>256</v>
      </c>
      <c r="O1430" s="32" t="s">
        <v>644</v>
      </c>
      <c r="P1430" s="40" t="str">
        <f aca="false">_xlfn.CONCAT(B1430,C1430,D1430,E1430,F1430)</f>
        <v>BC Caiaponia1SG60KTL(COM1-001)_001_00746049.965277777846049.965277777846050.3319444444</v>
      </c>
      <c r="Q1430" s="32" t="str">
        <f aca="false">_xlfn.CONCAT(H1430,I1430,J1430)</f>
        <v>DAURDE</v>
      </c>
    </row>
    <row r="1431" customFormat="false" ht="15" hidden="false" customHeight="false" outlineLevel="0" collapsed="false">
      <c r="B1431" s="32" t="s">
        <v>48</v>
      </c>
      <c r="C1431" s="32" t="s">
        <v>295</v>
      </c>
      <c r="D1431" s="33" t="n">
        <v>46049.9652777778</v>
      </c>
      <c r="E1431" s="33" t="n">
        <v>46049.9652777778</v>
      </c>
      <c r="F1431" s="33" t="n">
        <v>46050.3319444444</v>
      </c>
      <c r="G1431" s="34" t="n">
        <f aca="false">F1431-E1431</f>
        <v>0.366666666666667</v>
      </c>
      <c r="H1431" s="32" t="s">
        <v>252</v>
      </c>
      <c r="J1431" s="32" t="s">
        <v>253</v>
      </c>
      <c r="K1431" s="32" t="s">
        <v>266</v>
      </c>
      <c r="L1431" s="32" t="s">
        <v>661</v>
      </c>
      <c r="M1431" s="32" t="s">
        <v>255</v>
      </c>
      <c r="N1431" s="32" t="s">
        <v>256</v>
      </c>
      <c r="O1431" s="32" t="s">
        <v>644</v>
      </c>
      <c r="P1431" s="40" t="str">
        <f aca="false">_xlfn.CONCAT(B1431,C1431,D1431,E1431,F1431)</f>
        <v>BC Caiaponia1SG60KTL(COM1-002)_001_01046049.965277777846049.965277777846050.3319444444</v>
      </c>
      <c r="Q1431" s="32" t="str">
        <f aca="false">_xlfn.CONCAT(H1431,I1431,J1431)</f>
        <v>DAURDE</v>
      </c>
    </row>
    <row r="1432" customFormat="false" ht="15" hidden="false" customHeight="false" outlineLevel="0" collapsed="false">
      <c r="B1432" s="32" t="s">
        <v>48</v>
      </c>
      <c r="C1432" s="32" t="s">
        <v>296</v>
      </c>
      <c r="D1432" s="33" t="n">
        <v>46049.9652777778</v>
      </c>
      <c r="E1432" s="33" t="n">
        <v>46049.9652777778</v>
      </c>
      <c r="F1432" s="33" t="n">
        <v>46050.3319444444</v>
      </c>
      <c r="G1432" s="34" t="n">
        <f aca="false">F1432-E1432</f>
        <v>0.366666666666667</v>
      </c>
      <c r="H1432" s="32" t="s">
        <v>252</v>
      </c>
      <c r="J1432" s="32" t="s">
        <v>253</v>
      </c>
      <c r="K1432" s="32" t="s">
        <v>266</v>
      </c>
      <c r="L1432" s="32" t="s">
        <v>661</v>
      </c>
      <c r="M1432" s="32" t="s">
        <v>255</v>
      </c>
      <c r="N1432" s="32" t="s">
        <v>256</v>
      </c>
      <c r="O1432" s="32" t="s">
        <v>644</v>
      </c>
      <c r="P1432" s="40" t="str">
        <f aca="false">_xlfn.CONCAT(B1432,C1432,D1432,E1432,F1432)</f>
        <v>BC Caiaponia1SG60KTL(COM1-003)_001_01146049.965277777846049.965277777846050.3319444444</v>
      </c>
      <c r="Q1432" s="32" t="str">
        <f aca="false">_xlfn.CONCAT(H1432,I1432,J1432)</f>
        <v>DAURDE</v>
      </c>
    </row>
    <row r="1433" customFormat="false" ht="15" hidden="false" customHeight="false" outlineLevel="0" collapsed="false">
      <c r="B1433" s="32" t="s">
        <v>48</v>
      </c>
      <c r="C1433" s="32" t="s">
        <v>297</v>
      </c>
      <c r="D1433" s="33" t="n">
        <v>46049.9652777778</v>
      </c>
      <c r="E1433" s="33" t="n">
        <v>46049.9652777778</v>
      </c>
      <c r="F1433" s="33" t="n">
        <v>46050.3319444444</v>
      </c>
      <c r="G1433" s="34" t="n">
        <f aca="false">F1433-E1433</f>
        <v>0.366666666666667</v>
      </c>
      <c r="H1433" s="32" t="s">
        <v>252</v>
      </c>
      <c r="J1433" s="32" t="s">
        <v>253</v>
      </c>
      <c r="K1433" s="32" t="s">
        <v>266</v>
      </c>
      <c r="L1433" s="32" t="s">
        <v>661</v>
      </c>
      <c r="M1433" s="32" t="s">
        <v>255</v>
      </c>
      <c r="N1433" s="32" t="s">
        <v>256</v>
      </c>
      <c r="O1433" s="32" t="s">
        <v>644</v>
      </c>
      <c r="P1433" s="40" t="str">
        <f aca="false">_xlfn.CONCAT(B1433,C1433,D1433,E1433,F1433)</f>
        <v>BC Caiaponia1SG60KTL(COM1-004)_001_01446049.965277777846049.965277777846050.3319444444</v>
      </c>
      <c r="Q1433" s="32" t="str">
        <f aca="false">_xlfn.CONCAT(H1433,I1433,J1433)</f>
        <v>DAURDE</v>
      </c>
    </row>
    <row r="1434" customFormat="false" ht="15" hidden="false" customHeight="false" outlineLevel="0" collapsed="false">
      <c r="B1434" s="32" t="s">
        <v>48</v>
      </c>
      <c r="C1434" s="32" t="s">
        <v>298</v>
      </c>
      <c r="D1434" s="33" t="n">
        <v>46049.9652777778</v>
      </c>
      <c r="E1434" s="33" t="n">
        <v>46049.9652777778</v>
      </c>
      <c r="F1434" s="33" t="n">
        <v>46050.3319444444</v>
      </c>
      <c r="G1434" s="34" t="n">
        <f aca="false">F1434-E1434</f>
        <v>0.366666666666667</v>
      </c>
      <c r="H1434" s="32" t="s">
        <v>252</v>
      </c>
      <c r="J1434" s="32" t="s">
        <v>253</v>
      </c>
      <c r="K1434" s="32" t="s">
        <v>266</v>
      </c>
      <c r="L1434" s="32" t="s">
        <v>661</v>
      </c>
      <c r="M1434" s="32" t="s">
        <v>255</v>
      </c>
      <c r="N1434" s="32" t="s">
        <v>256</v>
      </c>
      <c r="O1434" s="32" t="s">
        <v>644</v>
      </c>
      <c r="P1434" s="40" t="str">
        <f aca="false">_xlfn.CONCAT(B1434,C1434,D1434,E1434,F1434)</f>
        <v>BC Caiaponia1SG60KTL(COM1-005)_001_01746049.965277777846049.965277777846050.3319444444</v>
      </c>
      <c r="Q1434" s="32" t="str">
        <f aca="false">_xlfn.CONCAT(H1434,I1434,J1434)</f>
        <v>DAURDE</v>
      </c>
    </row>
    <row r="1435" customFormat="false" ht="15" hidden="false" customHeight="false" outlineLevel="0" collapsed="false">
      <c r="B1435" s="32" t="s">
        <v>48</v>
      </c>
      <c r="C1435" s="32" t="s">
        <v>299</v>
      </c>
      <c r="D1435" s="33" t="n">
        <v>46049.9652777778</v>
      </c>
      <c r="E1435" s="33" t="n">
        <v>46049.9652777778</v>
      </c>
      <c r="F1435" s="33" t="n">
        <v>46050.3319444444</v>
      </c>
      <c r="G1435" s="34" t="n">
        <f aca="false">F1435-E1435</f>
        <v>0.366666666666667</v>
      </c>
      <c r="H1435" s="32" t="s">
        <v>252</v>
      </c>
      <c r="J1435" s="32" t="s">
        <v>253</v>
      </c>
      <c r="K1435" s="32" t="s">
        <v>266</v>
      </c>
      <c r="L1435" s="32" t="s">
        <v>661</v>
      </c>
      <c r="M1435" s="32" t="s">
        <v>255</v>
      </c>
      <c r="N1435" s="32" t="s">
        <v>256</v>
      </c>
      <c r="O1435" s="32" t="s">
        <v>644</v>
      </c>
      <c r="P1435" s="40" t="str">
        <f aca="false">_xlfn.CONCAT(B1435,C1435,D1435,E1435,F1435)</f>
        <v>BC Caiaponia1SG60KTL(COM1-006)_001_01646049.965277777846049.965277777846050.3319444444</v>
      </c>
      <c r="Q1435" s="32" t="str">
        <f aca="false">_xlfn.CONCAT(H1435,I1435,J1435)</f>
        <v>DAURDE</v>
      </c>
    </row>
    <row r="1436" customFormat="false" ht="15" hidden="false" customHeight="false" outlineLevel="0" collapsed="false">
      <c r="B1436" s="32" t="s">
        <v>48</v>
      </c>
      <c r="C1436" s="32" t="s">
        <v>300</v>
      </c>
      <c r="D1436" s="33" t="n">
        <v>46049.9652777778</v>
      </c>
      <c r="E1436" s="33" t="n">
        <v>46049.9652777778</v>
      </c>
      <c r="F1436" s="33" t="n">
        <v>46050.3319444444</v>
      </c>
      <c r="G1436" s="34" t="n">
        <f aca="false">F1436-E1436</f>
        <v>0.366666666666667</v>
      </c>
      <c r="H1436" s="32" t="s">
        <v>252</v>
      </c>
      <c r="J1436" s="32" t="s">
        <v>253</v>
      </c>
      <c r="K1436" s="32" t="s">
        <v>266</v>
      </c>
      <c r="L1436" s="32" t="s">
        <v>661</v>
      </c>
      <c r="M1436" s="32" t="s">
        <v>255</v>
      </c>
      <c r="N1436" s="32" t="s">
        <v>256</v>
      </c>
      <c r="O1436" s="32" t="s">
        <v>644</v>
      </c>
      <c r="P1436" s="40" t="str">
        <f aca="false">_xlfn.CONCAT(B1436,C1436,D1436,E1436,F1436)</f>
        <v>BC Caiaponia1SG60KTL(COM1-007)_001_01346049.965277777846049.965277777846050.3319444444</v>
      </c>
      <c r="Q1436" s="32" t="str">
        <f aca="false">_xlfn.CONCAT(H1436,I1436,J1436)</f>
        <v>DAURDE</v>
      </c>
    </row>
    <row r="1437" customFormat="false" ht="15" hidden="false" customHeight="false" outlineLevel="0" collapsed="false">
      <c r="B1437" s="32" t="s">
        <v>48</v>
      </c>
      <c r="C1437" s="32" t="s">
        <v>301</v>
      </c>
      <c r="D1437" s="33" t="n">
        <v>46049.9652777778</v>
      </c>
      <c r="E1437" s="33" t="n">
        <v>46049.9652777778</v>
      </c>
      <c r="F1437" s="33" t="n">
        <v>46050.3319444444</v>
      </c>
      <c r="G1437" s="34" t="n">
        <f aca="false">F1437-E1437</f>
        <v>0.366666666666667</v>
      </c>
      <c r="H1437" s="32" t="s">
        <v>252</v>
      </c>
      <c r="J1437" s="32" t="s">
        <v>253</v>
      </c>
      <c r="K1437" s="32" t="s">
        <v>266</v>
      </c>
      <c r="L1437" s="32" t="s">
        <v>661</v>
      </c>
      <c r="M1437" s="32" t="s">
        <v>255</v>
      </c>
      <c r="N1437" s="32" t="s">
        <v>256</v>
      </c>
      <c r="O1437" s="32" t="s">
        <v>644</v>
      </c>
      <c r="P1437" s="40" t="str">
        <f aca="false">_xlfn.CONCAT(B1437,C1437,D1437,E1437,F1437)</f>
        <v>BC Caiaponia1SG60KTL(COM1-008)_001_00146049.965277777846049.965277777846050.3319444444</v>
      </c>
      <c r="Q1437" s="32" t="str">
        <f aca="false">_xlfn.CONCAT(H1437,I1437,J1437)</f>
        <v>DAURDE</v>
      </c>
    </row>
    <row r="1438" customFormat="false" ht="15" hidden="false" customHeight="false" outlineLevel="0" collapsed="false">
      <c r="B1438" s="32" t="s">
        <v>48</v>
      </c>
      <c r="C1438" s="32" t="s">
        <v>302</v>
      </c>
      <c r="D1438" s="33" t="n">
        <v>46049.9652777778</v>
      </c>
      <c r="E1438" s="33" t="n">
        <v>46049.9652777778</v>
      </c>
      <c r="F1438" s="33" t="n">
        <v>46050.3319444444</v>
      </c>
      <c r="G1438" s="34" t="n">
        <f aca="false">F1438-E1438</f>
        <v>0.366666666666667</v>
      </c>
      <c r="H1438" s="32" t="s">
        <v>252</v>
      </c>
      <c r="J1438" s="32" t="s">
        <v>253</v>
      </c>
      <c r="K1438" s="32" t="s">
        <v>266</v>
      </c>
      <c r="L1438" s="32" t="s">
        <v>661</v>
      </c>
      <c r="M1438" s="32" t="s">
        <v>255</v>
      </c>
      <c r="N1438" s="32" t="s">
        <v>256</v>
      </c>
      <c r="O1438" s="32" t="s">
        <v>644</v>
      </c>
      <c r="P1438" s="40" t="str">
        <f aca="false">_xlfn.CONCAT(B1438,C1438,D1438,E1438,F1438)</f>
        <v>BC Caiaponia1SG60KTL(COM1-009)46049.965277777846049.965277777846050.3319444444</v>
      </c>
      <c r="Q1438" s="32" t="str">
        <f aca="false">_xlfn.CONCAT(H1438,I1438,J1438)</f>
        <v>DAURDE</v>
      </c>
    </row>
    <row r="1439" customFormat="false" ht="15" hidden="false" customHeight="false" outlineLevel="0" collapsed="false">
      <c r="B1439" s="32" t="s">
        <v>48</v>
      </c>
      <c r="C1439" s="32" t="s">
        <v>303</v>
      </c>
      <c r="D1439" s="33" t="n">
        <v>46049.9652777778</v>
      </c>
      <c r="E1439" s="33" t="n">
        <v>46049.9652777778</v>
      </c>
      <c r="F1439" s="33" t="n">
        <v>46050.3319444444</v>
      </c>
      <c r="G1439" s="34" t="n">
        <f aca="false">F1439-E1439</f>
        <v>0.366666666666667</v>
      </c>
      <c r="H1439" s="32" t="s">
        <v>252</v>
      </c>
      <c r="J1439" s="32" t="s">
        <v>253</v>
      </c>
      <c r="K1439" s="32" t="s">
        <v>266</v>
      </c>
      <c r="L1439" s="32" t="s">
        <v>661</v>
      </c>
      <c r="M1439" s="32" t="s">
        <v>255</v>
      </c>
      <c r="N1439" s="32" t="s">
        <v>256</v>
      </c>
      <c r="O1439" s="32" t="s">
        <v>644</v>
      </c>
      <c r="P1439" s="40" t="str">
        <f aca="false">_xlfn.CONCAT(B1439,C1439,D1439,E1439,F1439)</f>
        <v>BC Caiaponia1SG60KTL(COM1-010)46049.965277777846049.965277777846050.3319444444</v>
      </c>
      <c r="Q1439" s="32" t="str">
        <f aca="false">_xlfn.CONCAT(H1439,I1439,J1439)</f>
        <v>DAURDE</v>
      </c>
    </row>
    <row r="1440" customFormat="false" ht="15" hidden="false" customHeight="false" outlineLevel="0" collapsed="false">
      <c r="B1440" s="32" t="s">
        <v>48</v>
      </c>
      <c r="C1440" s="32" t="s">
        <v>304</v>
      </c>
      <c r="D1440" s="33" t="n">
        <v>46049.9652777778</v>
      </c>
      <c r="E1440" s="33" t="n">
        <v>46049.9652777778</v>
      </c>
      <c r="F1440" s="33" t="n">
        <v>46050.3319444444</v>
      </c>
      <c r="G1440" s="34" t="n">
        <f aca="false">F1440-E1440</f>
        <v>0.366666666666667</v>
      </c>
      <c r="H1440" s="32" t="s">
        <v>252</v>
      </c>
      <c r="J1440" s="32" t="s">
        <v>253</v>
      </c>
      <c r="K1440" s="32" t="s">
        <v>266</v>
      </c>
      <c r="L1440" s="32" t="s">
        <v>661</v>
      </c>
      <c r="M1440" s="32" t="s">
        <v>255</v>
      </c>
      <c r="N1440" s="32" t="s">
        <v>256</v>
      </c>
      <c r="O1440" s="32" t="s">
        <v>644</v>
      </c>
      <c r="P1440" s="40" t="str">
        <f aca="false">_xlfn.CONCAT(B1440,C1440,D1440,E1440,F1440)</f>
        <v>BC Caiaponia1SG60KTL(COM1-011)46049.965277777846049.965277777846050.3319444444</v>
      </c>
      <c r="Q1440" s="32" t="str">
        <f aca="false">_xlfn.CONCAT(H1440,I1440,J1440)</f>
        <v>DAURDE</v>
      </c>
    </row>
    <row r="1441" customFormat="false" ht="15" hidden="false" customHeight="false" outlineLevel="0" collapsed="false">
      <c r="B1441" s="32" t="s">
        <v>48</v>
      </c>
      <c r="C1441" s="32" t="s">
        <v>305</v>
      </c>
      <c r="D1441" s="33" t="n">
        <v>46049.9652777778</v>
      </c>
      <c r="E1441" s="33" t="n">
        <v>46049.9652777778</v>
      </c>
      <c r="F1441" s="33" t="n">
        <v>46050.3319444444</v>
      </c>
      <c r="G1441" s="34" t="n">
        <f aca="false">F1441-E1441</f>
        <v>0.366666666666667</v>
      </c>
      <c r="H1441" s="32" t="s">
        <v>252</v>
      </c>
      <c r="J1441" s="32" t="s">
        <v>253</v>
      </c>
      <c r="K1441" s="32" t="s">
        <v>266</v>
      </c>
      <c r="L1441" s="32" t="s">
        <v>661</v>
      </c>
      <c r="M1441" s="32" t="s">
        <v>255</v>
      </c>
      <c r="N1441" s="32" t="s">
        <v>256</v>
      </c>
      <c r="O1441" s="32" t="s">
        <v>644</v>
      </c>
      <c r="P1441" s="40" t="str">
        <f aca="false">_xlfn.CONCAT(B1441,C1441,D1441,E1441,F1441)</f>
        <v>BC Caiaponia1SG60KTL(COM1-012)46049.965277777846049.965277777846050.3319444444</v>
      </c>
      <c r="Q1441" s="32" t="str">
        <f aca="false">_xlfn.CONCAT(H1441,I1441,J1441)</f>
        <v>DAURDE</v>
      </c>
    </row>
    <row r="1442" customFormat="false" ht="15" hidden="false" customHeight="false" outlineLevel="0" collapsed="false">
      <c r="B1442" s="32" t="s">
        <v>48</v>
      </c>
      <c r="C1442" s="32" t="s">
        <v>306</v>
      </c>
      <c r="D1442" s="33" t="n">
        <v>46049.9652777778</v>
      </c>
      <c r="E1442" s="33" t="n">
        <v>46049.9652777778</v>
      </c>
      <c r="F1442" s="33" t="n">
        <v>46050.3319444444</v>
      </c>
      <c r="G1442" s="34" t="n">
        <f aca="false">F1442-E1442</f>
        <v>0.366666666666667</v>
      </c>
      <c r="H1442" s="32" t="s">
        <v>252</v>
      </c>
      <c r="J1442" s="32" t="s">
        <v>253</v>
      </c>
      <c r="K1442" s="32" t="s">
        <v>266</v>
      </c>
      <c r="L1442" s="32" t="s">
        <v>661</v>
      </c>
      <c r="M1442" s="32" t="s">
        <v>255</v>
      </c>
      <c r="N1442" s="32" t="s">
        <v>256</v>
      </c>
      <c r="O1442" s="32" t="s">
        <v>644</v>
      </c>
      <c r="P1442" s="40" t="str">
        <f aca="false">_xlfn.CONCAT(B1442,C1442,D1442,E1442,F1442)</f>
        <v>BC Caiaponia1SG60KTL(COM1-013)46049.965277777846049.965277777846050.3319444444</v>
      </c>
      <c r="Q1442" s="32" t="str">
        <f aca="false">_xlfn.CONCAT(H1442,I1442,J1442)</f>
        <v>DAURDE</v>
      </c>
    </row>
    <row r="1443" customFormat="false" ht="15" hidden="false" customHeight="false" outlineLevel="0" collapsed="false">
      <c r="B1443" s="32" t="s">
        <v>48</v>
      </c>
      <c r="C1443" s="32" t="s">
        <v>307</v>
      </c>
      <c r="D1443" s="33" t="n">
        <v>46049.9652777778</v>
      </c>
      <c r="E1443" s="33" t="n">
        <v>46049.9652777778</v>
      </c>
      <c r="F1443" s="33" t="n">
        <v>46050.3319444444</v>
      </c>
      <c r="G1443" s="34" t="n">
        <f aca="false">F1443-E1443</f>
        <v>0.366666666666667</v>
      </c>
      <c r="H1443" s="32" t="s">
        <v>252</v>
      </c>
      <c r="J1443" s="32" t="s">
        <v>253</v>
      </c>
      <c r="K1443" s="32" t="s">
        <v>266</v>
      </c>
      <c r="L1443" s="32" t="s">
        <v>661</v>
      </c>
      <c r="M1443" s="32" t="s">
        <v>255</v>
      </c>
      <c r="N1443" s="32" t="s">
        <v>256</v>
      </c>
      <c r="O1443" s="32" t="s">
        <v>644</v>
      </c>
      <c r="P1443" s="40" t="str">
        <f aca="false">_xlfn.CONCAT(B1443,C1443,D1443,E1443,F1443)</f>
        <v>BC Caiaponia1SG60KTL(COM1-014)46049.965277777846049.965277777846050.3319444444</v>
      </c>
      <c r="Q1443" s="32" t="str">
        <f aca="false">_xlfn.CONCAT(H1443,I1443,J1443)</f>
        <v>DAURDE</v>
      </c>
    </row>
    <row r="1444" customFormat="false" ht="15" hidden="false" customHeight="false" outlineLevel="0" collapsed="false">
      <c r="B1444" s="32" t="s">
        <v>48</v>
      </c>
      <c r="C1444" s="32" t="s">
        <v>308</v>
      </c>
      <c r="D1444" s="33" t="n">
        <v>46049.9652777778</v>
      </c>
      <c r="E1444" s="33" t="n">
        <v>46049.9652777778</v>
      </c>
      <c r="F1444" s="33" t="n">
        <v>46050.3319444444</v>
      </c>
      <c r="G1444" s="34" t="n">
        <f aca="false">F1444-E1444</f>
        <v>0.366666666666667</v>
      </c>
      <c r="H1444" s="32" t="s">
        <v>252</v>
      </c>
      <c r="J1444" s="32" t="s">
        <v>253</v>
      </c>
      <c r="K1444" s="32" t="s">
        <v>266</v>
      </c>
      <c r="L1444" s="32" t="s">
        <v>661</v>
      </c>
      <c r="M1444" s="32" t="s">
        <v>255</v>
      </c>
      <c r="N1444" s="32" t="s">
        <v>256</v>
      </c>
      <c r="O1444" s="32" t="s">
        <v>644</v>
      </c>
      <c r="P1444" s="40" t="str">
        <f aca="false">_xlfn.CONCAT(B1444,C1444,D1444,E1444,F1444)</f>
        <v>BC Caiaponia1SG60KTL(COM1-015)46049.965277777846049.965277777846050.3319444444</v>
      </c>
      <c r="Q1444" s="32" t="str">
        <f aca="false">_xlfn.CONCAT(H1444,I1444,J1444)</f>
        <v>DAURDE</v>
      </c>
    </row>
    <row r="1445" customFormat="false" ht="15" hidden="false" customHeight="false" outlineLevel="0" collapsed="false">
      <c r="B1445" s="32" t="s">
        <v>48</v>
      </c>
      <c r="C1445" s="32" t="s">
        <v>309</v>
      </c>
      <c r="D1445" s="33" t="n">
        <v>46049.9652777778</v>
      </c>
      <c r="E1445" s="33" t="n">
        <v>46049.9652777778</v>
      </c>
      <c r="F1445" s="33" t="n">
        <v>46050.3319444444</v>
      </c>
      <c r="G1445" s="34" t="n">
        <f aca="false">F1445-E1445</f>
        <v>0.366666666666667</v>
      </c>
      <c r="H1445" s="32" t="s">
        <v>252</v>
      </c>
      <c r="J1445" s="32" t="s">
        <v>253</v>
      </c>
      <c r="K1445" s="32" t="s">
        <v>266</v>
      </c>
      <c r="L1445" s="32" t="s">
        <v>661</v>
      </c>
      <c r="M1445" s="32" t="s">
        <v>255</v>
      </c>
      <c r="N1445" s="32" t="s">
        <v>256</v>
      </c>
      <c r="O1445" s="32" t="s">
        <v>644</v>
      </c>
      <c r="P1445" s="40" t="str">
        <f aca="false">_xlfn.CONCAT(B1445,C1445,D1445,E1445,F1445)</f>
        <v>BC Caiaponia1SG60KTL(COM3-016)_001_00946049.965277777846049.965277777846050.3319444444</v>
      </c>
      <c r="Q1445" s="32" t="str">
        <f aca="false">_xlfn.CONCAT(H1445,I1445,J1445)</f>
        <v>DAURDE</v>
      </c>
    </row>
    <row r="1446" customFormat="false" ht="15" hidden="false" customHeight="false" outlineLevel="0" collapsed="false">
      <c r="B1446" s="32" t="s">
        <v>48</v>
      </c>
      <c r="C1446" s="32" t="s">
        <v>310</v>
      </c>
      <c r="D1446" s="33" t="n">
        <v>46049.9652777778</v>
      </c>
      <c r="E1446" s="33" t="n">
        <v>46049.9652777778</v>
      </c>
      <c r="F1446" s="33" t="n">
        <v>46050.3319444444</v>
      </c>
      <c r="G1446" s="34" t="n">
        <f aca="false">F1446-E1446</f>
        <v>0.366666666666667</v>
      </c>
      <c r="H1446" s="32" t="s">
        <v>252</v>
      </c>
      <c r="J1446" s="32" t="s">
        <v>253</v>
      </c>
      <c r="K1446" s="32" t="s">
        <v>266</v>
      </c>
      <c r="L1446" s="32" t="s">
        <v>661</v>
      </c>
      <c r="M1446" s="32" t="s">
        <v>255</v>
      </c>
      <c r="N1446" s="32" t="s">
        <v>256</v>
      </c>
      <c r="O1446" s="32" t="s">
        <v>644</v>
      </c>
      <c r="P1446" s="40" t="str">
        <f aca="false">_xlfn.CONCAT(B1446,C1446,D1446,E1446,F1446)</f>
        <v>BC Caiaponia1SG60KTL(COM3-017)_001_01246049.965277777846049.965277777846050.3319444444</v>
      </c>
      <c r="Q1446" s="32" t="str">
        <f aca="false">_xlfn.CONCAT(H1446,I1446,J1446)</f>
        <v>DAURDE</v>
      </c>
    </row>
    <row r="1447" customFormat="false" ht="15" hidden="false" customHeight="false" outlineLevel="0" collapsed="false">
      <c r="B1447" s="32" t="s">
        <v>48</v>
      </c>
      <c r="C1447" s="32" t="s">
        <v>311</v>
      </c>
      <c r="D1447" s="33" t="n">
        <v>46049.9652777778</v>
      </c>
      <c r="E1447" s="33" t="n">
        <v>46049.9652777778</v>
      </c>
      <c r="F1447" s="33" t="n">
        <v>46050.3319444444</v>
      </c>
      <c r="G1447" s="34" t="n">
        <f aca="false">F1447-E1447</f>
        <v>0.366666666666667</v>
      </c>
      <c r="H1447" s="32" t="s">
        <v>252</v>
      </c>
      <c r="J1447" s="32" t="s">
        <v>253</v>
      </c>
      <c r="K1447" s="32" t="s">
        <v>266</v>
      </c>
      <c r="L1447" s="32" t="s">
        <v>661</v>
      </c>
      <c r="M1447" s="32" t="s">
        <v>255</v>
      </c>
      <c r="N1447" s="32" t="s">
        <v>256</v>
      </c>
      <c r="O1447" s="32" t="s">
        <v>644</v>
      </c>
      <c r="P1447" s="40" t="str">
        <f aca="false">_xlfn.CONCAT(B1447,C1447,D1447,E1447,F1447)</f>
        <v>BC Caiaponia1SG60KTL(COM3-018)_001_00846049.965277777846049.965277777846050.3319444444</v>
      </c>
      <c r="Q1447" s="32" t="str">
        <f aca="false">_xlfn.CONCAT(H1447,I1447,J1447)</f>
        <v>DAURDE</v>
      </c>
    </row>
    <row r="1448" customFormat="false" ht="15" hidden="false" customHeight="false" outlineLevel="0" collapsed="false">
      <c r="B1448" s="32" t="s">
        <v>48</v>
      </c>
      <c r="C1448" s="32" t="s">
        <v>312</v>
      </c>
      <c r="D1448" s="33" t="n">
        <v>46049.9652777778</v>
      </c>
      <c r="E1448" s="33" t="n">
        <v>46049.9652777778</v>
      </c>
      <c r="F1448" s="33" t="n">
        <v>46050.3319444444</v>
      </c>
      <c r="G1448" s="34" t="n">
        <f aca="false">F1448-E1448</f>
        <v>0.366666666666667</v>
      </c>
      <c r="H1448" s="32" t="s">
        <v>252</v>
      </c>
      <c r="J1448" s="32" t="s">
        <v>253</v>
      </c>
      <c r="K1448" s="32" t="s">
        <v>266</v>
      </c>
      <c r="L1448" s="32" t="s">
        <v>661</v>
      </c>
      <c r="M1448" s="32" t="s">
        <v>255</v>
      </c>
      <c r="N1448" s="32" t="s">
        <v>256</v>
      </c>
      <c r="O1448" s="32" t="s">
        <v>644</v>
      </c>
      <c r="P1448" s="40" t="str">
        <f aca="false">_xlfn.CONCAT(B1448,C1448,D1448,E1448,F1448)</f>
        <v>BC Caiaponia1SG60KTL(COM3-019)_001_01946049.965277777846049.965277777846050.3319444444</v>
      </c>
      <c r="Q1448" s="32" t="str">
        <f aca="false">_xlfn.CONCAT(H1448,I1448,J1448)</f>
        <v>DAURDE</v>
      </c>
    </row>
    <row r="1449" customFormat="false" ht="15" hidden="false" customHeight="false" outlineLevel="0" collapsed="false">
      <c r="B1449" s="32" t="s">
        <v>48</v>
      </c>
      <c r="C1449" s="32" t="s">
        <v>313</v>
      </c>
      <c r="D1449" s="33" t="n">
        <v>46049.9652777778</v>
      </c>
      <c r="E1449" s="33" t="n">
        <v>46049.9652777778</v>
      </c>
      <c r="F1449" s="33" t="n">
        <v>46050.3319444444</v>
      </c>
      <c r="G1449" s="34" t="n">
        <f aca="false">F1449-E1449</f>
        <v>0.366666666666667</v>
      </c>
      <c r="H1449" s="32" t="s">
        <v>252</v>
      </c>
      <c r="J1449" s="32" t="s">
        <v>253</v>
      </c>
      <c r="K1449" s="32" t="s">
        <v>266</v>
      </c>
      <c r="L1449" s="32" t="s">
        <v>661</v>
      </c>
      <c r="M1449" s="32" t="s">
        <v>255</v>
      </c>
      <c r="N1449" s="32" t="s">
        <v>256</v>
      </c>
      <c r="O1449" s="32" t="s">
        <v>644</v>
      </c>
      <c r="P1449" s="40" t="str">
        <f aca="false">_xlfn.CONCAT(B1449,C1449,D1449,E1449,F1449)</f>
        <v>BC Caiaponia1SG60KTL(COM3-020)_001_02046049.965277777846049.965277777846050.3319444444</v>
      </c>
      <c r="Q1449" s="32" t="str">
        <f aca="false">_xlfn.CONCAT(H1449,I1449,J1449)</f>
        <v>DAURDE</v>
      </c>
    </row>
    <row r="1450" customFormat="false" ht="15" hidden="false" customHeight="false" outlineLevel="0" collapsed="false">
      <c r="B1450" s="32" t="s">
        <v>48</v>
      </c>
      <c r="C1450" s="32" t="s">
        <v>314</v>
      </c>
      <c r="D1450" s="33" t="n">
        <v>46049.9652777778</v>
      </c>
      <c r="E1450" s="33" t="n">
        <v>46049.9652777778</v>
      </c>
      <c r="F1450" s="33" t="n">
        <v>46050.3319444444</v>
      </c>
      <c r="G1450" s="34" t="n">
        <f aca="false">F1450-E1450</f>
        <v>0.366666666666667</v>
      </c>
      <c r="H1450" s="32" t="s">
        <v>252</v>
      </c>
      <c r="J1450" s="32" t="s">
        <v>253</v>
      </c>
      <c r="K1450" s="32" t="s">
        <v>266</v>
      </c>
      <c r="L1450" s="32" t="s">
        <v>661</v>
      </c>
      <c r="M1450" s="32" t="s">
        <v>255</v>
      </c>
      <c r="N1450" s="32" t="s">
        <v>256</v>
      </c>
      <c r="O1450" s="32" t="s">
        <v>644</v>
      </c>
      <c r="P1450" s="40" t="str">
        <f aca="false">_xlfn.CONCAT(B1450,C1450,D1450,E1450,F1450)</f>
        <v>BC Caiaponia1SG60KTL(COM2-026)46049.965277777846049.965277777846050.3319444444</v>
      </c>
      <c r="Q1450" s="32" t="str">
        <f aca="false">_xlfn.CONCAT(H1450,I1450,J1450)</f>
        <v>DAURDE</v>
      </c>
    </row>
    <row r="1451" customFormat="false" ht="15" hidden="false" customHeight="false" outlineLevel="0" collapsed="false">
      <c r="B1451" s="32" t="s">
        <v>48</v>
      </c>
      <c r="C1451" s="32" t="s">
        <v>315</v>
      </c>
      <c r="D1451" s="33" t="n">
        <v>46049.9652777778</v>
      </c>
      <c r="E1451" s="33" t="n">
        <v>46049.9652777778</v>
      </c>
      <c r="F1451" s="33" t="n">
        <v>46050.3319444444</v>
      </c>
      <c r="G1451" s="34" t="n">
        <f aca="false">F1451-E1451</f>
        <v>0.366666666666667</v>
      </c>
      <c r="H1451" s="32" t="s">
        <v>252</v>
      </c>
      <c r="J1451" s="32" t="s">
        <v>253</v>
      </c>
      <c r="K1451" s="32" t="s">
        <v>266</v>
      </c>
      <c r="L1451" s="32" t="s">
        <v>661</v>
      </c>
      <c r="M1451" s="32" t="s">
        <v>255</v>
      </c>
      <c r="N1451" s="32" t="s">
        <v>256</v>
      </c>
      <c r="O1451" s="32" t="s">
        <v>644</v>
      </c>
      <c r="P1451" s="40" t="str">
        <f aca="false">_xlfn.CONCAT(B1451,C1451,D1451,E1451,F1451)</f>
        <v>BC Caiaponia1SG60KTL(COM2-027)46049.965277777846049.965277777846050.3319444444</v>
      </c>
      <c r="Q1451" s="32" t="str">
        <f aca="false">_xlfn.CONCAT(H1451,I1451,J1451)</f>
        <v>DAURDE</v>
      </c>
    </row>
    <row r="1452" customFormat="false" ht="15" hidden="false" customHeight="false" outlineLevel="0" collapsed="false">
      <c r="B1452" s="32" t="s">
        <v>48</v>
      </c>
      <c r="C1452" s="32" t="s">
        <v>316</v>
      </c>
      <c r="D1452" s="33" t="n">
        <v>46049.9652777778</v>
      </c>
      <c r="E1452" s="33" t="n">
        <v>46049.9652777778</v>
      </c>
      <c r="F1452" s="33" t="n">
        <v>46050.3319444444</v>
      </c>
      <c r="G1452" s="34" t="n">
        <f aca="false">F1452-E1452</f>
        <v>0.366666666666667</v>
      </c>
      <c r="H1452" s="32" t="s">
        <v>252</v>
      </c>
      <c r="J1452" s="32" t="s">
        <v>253</v>
      </c>
      <c r="K1452" s="32" t="s">
        <v>266</v>
      </c>
      <c r="L1452" s="32" t="s">
        <v>661</v>
      </c>
      <c r="M1452" s="32" t="s">
        <v>255</v>
      </c>
      <c r="N1452" s="32" t="s">
        <v>256</v>
      </c>
      <c r="O1452" s="32" t="s">
        <v>644</v>
      </c>
      <c r="P1452" s="40" t="str">
        <f aca="false">_xlfn.CONCAT(B1452,C1452,D1452,E1452,F1452)</f>
        <v>BC Caiaponia1SG60KTL(COM2-028)46049.965277777846049.965277777846050.3319444444</v>
      </c>
      <c r="Q1452" s="32" t="str">
        <f aca="false">_xlfn.CONCAT(H1452,I1452,J1452)</f>
        <v>DAURDE</v>
      </c>
    </row>
    <row r="1453" customFormat="false" ht="15" hidden="false" customHeight="false" outlineLevel="0" collapsed="false">
      <c r="B1453" s="32" t="s">
        <v>48</v>
      </c>
      <c r="C1453" s="32" t="s">
        <v>317</v>
      </c>
      <c r="D1453" s="33" t="n">
        <v>46049.9652777778</v>
      </c>
      <c r="E1453" s="33" t="n">
        <v>46049.9652777778</v>
      </c>
      <c r="F1453" s="33" t="n">
        <v>46050.3319444444</v>
      </c>
      <c r="G1453" s="34" t="n">
        <f aca="false">F1453-E1453</f>
        <v>0.366666666666667</v>
      </c>
      <c r="H1453" s="32" t="s">
        <v>252</v>
      </c>
      <c r="J1453" s="32" t="s">
        <v>253</v>
      </c>
      <c r="K1453" s="32" t="s">
        <v>266</v>
      </c>
      <c r="L1453" s="32" t="s">
        <v>661</v>
      </c>
      <c r="M1453" s="32" t="s">
        <v>255</v>
      </c>
      <c r="N1453" s="32" t="s">
        <v>256</v>
      </c>
      <c r="O1453" s="32" t="s">
        <v>644</v>
      </c>
      <c r="P1453" s="40" t="str">
        <f aca="false">_xlfn.CONCAT(B1453,C1453,D1453,E1453,F1453)</f>
        <v>BC Caiaponia1SG60KTL(COM2-029)46049.965277777846049.965277777846050.3319444444</v>
      </c>
      <c r="Q1453" s="32" t="str">
        <f aca="false">_xlfn.CONCAT(H1453,I1453,J1453)</f>
        <v>DAURDE</v>
      </c>
    </row>
    <row r="1454" customFormat="false" ht="15" hidden="false" customHeight="false" outlineLevel="0" collapsed="false">
      <c r="B1454" s="32" t="s">
        <v>48</v>
      </c>
      <c r="C1454" s="32" t="s">
        <v>318</v>
      </c>
      <c r="D1454" s="33" t="n">
        <v>46049.9652777778</v>
      </c>
      <c r="E1454" s="33" t="n">
        <v>46049.9652777778</v>
      </c>
      <c r="F1454" s="33" t="n">
        <v>46050.3319444444</v>
      </c>
      <c r="G1454" s="34" t="n">
        <f aca="false">F1454-E1454</f>
        <v>0.366666666666667</v>
      </c>
      <c r="H1454" s="32" t="s">
        <v>252</v>
      </c>
      <c r="J1454" s="32" t="s">
        <v>253</v>
      </c>
      <c r="K1454" s="32" t="s">
        <v>266</v>
      </c>
      <c r="L1454" s="32" t="s">
        <v>661</v>
      </c>
      <c r="M1454" s="32" t="s">
        <v>255</v>
      </c>
      <c r="N1454" s="32" t="s">
        <v>256</v>
      </c>
      <c r="O1454" s="32" t="s">
        <v>644</v>
      </c>
      <c r="P1454" s="40" t="str">
        <f aca="false">_xlfn.CONCAT(B1454,C1454,D1454,E1454,F1454)</f>
        <v>BC Caiaponia1SG50CX(COM1-021)46049.965277777846049.965277777846050.3319444444</v>
      </c>
      <c r="Q1454" s="32" t="str">
        <f aca="false">_xlfn.CONCAT(H1454,I1454,J1454)</f>
        <v>DAURDE</v>
      </c>
    </row>
    <row r="1455" customFormat="false" ht="15" hidden="false" customHeight="false" outlineLevel="0" collapsed="false">
      <c r="B1455" s="32" t="s">
        <v>48</v>
      </c>
      <c r="C1455" s="32" t="s">
        <v>319</v>
      </c>
      <c r="D1455" s="33" t="n">
        <v>46049.9652777778</v>
      </c>
      <c r="E1455" s="33" t="n">
        <v>46049.9652777778</v>
      </c>
      <c r="F1455" s="33" t="n">
        <v>46050.3319444444</v>
      </c>
      <c r="G1455" s="34" t="n">
        <f aca="false">F1455-E1455</f>
        <v>0.366666666666667</v>
      </c>
      <c r="H1455" s="32" t="s">
        <v>252</v>
      </c>
      <c r="J1455" s="32" t="s">
        <v>253</v>
      </c>
      <c r="K1455" s="32" t="s">
        <v>266</v>
      </c>
      <c r="L1455" s="32" t="s">
        <v>661</v>
      </c>
      <c r="M1455" s="32" t="s">
        <v>255</v>
      </c>
      <c r="N1455" s="32" t="s">
        <v>256</v>
      </c>
      <c r="O1455" s="32" t="s">
        <v>644</v>
      </c>
      <c r="P1455" s="40" t="str">
        <f aca="false">_xlfn.CONCAT(B1455,C1455,D1455,E1455,F1455)</f>
        <v>BC Caiaponia1SG50CX(COM1-022)46049.965277777846049.965277777846050.3319444444</v>
      </c>
      <c r="Q1455" s="32" t="str">
        <f aca="false">_xlfn.CONCAT(H1455,I1455,J1455)</f>
        <v>DAURDE</v>
      </c>
    </row>
    <row r="1456" customFormat="false" ht="15" hidden="false" customHeight="false" outlineLevel="0" collapsed="false">
      <c r="B1456" s="32" t="s">
        <v>48</v>
      </c>
      <c r="C1456" s="32" t="s">
        <v>320</v>
      </c>
      <c r="D1456" s="33" t="n">
        <v>46049.9652777778</v>
      </c>
      <c r="E1456" s="33" t="n">
        <v>46049.9652777778</v>
      </c>
      <c r="F1456" s="33" t="n">
        <v>46050.3319444444</v>
      </c>
      <c r="G1456" s="34" t="n">
        <f aca="false">F1456-E1456</f>
        <v>0.366666666666667</v>
      </c>
      <c r="H1456" s="32" t="s">
        <v>252</v>
      </c>
      <c r="J1456" s="32" t="s">
        <v>253</v>
      </c>
      <c r="K1456" s="32" t="s">
        <v>266</v>
      </c>
      <c r="L1456" s="32" t="s">
        <v>661</v>
      </c>
      <c r="M1456" s="32" t="s">
        <v>255</v>
      </c>
      <c r="N1456" s="32" t="s">
        <v>256</v>
      </c>
      <c r="O1456" s="32" t="s">
        <v>644</v>
      </c>
      <c r="P1456" s="40" t="str">
        <f aca="false">_xlfn.CONCAT(B1456,C1456,D1456,E1456,F1456)</f>
        <v>BC Caiaponia1SG50CX(COM1-023)46049.965277777846049.965277777846050.3319444444</v>
      </c>
      <c r="Q1456" s="32" t="str">
        <f aca="false">_xlfn.CONCAT(H1456,I1456,J1456)</f>
        <v>DAURDE</v>
      </c>
    </row>
    <row r="1457" customFormat="false" ht="15" hidden="false" customHeight="false" outlineLevel="0" collapsed="false">
      <c r="B1457" s="32" t="s">
        <v>48</v>
      </c>
      <c r="C1457" s="32" t="s">
        <v>321</v>
      </c>
      <c r="D1457" s="33" t="n">
        <v>46049.9652777778</v>
      </c>
      <c r="E1457" s="33" t="n">
        <v>46049.9652777778</v>
      </c>
      <c r="F1457" s="33" t="n">
        <v>46050.3319444444</v>
      </c>
      <c r="G1457" s="34" t="n">
        <f aca="false">F1457-E1457</f>
        <v>0.366666666666667</v>
      </c>
      <c r="H1457" s="32" t="s">
        <v>252</v>
      </c>
      <c r="J1457" s="32" t="s">
        <v>253</v>
      </c>
      <c r="K1457" s="32" t="s">
        <v>266</v>
      </c>
      <c r="L1457" s="32" t="s">
        <v>661</v>
      </c>
      <c r="M1457" s="32" t="s">
        <v>255</v>
      </c>
      <c r="N1457" s="32" t="s">
        <v>256</v>
      </c>
      <c r="O1457" s="32" t="s">
        <v>644</v>
      </c>
      <c r="P1457" s="40" t="str">
        <f aca="false">_xlfn.CONCAT(B1457,C1457,D1457,E1457,F1457)</f>
        <v>BC Caiaponia1SG50CX(COM1-024)46049.965277777846049.965277777846050.3319444444</v>
      </c>
      <c r="Q1457" s="32" t="str">
        <f aca="false">_xlfn.CONCAT(H1457,I1457,J1457)</f>
        <v>DAURDE</v>
      </c>
    </row>
    <row r="1458" customFormat="false" ht="15" hidden="false" customHeight="false" outlineLevel="0" collapsed="false">
      <c r="B1458" s="32" t="s">
        <v>48</v>
      </c>
      <c r="C1458" s="32" t="s">
        <v>322</v>
      </c>
      <c r="D1458" s="33" t="n">
        <v>46049.9652777778</v>
      </c>
      <c r="E1458" s="33" t="n">
        <v>46049.9652777778</v>
      </c>
      <c r="F1458" s="33" t="n">
        <v>46050.3319444444</v>
      </c>
      <c r="G1458" s="34" t="n">
        <f aca="false">F1458-E1458</f>
        <v>0.366666666666667</v>
      </c>
      <c r="H1458" s="32" t="s">
        <v>252</v>
      </c>
      <c r="J1458" s="32" t="s">
        <v>253</v>
      </c>
      <c r="K1458" s="32" t="s">
        <v>266</v>
      </c>
      <c r="L1458" s="32" t="s">
        <v>661</v>
      </c>
      <c r="M1458" s="32" t="s">
        <v>255</v>
      </c>
      <c r="N1458" s="32" t="s">
        <v>256</v>
      </c>
      <c r="O1458" s="32" t="s">
        <v>644</v>
      </c>
      <c r="P1458" s="40" t="str">
        <f aca="false">_xlfn.CONCAT(B1458,C1458,D1458,E1458,F1458)</f>
        <v>BC Caiaponia1SG50CX(COM1-025)46049.965277777846049.965277777846050.3319444444</v>
      </c>
      <c r="Q1458" s="32" t="str">
        <f aca="false">_xlfn.CONCAT(H1458,I1458,J1458)</f>
        <v>DAURDE</v>
      </c>
    </row>
    <row r="1459" customFormat="false" ht="15" hidden="false" customHeight="false" outlineLevel="0" collapsed="false">
      <c r="B1459" s="32" t="s">
        <v>250</v>
      </c>
      <c r="C1459" s="32" t="s">
        <v>251</v>
      </c>
      <c r="D1459" s="33" t="n">
        <v>46049.9652777778</v>
      </c>
      <c r="E1459" s="33" t="n">
        <v>46049.9652777778</v>
      </c>
      <c r="F1459" s="33" t="n">
        <v>46050.3319444444</v>
      </c>
      <c r="G1459" s="34" t="n">
        <f aca="false">F1459-E1459</f>
        <v>0.366666666666667</v>
      </c>
      <c r="H1459" s="32" t="s">
        <v>252</v>
      </c>
      <c r="J1459" s="32" t="s">
        <v>253</v>
      </c>
      <c r="K1459" s="32" t="s">
        <v>266</v>
      </c>
      <c r="L1459" s="32" t="s">
        <v>661</v>
      </c>
      <c r="M1459" s="32" t="s">
        <v>255</v>
      </c>
      <c r="N1459" s="32" t="s">
        <v>256</v>
      </c>
      <c r="O1459" s="32" t="s">
        <v>644</v>
      </c>
      <c r="P1459" s="40" t="str">
        <f aca="false">_xlfn.CONCAT(B1459,C1459,D1459,E1459,F1459)</f>
        <v>BC Caiaponia2.1215KTL-H3(MBUS-12)46049.965277777846049.965277777846050.3319444444</v>
      </c>
      <c r="Q1459" s="32" t="str">
        <f aca="false">_xlfn.CONCAT(H1459,I1459,J1459)</f>
        <v>DAURDE</v>
      </c>
    </row>
    <row r="1460" customFormat="false" ht="15" hidden="false" customHeight="false" outlineLevel="0" collapsed="false">
      <c r="B1460" s="32" t="s">
        <v>250</v>
      </c>
      <c r="C1460" s="32" t="s">
        <v>258</v>
      </c>
      <c r="D1460" s="33" t="n">
        <v>46049.9652777778</v>
      </c>
      <c r="E1460" s="33" t="n">
        <v>46049.9652777778</v>
      </c>
      <c r="F1460" s="33" t="n">
        <v>46050.3319444444</v>
      </c>
      <c r="G1460" s="34" t="n">
        <f aca="false">F1460-E1460</f>
        <v>0.366666666666667</v>
      </c>
      <c r="H1460" s="32" t="s">
        <v>252</v>
      </c>
      <c r="J1460" s="32" t="s">
        <v>253</v>
      </c>
      <c r="K1460" s="32" t="s">
        <v>266</v>
      </c>
      <c r="L1460" s="32" t="s">
        <v>661</v>
      </c>
      <c r="M1460" s="32" t="s">
        <v>255</v>
      </c>
      <c r="N1460" s="32" t="s">
        <v>256</v>
      </c>
      <c r="O1460" s="32" t="s">
        <v>644</v>
      </c>
      <c r="P1460" s="40" t="str">
        <f aca="false">_xlfn.CONCAT(B1460,C1460,D1460,E1460,F1460)</f>
        <v>BC Caiaponia2.1215KTL-H3(MBUS-13)46049.965277777846049.965277777846050.3319444444</v>
      </c>
      <c r="Q1460" s="32" t="str">
        <f aca="false">_xlfn.CONCAT(H1460,I1460,J1460)</f>
        <v>DAURDE</v>
      </c>
    </row>
    <row r="1461" customFormat="false" ht="15" hidden="false" customHeight="false" outlineLevel="0" collapsed="false">
      <c r="B1461" s="32" t="s">
        <v>250</v>
      </c>
      <c r="C1461" s="32" t="s">
        <v>259</v>
      </c>
      <c r="D1461" s="33" t="n">
        <v>46049.9652777778</v>
      </c>
      <c r="E1461" s="33" t="n">
        <v>46049.9652777778</v>
      </c>
      <c r="F1461" s="33" t="n">
        <v>46050.3319444444</v>
      </c>
      <c r="G1461" s="34" t="n">
        <f aca="false">F1461-E1461</f>
        <v>0.366666666666667</v>
      </c>
      <c r="H1461" s="32" t="s">
        <v>252</v>
      </c>
      <c r="J1461" s="32" t="s">
        <v>253</v>
      </c>
      <c r="K1461" s="32" t="s">
        <v>266</v>
      </c>
      <c r="L1461" s="32" t="s">
        <v>661</v>
      </c>
      <c r="M1461" s="32" t="s">
        <v>255</v>
      </c>
      <c r="N1461" s="32" t="s">
        <v>256</v>
      </c>
      <c r="O1461" s="32" t="s">
        <v>644</v>
      </c>
      <c r="P1461" s="40" t="str">
        <f aca="false">_xlfn.CONCAT(B1461,C1461,D1461,E1461,F1461)</f>
        <v>BC Caiaponia2.1215KTL-H3(MBUS-14)46049.965277777846049.965277777846050.3319444444</v>
      </c>
      <c r="Q1461" s="32" t="str">
        <f aca="false">_xlfn.CONCAT(H1461,I1461,J1461)</f>
        <v>DAURDE</v>
      </c>
    </row>
    <row r="1462" customFormat="false" ht="15" hidden="false" customHeight="false" outlineLevel="0" collapsed="false">
      <c r="B1462" s="32" t="s">
        <v>250</v>
      </c>
      <c r="C1462" s="32" t="s">
        <v>260</v>
      </c>
      <c r="D1462" s="33" t="n">
        <v>46049.9652777778</v>
      </c>
      <c r="E1462" s="33" t="n">
        <v>46049.9652777778</v>
      </c>
      <c r="F1462" s="33" t="n">
        <v>46050.3319444444</v>
      </c>
      <c r="G1462" s="34" t="n">
        <f aca="false">F1462-E1462</f>
        <v>0.366666666666667</v>
      </c>
      <c r="H1462" s="32" t="s">
        <v>252</v>
      </c>
      <c r="J1462" s="32" t="s">
        <v>253</v>
      </c>
      <c r="K1462" s="32" t="s">
        <v>266</v>
      </c>
      <c r="L1462" s="32" t="s">
        <v>661</v>
      </c>
      <c r="M1462" s="32" t="s">
        <v>255</v>
      </c>
      <c r="N1462" s="32" t="s">
        <v>256</v>
      </c>
      <c r="O1462" s="32" t="s">
        <v>644</v>
      </c>
      <c r="P1462" s="40" t="str">
        <f aca="false">_xlfn.CONCAT(B1462,C1462,D1462,E1462,F1462)</f>
        <v>BC Caiaponia2.1215KTL-H3(MBUS-15)46049.965277777846049.965277777846050.3319444444</v>
      </c>
      <c r="Q1462" s="32" t="str">
        <f aca="false">_xlfn.CONCAT(H1462,I1462,J1462)</f>
        <v>DAURDE</v>
      </c>
    </row>
    <row r="1463" customFormat="false" ht="15" hidden="false" customHeight="false" outlineLevel="0" collapsed="false">
      <c r="B1463" s="32" t="s">
        <v>250</v>
      </c>
      <c r="C1463" s="32" t="s">
        <v>261</v>
      </c>
      <c r="D1463" s="33" t="n">
        <v>46049.9652777778</v>
      </c>
      <c r="E1463" s="33" t="n">
        <v>46049.9652777778</v>
      </c>
      <c r="F1463" s="33" t="n">
        <v>46050.3319444444</v>
      </c>
      <c r="G1463" s="34" t="n">
        <f aca="false">F1463-E1463</f>
        <v>0.366666666666667</v>
      </c>
      <c r="H1463" s="32" t="s">
        <v>252</v>
      </c>
      <c r="J1463" s="32" t="s">
        <v>253</v>
      </c>
      <c r="K1463" s="32" t="s">
        <v>266</v>
      </c>
      <c r="L1463" s="32" t="s">
        <v>661</v>
      </c>
      <c r="M1463" s="32" t="s">
        <v>255</v>
      </c>
      <c r="N1463" s="32" t="s">
        <v>256</v>
      </c>
      <c r="O1463" s="32" t="s">
        <v>644</v>
      </c>
      <c r="P1463" s="40" t="str">
        <f aca="false">_xlfn.CONCAT(B1463,C1463,D1463,E1463,F1463)</f>
        <v>BC Caiaponia2.1215KTL-H3(MBUS-16)46049.965277777846049.965277777846050.3319444444</v>
      </c>
      <c r="Q1463" s="32" t="str">
        <f aca="false">_xlfn.CONCAT(H1463,I1463,J1463)</f>
        <v>DAURDE</v>
      </c>
    </row>
    <row r="1464" customFormat="false" ht="15" hidden="false" customHeight="false" outlineLevel="0" collapsed="false">
      <c r="B1464" s="32" t="s">
        <v>262</v>
      </c>
      <c r="C1464" s="32" t="s">
        <v>251</v>
      </c>
      <c r="D1464" s="33" t="n">
        <v>46049.9652777778</v>
      </c>
      <c r="E1464" s="33" t="n">
        <v>46049.9652777778</v>
      </c>
      <c r="F1464" s="33" t="n">
        <v>46050.3319444444</v>
      </c>
      <c r="G1464" s="34" t="n">
        <f aca="false">F1464-E1464</f>
        <v>0.366666666666667</v>
      </c>
      <c r="H1464" s="32" t="s">
        <v>252</v>
      </c>
      <c r="J1464" s="32" t="s">
        <v>253</v>
      </c>
      <c r="K1464" s="32" t="s">
        <v>266</v>
      </c>
      <c r="L1464" s="32" t="s">
        <v>661</v>
      </c>
      <c r="M1464" s="32" t="s">
        <v>255</v>
      </c>
      <c r="N1464" s="32" t="s">
        <v>256</v>
      </c>
      <c r="O1464" s="32" t="s">
        <v>644</v>
      </c>
      <c r="P1464" s="40" t="str">
        <f aca="false">_xlfn.CONCAT(B1464,C1464,D1464,E1464,F1464)</f>
        <v>BC Caiaponia2.2215KTL-H3(MBUS-12)46049.965277777846049.965277777846050.3319444444</v>
      </c>
      <c r="Q1464" s="32" t="str">
        <f aca="false">_xlfn.CONCAT(H1464,I1464,J1464)</f>
        <v>DAURDE</v>
      </c>
    </row>
    <row r="1465" customFormat="false" ht="15" hidden="false" customHeight="false" outlineLevel="0" collapsed="false">
      <c r="B1465" s="32" t="s">
        <v>262</v>
      </c>
      <c r="C1465" s="32" t="s">
        <v>258</v>
      </c>
      <c r="D1465" s="33" t="n">
        <v>46049.9652777778</v>
      </c>
      <c r="E1465" s="33" t="n">
        <v>46049.9652777778</v>
      </c>
      <c r="F1465" s="33" t="n">
        <v>46050.3319444444</v>
      </c>
      <c r="G1465" s="34" t="n">
        <f aca="false">F1465-E1465</f>
        <v>0.366666666666667</v>
      </c>
      <c r="H1465" s="32" t="s">
        <v>252</v>
      </c>
      <c r="J1465" s="32" t="s">
        <v>253</v>
      </c>
      <c r="K1465" s="32" t="s">
        <v>266</v>
      </c>
      <c r="L1465" s="32" t="s">
        <v>661</v>
      </c>
      <c r="M1465" s="32" t="s">
        <v>255</v>
      </c>
      <c r="N1465" s="32" t="s">
        <v>256</v>
      </c>
      <c r="O1465" s="32" t="s">
        <v>644</v>
      </c>
      <c r="P1465" s="40" t="str">
        <f aca="false">_xlfn.CONCAT(B1465,C1465,D1465,E1465,F1465)</f>
        <v>BC Caiaponia2.2215KTL-H3(MBUS-13)46049.965277777846049.965277777846050.3319444444</v>
      </c>
      <c r="Q1465" s="32" t="str">
        <f aca="false">_xlfn.CONCAT(H1465,I1465,J1465)</f>
        <v>DAURDE</v>
      </c>
    </row>
    <row r="1466" customFormat="false" ht="15" hidden="false" customHeight="false" outlineLevel="0" collapsed="false">
      <c r="B1466" s="32" t="s">
        <v>262</v>
      </c>
      <c r="C1466" s="32" t="s">
        <v>259</v>
      </c>
      <c r="D1466" s="33" t="n">
        <v>46049.9652777778</v>
      </c>
      <c r="E1466" s="33" t="n">
        <v>46049.9652777778</v>
      </c>
      <c r="F1466" s="33" t="n">
        <v>46050.3319444444</v>
      </c>
      <c r="G1466" s="34" t="n">
        <f aca="false">F1466-E1466</f>
        <v>0.366666666666667</v>
      </c>
      <c r="H1466" s="32" t="s">
        <v>252</v>
      </c>
      <c r="J1466" s="32" t="s">
        <v>253</v>
      </c>
      <c r="K1466" s="32" t="s">
        <v>266</v>
      </c>
      <c r="L1466" s="32" t="s">
        <v>661</v>
      </c>
      <c r="M1466" s="32" t="s">
        <v>255</v>
      </c>
      <c r="N1466" s="32" t="s">
        <v>256</v>
      </c>
      <c r="O1466" s="32" t="s">
        <v>644</v>
      </c>
      <c r="P1466" s="40" t="str">
        <f aca="false">_xlfn.CONCAT(B1466,C1466,D1466,E1466,F1466)</f>
        <v>BC Caiaponia2.2215KTL-H3(MBUS-14)46049.965277777846049.965277777846050.3319444444</v>
      </c>
      <c r="Q1466" s="32" t="str">
        <f aca="false">_xlfn.CONCAT(H1466,I1466,J1466)</f>
        <v>DAURDE</v>
      </c>
    </row>
    <row r="1467" customFormat="false" ht="15" hidden="false" customHeight="false" outlineLevel="0" collapsed="false">
      <c r="B1467" s="32" t="s">
        <v>262</v>
      </c>
      <c r="C1467" s="32" t="s">
        <v>260</v>
      </c>
      <c r="D1467" s="33" t="n">
        <v>46049.9652777778</v>
      </c>
      <c r="E1467" s="33" t="n">
        <v>46049.9652777778</v>
      </c>
      <c r="F1467" s="33" t="n">
        <v>46050.3319444444</v>
      </c>
      <c r="G1467" s="34" t="n">
        <f aca="false">F1467-E1467</f>
        <v>0.366666666666667</v>
      </c>
      <c r="H1467" s="32" t="s">
        <v>252</v>
      </c>
      <c r="J1467" s="32" t="s">
        <v>253</v>
      </c>
      <c r="K1467" s="32" t="s">
        <v>266</v>
      </c>
      <c r="L1467" s="32" t="s">
        <v>661</v>
      </c>
      <c r="M1467" s="32" t="s">
        <v>255</v>
      </c>
      <c r="N1467" s="32" t="s">
        <v>256</v>
      </c>
      <c r="O1467" s="32" t="s">
        <v>644</v>
      </c>
      <c r="P1467" s="40" t="str">
        <f aca="false">_xlfn.CONCAT(B1467,C1467,D1467,E1467,F1467)</f>
        <v>BC Caiaponia2.2215KTL-H3(MBUS-15)46049.965277777846049.965277777846050.3319444444</v>
      </c>
      <c r="Q1467" s="32" t="str">
        <f aca="false">_xlfn.CONCAT(H1467,I1467,J1467)</f>
        <v>DAURDE</v>
      </c>
    </row>
    <row r="1468" customFormat="false" ht="15" hidden="false" customHeight="false" outlineLevel="0" collapsed="false">
      <c r="B1468" s="32" t="s">
        <v>262</v>
      </c>
      <c r="C1468" s="32" t="s">
        <v>261</v>
      </c>
      <c r="D1468" s="33" t="n">
        <v>46049.9652777778</v>
      </c>
      <c r="E1468" s="33" t="n">
        <v>46049.9652777778</v>
      </c>
      <c r="F1468" s="33" t="n">
        <v>46050.3319444444</v>
      </c>
      <c r="G1468" s="34" t="n">
        <f aca="false">F1468-E1468</f>
        <v>0.366666666666667</v>
      </c>
      <c r="H1468" s="32" t="s">
        <v>252</v>
      </c>
      <c r="J1468" s="32" t="s">
        <v>253</v>
      </c>
      <c r="K1468" s="32" t="s">
        <v>266</v>
      </c>
      <c r="L1468" s="32" t="s">
        <v>661</v>
      </c>
      <c r="M1468" s="32" t="s">
        <v>255</v>
      </c>
      <c r="N1468" s="32" t="s">
        <v>256</v>
      </c>
      <c r="O1468" s="32" t="s">
        <v>644</v>
      </c>
      <c r="P1468" s="40" t="str">
        <f aca="false">_xlfn.CONCAT(B1468,C1468,D1468,E1468,F1468)</f>
        <v>BC Caiaponia2.2215KTL-H3(MBUS-16)46049.965277777846049.965277777846050.3319444444</v>
      </c>
      <c r="Q1468" s="32" t="str">
        <f aca="false">_xlfn.CONCAT(H1468,I1468,J1468)</f>
        <v>DAURDE</v>
      </c>
    </row>
    <row r="1469" customFormat="false" ht="15" hidden="false" customHeight="false" outlineLevel="0" collapsed="false">
      <c r="B1469" s="32" t="s">
        <v>263</v>
      </c>
      <c r="C1469" s="32" t="s">
        <v>251</v>
      </c>
      <c r="D1469" s="33" t="n">
        <v>46049.9652777778</v>
      </c>
      <c r="E1469" s="33" t="n">
        <v>46049.9652777778</v>
      </c>
      <c r="F1469" s="33" t="n">
        <v>46050.3319444444</v>
      </c>
      <c r="G1469" s="34" t="n">
        <f aca="false">F1469-E1469</f>
        <v>0.366666666666667</v>
      </c>
      <c r="H1469" s="32" t="s">
        <v>252</v>
      </c>
      <c r="J1469" s="32" t="s">
        <v>253</v>
      </c>
      <c r="K1469" s="32" t="s">
        <v>266</v>
      </c>
      <c r="L1469" s="32" t="s">
        <v>661</v>
      </c>
      <c r="M1469" s="32" t="s">
        <v>255</v>
      </c>
      <c r="N1469" s="32" t="s">
        <v>256</v>
      </c>
      <c r="O1469" s="32" t="s">
        <v>644</v>
      </c>
      <c r="P1469" s="40" t="str">
        <f aca="false">_xlfn.CONCAT(B1469,C1469,D1469,E1469,F1469)</f>
        <v>BC Caiaponia2.3215KTL-H3(MBUS-12)46049.965277777846049.965277777846050.3319444444</v>
      </c>
      <c r="Q1469" s="32" t="str">
        <f aca="false">_xlfn.CONCAT(H1469,I1469,J1469)</f>
        <v>DAURDE</v>
      </c>
    </row>
    <row r="1470" customFormat="false" ht="15" hidden="false" customHeight="false" outlineLevel="0" collapsed="false">
      <c r="B1470" s="32" t="s">
        <v>263</v>
      </c>
      <c r="C1470" s="32" t="s">
        <v>258</v>
      </c>
      <c r="D1470" s="33" t="n">
        <v>46049.9652777778</v>
      </c>
      <c r="E1470" s="33" t="n">
        <v>46049.9652777778</v>
      </c>
      <c r="F1470" s="33" t="n">
        <v>46050.3319444444</v>
      </c>
      <c r="G1470" s="34" t="n">
        <f aca="false">F1470-E1470</f>
        <v>0.366666666666667</v>
      </c>
      <c r="H1470" s="32" t="s">
        <v>252</v>
      </c>
      <c r="J1470" s="32" t="s">
        <v>253</v>
      </c>
      <c r="K1470" s="32" t="s">
        <v>266</v>
      </c>
      <c r="L1470" s="32" t="s">
        <v>661</v>
      </c>
      <c r="M1470" s="32" t="s">
        <v>255</v>
      </c>
      <c r="N1470" s="32" t="s">
        <v>256</v>
      </c>
      <c r="O1470" s="32" t="s">
        <v>644</v>
      </c>
      <c r="P1470" s="40" t="str">
        <f aca="false">_xlfn.CONCAT(B1470,C1470,D1470,E1470,F1470)</f>
        <v>BC Caiaponia2.3215KTL-H3(MBUS-13)46049.965277777846049.965277777846050.3319444444</v>
      </c>
      <c r="Q1470" s="32" t="str">
        <f aca="false">_xlfn.CONCAT(H1470,I1470,J1470)</f>
        <v>DAURDE</v>
      </c>
    </row>
    <row r="1471" customFormat="false" ht="15" hidden="false" customHeight="false" outlineLevel="0" collapsed="false">
      <c r="B1471" s="32" t="s">
        <v>263</v>
      </c>
      <c r="C1471" s="32" t="s">
        <v>259</v>
      </c>
      <c r="D1471" s="33" t="n">
        <v>46049.9652777778</v>
      </c>
      <c r="E1471" s="33" t="n">
        <v>46049.9652777778</v>
      </c>
      <c r="F1471" s="33" t="n">
        <v>46050.3319444444</v>
      </c>
      <c r="G1471" s="34" t="n">
        <f aca="false">F1471-E1471</f>
        <v>0.366666666666667</v>
      </c>
      <c r="H1471" s="32" t="s">
        <v>252</v>
      </c>
      <c r="J1471" s="32" t="s">
        <v>253</v>
      </c>
      <c r="K1471" s="32" t="s">
        <v>266</v>
      </c>
      <c r="L1471" s="32" t="s">
        <v>661</v>
      </c>
      <c r="M1471" s="32" t="s">
        <v>255</v>
      </c>
      <c r="N1471" s="32" t="s">
        <v>256</v>
      </c>
      <c r="O1471" s="32" t="s">
        <v>644</v>
      </c>
      <c r="P1471" s="40" t="str">
        <f aca="false">_xlfn.CONCAT(B1471,C1471,D1471,E1471,F1471)</f>
        <v>BC Caiaponia2.3215KTL-H3(MBUS-14)46049.965277777846049.965277777846050.3319444444</v>
      </c>
      <c r="Q1471" s="32" t="str">
        <f aca="false">_xlfn.CONCAT(H1471,I1471,J1471)</f>
        <v>DAURDE</v>
      </c>
    </row>
    <row r="1472" customFormat="false" ht="15" hidden="false" customHeight="false" outlineLevel="0" collapsed="false">
      <c r="B1472" s="32" t="s">
        <v>263</v>
      </c>
      <c r="C1472" s="32" t="s">
        <v>260</v>
      </c>
      <c r="D1472" s="33" t="n">
        <v>46049.9652777778</v>
      </c>
      <c r="E1472" s="33" t="n">
        <v>46049.9652777778</v>
      </c>
      <c r="F1472" s="33" t="n">
        <v>46050.3319444444</v>
      </c>
      <c r="G1472" s="34" t="n">
        <f aca="false">F1472-E1472</f>
        <v>0.366666666666667</v>
      </c>
      <c r="H1472" s="32" t="s">
        <v>252</v>
      </c>
      <c r="J1472" s="32" t="s">
        <v>253</v>
      </c>
      <c r="K1472" s="32" t="s">
        <v>266</v>
      </c>
      <c r="L1472" s="32" t="s">
        <v>661</v>
      </c>
      <c r="M1472" s="32" t="s">
        <v>255</v>
      </c>
      <c r="N1472" s="32" t="s">
        <v>256</v>
      </c>
      <c r="O1472" s="32" t="s">
        <v>644</v>
      </c>
      <c r="P1472" s="40" t="str">
        <f aca="false">_xlfn.CONCAT(B1472,C1472,D1472,E1472,F1472)</f>
        <v>BC Caiaponia2.3215KTL-H3(MBUS-15)46049.965277777846049.965277777846050.3319444444</v>
      </c>
      <c r="Q1472" s="32" t="str">
        <f aca="false">_xlfn.CONCAT(H1472,I1472,J1472)</f>
        <v>DAURDE</v>
      </c>
    </row>
    <row r="1473" customFormat="false" ht="15" hidden="false" customHeight="false" outlineLevel="0" collapsed="false">
      <c r="B1473" s="32" t="s">
        <v>263</v>
      </c>
      <c r="C1473" s="32" t="s">
        <v>261</v>
      </c>
      <c r="D1473" s="33" t="n">
        <v>46049.9652777778</v>
      </c>
      <c r="E1473" s="33" t="n">
        <v>46049.9652777778</v>
      </c>
      <c r="F1473" s="33" t="n">
        <v>46050.3319444444</v>
      </c>
      <c r="G1473" s="34" t="n">
        <f aca="false">F1473-E1473</f>
        <v>0.366666666666667</v>
      </c>
      <c r="H1473" s="32" t="s">
        <v>252</v>
      </c>
      <c r="J1473" s="32" t="s">
        <v>253</v>
      </c>
      <c r="K1473" s="32" t="s">
        <v>266</v>
      </c>
      <c r="L1473" s="32" t="s">
        <v>661</v>
      </c>
      <c r="M1473" s="32" t="s">
        <v>255</v>
      </c>
      <c r="N1473" s="32" t="s">
        <v>256</v>
      </c>
      <c r="O1473" s="32" t="s">
        <v>644</v>
      </c>
      <c r="P1473" s="40" t="str">
        <f aca="false">_xlfn.CONCAT(B1473,C1473,D1473,E1473,F1473)</f>
        <v>BC Caiaponia2.3215KTL-H3(MBUS-16)46049.965277777846049.965277777846050.3319444444</v>
      </c>
      <c r="Q1473" s="32" t="str">
        <f aca="false">_xlfn.CONCAT(H1473,I1473,J1473)</f>
        <v>DAURDE</v>
      </c>
    </row>
    <row r="1474" customFormat="false" ht="15" hidden="false" customHeight="false" outlineLevel="0" collapsed="false">
      <c r="B1474" s="32" t="s">
        <v>500</v>
      </c>
      <c r="C1474" s="32" t="s">
        <v>488</v>
      </c>
      <c r="D1474" s="33" t="n">
        <v>46050.3125</v>
      </c>
      <c r="E1474" s="33" t="n">
        <v>46050.3125</v>
      </c>
      <c r="F1474" s="33" t="n">
        <v>46050.3131944445</v>
      </c>
      <c r="G1474" s="34" t="n">
        <f aca="false">F1474-E1474</f>
        <v>0.000694444444444445</v>
      </c>
      <c r="H1474" s="32" t="s">
        <v>283</v>
      </c>
      <c r="I1474" s="32" t="s">
        <v>284</v>
      </c>
      <c r="J1474" s="32" t="s">
        <v>285</v>
      </c>
      <c r="K1474" s="32" t="s">
        <v>286</v>
      </c>
      <c r="L1474" s="32" t="s">
        <v>352</v>
      </c>
      <c r="M1474" s="32" t="s">
        <v>288</v>
      </c>
      <c r="N1474" s="32" t="s">
        <v>662</v>
      </c>
      <c r="O1474" s="32" t="s">
        <v>662</v>
      </c>
      <c r="P1474" s="40" t="str">
        <f aca="false">_xlfn.CONCAT(B1474,C1474,D1474,E1474,F1474)</f>
        <v>BC Corumba2.2U02.I0146050.312546050.312546050.3131944445</v>
      </c>
      <c r="Q1474" s="32" t="str">
        <f aca="false">_xlfn.CONCAT(H1474,I1474,J1474)</f>
        <v>LIGRFOCOM</v>
      </c>
    </row>
    <row r="1475" customFormat="false" ht="15" hidden="false" customHeight="false" outlineLevel="0" collapsed="false">
      <c r="B1475" s="32" t="s">
        <v>500</v>
      </c>
      <c r="C1475" s="32" t="s">
        <v>489</v>
      </c>
      <c r="D1475" s="33" t="n">
        <v>46050.3125</v>
      </c>
      <c r="E1475" s="33" t="n">
        <v>46050.3125</v>
      </c>
      <c r="F1475" s="33" t="n">
        <v>46050.3131944445</v>
      </c>
      <c r="G1475" s="34" t="n">
        <f aca="false">F1475-E1475</f>
        <v>0.000694444444444445</v>
      </c>
      <c r="H1475" s="32" t="s">
        <v>283</v>
      </c>
      <c r="I1475" s="32" t="s">
        <v>284</v>
      </c>
      <c r="J1475" s="32" t="s">
        <v>285</v>
      </c>
      <c r="K1475" s="32" t="s">
        <v>286</v>
      </c>
      <c r="L1475" s="32" t="s">
        <v>352</v>
      </c>
      <c r="M1475" s="32" t="s">
        <v>288</v>
      </c>
      <c r="N1475" s="32" t="s">
        <v>662</v>
      </c>
      <c r="O1475" s="32" t="s">
        <v>662</v>
      </c>
      <c r="P1475" s="40" t="str">
        <f aca="false">_xlfn.CONCAT(B1475,C1475,D1475,E1475,F1475)</f>
        <v>BC Corumba2.2U02.I0246050.312546050.312546050.3131944445</v>
      </c>
      <c r="Q1475" s="32" t="str">
        <f aca="false">_xlfn.CONCAT(H1475,I1475,J1475)</f>
        <v>LIGRFOCOM</v>
      </c>
    </row>
    <row r="1476" customFormat="false" ht="15" hidden="false" customHeight="false" outlineLevel="0" collapsed="false">
      <c r="B1476" s="32" t="s">
        <v>500</v>
      </c>
      <c r="C1476" s="32" t="s">
        <v>490</v>
      </c>
      <c r="D1476" s="33" t="n">
        <v>46050.3125</v>
      </c>
      <c r="E1476" s="33" t="n">
        <v>46050.3125</v>
      </c>
      <c r="F1476" s="33" t="n">
        <v>46050.3131944445</v>
      </c>
      <c r="G1476" s="34" t="n">
        <f aca="false">F1476-E1476</f>
        <v>0.000694444444444445</v>
      </c>
      <c r="H1476" s="32" t="s">
        <v>283</v>
      </c>
      <c r="I1476" s="32" t="s">
        <v>284</v>
      </c>
      <c r="J1476" s="32" t="s">
        <v>285</v>
      </c>
      <c r="K1476" s="32" t="s">
        <v>286</v>
      </c>
      <c r="L1476" s="32" t="s">
        <v>352</v>
      </c>
      <c r="M1476" s="32" t="s">
        <v>288</v>
      </c>
      <c r="N1476" s="32" t="s">
        <v>662</v>
      </c>
      <c r="O1476" s="32" t="s">
        <v>662</v>
      </c>
      <c r="P1476" s="40" t="str">
        <f aca="false">_xlfn.CONCAT(B1476,C1476,D1476,E1476,F1476)</f>
        <v>BC Corumba2.2U02.I0346050.312546050.312546050.3131944445</v>
      </c>
      <c r="Q1476" s="32" t="str">
        <f aca="false">_xlfn.CONCAT(H1476,I1476,J1476)</f>
        <v>LIGRFOCOM</v>
      </c>
    </row>
    <row r="1477" customFormat="false" ht="15" hidden="false" customHeight="false" outlineLevel="0" collapsed="false">
      <c r="B1477" s="32" t="s">
        <v>500</v>
      </c>
      <c r="C1477" s="32" t="s">
        <v>491</v>
      </c>
      <c r="D1477" s="33" t="n">
        <v>46050.3125</v>
      </c>
      <c r="E1477" s="33" t="n">
        <v>46050.3125</v>
      </c>
      <c r="F1477" s="33" t="n">
        <v>46050.3131944445</v>
      </c>
      <c r="G1477" s="34" t="n">
        <f aca="false">F1477-E1477</f>
        <v>0.000694444444444445</v>
      </c>
      <c r="H1477" s="32" t="s">
        <v>283</v>
      </c>
      <c r="I1477" s="32" t="s">
        <v>284</v>
      </c>
      <c r="J1477" s="32" t="s">
        <v>285</v>
      </c>
      <c r="K1477" s="32" t="s">
        <v>286</v>
      </c>
      <c r="L1477" s="32" t="s">
        <v>352</v>
      </c>
      <c r="M1477" s="32" t="s">
        <v>288</v>
      </c>
      <c r="N1477" s="32" t="s">
        <v>662</v>
      </c>
      <c r="O1477" s="32" t="s">
        <v>662</v>
      </c>
      <c r="P1477" s="40" t="str">
        <f aca="false">_xlfn.CONCAT(B1477,C1477,D1477,E1477,F1477)</f>
        <v>BC Corumba2.2U02.I0446050.312546050.312546050.3131944445</v>
      </c>
      <c r="Q1477" s="32" t="str">
        <f aca="false">_xlfn.CONCAT(H1477,I1477,J1477)</f>
        <v>LIGRFOCOM</v>
      </c>
    </row>
    <row r="1478" customFormat="false" ht="15" hidden="false" customHeight="false" outlineLevel="0" collapsed="false">
      <c r="B1478" s="32" t="s">
        <v>500</v>
      </c>
      <c r="C1478" s="32" t="s">
        <v>492</v>
      </c>
      <c r="D1478" s="33" t="n">
        <v>46050.3125</v>
      </c>
      <c r="E1478" s="33" t="n">
        <v>46050.3125</v>
      </c>
      <c r="F1478" s="33" t="n">
        <v>46050.3131944445</v>
      </c>
      <c r="G1478" s="34" t="n">
        <f aca="false">F1478-E1478</f>
        <v>0.000694444444444445</v>
      </c>
      <c r="H1478" s="32" t="s">
        <v>283</v>
      </c>
      <c r="I1478" s="32" t="s">
        <v>284</v>
      </c>
      <c r="J1478" s="32" t="s">
        <v>285</v>
      </c>
      <c r="K1478" s="32" t="s">
        <v>286</v>
      </c>
      <c r="L1478" s="32" t="s">
        <v>352</v>
      </c>
      <c r="M1478" s="32" t="s">
        <v>288</v>
      </c>
      <c r="N1478" s="32" t="s">
        <v>662</v>
      </c>
      <c r="O1478" s="32" t="s">
        <v>662</v>
      </c>
      <c r="P1478" s="40" t="str">
        <f aca="false">_xlfn.CONCAT(B1478,C1478,D1478,E1478,F1478)</f>
        <v>BC Corumba2.2U02.I0546050.312546050.312546050.3131944445</v>
      </c>
      <c r="Q1478" s="32" t="str">
        <f aca="false">_xlfn.CONCAT(H1478,I1478,J1478)</f>
        <v>LIGRFOCOM</v>
      </c>
    </row>
    <row r="1479" customFormat="false" ht="15" hidden="false" customHeight="false" outlineLevel="0" collapsed="false">
      <c r="B1479" s="32" t="s">
        <v>271</v>
      </c>
      <c r="C1479" s="32" t="s">
        <v>265</v>
      </c>
      <c r="D1479" s="33" t="n">
        <v>46050.3611111111</v>
      </c>
      <c r="E1479" s="33" t="n">
        <v>46050.3611111111</v>
      </c>
      <c r="F1479" s="33" t="n">
        <v>46053.9999884259</v>
      </c>
      <c r="G1479" s="34" t="n">
        <f aca="false">F1479-E1479</f>
        <v>3.63887731481482</v>
      </c>
      <c r="H1479" s="32" t="s">
        <v>283</v>
      </c>
      <c r="I1479" s="32" t="s">
        <v>284</v>
      </c>
      <c r="J1479" s="32" t="s">
        <v>285</v>
      </c>
      <c r="K1479" s="32" t="s">
        <v>286</v>
      </c>
      <c r="L1479" s="32" t="s">
        <v>352</v>
      </c>
      <c r="M1479" s="32" t="s">
        <v>288</v>
      </c>
      <c r="N1479" s="32" t="s">
        <v>662</v>
      </c>
      <c r="O1479" s="32" t="s">
        <v>662</v>
      </c>
      <c r="P1479" s="40" t="str">
        <f aca="false">_xlfn.CONCAT(B1479,C1479,D1479,E1479,F1479)</f>
        <v>BC Aracu5.3Inverter(MBUS-1)46050.361111111146050.361111111146053.9999884259</v>
      </c>
      <c r="Q1479" s="32" t="str">
        <f aca="false">_xlfn.CONCAT(H1479,I1479,J1479)</f>
        <v>LIGRFOCOM</v>
      </c>
    </row>
    <row r="1480" customFormat="false" ht="15" hidden="false" customHeight="false" outlineLevel="0" collapsed="false">
      <c r="B1480" s="32" t="s">
        <v>264</v>
      </c>
      <c r="C1480" s="32" t="s">
        <v>265</v>
      </c>
      <c r="D1480" s="33" t="n">
        <v>46050.9506944444</v>
      </c>
      <c r="E1480" s="33" t="n">
        <v>46050.9506944444</v>
      </c>
      <c r="F1480" s="33" t="n">
        <v>46051.3090277778</v>
      </c>
      <c r="G1480" s="34" t="n">
        <f aca="false">F1480-E1480</f>
        <v>0.358333333333333</v>
      </c>
      <c r="H1480" s="32" t="s">
        <v>252</v>
      </c>
      <c r="J1480" s="32" t="s">
        <v>253</v>
      </c>
      <c r="K1480" s="32" t="s">
        <v>266</v>
      </c>
      <c r="L1480" s="32" t="s">
        <v>267</v>
      </c>
      <c r="M1480" s="32" t="s">
        <v>255</v>
      </c>
      <c r="N1480" s="32" t="s">
        <v>268</v>
      </c>
      <c r="O1480" s="32" t="s">
        <v>269</v>
      </c>
      <c r="P1480" s="40" t="str">
        <f aca="false">_xlfn.CONCAT(B1480,C1480,D1480,E1480,F1480)</f>
        <v>BC Aracu5.1Inverter(MBUS-1)46050.950694444446050.950694444446051.3090277778</v>
      </c>
      <c r="Q1480" s="32" t="str">
        <f aca="false">_xlfn.CONCAT(H1480,I1480,J1480)</f>
        <v>DAURDE</v>
      </c>
    </row>
    <row r="1481" customFormat="false" ht="15" hidden="false" customHeight="false" outlineLevel="0" collapsed="false">
      <c r="B1481" s="32" t="s">
        <v>271</v>
      </c>
      <c r="C1481" s="32" t="s">
        <v>265</v>
      </c>
      <c r="D1481" s="33" t="n">
        <v>46050.9506944444</v>
      </c>
      <c r="E1481" s="33" t="n">
        <v>46050.9506944444</v>
      </c>
      <c r="F1481" s="33" t="n">
        <v>46051.3090277778</v>
      </c>
      <c r="G1481" s="34" t="n">
        <f aca="false">F1481-E1481</f>
        <v>0.358333333333333</v>
      </c>
      <c r="H1481" s="32" t="s">
        <v>252</v>
      </c>
      <c r="J1481" s="32" t="s">
        <v>253</v>
      </c>
      <c r="K1481" s="32" t="s">
        <v>266</v>
      </c>
      <c r="L1481" s="32" t="s">
        <v>267</v>
      </c>
      <c r="M1481" s="32" t="s">
        <v>255</v>
      </c>
      <c r="N1481" s="32" t="s">
        <v>268</v>
      </c>
      <c r="O1481" s="32" t="s">
        <v>269</v>
      </c>
      <c r="P1481" s="40" t="str">
        <f aca="false">_xlfn.CONCAT(B1481,C1481,D1481,E1481,F1481)</f>
        <v>BC Aracu5.3Inverter(MBUS-1)46050.950694444446050.950694444446051.3090277778</v>
      </c>
      <c r="Q1481" s="32" t="str">
        <f aca="false">_xlfn.CONCAT(H1481,I1481,J1481)</f>
        <v>DAURDE</v>
      </c>
    </row>
    <row r="1482" customFormat="false" ht="15" hidden="false" customHeight="false" outlineLevel="0" collapsed="false">
      <c r="B1482" s="32" t="s">
        <v>272</v>
      </c>
      <c r="C1482" s="32" t="s">
        <v>265</v>
      </c>
      <c r="D1482" s="33" t="n">
        <v>46050.9506944444</v>
      </c>
      <c r="E1482" s="33" t="n">
        <v>46050.9506944444</v>
      </c>
      <c r="F1482" s="33" t="n">
        <v>46051.3090277778</v>
      </c>
      <c r="G1482" s="34" t="n">
        <f aca="false">F1482-E1482</f>
        <v>0.358333333333333</v>
      </c>
      <c r="H1482" s="32" t="s">
        <v>252</v>
      </c>
      <c r="J1482" s="32" t="s">
        <v>253</v>
      </c>
      <c r="K1482" s="32" t="s">
        <v>266</v>
      </c>
      <c r="L1482" s="32" t="s">
        <v>267</v>
      </c>
      <c r="M1482" s="32" t="s">
        <v>255</v>
      </c>
      <c r="N1482" s="32" t="s">
        <v>268</v>
      </c>
      <c r="O1482" s="32" t="s">
        <v>269</v>
      </c>
      <c r="P1482" s="40" t="str">
        <f aca="false">_xlfn.CONCAT(B1482,C1482,D1482,E1482,F1482)</f>
        <v>BC Aracu5.4Inverter(MBUS-1)46050.950694444446050.950694444446051.3090277778</v>
      </c>
      <c r="Q1482" s="32" t="str">
        <f aca="false">_xlfn.CONCAT(H1482,I1482,J1482)</f>
        <v>DAURDE</v>
      </c>
    </row>
    <row r="1483" customFormat="false" ht="15" hidden="false" customHeight="false" outlineLevel="0" collapsed="false">
      <c r="B1483" s="32" t="s">
        <v>273</v>
      </c>
      <c r="C1483" s="32" t="s">
        <v>265</v>
      </c>
      <c r="D1483" s="33" t="n">
        <v>46050.9506944444</v>
      </c>
      <c r="E1483" s="33" t="n">
        <v>46050.9506944444</v>
      </c>
      <c r="F1483" s="33" t="n">
        <v>46051.3090277778</v>
      </c>
      <c r="G1483" s="34" t="n">
        <f aca="false">F1483-E1483</f>
        <v>0.358333333333333</v>
      </c>
      <c r="H1483" s="32" t="s">
        <v>252</v>
      </c>
      <c r="J1483" s="32" t="s">
        <v>253</v>
      </c>
      <c r="K1483" s="32" t="s">
        <v>266</v>
      </c>
      <c r="L1483" s="32" t="s">
        <v>267</v>
      </c>
      <c r="M1483" s="32" t="s">
        <v>255</v>
      </c>
      <c r="N1483" s="32" t="s">
        <v>268</v>
      </c>
      <c r="O1483" s="32" t="s">
        <v>269</v>
      </c>
      <c r="P1483" s="40" t="str">
        <f aca="false">_xlfn.CONCAT(B1483,C1483,D1483,E1483,F1483)</f>
        <v>BC Aracu5.5Inverter(MBUS-1)46050.950694444446050.950694444446051.3090277778</v>
      </c>
      <c r="Q1483" s="32" t="str">
        <f aca="false">_xlfn.CONCAT(H1483,I1483,J1483)</f>
        <v>DAURDE</v>
      </c>
    </row>
    <row r="1484" customFormat="false" ht="15" hidden="false" customHeight="false" outlineLevel="0" collapsed="false">
      <c r="B1484" s="32" t="s">
        <v>500</v>
      </c>
      <c r="C1484" s="32" t="s">
        <v>488</v>
      </c>
      <c r="D1484" s="33" t="n">
        <v>46051.46875</v>
      </c>
      <c r="E1484" s="33" t="n">
        <v>46051.46875</v>
      </c>
      <c r="F1484" s="33" t="n">
        <v>46051.4701388889</v>
      </c>
      <c r="G1484" s="34" t="n">
        <f aca="false">F1484-E1484</f>
        <v>0.00138888888888889</v>
      </c>
      <c r="H1484" s="32" t="s">
        <v>283</v>
      </c>
      <c r="I1484" s="32" t="s">
        <v>284</v>
      </c>
      <c r="J1484" s="32" t="s">
        <v>285</v>
      </c>
      <c r="K1484" s="32" t="s">
        <v>286</v>
      </c>
      <c r="L1484" s="32" t="s">
        <v>352</v>
      </c>
      <c r="M1484" s="32" t="s">
        <v>288</v>
      </c>
      <c r="N1484" s="32" t="s">
        <v>662</v>
      </c>
      <c r="O1484" s="32" t="s">
        <v>662</v>
      </c>
      <c r="P1484" s="40" t="str">
        <f aca="false">_xlfn.CONCAT(B1484,C1484,D1484,E1484,F1484)</f>
        <v>BC Corumba2.2U02.I0146051.4687546051.4687546051.4701388889</v>
      </c>
      <c r="Q1484" s="32" t="str">
        <f aca="false">_xlfn.CONCAT(H1484,I1484,J1484)</f>
        <v>LIGRFOCOM</v>
      </c>
    </row>
    <row r="1485" customFormat="false" ht="15" hidden="false" customHeight="false" outlineLevel="0" collapsed="false">
      <c r="B1485" s="32" t="s">
        <v>500</v>
      </c>
      <c r="C1485" s="32" t="s">
        <v>489</v>
      </c>
      <c r="D1485" s="33" t="n">
        <v>46051.46875</v>
      </c>
      <c r="E1485" s="33" t="n">
        <v>46051.46875</v>
      </c>
      <c r="F1485" s="33" t="n">
        <v>46051.4701388889</v>
      </c>
      <c r="G1485" s="34" t="n">
        <f aca="false">F1485-E1485</f>
        <v>0.00138888888888889</v>
      </c>
      <c r="H1485" s="32" t="s">
        <v>283</v>
      </c>
      <c r="I1485" s="32" t="s">
        <v>284</v>
      </c>
      <c r="J1485" s="32" t="s">
        <v>285</v>
      </c>
      <c r="K1485" s="32" t="s">
        <v>286</v>
      </c>
      <c r="L1485" s="32" t="s">
        <v>352</v>
      </c>
      <c r="M1485" s="32" t="s">
        <v>288</v>
      </c>
      <c r="N1485" s="32" t="s">
        <v>662</v>
      </c>
      <c r="O1485" s="32" t="s">
        <v>662</v>
      </c>
      <c r="P1485" s="40" t="str">
        <f aca="false">_xlfn.CONCAT(B1485,C1485,D1485,E1485,F1485)</f>
        <v>BC Corumba2.2U02.I0246051.4687546051.4687546051.4701388889</v>
      </c>
      <c r="Q1485" s="32" t="str">
        <f aca="false">_xlfn.CONCAT(H1485,I1485,J1485)</f>
        <v>LIGRFOCOM</v>
      </c>
    </row>
    <row r="1486" customFormat="false" ht="15" hidden="false" customHeight="false" outlineLevel="0" collapsed="false">
      <c r="B1486" s="32" t="s">
        <v>500</v>
      </c>
      <c r="C1486" s="32" t="s">
        <v>490</v>
      </c>
      <c r="D1486" s="33" t="n">
        <v>46051.46875</v>
      </c>
      <c r="E1486" s="33" t="n">
        <v>46051.46875</v>
      </c>
      <c r="F1486" s="33" t="n">
        <v>46051.4701388889</v>
      </c>
      <c r="G1486" s="34" t="n">
        <f aca="false">F1486-E1486</f>
        <v>0.00138888888888889</v>
      </c>
      <c r="H1486" s="32" t="s">
        <v>283</v>
      </c>
      <c r="I1486" s="32" t="s">
        <v>284</v>
      </c>
      <c r="J1486" s="32" t="s">
        <v>285</v>
      </c>
      <c r="K1486" s="32" t="s">
        <v>286</v>
      </c>
      <c r="L1486" s="32" t="s">
        <v>352</v>
      </c>
      <c r="M1486" s="32" t="s">
        <v>288</v>
      </c>
      <c r="N1486" s="32" t="s">
        <v>662</v>
      </c>
      <c r="O1486" s="32" t="s">
        <v>662</v>
      </c>
      <c r="P1486" s="40" t="str">
        <f aca="false">_xlfn.CONCAT(B1486,C1486,D1486,E1486,F1486)</f>
        <v>BC Corumba2.2U02.I0346051.4687546051.4687546051.4701388889</v>
      </c>
      <c r="Q1486" s="32" t="str">
        <f aca="false">_xlfn.CONCAT(H1486,I1486,J1486)</f>
        <v>LIGRFOCOM</v>
      </c>
    </row>
    <row r="1487" customFormat="false" ht="15" hidden="false" customHeight="false" outlineLevel="0" collapsed="false">
      <c r="B1487" s="32" t="s">
        <v>500</v>
      </c>
      <c r="C1487" s="32" t="s">
        <v>491</v>
      </c>
      <c r="D1487" s="33" t="n">
        <v>46051.46875</v>
      </c>
      <c r="E1487" s="33" t="n">
        <v>46051.46875</v>
      </c>
      <c r="F1487" s="33" t="n">
        <v>46051.4701388889</v>
      </c>
      <c r="G1487" s="34" t="n">
        <f aca="false">F1487-E1487</f>
        <v>0.00138888888888889</v>
      </c>
      <c r="H1487" s="32" t="s">
        <v>283</v>
      </c>
      <c r="I1487" s="32" t="s">
        <v>284</v>
      </c>
      <c r="J1487" s="32" t="s">
        <v>285</v>
      </c>
      <c r="K1487" s="32" t="s">
        <v>286</v>
      </c>
      <c r="L1487" s="32" t="s">
        <v>352</v>
      </c>
      <c r="M1487" s="32" t="s">
        <v>288</v>
      </c>
      <c r="N1487" s="32" t="s">
        <v>662</v>
      </c>
      <c r="O1487" s="32" t="s">
        <v>662</v>
      </c>
      <c r="P1487" s="40" t="str">
        <f aca="false">_xlfn.CONCAT(B1487,C1487,D1487,E1487,F1487)</f>
        <v>BC Corumba2.2U02.I0446051.4687546051.4687546051.4701388889</v>
      </c>
      <c r="Q1487" s="32" t="str">
        <f aca="false">_xlfn.CONCAT(H1487,I1487,J1487)</f>
        <v>LIGRFOCOM</v>
      </c>
    </row>
    <row r="1488" customFormat="false" ht="15" hidden="false" customHeight="false" outlineLevel="0" collapsed="false">
      <c r="B1488" s="32" t="s">
        <v>500</v>
      </c>
      <c r="C1488" s="32" t="s">
        <v>492</v>
      </c>
      <c r="D1488" s="33" t="n">
        <v>46051.46875</v>
      </c>
      <c r="E1488" s="33" t="n">
        <v>46051.46875</v>
      </c>
      <c r="F1488" s="33" t="n">
        <v>46051.4701388889</v>
      </c>
      <c r="G1488" s="34" t="n">
        <f aca="false">F1488-E1488</f>
        <v>0.00138888888888889</v>
      </c>
      <c r="H1488" s="32" t="s">
        <v>283</v>
      </c>
      <c r="I1488" s="32" t="s">
        <v>284</v>
      </c>
      <c r="J1488" s="32" t="s">
        <v>285</v>
      </c>
      <c r="K1488" s="32" t="s">
        <v>286</v>
      </c>
      <c r="L1488" s="32" t="s">
        <v>352</v>
      </c>
      <c r="M1488" s="32" t="s">
        <v>288</v>
      </c>
      <c r="N1488" s="32" t="s">
        <v>662</v>
      </c>
      <c r="O1488" s="32" t="s">
        <v>662</v>
      </c>
      <c r="P1488" s="40" t="str">
        <f aca="false">_xlfn.CONCAT(B1488,C1488,D1488,E1488,F1488)</f>
        <v>BC Corumba2.2U02.I0546051.4687546051.4687546051.4701388889</v>
      </c>
      <c r="Q1488" s="32" t="str">
        <f aca="false">_xlfn.CONCAT(H1488,I1488,J1488)</f>
        <v>LIGRFOCOM</v>
      </c>
    </row>
    <row r="1489" customFormat="false" ht="15" hidden="false" customHeight="false" outlineLevel="0" collapsed="false">
      <c r="B1489" s="32" t="s">
        <v>264</v>
      </c>
      <c r="C1489" s="32" t="s">
        <v>265</v>
      </c>
      <c r="D1489" s="33" t="n">
        <v>46051.5027777778</v>
      </c>
      <c r="E1489" s="33" t="n">
        <v>46051.5027777778</v>
      </c>
      <c r="F1489" s="33" t="n">
        <v>46051.5125</v>
      </c>
      <c r="G1489" s="34" t="n">
        <f aca="false">F1489-E1489</f>
        <v>0.00972222222222222</v>
      </c>
      <c r="H1489" s="32" t="s">
        <v>252</v>
      </c>
      <c r="J1489" s="32" t="s">
        <v>253</v>
      </c>
      <c r="K1489" s="32" t="s">
        <v>266</v>
      </c>
      <c r="L1489" s="32" t="s">
        <v>267</v>
      </c>
      <c r="M1489" s="32" t="s">
        <v>255</v>
      </c>
      <c r="N1489" s="32" t="s">
        <v>268</v>
      </c>
      <c r="O1489" s="32" t="s">
        <v>269</v>
      </c>
      <c r="P1489" s="40" t="str">
        <f aca="false">_xlfn.CONCAT(B1489,C1489,D1489,E1489,F1489)</f>
        <v>BC Aracu5.1Inverter(MBUS-1)46051.502777777846051.502777777846051.5125</v>
      </c>
      <c r="Q1489" s="32" t="str">
        <f aca="false">_xlfn.CONCAT(H1489,I1489,J1489)</f>
        <v>DAURDE</v>
      </c>
    </row>
    <row r="1490" customFormat="false" ht="15" hidden="false" customHeight="false" outlineLevel="0" collapsed="false">
      <c r="B1490" s="32" t="s">
        <v>271</v>
      </c>
      <c r="C1490" s="32" t="s">
        <v>265</v>
      </c>
      <c r="D1490" s="33" t="n">
        <v>46051.5027777778</v>
      </c>
      <c r="E1490" s="33" t="n">
        <v>46051.5027777778</v>
      </c>
      <c r="F1490" s="33" t="n">
        <v>46051.5125</v>
      </c>
      <c r="G1490" s="34" t="n">
        <f aca="false">F1490-E1490</f>
        <v>0.00972222222222222</v>
      </c>
      <c r="H1490" s="32" t="s">
        <v>252</v>
      </c>
      <c r="J1490" s="32" t="s">
        <v>253</v>
      </c>
      <c r="K1490" s="32" t="s">
        <v>266</v>
      </c>
      <c r="L1490" s="32" t="s">
        <v>267</v>
      </c>
      <c r="M1490" s="32" t="s">
        <v>255</v>
      </c>
      <c r="N1490" s="32" t="s">
        <v>268</v>
      </c>
      <c r="O1490" s="32" t="s">
        <v>269</v>
      </c>
      <c r="P1490" s="40" t="str">
        <f aca="false">_xlfn.CONCAT(B1490,C1490,D1490,E1490,F1490)</f>
        <v>BC Aracu5.3Inverter(MBUS-1)46051.502777777846051.502777777846051.5125</v>
      </c>
      <c r="Q1490" s="32" t="str">
        <f aca="false">_xlfn.CONCAT(H1490,I1490,J1490)</f>
        <v>DAURDE</v>
      </c>
    </row>
    <row r="1491" customFormat="false" ht="15" hidden="false" customHeight="false" outlineLevel="0" collapsed="false">
      <c r="B1491" s="32" t="s">
        <v>272</v>
      </c>
      <c r="C1491" s="32" t="s">
        <v>265</v>
      </c>
      <c r="D1491" s="33" t="n">
        <v>46051.5027777778</v>
      </c>
      <c r="E1491" s="33" t="n">
        <v>46051.5027777778</v>
      </c>
      <c r="F1491" s="33" t="n">
        <v>46051.5125</v>
      </c>
      <c r="G1491" s="34" t="n">
        <f aca="false">F1491-E1491</f>
        <v>0.00972222222222222</v>
      </c>
      <c r="H1491" s="32" t="s">
        <v>252</v>
      </c>
      <c r="J1491" s="32" t="s">
        <v>253</v>
      </c>
      <c r="K1491" s="32" t="s">
        <v>266</v>
      </c>
      <c r="L1491" s="32" t="s">
        <v>267</v>
      </c>
      <c r="M1491" s="32" t="s">
        <v>255</v>
      </c>
      <c r="N1491" s="32" t="s">
        <v>268</v>
      </c>
      <c r="O1491" s="32" t="s">
        <v>269</v>
      </c>
      <c r="P1491" s="40" t="str">
        <f aca="false">_xlfn.CONCAT(B1491,C1491,D1491,E1491,F1491)</f>
        <v>BC Aracu5.4Inverter(MBUS-1)46051.502777777846051.502777777846051.5125</v>
      </c>
      <c r="Q1491" s="32" t="str">
        <f aca="false">_xlfn.CONCAT(H1491,I1491,J1491)</f>
        <v>DAURDE</v>
      </c>
    </row>
    <row r="1492" customFormat="false" ht="15" hidden="false" customHeight="false" outlineLevel="0" collapsed="false">
      <c r="B1492" s="32" t="s">
        <v>273</v>
      </c>
      <c r="C1492" s="32" t="s">
        <v>265</v>
      </c>
      <c r="D1492" s="33" t="n">
        <v>46051.5027777778</v>
      </c>
      <c r="E1492" s="33" t="n">
        <v>46051.5027777778</v>
      </c>
      <c r="F1492" s="33" t="n">
        <v>46051.5125</v>
      </c>
      <c r="G1492" s="34" t="n">
        <f aca="false">F1492-E1492</f>
        <v>0.00972222222222222</v>
      </c>
      <c r="H1492" s="32" t="s">
        <v>252</v>
      </c>
      <c r="J1492" s="32" t="s">
        <v>253</v>
      </c>
      <c r="K1492" s="32" t="s">
        <v>266</v>
      </c>
      <c r="L1492" s="32" t="s">
        <v>267</v>
      </c>
      <c r="M1492" s="32" t="s">
        <v>255</v>
      </c>
      <c r="N1492" s="32" t="s">
        <v>268</v>
      </c>
      <c r="O1492" s="32" t="s">
        <v>269</v>
      </c>
      <c r="P1492" s="40" t="str">
        <f aca="false">_xlfn.CONCAT(B1492,C1492,D1492,E1492,F1492)</f>
        <v>BC Aracu5.5Inverter(MBUS-1)46051.502777777846051.502777777846051.5125</v>
      </c>
      <c r="Q1492" s="32" t="str">
        <f aca="false">_xlfn.CONCAT(H1492,I1492,J1492)</f>
        <v>DAURDE</v>
      </c>
    </row>
    <row r="1493" customFormat="false" ht="15" hidden="false" customHeight="false" outlineLevel="0" collapsed="false">
      <c r="B1493" s="32" t="s">
        <v>410</v>
      </c>
      <c r="C1493" s="32" t="s">
        <v>411</v>
      </c>
      <c r="D1493" s="33" t="n">
        <v>46051.6076388889</v>
      </c>
      <c r="E1493" s="33" t="n">
        <v>46051.6076388889</v>
      </c>
      <c r="F1493" s="33" t="n">
        <v>46051.6979166667</v>
      </c>
      <c r="G1493" s="34" t="n">
        <f aca="false">F1493-E1493</f>
        <v>0.0902777777777778</v>
      </c>
      <c r="H1493" s="32" t="s">
        <v>252</v>
      </c>
      <c r="J1493" s="32" t="s">
        <v>253</v>
      </c>
      <c r="K1493" s="32" t="s">
        <v>266</v>
      </c>
      <c r="L1493" s="32" t="s">
        <v>254</v>
      </c>
      <c r="M1493" s="32" t="s">
        <v>255</v>
      </c>
      <c r="N1493" s="32" t="s">
        <v>268</v>
      </c>
      <c r="O1493" s="32" t="s">
        <v>663</v>
      </c>
      <c r="P1493" s="40" t="str">
        <f aca="false">_xlfn.CONCAT(B1493,C1493,D1493,E1493,F1493)</f>
        <v>BC Varjao2.1215KTL-H0(MBUS-12)46051.607638888946051.607638888946051.6979166667</v>
      </c>
      <c r="Q1493" s="32" t="str">
        <f aca="false">_xlfn.CONCAT(H1493,I1493,J1493)</f>
        <v>DAURDE</v>
      </c>
    </row>
    <row r="1494" customFormat="false" ht="15" hidden="false" customHeight="false" outlineLevel="0" collapsed="false">
      <c r="B1494" s="32" t="s">
        <v>410</v>
      </c>
      <c r="C1494" s="32" t="s">
        <v>414</v>
      </c>
      <c r="D1494" s="33" t="n">
        <v>46051.6076388889</v>
      </c>
      <c r="E1494" s="33" t="n">
        <v>46051.6076388889</v>
      </c>
      <c r="F1494" s="33" t="n">
        <v>46051.6979166667</v>
      </c>
      <c r="G1494" s="34" t="n">
        <f aca="false">F1494-E1494</f>
        <v>0.0902777777777778</v>
      </c>
      <c r="H1494" s="32" t="s">
        <v>252</v>
      </c>
      <c r="J1494" s="32" t="s">
        <v>253</v>
      </c>
      <c r="K1494" s="32" t="s">
        <v>266</v>
      </c>
      <c r="L1494" s="32" t="s">
        <v>254</v>
      </c>
      <c r="M1494" s="32" t="s">
        <v>255</v>
      </c>
      <c r="N1494" s="32" t="s">
        <v>268</v>
      </c>
      <c r="O1494" s="32" t="s">
        <v>663</v>
      </c>
      <c r="P1494" s="40" t="str">
        <f aca="false">_xlfn.CONCAT(B1494,C1494,D1494,E1494,F1494)</f>
        <v>BC Varjao2.1215KTL-H0(MBUS-13)46051.607638888946051.607638888946051.6979166667</v>
      </c>
      <c r="Q1494" s="32" t="str">
        <f aca="false">_xlfn.CONCAT(H1494,I1494,J1494)</f>
        <v>DAURDE</v>
      </c>
    </row>
    <row r="1495" customFormat="false" ht="15" hidden="false" customHeight="false" outlineLevel="0" collapsed="false">
      <c r="B1495" s="32" t="s">
        <v>410</v>
      </c>
      <c r="C1495" s="32" t="s">
        <v>415</v>
      </c>
      <c r="D1495" s="33" t="n">
        <v>46051.6076388889</v>
      </c>
      <c r="E1495" s="33" t="n">
        <v>46051.6076388889</v>
      </c>
      <c r="F1495" s="33" t="n">
        <v>46051.6979166667</v>
      </c>
      <c r="G1495" s="34" t="n">
        <f aca="false">F1495-E1495</f>
        <v>0.0902777777777778</v>
      </c>
      <c r="H1495" s="32" t="s">
        <v>252</v>
      </c>
      <c r="J1495" s="32" t="s">
        <v>253</v>
      </c>
      <c r="K1495" s="32" t="s">
        <v>266</v>
      </c>
      <c r="L1495" s="32" t="s">
        <v>254</v>
      </c>
      <c r="M1495" s="32" t="s">
        <v>255</v>
      </c>
      <c r="N1495" s="32" t="s">
        <v>268</v>
      </c>
      <c r="O1495" s="32" t="s">
        <v>663</v>
      </c>
      <c r="P1495" s="40" t="str">
        <f aca="false">_xlfn.CONCAT(B1495,C1495,D1495,E1495,F1495)</f>
        <v>BC Varjao2.1215KTL-H0(MBUS-14)46051.607638888946051.607638888946051.6979166667</v>
      </c>
      <c r="Q1495" s="32" t="str">
        <f aca="false">_xlfn.CONCAT(H1495,I1495,J1495)</f>
        <v>DAURDE</v>
      </c>
    </row>
    <row r="1496" customFormat="false" ht="15" hidden="false" customHeight="false" outlineLevel="0" collapsed="false">
      <c r="B1496" s="32" t="s">
        <v>410</v>
      </c>
      <c r="C1496" s="32" t="s">
        <v>416</v>
      </c>
      <c r="D1496" s="33" t="n">
        <v>46051.6076388889</v>
      </c>
      <c r="E1496" s="33" t="n">
        <v>46051.6076388889</v>
      </c>
      <c r="F1496" s="33" t="n">
        <v>46051.6979166667</v>
      </c>
      <c r="G1496" s="34" t="n">
        <f aca="false">F1496-E1496</f>
        <v>0.0902777777777778</v>
      </c>
      <c r="H1496" s="32" t="s">
        <v>252</v>
      </c>
      <c r="J1496" s="32" t="s">
        <v>253</v>
      </c>
      <c r="K1496" s="32" t="s">
        <v>266</v>
      </c>
      <c r="L1496" s="32" t="s">
        <v>254</v>
      </c>
      <c r="M1496" s="32" t="s">
        <v>255</v>
      </c>
      <c r="N1496" s="32" t="s">
        <v>268</v>
      </c>
      <c r="O1496" s="32" t="s">
        <v>663</v>
      </c>
      <c r="P1496" s="40" t="str">
        <f aca="false">_xlfn.CONCAT(B1496,C1496,D1496,E1496,F1496)</f>
        <v>BC Varjao2.1215KTL-H0(MBUS-15)46051.607638888946051.607638888946051.6979166667</v>
      </c>
      <c r="Q1496" s="32" t="str">
        <f aca="false">_xlfn.CONCAT(H1496,I1496,J1496)</f>
        <v>DAURDE</v>
      </c>
    </row>
    <row r="1497" customFormat="false" ht="15" hidden="false" customHeight="false" outlineLevel="0" collapsed="false">
      <c r="B1497" s="32" t="s">
        <v>410</v>
      </c>
      <c r="C1497" s="32" t="s">
        <v>417</v>
      </c>
      <c r="D1497" s="33" t="n">
        <v>46051.6076388889</v>
      </c>
      <c r="E1497" s="33" t="n">
        <v>46051.6076388889</v>
      </c>
      <c r="F1497" s="33" t="n">
        <v>46051.6979166667</v>
      </c>
      <c r="G1497" s="34" t="n">
        <f aca="false">F1497-E1497</f>
        <v>0.0902777777777778</v>
      </c>
      <c r="H1497" s="32" t="s">
        <v>252</v>
      </c>
      <c r="J1497" s="32" t="s">
        <v>253</v>
      </c>
      <c r="K1497" s="32" t="s">
        <v>266</v>
      </c>
      <c r="L1497" s="32" t="s">
        <v>254</v>
      </c>
      <c r="M1497" s="32" t="s">
        <v>255</v>
      </c>
      <c r="N1497" s="39" t="s">
        <v>268</v>
      </c>
      <c r="O1497" s="32" t="s">
        <v>663</v>
      </c>
      <c r="P1497" s="40" t="str">
        <f aca="false">_xlfn.CONCAT(B1497,C1497,D1497,E1497,F1497)</f>
        <v>BC Varjao2.1215KTL-H0(MBUS-16)46051.607638888946051.607638888946051.6979166667</v>
      </c>
      <c r="Q1497" s="32" t="str">
        <f aca="false">_xlfn.CONCAT(H1497,I1497,J1497)</f>
        <v>DAURDE</v>
      </c>
    </row>
    <row r="1498" customFormat="false" ht="15" hidden="false" customHeight="false" outlineLevel="0" collapsed="false">
      <c r="B1498" s="32" t="s">
        <v>418</v>
      </c>
      <c r="C1498" s="32" t="s">
        <v>414</v>
      </c>
      <c r="D1498" s="33" t="n">
        <v>46051.6076388889</v>
      </c>
      <c r="E1498" s="33" t="n">
        <v>46051.6076388889</v>
      </c>
      <c r="F1498" s="33" t="n">
        <v>46051.6979166667</v>
      </c>
      <c r="G1498" s="34" t="n">
        <f aca="false">F1498-E1498</f>
        <v>0.0902777777777778</v>
      </c>
      <c r="H1498" s="32" t="s">
        <v>252</v>
      </c>
      <c r="J1498" s="32" t="s">
        <v>253</v>
      </c>
      <c r="K1498" s="32" t="s">
        <v>266</v>
      </c>
      <c r="L1498" s="32" t="s">
        <v>254</v>
      </c>
      <c r="M1498" s="32" t="s">
        <v>255</v>
      </c>
      <c r="N1498" s="32" t="s">
        <v>268</v>
      </c>
      <c r="O1498" s="32" t="s">
        <v>663</v>
      </c>
      <c r="P1498" s="40" t="str">
        <f aca="false">_xlfn.CONCAT(B1498,C1498,D1498,E1498,F1498)</f>
        <v>BC Varjao2.2215KTL-H0(MBUS-13)46051.607638888946051.607638888946051.6979166667</v>
      </c>
      <c r="Q1498" s="32" t="str">
        <f aca="false">_xlfn.CONCAT(H1498,I1498,J1498)</f>
        <v>DAURDE</v>
      </c>
    </row>
    <row r="1499" customFormat="false" ht="15" hidden="false" customHeight="false" outlineLevel="0" collapsed="false">
      <c r="B1499" s="32" t="s">
        <v>418</v>
      </c>
      <c r="C1499" s="32" t="s">
        <v>415</v>
      </c>
      <c r="D1499" s="33" t="n">
        <v>46051.6076388889</v>
      </c>
      <c r="E1499" s="33" t="n">
        <v>46051.6076388889</v>
      </c>
      <c r="F1499" s="33" t="n">
        <v>46051.6979166667</v>
      </c>
      <c r="G1499" s="34" t="n">
        <f aca="false">F1499-E1499</f>
        <v>0.0902777777777778</v>
      </c>
      <c r="H1499" s="32" t="s">
        <v>252</v>
      </c>
      <c r="J1499" s="32" t="s">
        <v>253</v>
      </c>
      <c r="K1499" s="32" t="s">
        <v>266</v>
      </c>
      <c r="L1499" s="32" t="s">
        <v>254</v>
      </c>
      <c r="M1499" s="32" t="s">
        <v>255</v>
      </c>
      <c r="N1499" s="32" t="s">
        <v>268</v>
      </c>
      <c r="O1499" s="32" t="s">
        <v>663</v>
      </c>
      <c r="P1499" s="40" t="str">
        <f aca="false">_xlfn.CONCAT(B1499,C1499,D1499,E1499,F1499)</f>
        <v>BC Varjao2.2215KTL-H0(MBUS-14)46051.607638888946051.607638888946051.6979166667</v>
      </c>
      <c r="Q1499" s="32" t="str">
        <f aca="false">_xlfn.CONCAT(H1499,I1499,J1499)</f>
        <v>DAURDE</v>
      </c>
    </row>
    <row r="1500" customFormat="false" ht="15" hidden="false" customHeight="false" outlineLevel="0" collapsed="false">
      <c r="B1500" s="32" t="s">
        <v>418</v>
      </c>
      <c r="C1500" s="32" t="s">
        <v>416</v>
      </c>
      <c r="D1500" s="33" t="n">
        <v>46051.6076388889</v>
      </c>
      <c r="E1500" s="33" t="n">
        <v>46051.6076388889</v>
      </c>
      <c r="F1500" s="33" t="n">
        <v>46051.6979166667</v>
      </c>
      <c r="G1500" s="34" t="n">
        <f aca="false">F1500-E1500</f>
        <v>0.0902777777777778</v>
      </c>
      <c r="H1500" s="32" t="s">
        <v>252</v>
      </c>
      <c r="J1500" s="32" t="s">
        <v>253</v>
      </c>
      <c r="K1500" s="32" t="s">
        <v>266</v>
      </c>
      <c r="L1500" s="32" t="s">
        <v>254</v>
      </c>
      <c r="M1500" s="32" t="s">
        <v>255</v>
      </c>
      <c r="N1500" s="32" t="s">
        <v>268</v>
      </c>
      <c r="O1500" s="32" t="s">
        <v>663</v>
      </c>
      <c r="P1500" s="40" t="str">
        <f aca="false">_xlfn.CONCAT(B1500,C1500,D1500,E1500,F1500)</f>
        <v>BC Varjao2.2215KTL-H0(MBUS-15)46051.607638888946051.607638888946051.6979166667</v>
      </c>
      <c r="Q1500" s="32" t="str">
        <f aca="false">_xlfn.CONCAT(H1500,I1500,J1500)</f>
        <v>DAURDE</v>
      </c>
    </row>
    <row r="1501" customFormat="false" ht="15" hidden="false" customHeight="false" outlineLevel="0" collapsed="false">
      <c r="B1501" s="32" t="s">
        <v>418</v>
      </c>
      <c r="C1501" s="32" t="s">
        <v>417</v>
      </c>
      <c r="D1501" s="33" t="n">
        <v>46051.6076388889</v>
      </c>
      <c r="E1501" s="33" t="n">
        <v>46051.6076388889</v>
      </c>
      <c r="F1501" s="33" t="n">
        <v>46051.6979166667</v>
      </c>
      <c r="G1501" s="34" t="n">
        <f aca="false">F1501-E1501</f>
        <v>0.0902777777777778</v>
      </c>
      <c r="H1501" s="32" t="s">
        <v>252</v>
      </c>
      <c r="J1501" s="32" t="s">
        <v>253</v>
      </c>
      <c r="K1501" s="32" t="s">
        <v>266</v>
      </c>
      <c r="L1501" s="32" t="s">
        <v>254</v>
      </c>
      <c r="M1501" s="32" t="s">
        <v>255</v>
      </c>
      <c r="N1501" s="32" t="s">
        <v>268</v>
      </c>
      <c r="O1501" s="32" t="s">
        <v>663</v>
      </c>
      <c r="P1501" s="40" t="str">
        <f aca="false">_xlfn.CONCAT(B1501,C1501,D1501,E1501,F1501)</f>
        <v>BC Varjao2.2215KTL-H0(MBUS-16)46051.607638888946051.607638888946051.6979166667</v>
      </c>
      <c r="Q1501" s="32" t="str">
        <f aca="false">_xlfn.CONCAT(H1501,I1501,J1501)</f>
        <v>DAURDE</v>
      </c>
    </row>
    <row r="1502" customFormat="false" ht="15" hidden="false" customHeight="false" outlineLevel="0" collapsed="false">
      <c r="B1502" s="32" t="s">
        <v>418</v>
      </c>
      <c r="C1502" s="32" t="s">
        <v>411</v>
      </c>
      <c r="D1502" s="33" t="n">
        <v>46051.6076388889</v>
      </c>
      <c r="E1502" s="33" t="n">
        <v>46051.6076388889</v>
      </c>
      <c r="F1502" s="33" t="n">
        <v>46051.6979166667</v>
      </c>
      <c r="G1502" s="34" t="n">
        <f aca="false">F1502-E1502</f>
        <v>0.0902777777777778</v>
      </c>
      <c r="H1502" s="32" t="s">
        <v>252</v>
      </c>
      <c r="J1502" s="32" t="s">
        <v>253</v>
      </c>
      <c r="K1502" s="32" t="s">
        <v>266</v>
      </c>
      <c r="L1502" s="32" t="s">
        <v>254</v>
      </c>
      <c r="M1502" s="32" t="s">
        <v>255</v>
      </c>
      <c r="N1502" s="32" t="s">
        <v>268</v>
      </c>
      <c r="O1502" s="32" t="s">
        <v>663</v>
      </c>
      <c r="P1502" s="40" t="str">
        <f aca="false">_xlfn.CONCAT(B1502,C1502,D1502,E1502,F1502)</f>
        <v>BC Varjao2.2215KTL-H0(MBUS-12)46051.607638888946051.607638888946051.6979166667</v>
      </c>
      <c r="Q1502" s="32" t="str">
        <f aca="false">_xlfn.CONCAT(H1502,I1502,J1502)</f>
        <v>DAURDE</v>
      </c>
    </row>
    <row r="1503" customFormat="false" ht="15" hidden="false" customHeight="false" outlineLevel="0" collapsed="false">
      <c r="B1503" s="32" t="s">
        <v>419</v>
      </c>
      <c r="C1503" s="32" t="s">
        <v>420</v>
      </c>
      <c r="D1503" s="33" t="n">
        <v>46051.6076388889</v>
      </c>
      <c r="E1503" s="33" t="n">
        <v>46051.6076388889</v>
      </c>
      <c r="F1503" s="33" t="n">
        <v>46051.6979166667</v>
      </c>
      <c r="G1503" s="34" t="n">
        <f aca="false">F1503-E1503</f>
        <v>0.0902777777777778</v>
      </c>
      <c r="H1503" s="32" t="s">
        <v>252</v>
      </c>
      <c r="J1503" s="32" t="s">
        <v>253</v>
      </c>
      <c r="K1503" s="32" t="s">
        <v>266</v>
      </c>
      <c r="L1503" s="32" t="s">
        <v>254</v>
      </c>
      <c r="M1503" s="32" t="s">
        <v>255</v>
      </c>
      <c r="N1503" s="32" t="s">
        <v>268</v>
      </c>
      <c r="O1503" s="32" t="s">
        <v>663</v>
      </c>
      <c r="P1503" s="40" t="str">
        <f aca="false">_xlfn.CONCAT(B1503,C1503,D1503,E1503,F1503)</f>
        <v>BC Varjao2.3100KTL-H1(MBUS-1)46051.607638888946051.607638888946051.6979166667</v>
      </c>
      <c r="Q1503" s="32" t="str">
        <f aca="false">_xlfn.CONCAT(H1503,I1503,J1503)</f>
        <v>DAURDE</v>
      </c>
    </row>
    <row r="1504" customFormat="false" ht="15" hidden="false" customHeight="false" outlineLevel="0" collapsed="false">
      <c r="B1504" s="32" t="s">
        <v>419</v>
      </c>
      <c r="C1504" s="32" t="s">
        <v>414</v>
      </c>
      <c r="D1504" s="33" t="n">
        <v>46051.6076388889</v>
      </c>
      <c r="E1504" s="33" t="n">
        <v>46051.6076388889</v>
      </c>
      <c r="F1504" s="33" t="n">
        <v>46051.6979166667</v>
      </c>
      <c r="G1504" s="34" t="n">
        <f aca="false">F1504-E1504</f>
        <v>0.0902777777777778</v>
      </c>
      <c r="H1504" s="32" t="s">
        <v>252</v>
      </c>
      <c r="J1504" s="32" t="s">
        <v>253</v>
      </c>
      <c r="K1504" s="32" t="s">
        <v>266</v>
      </c>
      <c r="L1504" s="32" t="s">
        <v>254</v>
      </c>
      <c r="M1504" s="32" t="s">
        <v>255</v>
      </c>
      <c r="N1504" s="32" t="s">
        <v>268</v>
      </c>
      <c r="O1504" s="32" t="s">
        <v>663</v>
      </c>
      <c r="P1504" s="40" t="str">
        <f aca="false">_xlfn.CONCAT(B1504,C1504,D1504,E1504,F1504)</f>
        <v>BC Varjao2.3215KTL-H0(MBUS-13)46051.607638888946051.607638888946051.6979166667</v>
      </c>
      <c r="Q1504" s="32" t="str">
        <f aca="false">_xlfn.CONCAT(H1504,I1504,J1504)</f>
        <v>DAURDE</v>
      </c>
    </row>
    <row r="1505" customFormat="false" ht="15" hidden="false" customHeight="false" outlineLevel="0" collapsed="false">
      <c r="B1505" s="32" t="s">
        <v>419</v>
      </c>
      <c r="C1505" s="32" t="s">
        <v>411</v>
      </c>
      <c r="D1505" s="33" t="n">
        <v>46051.6076388889</v>
      </c>
      <c r="E1505" s="33" t="n">
        <v>46051.6076388889</v>
      </c>
      <c r="F1505" s="33" t="n">
        <v>46051.6979166667</v>
      </c>
      <c r="G1505" s="34" t="n">
        <f aca="false">F1505-E1505</f>
        <v>0.0902777777777778</v>
      </c>
      <c r="H1505" s="32" t="s">
        <v>252</v>
      </c>
      <c r="J1505" s="32" t="s">
        <v>253</v>
      </c>
      <c r="K1505" s="32" t="s">
        <v>266</v>
      </c>
      <c r="L1505" s="32" t="s">
        <v>254</v>
      </c>
      <c r="M1505" s="32" t="s">
        <v>255</v>
      </c>
      <c r="N1505" s="32" t="s">
        <v>268</v>
      </c>
      <c r="O1505" s="32" t="s">
        <v>663</v>
      </c>
      <c r="P1505" s="40" t="str">
        <f aca="false">_xlfn.CONCAT(B1505,C1505,D1505,E1505,F1505)</f>
        <v>BC Varjao2.3215KTL-H0(MBUS-12)46051.607638888946051.607638888946051.6979166667</v>
      </c>
      <c r="Q1505" s="32" t="str">
        <f aca="false">_xlfn.CONCAT(H1505,I1505,J1505)</f>
        <v>DAURDE</v>
      </c>
    </row>
    <row r="1506" customFormat="false" ht="15" hidden="false" customHeight="false" outlineLevel="0" collapsed="false">
      <c r="B1506" s="32" t="s">
        <v>264</v>
      </c>
      <c r="C1506" s="32" t="s">
        <v>265</v>
      </c>
      <c r="D1506" s="33" t="n">
        <v>46051.8055555556</v>
      </c>
      <c r="E1506" s="33" t="n">
        <v>46051.8055555556</v>
      </c>
      <c r="F1506" s="33" t="n">
        <v>46052.3006944444</v>
      </c>
      <c r="G1506" s="34" t="n">
        <f aca="false">F1506-E1506</f>
        <v>0.495138888888889</v>
      </c>
      <c r="H1506" s="32" t="s">
        <v>252</v>
      </c>
      <c r="J1506" s="32" t="s">
        <v>253</v>
      </c>
      <c r="K1506" s="32" t="s">
        <v>266</v>
      </c>
      <c r="L1506" s="32" t="s">
        <v>267</v>
      </c>
      <c r="M1506" s="32" t="s">
        <v>255</v>
      </c>
      <c r="N1506" s="32" t="s">
        <v>268</v>
      </c>
      <c r="O1506" s="32" t="s">
        <v>269</v>
      </c>
      <c r="P1506" s="40" t="str">
        <f aca="false">_xlfn.CONCAT(B1506,C1506,D1506,E1506,F1506)</f>
        <v>BC Aracu5.1Inverter(MBUS-1)46051.805555555646051.805555555646052.3006944444</v>
      </c>
      <c r="Q1506" s="32" t="str">
        <f aca="false">_xlfn.CONCAT(H1506,I1506,J1506)</f>
        <v>DAURDE</v>
      </c>
    </row>
    <row r="1507" customFormat="false" ht="15" hidden="false" customHeight="false" outlineLevel="0" collapsed="false">
      <c r="B1507" s="32" t="s">
        <v>271</v>
      </c>
      <c r="C1507" s="32" t="s">
        <v>265</v>
      </c>
      <c r="D1507" s="33" t="n">
        <v>46051.8055555556</v>
      </c>
      <c r="E1507" s="33" t="n">
        <v>46051.8055555556</v>
      </c>
      <c r="F1507" s="33" t="n">
        <v>46052.3006944444</v>
      </c>
      <c r="G1507" s="34" t="n">
        <f aca="false">F1507-E1507</f>
        <v>0.495138888888889</v>
      </c>
      <c r="H1507" s="32" t="s">
        <v>252</v>
      </c>
      <c r="J1507" s="32" t="s">
        <v>253</v>
      </c>
      <c r="K1507" s="32" t="s">
        <v>266</v>
      </c>
      <c r="L1507" s="32" t="s">
        <v>267</v>
      </c>
      <c r="M1507" s="32" t="s">
        <v>255</v>
      </c>
      <c r="N1507" s="32" t="s">
        <v>268</v>
      </c>
      <c r="O1507" s="32" t="s">
        <v>269</v>
      </c>
      <c r="P1507" s="40" t="str">
        <f aca="false">_xlfn.CONCAT(B1507,C1507,D1507,E1507,F1507)</f>
        <v>BC Aracu5.3Inverter(MBUS-1)46051.805555555646051.805555555646052.3006944444</v>
      </c>
      <c r="Q1507" s="32" t="str">
        <f aca="false">_xlfn.CONCAT(H1507,I1507,J1507)</f>
        <v>DAURDE</v>
      </c>
    </row>
    <row r="1508" customFormat="false" ht="15" hidden="false" customHeight="false" outlineLevel="0" collapsed="false">
      <c r="B1508" s="32" t="s">
        <v>272</v>
      </c>
      <c r="C1508" s="32" t="s">
        <v>265</v>
      </c>
      <c r="D1508" s="33" t="n">
        <v>46051.8055555556</v>
      </c>
      <c r="E1508" s="33" t="n">
        <v>46051.8055555556</v>
      </c>
      <c r="F1508" s="33" t="n">
        <v>46052.3006944444</v>
      </c>
      <c r="G1508" s="34" t="n">
        <f aca="false">F1508-E1508</f>
        <v>0.495138888888889</v>
      </c>
      <c r="H1508" s="32" t="s">
        <v>252</v>
      </c>
      <c r="J1508" s="32" t="s">
        <v>253</v>
      </c>
      <c r="K1508" s="32" t="s">
        <v>266</v>
      </c>
      <c r="L1508" s="32" t="s">
        <v>267</v>
      </c>
      <c r="M1508" s="32" t="s">
        <v>255</v>
      </c>
      <c r="N1508" s="39" t="s">
        <v>268</v>
      </c>
      <c r="O1508" s="32" t="s">
        <v>269</v>
      </c>
      <c r="P1508" s="40" t="str">
        <f aca="false">_xlfn.CONCAT(B1508,C1508,D1508,E1508,F1508)</f>
        <v>BC Aracu5.4Inverter(MBUS-1)46051.805555555646051.805555555646052.3006944444</v>
      </c>
      <c r="Q1508" s="32" t="str">
        <f aca="false">_xlfn.CONCAT(H1508,I1508,J1508)</f>
        <v>DAURDE</v>
      </c>
    </row>
    <row r="1509" customFormat="false" ht="15" hidden="false" customHeight="false" outlineLevel="0" collapsed="false">
      <c r="B1509" s="32" t="s">
        <v>273</v>
      </c>
      <c r="C1509" s="32" t="s">
        <v>265</v>
      </c>
      <c r="D1509" s="33" t="n">
        <v>46051.8055555556</v>
      </c>
      <c r="E1509" s="33" t="n">
        <v>46051.8055555556</v>
      </c>
      <c r="F1509" s="33" t="n">
        <v>46052.3006944444</v>
      </c>
      <c r="G1509" s="34" t="n">
        <f aca="false">F1509-E1509</f>
        <v>0.495138888888889</v>
      </c>
      <c r="H1509" s="32" t="s">
        <v>252</v>
      </c>
      <c r="J1509" s="32" t="s">
        <v>253</v>
      </c>
      <c r="K1509" s="32" t="s">
        <v>266</v>
      </c>
      <c r="L1509" s="32" t="s">
        <v>267</v>
      </c>
      <c r="M1509" s="32" t="s">
        <v>255</v>
      </c>
      <c r="N1509" s="39" t="s">
        <v>268</v>
      </c>
      <c r="O1509" s="32" t="s">
        <v>269</v>
      </c>
      <c r="P1509" s="40" t="str">
        <f aca="false">_xlfn.CONCAT(B1509,C1509,D1509,E1509,F1509)</f>
        <v>BC Aracu5.5Inverter(MBUS-1)46051.805555555646051.805555555646052.3006944444</v>
      </c>
      <c r="Q1509" s="32" t="str">
        <f aca="false">_xlfn.CONCAT(H1509,I1509,J1509)</f>
        <v>DAURDE</v>
      </c>
    </row>
    <row r="1510" customFormat="false" ht="15" hidden="false" customHeight="false" outlineLevel="0" collapsed="false">
      <c r="B1510" s="32" t="s">
        <v>500</v>
      </c>
      <c r="C1510" s="32" t="s">
        <v>488</v>
      </c>
      <c r="D1510" s="33" t="n">
        <v>46052.4131944444</v>
      </c>
      <c r="E1510" s="33" t="n">
        <v>46052.4131944444</v>
      </c>
      <c r="F1510" s="33" t="n">
        <v>46052.4138888889</v>
      </c>
      <c r="G1510" s="34" t="n">
        <f aca="false">F1510-E1510</f>
        <v>0.000694444444444445</v>
      </c>
      <c r="H1510" s="32" t="s">
        <v>283</v>
      </c>
      <c r="I1510" s="32" t="s">
        <v>284</v>
      </c>
      <c r="J1510" s="32" t="s">
        <v>285</v>
      </c>
      <c r="K1510" s="32" t="s">
        <v>286</v>
      </c>
      <c r="L1510" s="32" t="s">
        <v>352</v>
      </c>
      <c r="M1510" s="32" t="s">
        <v>288</v>
      </c>
      <c r="N1510" s="32" t="s">
        <v>662</v>
      </c>
      <c r="O1510" s="32" t="s">
        <v>662</v>
      </c>
      <c r="P1510" s="40" t="str">
        <f aca="false">_xlfn.CONCAT(B1510,C1510,D1510,E1510,F1510)</f>
        <v>BC Corumba2.2U02.I0146052.413194444446052.413194444446052.4138888889</v>
      </c>
      <c r="Q1510" s="32" t="str">
        <f aca="false">_xlfn.CONCAT(H1510,I1510,J1510)</f>
        <v>LIGRFOCOM</v>
      </c>
    </row>
    <row r="1511" customFormat="false" ht="15" hidden="false" customHeight="false" outlineLevel="0" collapsed="false">
      <c r="B1511" s="32" t="s">
        <v>500</v>
      </c>
      <c r="C1511" s="32" t="s">
        <v>489</v>
      </c>
      <c r="D1511" s="33" t="n">
        <v>46052.4131944444</v>
      </c>
      <c r="E1511" s="33" t="n">
        <v>46052.4131944444</v>
      </c>
      <c r="F1511" s="33" t="n">
        <v>46052.4138888889</v>
      </c>
      <c r="G1511" s="34" t="n">
        <f aca="false">F1511-E1511</f>
        <v>0.000694444444444445</v>
      </c>
      <c r="H1511" s="32" t="s">
        <v>283</v>
      </c>
      <c r="I1511" s="32" t="s">
        <v>284</v>
      </c>
      <c r="J1511" s="32" t="s">
        <v>285</v>
      </c>
      <c r="K1511" s="32" t="s">
        <v>286</v>
      </c>
      <c r="L1511" s="32" t="s">
        <v>352</v>
      </c>
      <c r="M1511" s="32" t="s">
        <v>288</v>
      </c>
      <c r="N1511" s="32" t="s">
        <v>662</v>
      </c>
      <c r="O1511" s="32" t="s">
        <v>662</v>
      </c>
      <c r="P1511" s="40" t="str">
        <f aca="false">_xlfn.CONCAT(B1511,C1511,D1511,E1511,F1511)</f>
        <v>BC Corumba2.2U02.I0246052.413194444446052.413194444446052.4138888889</v>
      </c>
      <c r="Q1511" s="32" t="str">
        <f aca="false">_xlfn.CONCAT(H1511,I1511,J1511)</f>
        <v>LIGRFOCOM</v>
      </c>
    </row>
    <row r="1512" customFormat="false" ht="15" hidden="false" customHeight="false" outlineLevel="0" collapsed="false">
      <c r="B1512" s="32" t="s">
        <v>500</v>
      </c>
      <c r="C1512" s="32" t="s">
        <v>490</v>
      </c>
      <c r="D1512" s="33" t="n">
        <v>46052.4131944444</v>
      </c>
      <c r="E1512" s="33" t="n">
        <v>46052.4131944444</v>
      </c>
      <c r="F1512" s="33" t="n">
        <v>46052.4138888889</v>
      </c>
      <c r="G1512" s="34" t="n">
        <f aca="false">F1512-E1512</f>
        <v>0.000694444444444445</v>
      </c>
      <c r="H1512" s="32" t="s">
        <v>283</v>
      </c>
      <c r="I1512" s="32" t="s">
        <v>284</v>
      </c>
      <c r="J1512" s="32" t="s">
        <v>285</v>
      </c>
      <c r="K1512" s="32" t="s">
        <v>286</v>
      </c>
      <c r="L1512" s="32" t="s">
        <v>352</v>
      </c>
      <c r="M1512" s="32" t="s">
        <v>288</v>
      </c>
      <c r="N1512" s="32" t="s">
        <v>662</v>
      </c>
      <c r="O1512" s="32" t="s">
        <v>662</v>
      </c>
      <c r="P1512" s="40" t="str">
        <f aca="false">_xlfn.CONCAT(B1512,C1512,D1512,E1512,F1512)</f>
        <v>BC Corumba2.2U02.I0346052.413194444446052.413194444446052.4138888889</v>
      </c>
      <c r="Q1512" s="32" t="str">
        <f aca="false">_xlfn.CONCAT(H1512,I1512,J1512)</f>
        <v>LIGRFOCOM</v>
      </c>
    </row>
    <row r="1513" customFormat="false" ht="15" hidden="false" customHeight="false" outlineLevel="0" collapsed="false">
      <c r="B1513" s="32" t="s">
        <v>500</v>
      </c>
      <c r="C1513" s="32" t="s">
        <v>491</v>
      </c>
      <c r="D1513" s="33" t="n">
        <v>46052.4131944444</v>
      </c>
      <c r="E1513" s="33" t="n">
        <v>46052.4131944444</v>
      </c>
      <c r="F1513" s="33" t="n">
        <v>46052.4138888889</v>
      </c>
      <c r="G1513" s="34" t="n">
        <f aca="false">F1513-E1513</f>
        <v>0.000694444444444445</v>
      </c>
      <c r="H1513" s="32" t="s">
        <v>283</v>
      </c>
      <c r="I1513" s="32" t="s">
        <v>284</v>
      </c>
      <c r="J1513" s="32" t="s">
        <v>285</v>
      </c>
      <c r="K1513" s="32" t="s">
        <v>286</v>
      </c>
      <c r="L1513" s="32" t="s">
        <v>352</v>
      </c>
      <c r="M1513" s="32" t="s">
        <v>288</v>
      </c>
      <c r="N1513" s="32" t="s">
        <v>662</v>
      </c>
      <c r="O1513" s="32" t="s">
        <v>662</v>
      </c>
      <c r="P1513" s="40" t="str">
        <f aca="false">_xlfn.CONCAT(B1513,C1513,D1513,E1513,F1513)</f>
        <v>BC Corumba2.2U02.I0446052.413194444446052.413194444446052.4138888889</v>
      </c>
      <c r="Q1513" s="32" t="str">
        <f aca="false">_xlfn.CONCAT(H1513,I1513,J1513)</f>
        <v>LIGRFOCOM</v>
      </c>
    </row>
    <row r="1514" customFormat="false" ht="15" hidden="false" customHeight="false" outlineLevel="0" collapsed="false">
      <c r="B1514" s="32" t="s">
        <v>500</v>
      </c>
      <c r="C1514" s="32" t="s">
        <v>492</v>
      </c>
      <c r="D1514" s="33" t="n">
        <v>46052.4131944444</v>
      </c>
      <c r="E1514" s="33" t="n">
        <v>46052.4131944444</v>
      </c>
      <c r="F1514" s="33" t="n">
        <v>46052.4138888889</v>
      </c>
      <c r="G1514" s="34" t="n">
        <f aca="false">F1514-E1514</f>
        <v>0.000694444444444445</v>
      </c>
      <c r="H1514" s="32" t="s">
        <v>283</v>
      </c>
      <c r="I1514" s="32" t="s">
        <v>284</v>
      </c>
      <c r="J1514" s="32" t="s">
        <v>285</v>
      </c>
      <c r="K1514" s="32" t="s">
        <v>286</v>
      </c>
      <c r="L1514" s="32" t="s">
        <v>352</v>
      </c>
      <c r="M1514" s="32" t="s">
        <v>288</v>
      </c>
      <c r="N1514" s="39" t="s">
        <v>662</v>
      </c>
      <c r="O1514" s="32" t="s">
        <v>662</v>
      </c>
      <c r="P1514" s="40" t="str">
        <f aca="false">_xlfn.CONCAT(B1514,C1514,D1514,E1514,F1514)</f>
        <v>BC Corumba2.2U02.I0546052.413194444446052.413194444446052.4138888889</v>
      </c>
      <c r="Q1514" s="32" t="str">
        <f aca="false">_xlfn.CONCAT(H1514,I1514,J1514)</f>
        <v>LIGRFOCOM</v>
      </c>
    </row>
    <row r="1515" customFormat="false" ht="15" hidden="false" customHeight="false" outlineLevel="0" collapsed="false">
      <c r="B1515" s="32" t="s">
        <v>331</v>
      </c>
      <c r="C1515" s="32" t="s">
        <v>654</v>
      </c>
      <c r="D1515" s="33" t="n">
        <v>46052.5541666667</v>
      </c>
      <c r="E1515" s="33" t="n">
        <v>46052.5541666667</v>
      </c>
      <c r="F1515" s="33" t="n">
        <v>46052.5694444444</v>
      </c>
      <c r="G1515" s="34" t="n">
        <f aca="false">F1515-E1515</f>
        <v>0.0152777777777778</v>
      </c>
      <c r="H1515" s="32" t="s">
        <v>252</v>
      </c>
      <c r="J1515" s="32" t="s">
        <v>333</v>
      </c>
      <c r="K1515" s="32" t="s">
        <v>334</v>
      </c>
      <c r="L1515" s="32" t="s">
        <v>664</v>
      </c>
      <c r="M1515" s="32" t="s">
        <v>336</v>
      </c>
      <c r="N1515" s="32" t="s">
        <v>289</v>
      </c>
      <c r="O1515" s="32" t="s">
        <v>269</v>
      </c>
      <c r="P1515" s="40" t="str">
        <f aca="false">_xlfn.CONCAT(B1515,C1515,D1515,E1515,F1515)</f>
        <v>BC Vazante 1.1Inverter1246052.554166666746052.554166666746052.5694444444</v>
      </c>
      <c r="Q1515" s="32" t="str">
        <f aca="false">_xlfn.CONCAT(H1515,I1515,J1515)</f>
        <v>DAUINV</v>
      </c>
    </row>
    <row r="1516" customFormat="false" ht="15" hidden="false" customHeight="false" outlineLevel="0" collapsed="false">
      <c r="B1516" s="32" t="s">
        <v>339</v>
      </c>
      <c r="C1516" s="32" t="s">
        <v>324</v>
      </c>
      <c r="D1516" s="33" t="n">
        <v>46052.7673611111</v>
      </c>
      <c r="E1516" s="33" t="n">
        <v>46052.7673611111</v>
      </c>
      <c r="F1516" s="33" t="n">
        <v>46053.3055555556</v>
      </c>
      <c r="G1516" s="34" t="n">
        <f aca="false">F1516-E1516</f>
        <v>0.538194444444444</v>
      </c>
      <c r="H1516" s="32" t="s">
        <v>252</v>
      </c>
      <c r="J1516" s="32" t="s">
        <v>253</v>
      </c>
      <c r="K1516" s="32" t="s">
        <v>266</v>
      </c>
      <c r="L1516" s="32" t="s">
        <v>665</v>
      </c>
      <c r="M1516" s="32" t="s">
        <v>255</v>
      </c>
      <c r="N1516" s="32" t="s">
        <v>268</v>
      </c>
      <c r="O1516" s="32" t="s">
        <v>269</v>
      </c>
      <c r="P1516" s="40" t="str">
        <f aca="false">_xlfn.CONCAT(B1516,C1516,D1516,E1516,F1516)</f>
        <v>BC Formoso2.1Inverter(MBUS-12)46052.767361111146052.767361111146053.3055555556</v>
      </c>
      <c r="Q1516" s="32" t="str">
        <f aca="false">_xlfn.CONCAT(H1516,I1516,J1516)</f>
        <v>DAURDE</v>
      </c>
    </row>
    <row r="1517" customFormat="false" ht="15" hidden="false" customHeight="false" outlineLevel="0" collapsed="false">
      <c r="B1517" s="32" t="s">
        <v>339</v>
      </c>
      <c r="C1517" s="32" t="s">
        <v>327</v>
      </c>
      <c r="D1517" s="33" t="n">
        <v>46052.7673611111</v>
      </c>
      <c r="E1517" s="33" t="n">
        <v>46052.7673611111</v>
      </c>
      <c r="F1517" s="33" t="n">
        <v>46053.3055555556</v>
      </c>
      <c r="G1517" s="34" t="n">
        <f aca="false">F1517-E1517</f>
        <v>0.538194444444444</v>
      </c>
      <c r="H1517" s="32" t="s">
        <v>252</v>
      </c>
      <c r="J1517" s="32" t="s">
        <v>253</v>
      </c>
      <c r="K1517" s="32" t="s">
        <v>266</v>
      </c>
      <c r="L1517" s="32" t="s">
        <v>665</v>
      </c>
      <c r="M1517" s="32" t="s">
        <v>255</v>
      </c>
      <c r="N1517" s="32" t="s">
        <v>268</v>
      </c>
      <c r="O1517" s="32" t="s">
        <v>269</v>
      </c>
      <c r="P1517" s="40" t="str">
        <f aca="false">_xlfn.CONCAT(B1517,C1517,D1517,E1517,F1517)</f>
        <v>BC Formoso2.1Inverter(MBUS-14)46052.767361111146052.767361111146053.3055555556</v>
      </c>
      <c r="Q1517" s="32" t="str">
        <f aca="false">_xlfn.CONCAT(H1517,I1517,J1517)</f>
        <v>DAURDE</v>
      </c>
    </row>
    <row r="1518" customFormat="false" ht="15" hidden="false" customHeight="false" outlineLevel="0" collapsed="false">
      <c r="B1518" s="32" t="s">
        <v>339</v>
      </c>
      <c r="C1518" s="32" t="s">
        <v>326</v>
      </c>
      <c r="D1518" s="33" t="n">
        <v>46052.7673611111</v>
      </c>
      <c r="E1518" s="33" t="n">
        <v>46052.7673611111</v>
      </c>
      <c r="F1518" s="33" t="n">
        <v>46053.3055555556</v>
      </c>
      <c r="G1518" s="34" t="n">
        <f aca="false">F1518-E1518</f>
        <v>0.538194444444444</v>
      </c>
      <c r="H1518" s="32" t="s">
        <v>252</v>
      </c>
      <c r="J1518" s="32" t="s">
        <v>253</v>
      </c>
      <c r="K1518" s="32" t="s">
        <v>266</v>
      </c>
      <c r="L1518" s="32" t="s">
        <v>665</v>
      </c>
      <c r="M1518" s="32" t="s">
        <v>255</v>
      </c>
      <c r="N1518" s="32" t="s">
        <v>268</v>
      </c>
      <c r="O1518" s="32" t="s">
        <v>269</v>
      </c>
      <c r="P1518" s="40" t="str">
        <f aca="false">_xlfn.CONCAT(B1518,C1518,D1518,E1518,F1518)</f>
        <v>BC Formoso2.1Inverter(MBUS-13)46052.767361111146052.767361111146053.3055555556</v>
      </c>
      <c r="Q1518" s="32" t="str">
        <f aca="false">_xlfn.CONCAT(H1518,I1518,J1518)</f>
        <v>DAURDE</v>
      </c>
    </row>
    <row r="1519" customFormat="false" ht="15" hidden="false" customHeight="false" outlineLevel="0" collapsed="false">
      <c r="B1519" s="32" t="s">
        <v>339</v>
      </c>
      <c r="C1519" s="32" t="s">
        <v>265</v>
      </c>
      <c r="D1519" s="33" t="n">
        <v>46052.7673611111</v>
      </c>
      <c r="E1519" s="33" t="n">
        <v>46052.7673611111</v>
      </c>
      <c r="F1519" s="33" t="n">
        <v>46053.3055555556</v>
      </c>
      <c r="G1519" s="34" t="n">
        <f aca="false">F1519-E1519</f>
        <v>0.538194444444444</v>
      </c>
      <c r="H1519" s="32" t="s">
        <v>252</v>
      </c>
      <c r="J1519" s="32" t="s">
        <v>253</v>
      </c>
      <c r="K1519" s="32" t="s">
        <v>266</v>
      </c>
      <c r="L1519" s="32" t="s">
        <v>665</v>
      </c>
      <c r="M1519" s="32" t="s">
        <v>255</v>
      </c>
      <c r="N1519" s="32" t="s">
        <v>268</v>
      </c>
      <c r="O1519" s="32" t="s">
        <v>269</v>
      </c>
      <c r="P1519" s="40" t="str">
        <f aca="false">_xlfn.CONCAT(B1519,C1519,D1519,E1519,F1519)</f>
        <v>BC Formoso2.1Inverter(MBUS-1)46052.767361111146052.767361111146053.3055555556</v>
      </c>
      <c r="Q1519" s="32" t="str">
        <f aca="false">_xlfn.CONCAT(H1519,I1519,J1519)</f>
        <v>DAURDE</v>
      </c>
    </row>
    <row r="1520" customFormat="false" ht="15" hidden="false" customHeight="false" outlineLevel="0" collapsed="false">
      <c r="B1520" s="32" t="s">
        <v>341</v>
      </c>
      <c r="C1520" s="32" t="s">
        <v>326</v>
      </c>
      <c r="D1520" s="33" t="n">
        <v>46052.7673611111</v>
      </c>
      <c r="E1520" s="33" t="n">
        <v>46052.7673611111</v>
      </c>
      <c r="F1520" s="33" t="n">
        <v>46053.3055555556</v>
      </c>
      <c r="G1520" s="34" t="n">
        <f aca="false">F1520-E1520</f>
        <v>0.538194444444444</v>
      </c>
      <c r="H1520" s="32" t="s">
        <v>252</v>
      </c>
      <c r="J1520" s="32" t="s">
        <v>253</v>
      </c>
      <c r="K1520" s="32" t="s">
        <v>266</v>
      </c>
      <c r="L1520" s="32" t="s">
        <v>665</v>
      </c>
      <c r="M1520" s="32" t="s">
        <v>255</v>
      </c>
      <c r="N1520" s="32" t="s">
        <v>268</v>
      </c>
      <c r="O1520" s="32" t="s">
        <v>269</v>
      </c>
      <c r="P1520" s="40" t="str">
        <f aca="false">_xlfn.CONCAT(B1520,C1520,D1520,E1520,F1520)</f>
        <v>BC Formoso2.3Inverter(MBUS-13)46052.767361111146052.767361111146053.3055555556</v>
      </c>
      <c r="Q1520" s="32" t="str">
        <f aca="false">_xlfn.CONCAT(H1520,I1520,J1520)</f>
        <v>DAURDE</v>
      </c>
    </row>
    <row r="1521" customFormat="false" ht="15" hidden="false" customHeight="false" outlineLevel="0" collapsed="false">
      <c r="B1521" s="32" t="s">
        <v>341</v>
      </c>
      <c r="C1521" s="32" t="s">
        <v>324</v>
      </c>
      <c r="D1521" s="33" t="n">
        <v>46052.7673611111</v>
      </c>
      <c r="E1521" s="33" t="n">
        <v>46052.7673611111</v>
      </c>
      <c r="F1521" s="33" t="n">
        <v>46053.3055555556</v>
      </c>
      <c r="G1521" s="34" t="n">
        <f aca="false">F1521-E1521</f>
        <v>0.538194444444444</v>
      </c>
      <c r="H1521" s="32" t="s">
        <v>252</v>
      </c>
      <c r="J1521" s="32" t="s">
        <v>253</v>
      </c>
      <c r="K1521" s="32" t="s">
        <v>266</v>
      </c>
      <c r="L1521" s="32" t="s">
        <v>665</v>
      </c>
      <c r="M1521" s="32" t="s">
        <v>255</v>
      </c>
      <c r="N1521" s="32" t="s">
        <v>268</v>
      </c>
      <c r="O1521" s="32" t="s">
        <v>269</v>
      </c>
      <c r="P1521" s="40" t="str">
        <f aca="false">_xlfn.CONCAT(B1521,C1521,D1521,E1521,F1521)</f>
        <v>BC Formoso2.3Inverter(MBUS-12)46052.767361111146052.767361111146053.3055555556</v>
      </c>
      <c r="Q1521" s="32" t="str">
        <f aca="false">_xlfn.CONCAT(H1521,I1521,J1521)</f>
        <v>DAURDE</v>
      </c>
    </row>
    <row r="1522" customFormat="false" ht="15" hidden="false" customHeight="false" outlineLevel="0" collapsed="false">
      <c r="B1522" s="32" t="s">
        <v>358</v>
      </c>
      <c r="C1522" s="32" t="s">
        <v>324</v>
      </c>
      <c r="D1522" s="33" t="n">
        <v>46053.2826388889</v>
      </c>
      <c r="E1522" s="33" t="n">
        <v>46053.2826388889</v>
      </c>
      <c r="F1522" s="33" t="n">
        <v>46053.3506944444</v>
      </c>
      <c r="G1522" s="34" t="n">
        <f aca="false">F1522-E1522</f>
        <v>0.0680555555555556</v>
      </c>
      <c r="H1522" s="32" t="s">
        <v>252</v>
      </c>
      <c r="J1522" s="32" t="s">
        <v>253</v>
      </c>
      <c r="K1522" s="32" t="s">
        <v>266</v>
      </c>
      <c r="L1522" s="32" t="s">
        <v>666</v>
      </c>
      <c r="M1522" s="32" t="s">
        <v>255</v>
      </c>
      <c r="N1522" s="32" t="s">
        <v>268</v>
      </c>
      <c r="O1522" s="32" t="s">
        <v>269</v>
      </c>
      <c r="P1522" s="40" t="str">
        <f aca="false">_xlfn.CONCAT(B1522,C1522,D1522,E1522,F1522)</f>
        <v>ARAGUATINS 1.1Inverter(MBUS-12)46053.282638888946053.282638888946053.3506944444</v>
      </c>
      <c r="Q1522" s="32" t="str">
        <f aca="false">_xlfn.CONCAT(H1522,I1522,J1522)</f>
        <v>DAURDE</v>
      </c>
    </row>
    <row r="1523" customFormat="false" ht="15" hidden="false" customHeight="false" outlineLevel="0" collapsed="false">
      <c r="B1523" s="32" t="s">
        <v>358</v>
      </c>
      <c r="C1523" s="32" t="s">
        <v>326</v>
      </c>
      <c r="D1523" s="33" t="n">
        <v>46053.2826388889</v>
      </c>
      <c r="E1523" s="33" t="n">
        <v>46053.2826388889</v>
      </c>
      <c r="F1523" s="33" t="n">
        <v>46053.3506944444</v>
      </c>
      <c r="G1523" s="34" t="n">
        <f aca="false">F1523-E1523</f>
        <v>0.0680555555555556</v>
      </c>
      <c r="H1523" s="32" t="s">
        <v>252</v>
      </c>
      <c r="J1523" s="32" t="s">
        <v>253</v>
      </c>
      <c r="K1523" s="32" t="s">
        <v>266</v>
      </c>
      <c r="L1523" s="32" t="s">
        <v>666</v>
      </c>
      <c r="M1523" s="32" t="s">
        <v>255</v>
      </c>
      <c r="N1523" s="32" t="s">
        <v>268</v>
      </c>
      <c r="O1523" s="32" t="s">
        <v>269</v>
      </c>
      <c r="P1523" s="40" t="str">
        <f aca="false">_xlfn.CONCAT(B1523,C1523,D1523,E1523,F1523)</f>
        <v>ARAGUATINS 1.1Inverter(MBUS-13)46053.282638888946053.282638888946053.3506944444</v>
      </c>
      <c r="Q1523" s="32" t="str">
        <f aca="false">_xlfn.CONCAT(H1523,I1523,J1523)</f>
        <v>DAURDE</v>
      </c>
    </row>
    <row r="1524" customFormat="false" ht="15" hidden="false" customHeight="false" outlineLevel="0" collapsed="false">
      <c r="B1524" s="32" t="s">
        <v>358</v>
      </c>
      <c r="C1524" s="32" t="s">
        <v>327</v>
      </c>
      <c r="D1524" s="33" t="n">
        <v>46053.2826388889</v>
      </c>
      <c r="E1524" s="33" t="n">
        <v>46053.2826388889</v>
      </c>
      <c r="F1524" s="33" t="n">
        <v>46053.3506944444</v>
      </c>
      <c r="G1524" s="34" t="n">
        <f aca="false">F1524-E1524</f>
        <v>0.0680555555555556</v>
      </c>
      <c r="H1524" s="32" t="s">
        <v>252</v>
      </c>
      <c r="J1524" s="32" t="s">
        <v>253</v>
      </c>
      <c r="K1524" s="32" t="s">
        <v>266</v>
      </c>
      <c r="L1524" s="32" t="s">
        <v>666</v>
      </c>
      <c r="M1524" s="32" t="s">
        <v>255</v>
      </c>
      <c r="N1524" s="32" t="s">
        <v>268</v>
      </c>
      <c r="O1524" s="32" t="s">
        <v>269</v>
      </c>
      <c r="P1524" s="40" t="str">
        <f aca="false">_xlfn.CONCAT(B1524,C1524,D1524,E1524,F1524)</f>
        <v>ARAGUATINS 1.1Inverter(MBUS-14)46053.282638888946053.282638888946053.3506944444</v>
      </c>
      <c r="Q1524" s="32" t="str">
        <f aca="false">_xlfn.CONCAT(H1524,I1524,J1524)</f>
        <v>DAURDE</v>
      </c>
    </row>
    <row r="1525" customFormat="false" ht="15" hidden="false" customHeight="false" outlineLevel="0" collapsed="false">
      <c r="B1525" s="32" t="s">
        <v>358</v>
      </c>
      <c r="C1525" s="32" t="s">
        <v>328</v>
      </c>
      <c r="D1525" s="33" t="n">
        <v>46053.2826388889</v>
      </c>
      <c r="E1525" s="33" t="n">
        <v>46053.2826388889</v>
      </c>
      <c r="F1525" s="33" t="n">
        <v>46053.3506944444</v>
      </c>
      <c r="G1525" s="34" t="n">
        <f aca="false">F1525-E1525</f>
        <v>0.0680555555555556</v>
      </c>
      <c r="H1525" s="32" t="s">
        <v>252</v>
      </c>
      <c r="J1525" s="32" t="s">
        <v>253</v>
      </c>
      <c r="K1525" s="32" t="s">
        <v>266</v>
      </c>
      <c r="L1525" s="32" t="s">
        <v>666</v>
      </c>
      <c r="M1525" s="32" t="s">
        <v>255</v>
      </c>
      <c r="N1525" s="32" t="s">
        <v>268</v>
      </c>
      <c r="O1525" s="32" t="s">
        <v>269</v>
      </c>
      <c r="P1525" s="40" t="str">
        <f aca="false">_xlfn.CONCAT(B1525,C1525,D1525,E1525,F1525)</f>
        <v>ARAGUATINS 1.1Inverter(MBUS-15)46053.282638888946053.282638888946053.3506944444</v>
      </c>
      <c r="Q1525" s="32" t="str">
        <f aca="false">_xlfn.CONCAT(H1525,I1525,J1525)</f>
        <v>DAURDE</v>
      </c>
    </row>
    <row r="1526" customFormat="false" ht="15" hidden="false" customHeight="false" outlineLevel="0" collapsed="false">
      <c r="B1526" s="32" t="s">
        <v>331</v>
      </c>
      <c r="C1526" s="32" t="s">
        <v>654</v>
      </c>
      <c r="D1526" s="33" t="n">
        <v>46053.3923611111</v>
      </c>
      <c r="E1526" s="33" t="n">
        <v>46053.3923611111</v>
      </c>
      <c r="F1526" s="33" t="n">
        <v>46053.4236111111</v>
      </c>
      <c r="G1526" s="34" t="n">
        <f aca="false">F1526-E1526</f>
        <v>0.03125</v>
      </c>
      <c r="H1526" s="32" t="s">
        <v>252</v>
      </c>
      <c r="J1526" s="32" t="s">
        <v>333</v>
      </c>
      <c r="K1526" s="32" t="s">
        <v>334</v>
      </c>
      <c r="L1526" s="32" t="s">
        <v>664</v>
      </c>
      <c r="M1526" s="32" t="s">
        <v>336</v>
      </c>
      <c r="N1526" s="32" t="s">
        <v>289</v>
      </c>
      <c r="O1526" s="32" t="s">
        <v>269</v>
      </c>
      <c r="P1526" s="40" t="str">
        <f aca="false">_xlfn.CONCAT(B1526,C1526,D1526,E1526,F1526)</f>
        <v>BC Vazante 1.1Inverter1246053.392361111146053.392361111146053.4236111111</v>
      </c>
      <c r="Q1526" s="32" t="str">
        <f aca="false">_xlfn.CONCAT(H1526,I1526,J1526)</f>
        <v>DAUINV</v>
      </c>
    </row>
    <row r="1527" customFormat="false" ht="15" hidden="false" customHeight="false" outlineLevel="0" collapsed="false">
      <c r="B1527" s="32" t="s">
        <v>477</v>
      </c>
      <c r="C1527" s="32" t="s">
        <v>326</v>
      </c>
      <c r="D1527" s="33" t="n">
        <v>46053.3972222222</v>
      </c>
      <c r="E1527" s="33" t="n">
        <v>46053.3972222222</v>
      </c>
      <c r="F1527" s="33" t="n">
        <v>46053.4375</v>
      </c>
      <c r="G1527" s="34" t="n">
        <f aca="false">F1527-E1527</f>
        <v>0.0402777777777778</v>
      </c>
      <c r="H1527" s="32" t="s">
        <v>252</v>
      </c>
      <c r="J1527" s="32" t="s">
        <v>333</v>
      </c>
      <c r="K1527" s="32" t="s">
        <v>334</v>
      </c>
      <c r="L1527" s="32" t="s">
        <v>667</v>
      </c>
      <c r="M1527" s="32" t="s">
        <v>336</v>
      </c>
      <c r="N1527" s="32" t="s">
        <v>289</v>
      </c>
      <c r="O1527" s="32" t="s">
        <v>668</v>
      </c>
      <c r="P1527" s="40" t="str">
        <f aca="false">_xlfn.CONCAT(B1527,C1527,D1527,E1527,F1527)</f>
        <v>BC Turvania1.3Inverter(MBUS-13)46053.397222222246053.397222222246053.4375</v>
      </c>
      <c r="Q1527" s="32" t="str">
        <f aca="false">_xlfn.CONCAT(H1527,I1527,J1527)</f>
        <v>DAUINV</v>
      </c>
    </row>
    <row r="1528" customFormat="false" ht="15" hidden="false" customHeight="false" outlineLevel="0" collapsed="false">
      <c r="B1528" s="32" t="s">
        <v>367</v>
      </c>
      <c r="C1528" s="32" t="s">
        <v>324</v>
      </c>
      <c r="D1528" s="33" t="n">
        <v>46053.4243055556</v>
      </c>
      <c r="E1528" s="33" t="n">
        <v>46053.4243055556</v>
      </c>
      <c r="F1528" s="33" t="n">
        <v>46053.5208333333</v>
      </c>
      <c r="G1528" s="34" t="n">
        <f aca="false">F1528-E1528</f>
        <v>0.0965277777777778</v>
      </c>
      <c r="H1528" s="32" t="s">
        <v>252</v>
      </c>
      <c r="J1528" s="32" t="s">
        <v>253</v>
      </c>
      <c r="K1528" s="32" t="s">
        <v>266</v>
      </c>
      <c r="L1528" s="32" t="s">
        <v>669</v>
      </c>
      <c r="M1528" s="32" t="s">
        <v>255</v>
      </c>
      <c r="N1528" s="32" t="s">
        <v>268</v>
      </c>
      <c r="O1528" s="32" t="s">
        <v>269</v>
      </c>
      <c r="P1528" s="40" t="str">
        <f aca="false">_xlfn.CONCAT(B1528,C1528,D1528,E1528,F1528)</f>
        <v>ARAGUATINS 2.1Inverter(MBUS-12)46053.424305555646053.424305555646053.5208333333</v>
      </c>
      <c r="Q1528" s="32" t="str">
        <f aca="false">_xlfn.CONCAT(H1528,I1528,J1528)</f>
        <v>DAURDE</v>
      </c>
    </row>
    <row r="1529" customFormat="false" ht="15" hidden="false" customHeight="false" outlineLevel="0" collapsed="false">
      <c r="B1529" s="32" t="s">
        <v>367</v>
      </c>
      <c r="C1529" s="32" t="s">
        <v>328</v>
      </c>
      <c r="D1529" s="33" t="n">
        <v>46053.4243055556</v>
      </c>
      <c r="E1529" s="33" t="n">
        <v>46053.4243055556</v>
      </c>
      <c r="F1529" s="33" t="n">
        <v>46053.5208333333</v>
      </c>
      <c r="G1529" s="34" t="n">
        <f aca="false">F1529-E1529</f>
        <v>0.0965277777777778</v>
      </c>
      <c r="H1529" s="32" t="s">
        <v>252</v>
      </c>
      <c r="J1529" s="32" t="s">
        <v>253</v>
      </c>
      <c r="K1529" s="32" t="s">
        <v>266</v>
      </c>
      <c r="L1529" s="32" t="s">
        <v>669</v>
      </c>
      <c r="M1529" s="32" t="s">
        <v>255</v>
      </c>
      <c r="N1529" s="32" t="s">
        <v>268</v>
      </c>
      <c r="O1529" s="32" t="s">
        <v>269</v>
      </c>
      <c r="P1529" s="40" t="str">
        <f aca="false">_xlfn.CONCAT(B1529,C1529,D1529,E1529,F1529)</f>
        <v>ARAGUATINS 2.1Inverter(MBUS-15)46053.424305555646053.424305555646053.5208333333</v>
      </c>
      <c r="Q1529" s="32" t="str">
        <f aca="false">_xlfn.CONCAT(H1529,I1529,J1529)</f>
        <v>DAURDE</v>
      </c>
    </row>
    <row r="1530" customFormat="false" ht="15" hidden="false" customHeight="false" outlineLevel="0" collapsed="false">
      <c r="B1530" s="32" t="s">
        <v>367</v>
      </c>
      <c r="C1530" s="32" t="s">
        <v>327</v>
      </c>
      <c r="D1530" s="33" t="n">
        <v>46053.4243055556</v>
      </c>
      <c r="E1530" s="33" t="n">
        <v>46053.4243055556</v>
      </c>
      <c r="F1530" s="33" t="n">
        <v>46053.5208333333</v>
      </c>
      <c r="G1530" s="34" t="n">
        <f aca="false">F1530-E1530</f>
        <v>0.0965277777777778</v>
      </c>
      <c r="H1530" s="32" t="s">
        <v>252</v>
      </c>
      <c r="J1530" s="32" t="s">
        <v>253</v>
      </c>
      <c r="K1530" s="32" t="s">
        <v>266</v>
      </c>
      <c r="L1530" s="32" t="s">
        <v>669</v>
      </c>
      <c r="M1530" s="32" t="s">
        <v>255</v>
      </c>
      <c r="N1530" s="32" t="s">
        <v>268</v>
      </c>
      <c r="O1530" s="32" t="s">
        <v>269</v>
      </c>
      <c r="P1530" s="40" t="str">
        <f aca="false">_xlfn.CONCAT(B1530,C1530,D1530,E1530,F1530)</f>
        <v>ARAGUATINS 2.1Inverter(MBUS-14)46053.424305555646053.424305555646053.5208333333</v>
      </c>
      <c r="Q1530" s="32" t="str">
        <f aca="false">_xlfn.CONCAT(H1530,I1530,J1530)</f>
        <v>DAURDE</v>
      </c>
    </row>
    <row r="1531" customFormat="false" ht="15" hidden="false" customHeight="false" outlineLevel="0" collapsed="false">
      <c r="B1531" s="32" t="s">
        <v>367</v>
      </c>
      <c r="C1531" s="32" t="s">
        <v>265</v>
      </c>
      <c r="D1531" s="33" t="n">
        <v>46053.4243055556</v>
      </c>
      <c r="E1531" s="33" t="n">
        <v>46053.4243055556</v>
      </c>
      <c r="F1531" s="33" t="n">
        <v>46053.5208333333</v>
      </c>
      <c r="G1531" s="34" t="n">
        <f aca="false">F1531-E1531</f>
        <v>0.0965277777777778</v>
      </c>
      <c r="H1531" s="32" t="s">
        <v>252</v>
      </c>
      <c r="J1531" s="32" t="s">
        <v>253</v>
      </c>
      <c r="K1531" s="32" t="s">
        <v>266</v>
      </c>
      <c r="L1531" s="32" t="s">
        <v>669</v>
      </c>
      <c r="M1531" s="32" t="s">
        <v>255</v>
      </c>
      <c r="N1531" s="32" t="s">
        <v>268</v>
      </c>
      <c r="O1531" s="32" t="s">
        <v>269</v>
      </c>
      <c r="P1531" s="40" t="str">
        <f aca="false">_xlfn.CONCAT(B1531,C1531,D1531,E1531,F1531)</f>
        <v>ARAGUATINS 2.1Inverter(MBUS-1)46053.424305555646053.424305555646053.5208333333</v>
      </c>
      <c r="Q1531" s="32" t="str">
        <f aca="false">_xlfn.CONCAT(H1531,I1531,J1531)</f>
        <v>DAURDE</v>
      </c>
    </row>
    <row r="1532" customFormat="false" ht="15" hidden="false" customHeight="false" outlineLevel="0" collapsed="false">
      <c r="B1532" s="32" t="s">
        <v>331</v>
      </c>
      <c r="C1532" s="32" t="s">
        <v>654</v>
      </c>
      <c r="D1532" s="33" t="n">
        <v>46053.5756944444</v>
      </c>
      <c r="E1532" s="33" t="n">
        <v>46053.5756944444</v>
      </c>
      <c r="F1532" s="33" t="n">
        <v>46053.59375</v>
      </c>
      <c r="G1532" s="34" t="n">
        <f aca="false">F1532-E1532</f>
        <v>0.0180555555555556</v>
      </c>
      <c r="H1532" s="32" t="s">
        <v>252</v>
      </c>
      <c r="J1532" s="32" t="s">
        <v>333</v>
      </c>
      <c r="K1532" s="32" t="s">
        <v>334</v>
      </c>
      <c r="L1532" s="32" t="s">
        <v>664</v>
      </c>
      <c r="M1532" s="32" t="s">
        <v>336</v>
      </c>
      <c r="N1532" s="32" t="s">
        <v>289</v>
      </c>
      <c r="O1532" s="32" t="s">
        <v>269</v>
      </c>
      <c r="P1532" s="40" t="str">
        <f aca="false">_xlfn.CONCAT(B1532,C1532,D1532,E1532,F1532)</f>
        <v>BC Vazante 1.1Inverter1246053.575694444446053.575694444446053.59375</v>
      </c>
      <c r="Q1532" s="32" t="str">
        <f aca="false">_xlfn.CONCAT(H1532,I1532,J1532)</f>
        <v>DAUINV</v>
      </c>
    </row>
    <row r="1533" customFormat="false" ht="15" hidden="false" customHeight="false" outlineLevel="0" collapsed="false">
      <c r="B1533" s="32" t="s">
        <v>264</v>
      </c>
      <c r="C1533" s="32" t="s">
        <v>265</v>
      </c>
      <c r="D1533" s="33" t="n">
        <v>46053.5763888889</v>
      </c>
      <c r="E1533" s="33" t="n">
        <v>46053.5763888889</v>
      </c>
      <c r="F1533" s="33" t="n">
        <v>46053.8270833333</v>
      </c>
      <c r="G1533" s="34" t="n">
        <f aca="false">F1533-E1533</f>
        <v>0.250694444444444</v>
      </c>
      <c r="H1533" s="32" t="s">
        <v>252</v>
      </c>
      <c r="J1533" s="32" t="s">
        <v>253</v>
      </c>
      <c r="K1533" s="32" t="s">
        <v>266</v>
      </c>
      <c r="L1533" s="32" t="s">
        <v>670</v>
      </c>
      <c r="M1533" s="32" t="s">
        <v>255</v>
      </c>
      <c r="N1533" s="32" t="s">
        <v>268</v>
      </c>
      <c r="O1533" s="32" t="s">
        <v>269</v>
      </c>
      <c r="P1533" s="40" t="str">
        <f aca="false">_xlfn.CONCAT(B1533,C1533,D1533,E1533,F1533)</f>
        <v>BC Aracu5.1Inverter(MBUS-1)46053.576388888946053.576388888946053.8270833333</v>
      </c>
      <c r="Q1533" s="32" t="str">
        <f aca="false">_xlfn.CONCAT(H1533,I1533,J1533)</f>
        <v>DAURDE</v>
      </c>
    </row>
    <row r="1534" customFormat="false" ht="15" hidden="false" customHeight="false" outlineLevel="0" collapsed="false">
      <c r="B1534" s="32" t="s">
        <v>271</v>
      </c>
      <c r="C1534" s="32" t="s">
        <v>265</v>
      </c>
      <c r="D1534" s="33" t="n">
        <v>46053.5763888889</v>
      </c>
      <c r="E1534" s="33" t="n">
        <v>46053.5763888889</v>
      </c>
      <c r="F1534" s="33" t="n">
        <v>46053.8270833333</v>
      </c>
      <c r="G1534" s="34" t="n">
        <f aca="false">F1534-E1534</f>
        <v>0.250694444444444</v>
      </c>
      <c r="H1534" s="32" t="s">
        <v>252</v>
      </c>
      <c r="J1534" s="32" t="s">
        <v>253</v>
      </c>
      <c r="K1534" s="32" t="s">
        <v>266</v>
      </c>
      <c r="L1534" s="32" t="s">
        <v>670</v>
      </c>
      <c r="M1534" s="32" t="s">
        <v>255</v>
      </c>
      <c r="N1534" s="32" t="s">
        <v>268</v>
      </c>
      <c r="O1534" s="32" t="s">
        <v>269</v>
      </c>
      <c r="P1534" s="40" t="str">
        <f aca="false">_xlfn.CONCAT(B1534,C1534,D1534,E1534,F1534)</f>
        <v>BC Aracu5.3Inverter(MBUS-1)46053.576388888946053.576388888946053.8270833333</v>
      </c>
      <c r="Q1534" s="32" t="str">
        <f aca="false">_xlfn.CONCAT(H1534,I1534,J1534)</f>
        <v>DAURDE</v>
      </c>
    </row>
    <row r="1535" customFormat="false" ht="15" hidden="false" customHeight="false" outlineLevel="0" collapsed="false">
      <c r="B1535" s="32" t="s">
        <v>272</v>
      </c>
      <c r="C1535" s="32" t="s">
        <v>265</v>
      </c>
      <c r="D1535" s="33" t="n">
        <v>46053.5763888889</v>
      </c>
      <c r="E1535" s="33" t="n">
        <v>46053.5763888889</v>
      </c>
      <c r="F1535" s="33" t="n">
        <v>46053.8270833333</v>
      </c>
      <c r="G1535" s="34" t="n">
        <f aca="false">F1535-E1535</f>
        <v>0.250694444444444</v>
      </c>
      <c r="H1535" s="32" t="s">
        <v>252</v>
      </c>
      <c r="J1535" s="32" t="s">
        <v>253</v>
      </c>
      <c r="K1535" s="32" t="s">
        <v>266</v>
      </c>
      <c r="L1535" s="32" t="s">
        <v>670</v>
      </c>
      <c r="M1535" s="32" t="s">
        <v>255</v>
      </c>
      <c r="N1535" s="32" t="s">
        <v>268</v>
      </c>
      <c r="O1535" s="32" t="s">
        <v>269</v>
      </c>
      <c r="P1535" s="40" t="str">
        <f aca="false">_xlfn.CONCAT(B1535,C1535,D1535,E1535,F1535)</f>
        <v>BC Aracu5.4Inverter(MBUS-1)46053.576388888946053.576388888946053.8270833333</v>
      </c>
      <c r="Q1535" s="32" t="str">
        <f aca="false">_xlfn.CONCAT(H1535,I1535,J1535)</f>
        <v>DAURDE</v>
      </c>
    </row>
    <row r="1536" customFormat="false" ht="15" hidden="false" customHeight="false" outlineLevel="0" collapsed="false">
      <c r="B1536" s="32" t="s">
        <v>273</v>
      </c>
      <c r="C1536" s="32" t="s">
        <v>265</v>
      </c>
      <c r="D1536" s="33" t="n">
        <v>46053.5763888889</v>
      </c>
      <c r="E1536" s="33" t="n">
        <v>46053.5763888889</v>
      </c>
      <c r="F1536" s="33" t="n">
        <v>46053.8270833333</v>
      </c>
      <c r="G1536" s="34" t="n">
        <f aca="false">F1536-E1536</f>
        <v>0.250694444444444</v>
      </c>
      <c r="H1536" s="32" t="s">
        <v>252</v>
      </c>
      <c r="J1536" s="32" t="s">
        <v>253</v>
      </c>
      <c r="K1536" s="32" t="s">
        <v>266</v>
      </c>
      <c r="L1536" s="32" t="s">
        <v>670</v>
      </c>
      <c r="M1536" s="32" t="s">
        <v>255</v>
      </c>
      <c r="N1536" s="32" t="s">
        <v>268</v>
      </c>
      <c r="O1536" s="32" t="s">
        <v>269</v>
      </c>
      <c r="P1536" s="40" t="str">
        <f aca="false">_xlfn.CONCAT(B1536,C1536,D1536,E1536,F1536)</f>
        <v>BC Aracu5.5Inverter(MBUS-1)46053.576388888946053.576388888946053.8270833333</v>
      </c>
      <c r="Q1536" s="32" t="str">
        <f aca="false">_xlfn.CONCAT(H1536,I1536,J1536)</f>
        <v>DAURDE</v>
      </c>
    </row>
    <row r="1537" customFormat="false" ht="15" hidden="false" customHeight="false" outlineLevel="0" collapsed="false">
      <c r="B1537" s="32" t="s">
        <v>323</v>
      </c>
      <c r="C1537" s="32" t="s">
        <v>324</v>
      </c>
      <c r="D1537" s="33" t="n">
        <v>46053.5770833333</v>
      </c>
      <c r="E1537" s="33" t="n">
        <v>46053.5770833333</v>
      </c>
      <c r="F1537" s="33" t="n">
        <v>46053.6013888889</v>
      </c>
      <c r="G1537" s="34" t="n">
        <f aca="false">F1537-E1537</f>
        <v>0.0243055555555556</v>
      </c>
      <c r="H1537" s="32" t="s">
        <v>252</v>
      </c>
      <c r="J1537" s="32" t="s">
        <v>253</v>
      </c>
      <c r="K1537" s="32" t="s">
        <v>266</v>
      </c>
      <c r="L1537" s="32" t="s">
        <v>671</v>
      </c>
      <c r="M1537" s="32" t="s">
        <v>255</v>
      </c>
      <c r="N1537" s="32" t="s">
        <v>268</v>
      </c>
      <c r="O1537" s="32" t="s">
        <v>269</v>
      </c>
      <c r="P1537" s="40" t="str">
        <f aca="false">_xlfn.CONCAT(B1537,C1537,D1537,E1537,F1537)</f>
        <v>BC Ibiuna 1.1Inverter(MBUS-12)46053.577083333346053.577083333346053.6013888889</v>
      </c>
      <c r="Q1537" s="32" t="str">
        <f aca="false">_xlfn.CONCAT(H1537,I1537,J1537)</f>
        <v>DAURDE</v>
      </c>
    </row>
    <row r="1538" customFormat="false" ht="15" hidden="false" customHeight="false" outlineLevel="0" collapsed="false">
      <c r="B1538" s="32" t="s">
        <v>323</v>
      </c>
      <c r="C1538" s="32" t="s">
        <v>326</v>
      </c>
      <c r="D1538" s="33" t="n">
        <v>46053.5770833333</v>
      </c>
      <c r="E1538" s="33" t="n">
        <v>46053.5770833333</v>
      </c>
      <c r="F1538" s="33" t="n">
        <v>46053.6013888889</v>
      </c>
      <c r="G1538" s="34" t="n">
        <f aca="false">F1538-E1538</f>
        <v>0.0243055555555556</v>
      </c>
      <c r="H1538" s="32" t="s">
        <v>252</v>
      </c>
      <c r="J1538" s="32" t="s">
        <v>253</v>
      </c>
      <c r="K1538" s="32" t="s">
        <v>266</v>
      </c>
      <c r="L1538" s="32" t="s">
        <v>671</v>
      </c>
      <c r="M1538" s="32" t="s">
        <v>255</v>
      </c>
      <c r="N1538" s="32" t="s">
        <v>268</v>
      </c>
      <c r="O1538" s="32" t="s">
        <v>269</v>
      </c>
      <c r="P1538" s="40" t="str">
        <f aca="false">_xlfn.CONCAT(B1538,C1538,D1538,E1538,F1538)</f>
        <v>BC Ibiuna 1.1Inverter(MBUS-13)46053.577083333346053.577083333346053.6013888889</v>
      </c>
      <c r="Q1538" s="32" t="str">
        <f aca="false">_xlfn.CONCAT(H1538,I1538,J1538)</f>
        <v>DAURDE</v>
      </c>
    </row>
    <row r="1539" customFormat="false" ht="15" hidden="false" customHeight="false" outlineLevel="0" collapsed="false">
      <c r="B1539" s="32" t="s">
        <v>323</v>
      </c>
      <c r="C1539" s="32" t="s">
        <v>327</v>
      </c>
      <c r="D1539" s="33" t="n">
        <v>46053.5770833333</v>
      </c>
      <c r="E1539" s="33" t="n">
        <v>46053.5770833333</v>
      </c>
      <c r="F1539" s="33" t="n">
        <v>46053.6013888889</v>
      </c>
      <c r="G1539" s="34" t="n">
        <f aca="false">F1539-E1539</f>
        <v>0.0243055555555556</v>
      </c>
      <c r="H1539" s="32" t="s">
        <v>252</v>
      </c>
      <c r="J1539" s="32" t="s">
        <v>253</v>
      </c>
      <c r="K1539" s="32" t="s">
        <v>266</v>
      </c>
      <c r="L1539" s="32" t="s">
        <v>671</v>
      </c>
      <c r="M1539" s="32" t="s">
        <v>255</v>
      </c>
      <c r="N1539" s="32" t="s">
        <v>268</v>
      </c>
      <c r="O1539" s="32" t="s">
        <v>269</v>
      </c>
      <c r="P1539" s="40" t="str">
        <f aca="false">_xlfn.CONCAT(B1539,C1539,D1539,E1539,F1539)</f>
        <v>BC Ibiuna 1.1Inverter(MBUS-14)46053.577083333346053.577083333346053.6013888889</v>
      </c>
      <c r="Q1539" s="32" t="str">
        <f aca="false">_xlfn.CONCAT(H1539,I1539,J1539)</f>
        <v>DAURDE</v>
      </c>
    </row>
    <row r="1540" customFormat="false" ht="15" hidden="false" customHeight="false" outlineLevel="0" collapsed="false">
      <c r="B1540" s="32" t="s">
        <v>323</v>
      </c>
      <c r="C1540" s="32" t="s">
        <v>328</v>
      </c>
      <c r="D1540" s="33" t="n">
        <v>46053.5770833333</v>
      </c>
      <c r="E1540" s="33" t="n">
        <v>46053.5770833333</v>
      </c>
      <c r="F1540" s="33" t="n">
        <v>46053.6013888889</v>
      </c>
      <c r="G1540" s="34" t="n">
        <f aca="false">F1540-E1540</f>
        <v>0.0243055555555556</v>
      </c>
      <c r="H1540" s="32" t="s">
        <v>252</v>
      </c>
      <c r="J1540" s="32" t="s">
        <v>253</v>
      </c>
      <c r="K1540" s="32" t="s">
        <v>266</v>
      </c>
      <c r="L1540" s="32" t="s">
        <v>671</v>
      </c>
      <c r="M1540" s="32" t="s">
        <v>255</v>
      </c>
      <c r="N1540" s="32" t="s">
        <v>268</v>
      </c>
      <c r="O1540" s="32" t="s">
        <v>269</v>
      </c>
      <c r="P1540" s="40" t="str">
        <f aca="false">_xlfn.CONCAT(B1540,C1540,D1540,E1540,F1540)</f>
        <v>BC Ibiuna 1.1Inverter(MBUS-15)46053.577083333346053.577083333346053.6013888889</v>
      </c>
      <c r="Q1540" s="32" t="str">
        <f aca="false">_xlfn.CONCAT(H1540,I1540,J1540)</f>
        <v>DAURDE</v>
      </c>
    </row>
    <row r="1541" customFormat="false" ht="15" hidden="false" customHeight="false" outlineLevel="0" collapsed="false">
      <c r="B1541" s="32" t="s">
        <v>329</v>
      </c>
      <c r="C1541" s="32" t="s">
        <v>324</v>
      </c>
      <c r="D1541" s="33" t="n">
        <v>46053.5770833333</v>
      </c>
      <c r="E1541" s="33" t="n">
        <v>46053.5770833333</v>
      </c>
      <c r="F1541" s="33" t="n">
        <v>46053.6013888889</v>
      </c>
      <c r="G1541" s="34" t="n">
        <f aca="false">F1541-E1541</f>
        <v>0.0243055555555556</v>
      </c>
      <c r="H1541" s="32" t="s">
        <v>252</v>
      </c>
      <c r="J1541" s="32" t="s">
        <v>253</v>
      </c>
      <c r="K1541" s="32" t="s">
        <v>266</v>
      </c>
      <c r="L1541" s="32" t="s">
        <v>671</v>
      </c>
      <c r="M1541" s="32" t="s">
        <v>255</v>
      </c>
      <c r="N1541" s="32" t="s">
        <v>268</v>
      </c>
      <c r="O1541" s="32" t="s">
        <v>269</v>
      </c>
      <c r="P1541" s="40" t="str">
        <f aca="false">_xlfn.CONCAT(B1541,C1541,D1541,E1541,F1541)</f>
        <v>BC Ibiuna 1.2Inverter(MBUS-12)46053.577083333346053.577083333346053.6013888889</v>
      </c>
      <c r="Q1541" s="32" t="str">
        <f aca="false">_xlfn.CONCAT(H1541,I1541,J1541)</f>
        <v>DAURDE</v>
      </c>
    </row>
    <row r="1542" customFormat="false" ht="15" hidden="false" customHeight="false" outlineLevel="0" collapsed="false">
      <c r="B1542" s="32" t="s">
        <v>329</v>
      </c>
      <c r="C1542" s="32" t="s">
        <v>326</v>
      </c>
      <c r="D1542" s="33" t="n">
        <v>46053.5770833333</v>
      </c>
      <c r="E1542" s="33" t="n">
        <v>46053.5770833333</v>
      </c>
      <c r="F1542" s="33" t="n">
        <v>46053.6013888889</v>
      </c>
      <c r="G1542" s="34" t="n">
        <f aca="false">F1542-E1542</f>
        <v>0.0243055555555556</v>
      </c>
      <c r="H1542" s="32" t="s">
        <v>252</v>
      </c>
      <c r="J1542" s="32" t="s">
        <v>253</v>
      </c>
      <c r="K1542" s="32" t="s">
        <v>266</v>
      </c>
      <c r="L1542" s="32" t="s">
        <v>671</v>
      </c>
      <c r="M1542" s="32" t="s">
        <v>255</v>
      </c>
      <c r="N1542" s="32" t="s">
        <v>268</v>
      </c>
      <c r="O1542" s="32" t="s">
        <v>269</v>
      </c>
      <c r="P1542" s="40" t="str">
        <f aca="false">_xlfn.CONCAT(B1542,C1542,D1542,E1542,F1542)</f>
        <v>BC Ibiuna 1.2Inverter(MBUS-13)46053.577083333346053.577083333346053.6013888889</v>
      </c>
      <c r="Q1542" s="32" t="str">
        <f aca="false">_xlfn.CONCAT(H1542,I1542,J1542)</f>
        <v>DAURDE</v>
      </c>
    </row>
    <row r="1543" customFormat="false" ht="15" hidden="false" customHeight="false" outlineLevel="0" collapsed="false">
      <c r="B1543" s="32" t="s">
        <v>329</v>
      </c>
      <c r="C1543" s="32" t="s">
        <v>327</v>
      </c>
      <c r="D1543" s="33" t="n">
        <v>46053.5770833333</v>
      </c>
      <c r="E1543" s="33" t="n">
        <v>46053.5770833333</v>
      </c>
      <c r="F1543" s="33" t="n">
        <v>46053.6013888889</v>
      </c>
      <c r="G1543" s="34" t="n">
        <f aca="false">F1543-E1543</f>
        <v>0.0243055555555556</v>
      </c>
      <c r="H1543" s="32" t="s">
        <v>252</v>
      </c>
      <c r="J1543" s="32" t="s">
        <v>253</v>
      </c>
      <c r="K1543" s="32" t="s">
        <v>266</v>
      </c>
      <c r="L1543" s="32" t="s">
        <v>671</v>
      </c>
      <c r="M1543" s="32" t="s">
        <v>255</v>
      </c>
      <c r="N1543" s="32" t="s">
        <v>268</v>
      </c>
      <c r="O1543" s="32" t="s">
        <v>269</v>
      </c>
      <c r="P1543" s="40" t="str">
        <f aca="false">_xlfn.CONCAT(B1543,C1543,D1543,E1543,F1543)</f>
        <v>BC Ibiuna 1.2Inverter(MBUS-14)46053.577083333346053.577083333346053.6013888889</v>
      </c>
      <c r="Q1543" s="32" t="str">
        <f aca="false">_xlfn.CONCAT(H1543,I1543,J1543)</f>
        <v>DAURDE</v>
      </c>
    </row>
    <row r="1544" customFormat="false" ht="15" hidden="false" customHeight="false" outlineLevel="0" collapsed="false">
      <c r="B1544" s="32" t="s">
        <v>329</v>
      </c>
      <c r="C1544" s="32" t="s">
        <v>328</v>
      </c>
      <c r="D1544" s="33" t="n">
        <v>46053.5770833333</v>
      </c>
      <c r="E1544" s="33" t="n">
        <v>46053.5770833333</v>
      </c>
      <c r="F1544" s="33" t="n">
        <v>46053.6013888889</v>
      </c>
      <c r="G1544" s="34" t="n">
        <f aca="false">F1544-E1544</f>
        <v>0.0243055555555556</v>
      </c>
      <c r="H1544" s="32" t="s">
        <v>252</v>
      </c>
      <c r="J1544" s="32" t="s">
        <v>253</v>
      </c>
      <c r="K1544" s="32" t="s">
        <v>266</v>
      </c>
      <c r="L1544" s="32" t="s">
        <v>671</v>
      </c>
      <c r="M1544" s="32" t="s">
        <v>255</v>
      </c>
      <c r="N1544" s="32" t="s">
        <v>268</v>
      </c>
      <c r="O1544" s="32" t="s">
        <v>269</v>
      </c>
      <c r="P1544" s="40" t="str">
        <f aca="false">_xlfn.CONCAT(B1544,C1544,D1544,E1544,F1544)</f>
        <v>BC Ibiuna 1.2Inverter(MBUS-15)46053.577083333346053.577083333346053.6013888889</v>
      </c>
      <c r="Q1544" s="32" t="str">
        <f aca="false">_xlfn.CONCAT(H1544,I1544,J1544)</f>
        <v>DAURDE</v>
      </c>
    </row>
    <row r="1545" customFormat="false" ht="15" hidden="false" customHeight="false" outlineLevel="0" collapsed="false">
      <c r="B1545" s="32" t="s">
        <v>139</v>
      </c>
      <c r="C1545" s="32" t="s">
        <v>282</v>
      </c>
      <c r="D1545" s="33" t="n">
        <v>46053.5979166667</v>
      </c>
      <c r="E1545" s="33" t="n">
        <v>46053.5979166667</v>
      </c>
      <c r="F1545" s="33" t="n">
        <v>46053.6458333333</v>
      </c>
      <c r="G1545" s="34" t="n">
        <f aca="false">F1545-E1545</f>
        <v>0.0479166666666667</v>
      </c>
      <c r="H1545" s="32" t="s">
        <v>283</v>
      </c>
      <c r="I1545" s="32" t="s">
        <v>284</v>
      </c>
      <c r="J1545" s="32" t="s">
        <v>285</v>
      </c>
      <c r="K1545" s="32" t="s">
        <v>286</v>
      </c>
      <c r="L1545" s="32" t="s">
        <v>287</v>
      </c>
      <c r="M1545" s="32" t="s">
        <v>288</v>
      </c>
      <c r="N1545" s="32" t="s">
        <v>289</v>
      </c>
      <c r="O1545" s="32" t="s">
        <v>290</v>
      </c>
      <c r="P1545" s="40" t="str">
        <f aca="false">_xlfn.CONCAT(B1545,C1545,D1545,E1545,F1545)</f>
        <v>BC Rio Bonito2INV-00146053.597916666746053.597916666746053.6458333333</v>
      </c>
      <c r="Q1545" s="32" t="str">
        <f aca="false">_xlfn.CONCAT(H1545,I1545,J1545)</f>
        <v>LIGRFOCOM</v>
      </c>
    </row>
    <row r="1546" customFormat="false" ht="15" hidden="false" customHeight="false" outlineLevel="0" collapsed="false">
      <c r="B1546" s="32" t="s">
        <v>139</v>
      </c>
      <c r="C1546" s="32" t="s">
        <v>291</v>
      </c>
      <c r="D1546" s="33" t="n">
        <v>46053.5979166667</v>
      </c>
      <c r="E1546" s="33" t="n">
        <v>46053.5979166667</v>
      </c>
      <c r="F1546" s="33" t="n">
        <v>46053.6458333333</v>
      </c>
      <c r="G1546" s="34" t="n">
        <f aca="false">F1546-E1546</f>
        <v>0.0479166666666667</v>
      </c>
      <c r="H1546" s="32" t="s">
        <v>283</v>
      </c>
      <c r="I1546" s="32" t="s">
        <v>284</v>
      </c>
      <c r="J1546" s="32" t="s">
        <v>285</v>
      </c>
      <c r="K1546" s="32" t="s">
        <v>286</v>
      </c>
      <c r="L1546" s="32" t="s">
        <v>287</v>
      </c>
      <c r="M1546" s="32" t="s">
        <v>288</v>
      </c>
      <c r="N1546" s="32" t="s">
        <v>289</v>
      </c>
      <c r="O1546" s="32" t="s">
        <v>290</v>
      </c>
      <c r="P1546" s="40" t="str">
        <f aca="false">_xlfn.CONCAT(B1546,C1546,D1546,E1546,F1546)</f>
        <v>BC Rio Bonito2INV-00246053.597916666746053.597916666746053.6458333333</v>
      </c>
      <c r="Q1546" s="32" t="str">
        <f aca="false">_xlfn.CONCAT(H1546,I1546,J1546)</f>
        <v>LIGRFOCOM</v>
      </c>
    </row>
    <row r="1547" customFormat="false" ht="15" hidden="false" customHeight="false" outlineLevel="0" collapsed="false">
      <c r="B1547" s="32" t="s">
        <v>139</v>
      </c>
      <c r="C1547" s="32" t="s">
        <v>292</v>
      </c>
      <c r="D1547" s="33" t="n">
        <v>46053.5979166667</v>
      </c>
      <c r="E1547" s="33" t="n">
        <v>46053.5979166667</v>
      </c>
      <c r="F1547" s="33" t="n">
        <v>46053.6458333333</v>
      </c>
      <c r="G1547" s="34" t="n">
        <f aca="false">F1547-E1547</f>
        <v>0.0479166666666667</v>
      </c>
      <c r="H1547" s="32" t="s">
        <v>283</v>
      </c>
      <c r="I1547" s="32" t="s">
        <v>284</v>
      </c>
      <c r="J1547" s="32" t="s">
        <v>285</v>
      </c>
      <c r="K1547" s="32" t="s">
        <v>286</v>
      </c>
      <c r="L1547" s="32" t="s">
        <v>287</v>
      </c>
      <c r="M1547" s="32" t="s">
        <v>288</v>
      </c>
      <c r="N1547" s="32" t="s">
        <v>289</v>
      </c>
      <c r="O1547" s="32" t="s">
        <v>290</v>
      </c>
      <c r="P1547" s="40" t="str">
        <f aca="false">_xlfn.CONCAT(B1547,C1547,D1547,E1547,F1547)</f>
        <v>BC Rio Bonito2INV-00346053.597916666746053.597916666746053.6458333333</v>
      </c>
      <c r="Q1547" s="32" t="str">
        <f aca="false">_xlfn.CONCAT(H1547,I1547,J1547)</f>
        <v>LIGRFOCOM</v>
      </c>
    </row>
    <row r="1548" customFormat="false" ht="15" hidden="false" customHeight="false" outlineLevel="0" collapsed="false">
      <c r="B1548" s="32" t="s">
        <v>139</v>
      </c>
      <c r="C1548" s="32" t="s">
        <v>293</v>
      </c>
      <c r="D1548" s="33" t="n">
        <v>46053.5979166667</v>
      </c>
      <c r="E1548" s="33" t="n">
        <v>46053.5979166667</v>
      </c>
      <c r="F1548" s="33" t="n">
        <v>46053.6458333333</v>
      </c>
      <c r="G1548" s="34" t="n">
        <f aca="false">F1548-E1548</f>
        <v>0.0479166666666667</v>
      </c>
      <c r="H1548" s="32" t="s">
        <v>283</v>
      </c>
      <c r="I1548" s="32" t="s">
        <v>284</v>
      </c>
      <c r="J1548" s="32" t="s">
        <v>285</v>
      </c>
      <c r="K1548" s="32" t="s">
        <v>286</v>
      </c>
      <c r="L1548" s="32" t="s">
        <v>287</v>
      </c>
      <c r="M1548" s="32" t="s">
        <v>288</v>
      </c>
      <c r="N1548" s="32" t="s">
        <v>289</v>
      </c>
      <c r="O1548" s="32" t="s">
        <v>290</v>
      </c>
      <c r="P1548" s="40" t="str">
        <f aca="false">_xlfn.CONCAT(B1548,C1548,D1548,E1548,F1548)</f>
        <v>BC Rio Bonito2INV-00446053.597916666746053.597916666746053.6458333333</v>
      </c>
      <c r="Q1548" s="32" t="str">
        <f aca="false">_xlfn.CONCAT(H1548,I1548,J1548)</f>
        <v>LIGRFOCOM</v>
      </c>
    </row>
    <row r="1549" customFormat="false" ht="15" hidden="false" customHeight="false" outlineLevel="0" collapsed="false">
      <c r="B1549" s="32" t="s">
        <v>136</v>
      </c>
      <c r="C1549" s="32" t="s">
        <v>672</v>
      </c>
      <c r="D1549" s="33" t="n">
        <v>46053.5979166667</v>
      </c>
      <c r="E1549" s="33" t="n">
        <v>46053.5979166667</v>
      </c>
      <c r="F1549" s="33" t="n">
        <v>46053.6458333333</v>
      </c>
      <c r="G1549" s="34" t="n">
        <f aca="false">F1549-E1549</f>
        <v>0.0479166666666667</v>
      </c>
      <c r="H1549" s="32" t="s">
        <v>252</v>
      </c>
      <c r="J1549" s="32" t="s">
        <v>253</v>
      </c>
      <c r="K1549" s="32" t="s">
        <v>266</v>
      </c>
      <c r="L1549" s="32" t="s">
        <v>673</v>
      </c>
      <c r="M1549" s="32" t="s">
        <v>255</v>
      </c>
      <c r="N1549" s="32" t="s">
        <v>268</v>
      </c>
      <c r="O1549" s="32" t="s">
        <v>269</v>
      </c>
      <c r="P1549" s="40" t="str">
        <f aca="false">_xlfn.CONCAT(B1549,C1549,D1549,E1549,F1549)</f>
        <v>BC Rio Bonito1SG36KTL-M-17_001_01746053.597916666746053.597916666746053.6458333333</v>
      </c>
      <c r="Q1549" s="32" t="str">
        <f aca="false">_xlfn.CONCAT(H1549,I1549,J1549)</f>
        <v>DAURDE</v>
      </c>
    </row>
    <row r="1550" customFormat="false" ht="15" hidden="false" customHeight="false" outlineLevel="0" collapsed="false">
      <c r="B1550" s="32" t="s">
        <v>136</v>
      </c>
      <c r="C1550" s="32" t="s">
        <v>674</v>
      </c>
      <c r="D1550" s="33" t="n">
        <v>46053.5979166667</v>
      </c>
      <c r="E1550" s="33" t="n">
        <v>46053.5979166667</v>
      </c>
      <c r="F1550" s="33" t="n">
        <v>46053.6458333333</v>
      </c>
      <c r="G1550" s="34" t="n">
        <f aca="false">F1550-E1550</f>
        <v>0.0479166666666667</v>
      </c>
      <c r="H1550" s="32" t="s">
        <v>252</v>
      </c>
      <c r="J1550" s="32" t="s">
        <v>253</v>
      </c>
      <c r="K1550" s="32" t="s">
        <v>266</v>
      </c>
      <c r="L1550" s="32" t="s">
        <v>673</v>
      </c>
      <c r="M1550" s="32" t="s">
        <v>255</v>
      </c>
      <c r="N1550" s="32" t="s">
        <v>268</v>
      </c>
      <c r="O1550" s="32" t="s">
        <v>269</v>
      </c>
      <c r="P1550" s="40" t="str">
        <f aca="false">_xlfn.CONCAT(B1550,C1550,D1550,E1550,F1550)</f>
        <v>BC Rio Bonito1SG60KTL-10_001_01046053.597916666746053.597916666746053.6458333333</v>
      </c>
      <c r="Q1550" s="32" t="str">
        <f aca="false">_xlfn.CONCAT(H1550,I1550,J1550)</f>
        <v>DAURDE</v>
      </c>
    </row>
    <row r="1551" customFormat="false" ht="15" hidden="false" customHeight="false" outlineLevel="0" collapsed="false">
      <c r="B1551" s="32" t="s">
        <v>136</v>
      </c>
      <c r="C1551" s="32" t="s">
        <v>675</v>
      </c>
      <c r="D1551" s="33" t="n">
        <v>46053.5979166667</v>
      </c>
      <c r="E1551" s="33" t="n">
        <v>46053.5979166667</v>
      </c>
      <c r="F1551" s="33" t="n">
        <v>46053.6458333333</v>
      </c>
      <c r="G1551" s="34" t="n">
        <f aca="false">F1551-E1551</f>
        <v>0.0479166666666667</v>
      </c>
      <c r="H1551" s="32" t="s">
        <v>252</v>
      </c>
      <c r="J1551" s="32" t="s">
        <v>253</v>
      </c>
      <c r="K1551" s="32" t="s">
        <v>266</v>
      </c>
      <c r="L1551" s="32" t="s">
        <v>673</v>
      </c>
      <c r="M1551" s="32" t="s">
        <v>255</v>
      </c>
      <c r="N1551" s="32" t="s">
        <v>268</v>
      </c>
      <c r="O1551" s="32" t="s">
        <v>269</v>
      </c>
      <c r="P1551" s="40" t="str">
        <f aca="false">_xlfn.CONCAT(B1551,C1551,D1551,E1551,F1551)</f>
        <v>BC Rio Bonito1SG60KTL-11_001_01146053.597916666746053.597916666746053.6458333333</v>
      </c>
      <c r="Q1551" s="32" t="str">
        <f aca="false">_xlfn.CONCAT(H1551,I1551,J1551)</f>
        <v>DAURDE</v>
      </c>
    </row>
    <row r="1552" customFormat="false" ht="15" hidden="false" customHeight="false" outlineLevel="0" collapsed="false">
      <c r="B1552" s="32" t="s">
        <v>136</v>
      </c>
      <c r="C1552" s="32" t="s">
        <v>676</v>
      </c>
      <c r="D1552" s="33" t="n">
        <v>46053.5979166667</v>
      </c>
      <c r="E1552" s="33" t="n">
        <v>46053.5979166667</v>
      </c>
      <c r="F1552" s="33" t="n">
        <v>46053.6458333333</v>
      </c>
      <c r="G1552" s="34" t="n">
        <f aca="false">F1552-E1552</f>
        <v>0.0479166666666667</v>
      </c>
      <c r="H1552" s="32" t="s">
        <v>252</v>
      </c>
      <c r="J1552" s="32" t="s">
        <v>253</v>
      </c>
      <c r="K1552" s="32" t="s">
        <v>266</v>
      </c>
      <c r="L1552" s="32" t="s">
        <v>673</v>
      </c>
      <c r="M1552" s="32" t="s">
        <v>255</v>
      </c>
      <c r="N1552" s="32" t="s">
        <v>268</v>
      </c>
      <c r="O1552" s="32" t="s">
        <v>269</v>
      </c>
      <c r="P1552" s="40" t="str">
        <f aca="false">_xlfn.CONCAT(B1552,C1552,D1552,E1552,F1552)</f>
        <v>BC Rio Bonito1SG60KTL-12_001_01246053.597916666746053.597916666746053.6458333333</v>
      </c>
      <c r="Q1552" s="32" t="str">
        <f aca="false">_xlfn.CONCAT(H1552,I1552,J1552)</f>
        <v>DAURDE</v>
      </c>
    </row>
    <row r="1553" customFormat="false" ht="15" hidden="false" customHeight="false" outlineLevel="0" collapsed="false">
      <c r="B1553" s="32" t="s">
        <v>136</v>
      </c>
      <c r="C1553" s="32" t="s">
        <v>677</v>
      </c>
      <c r="D1553" s="33" t="n">
        <v>46053.5979166667</v>
      </c>
      <c r="E1553" s="33" t="n">
        <v>46053.5979166667</v>
      </c>
      <c r="F1553" s="33" t="n">
        <v>46053.6458333333</v>
      </c>
      <c r="G1553" s="34" t="n">
        <f aca="false">F1553-E1553</f>
        <v>0.0479166666666667</v>
      </c>
      <c r="H1553" s="32" t="s">
        <v>252</v>
      </c>
      <c r="J1553" s="32" t="s">
        <v>253</v>
      </c>
      <c r="K1553" s="32" t="s">
        <v>266</v>
      </c>
      <c r="L1553" s="32" t="s">
        <v>673</v>
      </c>
      <c r="M1553" s="32" t="s">
        <v>255</v>
      </c>
      <c r="N1553" s="32" t="s">
        <v>268</v>
      </c>
      <c r="O1553" s="32" t="s">
        <v>269</v>
      </c>
      <c r="P1553" s="40" t="str">
        <f aca="false">_xlfn.CONCAT(B1553,C1553,D1553,E1553,F1553)</f>
        <v>BC Rio Bonito1SG60KTL-13_001_01346053.597916666746053.597916666746053.6458333333</v>
      </c>
      <c r="Q1553" s="32" t="str">
        <f aca="false">_xlfn.CONCAT(H1553,I1553,J1553)</f>
        <v>DAURDE</v>
      </c>
    </row>
    <row r="1554" customFormat="false" ht="15" hidden="false" customHeight="false" outlineLevel="0" collapsed="false">
      <c r="B1554" s="32" t="s">
        <v>136</v>
      </c>
      <c r="C1554" s="32" t="s">
        <v>678</v>
      </c>
      <c r="D1554" s="33" t="n">
        <v>46053.5979166667</v>
      </c>
      <c r="E1554" s="33" t="n">
        <v>46053.5979166667</v>
      </c>
      <c r="F1554" s="33" t="n">
        <v>46053.6458333333</v>
      </c>
      <c r="G1554" s="34" t="n">
        <f aca="false">F1554-E1554</f>
        <v>0.0479166666666667</v>
      </c>
      <c r="H1554" s="32" t="s">
        <v>252</v>
      </c>
      <c r="J1554" s="32" t="s">
        <v>253</v>
      </c>
      <c r="K1554" s="32" t="s">
        <v>266</v>
      </c>
      <c r="L1554" s="32" t="s">
        <v>673</v>
      </c>
      <c r="M1554" s="32" t="s">
        <v>255</v>
      </c>
      <c r="N1554" s="32" t="s">
        <v>268</v>
      </c>
      <c r="O1554" s="32" t="s">
        <v>269</v>
      </c>
      <c r="P1554" s="40" t="str">
        <f aca="false">_xlfn.CONCAT(B1554,C1554,D1554,E1554,F1554)</f>
        <v>BC Rio Bonito1SG60KTL-14_001_01446053.597916666746053.597916666746053.6458333333</v>
      </c>
      <c r="Q1554" s="32" t="str">
        <f aca="false">_xlfn.CONCAT(H1554,I1554,J1554)</f>
        <v>DAURDE</v>
      </c>
    </row>
    <row r="1555" customFormat="false" ht="15" hidden="false" customHeight="false" outlineLevel="0" collapsed="false">
      <c r="B1555" s="32" t="s">
        <v>136</v>
      </c>
      <c r="C1555" s="32" t="s">
        <v>679</v>
      </c>
      <c r="D1555" s="33" t="n">
        <v>46053.5979166667</v>
      </c>
      <c r="E1555" s="33" t="n">
        <v>46053.5979166667</v>
      </c>
      <c r="F1555" s="33" t="n">
        <v>46053.6458333333</v>
      </c>
      <c r="G1555" s="34" t="n">
        <f aca="false">F1555-E1555</f>
        <v>0.0479166666666667</v>
      </c>
      <c r="H1555" s="32" t="s">
        <v>252</v>
      </c>
      <c r="J1555" s="32" t="s">
        <v>253</v>
      </c>
      <c r="K1555" s="32" t="s">
        <v>266</v>
      </c>
      <c r="L1555" s="32" t="s">
        <v>673</v>
      </c>
      <c r="M1555" s="32" t="s">
        <v>255</v>
      </c>
      <c r="N1555" s="32" t="s">
        <v>268</v>
      </c>
      <c r="O1555" s="32" t="s">
        <v>269</v>
      </c>
      <c r="P1555" s="40" t="str">
        <f aca="false">_xlfn.CONCAT(B1555,C1555,D1555,E1555,F1555)</f>
        <v>BC Rio Bonito1SG60KTL-15_001_01546053.597916666746053.597916666746053.6458333333</v>
      </c>
      <c r="Q1555" s="32" t="str">
        <f aca="false">_xlfn.CONCAT(H1555,I1555,J1555)</f>
        <v>DAURDE</v>
      </c>
    </row>
    <row r="1556" customFormat="false" ht="15" hidden="false" customHeight="false" outlineLevel="0" collapsed="false">
      <c r="B1556" s="32" t="s">
        <v>136</v>
      </c>
      <c r="C1556" s="32" t="s">
        <v>680</v>
      </c>
      <c r="D1556" s="33" t="n">
        <v>46053.5979166667</v>
      </c>
      <c r="E1556" s="33" t="n">
        <v>46053.5979166667</v>
      </c>
      <c r="F1556" s="33" t="n">
        <v>46053.6458333333</v>
      </c>
      <c r="G1556" s="34" t="n">
        <f aca="false">F1556-E1556</f>
        <v>0.0479166666666667</v>
      </c>
      <c r="H1556" s="32" t="s">
        <v>252</v>
      </c>
      <c r="J1556" s="32" t="s">
        <v>253</v>
      </c>
      <c r="K1556" s="32" t="s">
        <v>266</v>
      </c>
      <c r="L1556" s="32" t="s">
        <v>673</v>
      </c>
      <c r="M1556" s="32" t="s">
        <v>255</v>
      </c>
      <c r="N1556" s="32" t="s">
        <v>268</v>
      </c>
      <c r="O1556" s="32" t="s">
        <v>269</v>
      </c>
      <c r="P1556" s="40" t="str">
        <f aca="false">_xlfn.CONCAT(B1556,C1556,D1556,E1556,F1556)</f>
        <v>BC Rio Bonito1SG60KTL-16_001_01646053.597916666746053.597916666746053.6458333333</v>
      </c>
      <c r="Q1556" s="32" t="str">
        <f aca="false">_xlfn.CONCAT(H1556,I1556,J1556)</f>
        <v>DAURDE</v>
      </c>
    </row>
    <row r="1557" customFormat="false" ht="15" hidden="false" customHeight="false" outlineLevel="0" collapsed="false">
      <c r="B1557" s="32" t="s">
        <v>136</v>
      </c>
      <c r="C1557" s="32" t="s">
        <v>681</v>
      </c>
      <c r="D1557" s="33" t="n">
        <v>46053.5979166667</v>
      </c>
      <c r="E1557" s="33" t="n">
        <v>46053.5979166667</v>
      </c>
      <c r="F1557" s="33" t="n">
        <v>46053.6458333333</v>
      </c>
      <c r="G1557" s="34" t="n">
        <f aca="false">F1557-E1557</f>
        <v>0.0479166666666667</v>
      </c>
      <c r="H1557" s="32" t="s">
        <v>252</v>
      </c>
      <c r="J1557" s="32" t="s">
        <v>253</v>
      </c>
      <c r="K1557" s="32" t="s">
        <v>266</v>
      </c>
      <c r="L1557" s="32" t="s">
        <v>673</v>
      </c>
      <c r="M1557" s="32" t="s">
        <v>255</v>
      </c>
      <c r="N1557" s="32" t="s">
        <v>268</v>
      </c>
      <c r="O1557" s="32" t="s">
        <v>269</v>
      </c>
      <c r="P1557" s="40" t="str">
        <f aca="false">_xlfn.CONCAT(B1557,C1557,D1557,E1557,F1557)</f>
        <v>BC Rio Bonito1SG60KTL-1_001_00146053.597916666746053.597916666746053.6458333333</v>
      </c>
      <c r="Q1557" s="32" t="str">
        <f aca="false">_xlfn.CONCAT(H1557,I1557,J1557)</f>
        <v>DAURDE</v>
      </c>
    </row>
    <row r="1558" customFormat="false" ht="15" hidden="false" customHeight="false" outlineLevel="0" collapsed="false">
      <c r="B1558" s="32" t="s">
        <v>136</v>
      </c>
      <c r="C1558" s="32" t="s">
        <v>682</v>
      </c>
      <c r="D1558" s="33" t="n">
        <v>46053.5979166667</v>
      </c>
      <c r="E1558" s="33" t="n">
        <v>46053.5979166667</v>
      </c>
      <c r="F1558" s="33" t="n">
        <v>46053.6458333333</v>
      </c>
      <c r="G1558" s="34" t="n">
        <f aca="false">F1558-E1558</f>
        <v>0.0479166666666667</v>
      </c>
      <c r="H1558" s="32" t="s">
        <v>252</v>
      </c>
      <c r="J1558" s="32" t="s">
        <v>253</v>
      </c>
      <c r="K1558" s="32" t="s">
        <v>266</v>
      </c>
      <c r="L1558" s="32" t="s">
        <v>673</v>
      </c>
      <c r="M1558" s="32" t="s">
        <v>255</v>
      </c>
      <c r="N1558" s="32" t="s">
        <v>268</v>
      </c>
      <c r="O1558" s="32" t="s">
        <v>269</v>
      </c>
      <c r="P1558" s="32" t="str">
        <f aca="false">_xlfn.CONCAT(B1558,C1558,D1558,E1558,F1558)</f>
        <v>BC Rio Bonito1SG60KTL-2_001_00246053.597916666746053.597916666746053.6458333333</v>
      </c>
      <c r="Q1558" s="32" t="str">
        <f aca="false">_xlfn.CONCAT(H1558,I1558,J1558)</f>
        <v>DAURDE</v>
      </c>
    </row>
    <row r="1559" customFormat="false" ht="15" hidden="false" customHeight="false" outlineLevel="0" collapsed="false">
      <c r="B1559" s="32" t="s">
        <v>136</v>
      </c>
      <c r="C1559" s="32" t="s">
        <v>683</v>
      </c>
      <c r="D1559" s="33" t="n">
        <v>46053.5979166667</v>
      </c>
      <c r="E1559" s="33" t="n">
        <v>46053.5979166667</v>
      </c>
      <c r="F1559" s="33" t="n">
        <v>46053.6458333333</v>
      </c>
      <c r="G1559" s="34" t="n">
        <f aca="false">F1559-E1559</f>
        <v>0.0479166666666667</v>
      </c>
      <c r="H1559" s="32" t="s">
        <v>252</v>
      </c>
      <c r="J1559" s="32" t="s">
        <v>253</v>
      </c>
      <c r="K1559" s="32" t="s">
        <v>266</v>
      </c>
      <c r="L1559" s="32" t="s">
        <v>673</v>
      </c>
      <c r="M1559" s="32" t="s">
        <v>255</v>
      </c>
      <c r="N1559" s="32" t="s">
        <v>268</v>
      </c>
      <c r="O1559" s="32" t="s">
        <v>269</v>
      </c>
      <c r="P1559" s="32" t="str">
        <f aca="false">_xlfn.CONCAT(B1559,C1559,D1559,E1559,F1559)</f>
        <v>BC Rio Bonito1SG60KTL-3_001_00346053.597916666746053.597916666746053.6458333333</v>
      </c>
      <c r="Q1559" s="32" t="str">
        <f aca="false">_xlfn.CONCAT(H1559,I1559,J1559)</f>
        <v>DAURDE</v>
      </c>
    </row>
    <row r="1560" customFormat="false" ht="15" hidden="false" customHeight="false" outlineLevel="0" collapsed="false">
      <c r="B1560" s="32" t="s">
        <v>136</v>
      </c>
      <c r="C1560" s="32" t="s">
        <v>684</v>
      </c>
      <c r="D1560" s="33" t="n">
        <v>46053.5979166667</v>
      </c>
      <c r="E1560" s="33" t="n">
        <v>46053.5979166667</v>
      </c>
      <c r="F1560" s="33" t="n">
        <v>46053.6458333333</v>
      </c>
      <c r="G1560" s="34" t="n">
        <f aca="false">F1560-E1560</f>
        <v>0.0479166666666667</v>
      </c>
      <c r="H1560" s="32" t="s">
        <v>252</v>
      </c>
      <c r="J1560" s="32" t="s">
        <v>253</v>
      </c>
      <c r="K1560" s="32" t="s">
        <v>266</v>
      </c>
      <c r="L1560" s="32" t="s">
        <v>673</v>
      </c>
      <c r="M1560" s="32" t="s">
        <v>255</v>
      </c>
      <c r="N1560" s="32" t="s">
        <v>268</v>
      </c>
      <c r="O1560" s="32" t="s">
        <v>269</v>
      </c>
      <c r="P1560" s="32" t="str">
        <f aca="false">_xlfn.CONCAT(B1560,C1560,D1560,E1560,F1560)</f>
        <v>BC Rio Bonito1SG60KTL-4_001_00446053.597916666746053.597916666746053.6458333333</v>
      </c>
      <c r="Q1560" s="32" t="str">
        <f aca="false">_xlfn.CONCAT(H1560,I1560,J1560)</f>
        <v>DAURDE</v>
      </c>
    </row>
    <row r="1561" customFormat="false" ht="15" hidden="false" customHeight="false" outlineLevel="0" collapsed="false">
      <c r="B1561" s="32" t="s">
        <v>136</v>
      </c>
      <c r="C1561" s="32" t="s">
        <v>685</v>
      </c>
      <c r="D1561" s="33" t="n">
        <v>46053.5979166667</v>
      </c>
      <c r="E1561" s="33" t="n">
        <v>46053.5979166667</v>
      </c>
      <c r="F1561" s="33" t="n">
        <v>46053.6458333333</v>
      </c>
      <c r="G1561" s="34" t="n">
        <f aca="false">F1561-E1561</f>
        <v>0.0479166666666667</v>
      </c>
      <c r="H1561" s="32" t="s">
        <v>252</v>
      </c>
      <c r="J1561" s="32" t="s">
        <v>253</v>
      </c>
      <c r="K1561" s="32" t="s">
        <v>266</v>
      </c>
      <c r="L1561" s="32" t="s">
        <v>673</v>
      </c>
      <c r="M1561" s="32" t="s">
        <v>255</v>
      </c>
      <c r="N1561" s="32" t="s">
        <v>268</v>
      </c>
      <c r="O1561" s="32" t="s">
        <v>269</v>
      </c>
      <c r="P1561" s="32" t="str">
        <f aca="false">_xlfn.CONCAT(B1561,C1561,D1561,E1561,F1561)</f>
        <v>BC Rio Bonito1SG60KTL-5_001_00546053.597916666746053.597916666746053.6458333333</v>
      </c>
      <c r="Q1561" s="32" t="str">
        <f aca="false">_xlfn.CONCAT(H1561,I1561,J1561)</f>
        <v>DAURDE</v>
      </c>
    </row>
    <row r="1562" customFormat="false" ht="15" hidden="false" customHeight="false" outlineLevel="0" collapsed="false">
      <c r="B1562" s="32" t="s">
        <v>136</v>
      </c>
      <c r="C1562" s="32" t="s">
        <v>686</v>
      </c>
      <c r="D1562" s="33" t="n">
        <v>46053.5979166667</v>
      </c>
      <c r="E1562" s="33" t="n">
        <v>46053.5979166667</v>
      </c>
      <c r="F1562" s="33" t="n">
        <v>46053.6458333333</v>
      </c>
      <c r="G1562" s="34" t="n">
        <f aca="false">F1562-E1562</f>
        <v>0.0479166666666667</v>
      </c>
      <c r="H1562" s="32" t="s">
        <v>252</v>
      </c>
      <c r="J1562" s="32" t="s">
        <v>253</v>
      </c>
      <c r="K1562" s="32" t="s">
        <v>266</v>
      </c>
      <c r="L1562" s="32" t="s">
        <v>673</v>
      </c>
      <c r="M1562" s="32" t="s">
        <v>255</v>
      </c>
      <c r="N1562" s="32" t="s">
        <v>268</v>
      </c>
      <c r="O1562" s="32" t="s">
        <v>269</v>
      </c>
      <c r="P1562" s="32" t="str">
        <f aca="false">_xlfn.CONCAT(B1562,C1562,D1562,E1562,F1562)</f>
        <v>BC Rio Bonito1SG60KTL-6_001_00646053.597916666746053.597916666746053.6458333333</v>
      </c>
      <c r="Q1562" s="32" t="str">
        <f aca="false">_xlfn.CONCAT(H1562,I1562,J1562)</f>
        <v>DAURDE</v>
      </c>
    </row>
    <row r="1563" customFormat="false" ht="15" hidden="false" customHeight="false" outlineLevel="0" collapsed="false">
      <c r="B1563" s="32" t="s">
        <v>136</v>
      </c>
      <c r="C1563" s="32" t="s">
        <v>687</v>
      </c>
      <c r="D1563" s="33" t="n">
        <v>46053.5979166667</v>
      </c>
      <c r="E1563" s="33" t="n">
        <v>46053.5979166667</v>
      </c>
      <c r="F1563" s="33" t="n">
        <v>46053.6458333333</v>
      </c>
      <c r="G1563" s="34" t="n">
        <f aca="false">F1563-E1563</f>
        <v>0.0479166666666667</v>
      </c>
      <c r="H1563" s="32" t="s">
        <v>252</v>
      </c>
      <c r="J1563" s="32" t="s">
        <v>253</v>
      </c>
      <c r="K1563" s="32" t="s">
        <v>266</v>
      </c>
      <c r="L1563" s="32" t="s">
        <v>673</v>
      </c>
      <c r="M1563" s="32" t="s">
        <v>255</v>
      </c>
      <c r="N1563" s="32" t="s">
        <v>268</v>
      </c>
      <c r="O1563" s="32" t="s">
        <v>269</v>
      </c>
      <c r="P1563" s="32" t="str">
        <f aca="false">_xlfn.CONCAT(B1563,C1563,D1563,E1563,F1563)</f>
        <v>BC Rio Bonito1SG60KTL-7_001_00746053.597916666746053.597916666746053.6458333333</v>
      </c>
      <c r="Q1563" s="32" t="str">
        <f aca="false">_xlfn.CONCAT(H1563,I1563,J1563)</f>
        <v>DAURDE</v>
      </c>
    </row>
    <row r="1564" customFormat="false" ht="15" hidden="false" customHeight="false" outlineLevel="0" collapsed="false">
      <c r="B1564" s="32" t="s">
        <v>136</v>
      </c>
      <c r="C1564" s="32" t="s">
        <v>688</v>
      </c>
      <c r="D1564" s="33" t="n">
        <v>46053.5979166667</v>
      </c>
      <c r="E1564" s="33" t="n">
        <v>46053.5979166667</v>
      </c>
      <c r="F1564" s="33" t="n">
        <v>46053.6458333333</v>
      </c>
      <c r="G1564" s="34" t="n">
        <f aca="false">F1564-E1564</f>
        <v>0.0479166666666667</v>
      </c>
      <c r="H1564" s="32" t="s">
        <v>252</v>
      </c>
      <c r="J1564" s="32" t="s">
        <v>253</v>
      </c>
      <c r="K1564" s="32" t="s">
        <v>266</v>
      </c>
      <c r="L1564" s="32" t="s">
        <v>673</v>
      </c>
      <c r="M1564" s="32" t="s">
        <v>255</v>
      </c>
      <c r="N1564" s="32" t="s">
        <v>268</v>
      </c>
      <c r="O1564" s="32" t="s">
        <v>269</v>
      </c>
      <c r="P1564" s="32" t="str">
        <f aca="false">_xlfn.CONCAT(B1564,C1564,D1564,E1564,F1564)</f>
        <v>BC Rio Bonito1SG60KTL-8_001_00846053.597916666746053.597916666746053.6458333333</v>
      </c>
      <c r="Q1564" s="32" t="str">
        <f aca="false">_xlfn.CONCAT(H1564,I1564,J1564)</f>
        <v>DAURDE</v>
      </c>
    </row>
    <row r="1565" customFormat="false" ht="15" hidden="false" customHeight="false" outlineLevel="0" collapsed="false">
      <c r="B1565" s="32" t="s">
        <v>136</v>
      </c>
      <c r="C1565" s="32" t="s">
        <v>689</v>
      </c>
      <c r="D1565" s="33" t="n">
        <v>46053.5979166667</v>
      </c>
      <c r="E1565" s="33" t="n">
        <v>46053.5979166667</v>
      </c>
      <c r="F1565" s="33" t="n">
        <v>46053.6458333333</v>
      </c>
      <c r="G1565" s="34" t="n">
        <f aca="false">F1565-E1565</f>
        <v>0.0479166666666667</v>
      </c>
      <c r="H1565" s="32" t="s">
        <v>252</v>
      </c>
      <c r="J1565" s="32" t="s">
        <v>253</v>
      </c>
      <c r="K1565" s="32" t="s">
        <v>266</v>
      </c>
      <c r="L1565" s="32" t="s">
        <v>673</v>
      </c>
      <c r="M1565" s="32" t="s">
        <v>255</v>
      </c>
      <c r="N1565" s="32" t="s">
        <v>268</v>
      </c>
      <c r="O1565" s="32" t="s">
        <v>269</v>
      </c>
      <c r="P1565" s="32" t="str">
        <f aca="false">_xlfn.CONCAT(B1565,C1565,D1565,E1565,F1565)</f>
        <v>BC Rio Bonito1SG60KTL-9_001_00946053.597916666746053.597916666746053.6458333333</v>
      </c>
      <c r="Q1565" s="32" t="str">
        <f aca="false">_xlfn.CONCAT(H1565,I1565,J1565)</f>
        <v>DAURDE</v>
      </c>
    </row>
    <row r="1566" customFormat="false" ht="15" hidden="false" customHeight="false" outlineLevel="0" collapsed="false">
      <c r="B1566" s="32" t="s">
        <v>339</v>
      </c>
      <c r="C1566" s="32" t="s">
        <v>324</v>
      </c>
      <c r="D1566" s="33" t="n">
        <v>46053.8958333333</v>
      </c>
      <c r="E1566" s="33" t="n">
        <v>46053.8958333333</v>
      </c>
      <c r="F1566" s="33" t="n">
        <v>46054.4479166667</v>
      </c>
      <c r="G1566" s="34" t="n">
        <f aca="false">F1566-E1566</f>
        <v>0.552083333333333</v>
      </c>
      <c r="H1566" s="32" t="s">
        <v>252</v>
      </c>
      <c r="J1566" s="32" t="s">
        <v>253</v>
      </c>
      <c r="K1566" s="32" t="s">
        <v>266</v>
      </c>
      <c r="L1566" s="32" t="s">
        <v>690</v>
      </c>
      <c r="M1566" s="32" t="s">
        <v>255</v>
      </c>
      <c r="N1566" s="32" t="s">
        <v>268</v>
      </c>
      <c r="O1566" s="32" t="s">
        <v>269</v>
      </c>
      <c r="P1566" s="32" t="str">
        <f aca="false">_xlfn.CONCAT(B1566,C1566,D1566,E1566,F1566)</f>
        <v>BC Formoso2.1Inverter(MBUS-12)46053.895833333346053.895833333346054.4479166667</v>
      </c>
      <c r="Q1566" s="32" t="str">
        <f aca="false">_xlfn.CONCAT(H1566,I1566,J1566)</f>
        <v>DAURDE</v>
      </c>
    </row>
    <row r="1567" customFormat="false" ht="15" hidden="false" customHeight="false" outlineLevel="0" collapsed="false">
      <c r="B1567" s="32" t="s">
        <v>339</v>
      </c>
      <c r="C1567" s="32" t="s">
        <v>327</v>
      </c>
      <c r="D1567" s="33" t="n">
        <v>46053.8958333333</v>
      </c>
      <c r="E1567" s="33" t="n">
        <v>46053.8958333333</v>
      </c>
      <c r="F1567" s="33" t="n">
        <v>46054.4479166667</v>
      </c>
      <c r="G1567" s="34" t="n">
        <f aca="false">F1567-E1567</f>
        <v>0.552083333333333</v>
      </c>
      <c r="H1567" s="32" t="s">
        <v>252</v>
      </c>
      <c r="J1567" s="32" t="s">
        <v>253</v>
      </c>
      <c r="K1567" s="32" t="s">
        <v>266</v>
      </c>
      <c r="L1567" s="32" t="s">
        <v>690</v>
      </c>
      <c r="M1567" s="32" t="s">
        <v>255</v>
      </c>
      <c r="N1567" s="32" t="s">
        <v>268</v>
      </c>
      <c r="O1567" s="32" t="s">
        <v>269</v>
      </c>
      <c r="P1567" s="32" t="str">
        <f aca="false">_xlfn.CONCAT(B1567,C1567,D1567,E1567,F1567)</f>
        <v>BC Formoso2.1Inverter(MBUS-14)46053.895833333346053.895833333346054.4479166667</v>
      </c>
      <c r="Q1567" s="32" t="str">
        <f aca="false">_xlfn.CONCAT(H1567,I1567,J1567)</f>
        <v>DAURDE</v>
      </c>
    </row>
    <row r="1568" customFormat="false" ht="15" hidden="false" customHeight="false" outlineLevel="0" collapsed="false">
      <c r="B1568" s="32" t="s">
        <v>339</v>
      </c>
      <c r="C1568" s="32" t="s">
        <v>326</v>
      </c>
      <c r="D1568" s="33" t="n">
        <v>46053.8958333333</v>
      </c>
      <c r="E1568" s="33" t="n">
        <v>46053.8958333333</v>
      </c>
      <c r="F1568" s="33" t="n">
        <v>46054.4479166667</v>
      </c>
      <c r="G1568" s="34" t="n">
        <f aca="false">F1568-E1568</f>
        <v>0.552083333333333</v>
      </c>
      <c r="H1568" s="32" t="s">
        <v>252</v>
      </c>
      <c r="J1568" s="32" t="s">
        <v>253</v>
      </c>
      <c r="K1568" s="32" t="s">
        <v>266</v>
      </c>
      <c r="L1568" s="32" t="s">
        <v>690</v>
      </c>
      <c r="M1568" s="32" t="s">
        <v>255</v>
      </c>
      <c r="N1568" s="32" t="s">
        <v>268</v>
      </c>
      <c r="O1568" s="32" t="s">
        <v>269</v>
      </c>
      <c r="P1568" s="32" t="str">
        <f aca="false">_xlfn.CONCAT(B1568,C1568,D1568,E1568,F1568)</f>
        <v>BC Formoso2.1Inverter(MBUS-13)46053.895833333346053.895833333346054.4479166667</v>
      </c>
      <c r="Q1568" s="32" t="str">
        <f aca="false">_xlfn.CONCAT(H1568,I1568,J1568)</f>
        <v>DAURDE</v>
      </c>
    </row>
    <row r="1569" customFormat="false" ht="15" hidden="false" customHeight="false" outlineLevel="0" collapsed="false">
      <c r="B1569" s="32" t="s">
        <v>339</v>
      </c>
      <c r="C1569" s="32" t="s">
        <v>265</v>
      </c>
      <c r="D1569" s="33" t="n">
        <v>46053.8958333333</v>
      </c>
      <c r="E1569" s="33" t="n">
        <v>46053.8958333333</v>
      </c>
      <c r="F1569" s="33" t="n">
        <v>46054.4479166667</v>
      </c>
      <c r="G1569" s="34" t="n">
        <f aca="false">F1569-E1569</f>
        <v>0.552083333333333</v>
      </c>
      <c r="H1569" s="32" t="s">
        <v>252</v>
      </c>
      <c r="J1569" s="32" t="s">
        <v>253</v>
      </c>
      <c r="K1569" s="32" t="s">
        <v>266</v>
      </c>
      <c r="L1569" s="32" t="s">
        <v>690</v>
      </c>
      <c r="M1569" s="32" t="s">
        <v>255</v>
      </c>
      <c r="N1569" s="32" t="s">
        <v>268</v>
      </c>
      <c r="O1569" s="32" t="s">
        <v>269</v>
      </c>
      <c r="P1569" s="32" t="str">
        <f aca="false">_xlfn.CONCAT(B1569,C1569,D1569,E1569,F1569)</f>
        <v>BC Formoso2.1Inverter(MBUS-1)46053.895833333346053.895833333346054.4479166667</v>
      </c>
      <c r="Q1569" s="32" t="str">
        <f aca="false">_xlfn.CONCAT(H1569,I1569,J1569)</f>
        <v>DAURDE</v>
      </c>
    </row>
    <row r="1570" customFormat="false" ht="15" hidden="false" customHeight="false" outlineLevel="0" collapsed="false">
      <c r="B1570" s="32" t="s">
        <v>340</v>
      </c>
      <c r="C1570" s="32" t="s">
        <v>327</v>
      </c>
      <c r="D1570" s="33" t="n">
        <v>46053.8958333333</v>
      </c>
      <c r="E1570" s="33" t="n">
        <v>46053.8958333333</v>
      </c>
      <c r="F1570" s="33" t="n">
        <v>46054.4479166667</v>
      </c>
      <c r="G1570" s="34" t="n">
        <f aca="false">F1570-E1570</f>
        <v>0.552083333333333</v>
      </c>
      <c r="H1570" s="32" t="s">
        <v>252</v>
      </c>
      <c r="J1570" s="32" t="s">
        <v>253</v>
      </c>
      <c r="K1570" s="32" t="s">
        <v>266</v>
      </c>
      <c r="L1570" s="32" t="s">
        <v>690</v>
      </c>
      <c r="M1570" s="32" t="s">
        <v>255</v>
      </c>
      <c r="N1570" s="32" t="s">
        <v>268</v>
      </c>
      <c r="O1570" s="32" t="s">
        <v>269</v>
      </c>
      <c r="P1570" s="32" t="str">
        <f aca="false">_xlfn.CONCAT(B1570,C1570,D1570,E1570,F1570)</f>
        <v>BC Formoso2.2Inverter(MBUS-14)46053.895833333346053.895833333346054.4479166667</v>
      </c>
      <c r="Q1570" s="32" t="str">
        <f aca="false">_xlfn.CONCAT(H1570,I1570,J1570)</f>
        <v>DAURDE</v>
      </c>
    </row>
    <row r="1571" customFormat="false" ht="15" hidden="false" customHeight="false" outlineLevel="0" collapsed="false">
      <c r="B1571" s="32" t="s">
        <v>340</v>
      </c>
      <c r="C1571" s="32" t="s">
        <v>326</v>
      </c>
      <c r="D1571" s="33" t="n">
        <v>46053.8958333333</v>
      </c>
      <c r="E1571" s="33" t="n">
        <v>46053.8958333333</v>
      </c>
      <c r="F1571" s="33" t="n">
        <v>46054.4479166667</v>
      </c>
      <c r="G1571" s="34" t="n">
        <f aca="false">F1571-E1571</f>
        <v>0.552083333333333</v>
      </c>
      <c r="H1571" s="32" t="s">
        <v>252</v>
      </c>
      <c r="J1571" s="32" t="s">
        <v>253</v>
      </c>
      <c r="K1571" s="32" t="s">
        <v>266</v>
      </c>
      <c r="L1571" s="32" t="s">
        <v>690</v>
      </c>
      <c r="M1571" s="32" t="s">
        <v>255</v>
      </c>
      <c r="N1571" s="32" t="s">
        <v>268</v>
      </c>
      <c r="O1571" s="32" t="s">
        <v>269</v>
      </c>
      <c r="P1571" s="32" t="str">
        <f aca="false">_xlfn.CONCAT(B1571,C1571,D1571,E1571,F1571)</f>
        <v>BC Formoso2.2Inverter(MBUS-13)46053.895833333346053.895833333346054.4479166667</v>
      </c>
      <c r="Q1571" s="32" t="str">
        <f aca="false">_xlfn.CONCAT(H1571,I1571,J1571)</f>
        <v>DAURDE</v>
      </c>
    </row>
    <row r="1572" customFormat="false" ht="15" hidden="false" customHeight="false" outlineLevel="0" collapsed="false">
      <c r="B1572" s="32" t="s">
        <v>340</v>
      </c>
      <c r="C1572" s="32" t="s">
        <v>324</v>
      </c>
      <c r="D1572" s="33" t="n">
        <v>46053.8958333333</v>
      </c>
      <c r="E1572" s="33" t="n">
        <v>46053.8958333333</v>
      </c>
      <c r="F1572" s="33" t="n">
        <v>46054.4479166667</v>
      </c>
      <c r="G1572" s="34" t="n">
        <f aca="false">F1572-E1572</f>
        <v>0.552083333333333</v>
      </c>
      <c r="H1572" s="32" t="s">
        <v>252</v>
      </c>
      <c r="J1572" s="32" t="s">
        <v>253</v>
      </c>
      <c r="K1572" s="32" t="s">
        <v>266</v>
      </c>
      <c r="L1572" s="32" t="s">
        <v>690</v>
      </c>
      <c r="M1572" s="32" t="s">
        <v>255</v>
      </c>
      <c r="N1572" s="32" t="s">
        <v>268</v>
      </c>
      <c r="O1572" s="32" t="s">
        <v>269</v>
      </c>
      <c r="P1572" s="32" t="str">
        <f aca="false">_xlfn.CONCAT(B1572,C1572,D1572,E1572,F1572)</f>
        <v>BC Formoso2.2Inverter(MBUS-12)46053.895833333346053.895833333346054.4479166667</v>
      </c>
      <c r="Q1572" s="32" t="str">
        <f aca="false">_xlfn.CONCAT(H1572,I1572,J1572)</f>
        <v>DAURDE</v>
      </c>
    </row>
    <row r="1573" customFormat="false" ht="15" hidden="false" customHeight="false" outlineLevel="0" collapsed="false">
      <c r="B1573" s="32" t="s">
        <v>340</v>
      </c>
      <c r="C1573" s="32" t="s">
        <v>265</v>
      </c>
      <c r="D1573" s="33" t="n">
        <v>46053.8958333333</v>
      </c>
      <c r="E1573" s="33" t="n">
        <v>46053.8958333333</v>
      </c>
      <c r="F1573" s="33" t="n">
        <v>46054.4479166667</v>
      </c>
      <c r="G1573" s="34" t="n">
        <f aca="false">F1573-E1573</f>
        <v>0.552083333333333</v>
      </c>
      <c r="H1573" s="32" t="s">
        <v>252</v>
      </c>
      <c r="J1573" s="32" t="s">
        <v>253</v>
      </c>
      <c r="K1573" s="32" t="s">
        <v>266</v>
      </c>
      <c r="L1573" s="32" t="s">
        <v>690</v>
      </c>
      <c r="M1573" s="32" t="s">
        <v>255</v>
      </c>
      <c r="N1573" s="32" t="s">
        <v>268</v>
      </c>
      <c r="O1573" s="32" t="s">
        <v>269</v>
      </c>
      <c r="P1573" s="32" t="str">
        <f aca="false">_xlfn.CONCAT(B1573,C1573,D1573,E1573,F1573)</f>
        <v>BC Formoso2.2Inverter(MBUS-1)46053.895833333346053.895833333346054.4479166667</v>
      </c>
      <c r="Q1573" s="32" t="str">
        <f aca="false">_xlfn.CONCAT(H1573,I1573,J1573)</f>
        <v>DAURDE</v>
      </c>
    </row>
    <row r="1574" customFormat="false" ht="15" hidden="false" customHeight="false" outlineLevel="0" collapsed="false">
      <c r="B1574" s="32" t="s">
        <v>341</v>
      </c>
      <c r="C1574" s="32" t="s">
        <v>326</v>
      </c>
      <c r="D1574" s="33" t="n">
        <v>46053.8958333333</v>
      </c>
      <c r="E1574" s="33" t="n">
        <v>46053.8958333333</v>
      </c>
      <c r="F1574" s="33" t="n">
        <v>46054.4479166667</v>
      </c>
      <c r="G1574" s="34" t="n">
        <f aca="false">F1574-E1574</f>
        <v>0.552083333333333</v>
      </c>
      <c r="H1574" s="32" t="s">
        <v>252</v>
      </c>
      <c r="J1574" s="32" t="s">
        <v>253</v>
      </c>
      <c r="K1574" s="32" t="s">
        <v>266</v>
      </c>
      <c r="L1574" s="32" t="s">
        <v>690</v>
      </c>
      <c r="M1574" s="32" t="s">
        <v>255</v>
      </c>
      <c r="N1574" s="32" t="s">
        <v>268</v>
      </c>
      <c r="O1574" s="32" t="s">
        <v>269</v>
      </c>
      <c r="P1574" s="32" t="str">
        <f aca="false">_xlfn.CONCAT(B1574,C1574,D1574,E1574,F1574)</f>
        <v>BC Formoso2.3Inverter(MBUS-13)46053.895833333346053.895833333346054.4479166667</v>
      </c>
      <c r="Q1574" s="32" t="str">
        <f aca="false">_xlfn.CONCAT(H1574,I1574,J1574)</f>
        <v>DAURDE</v>
      </c>
    </row>
    <row r="1575" customFormat="false" ht="15" hidden="false" customHeight="false" outlineLevel="0" collapsed="false">
      <c r="B1575" s="32" t="s">
        <v>341</v>
      </c>
      <c r="C1575" s="32" t="s">
        <v>324</v>
      </c>
      <c r="D1575" s="33" t="n">
        <v>46053.8958333333</v>
      </c>
      <c r="E1575" s="33" t="n">
        <v>46053.8958333333</v>
      </c>
      <c r="F1575" s="33" t="n">
        <v>46054.4479166667</v>
      </c>
      <c r="G1575" s="34" t="n">
        <f aca="false">F1575-E1575</f>
        <v>0.552083333333333</v>
      </c>
      <c r="H1575" s="32" t="s">
        <v>252</v>
      </c>
      <c r="J1575" s="32" t="s">
        <v>253</v>
      </c>
      <c r="K1575" s="32" t="s">
        <v>266</v>
      </c>
      <c r="L1575" s="32" t="s">
        <v>690</v>
      </c>
      <c r="M1575" s="32" t="s">
        <v>255</v>
      </c>
      <c r="N1575" s="32" t="s">
        <v>268</v>
      </c>
      <c r="O1575" s="32" t="s">
        <v>269</v>
      </c>
      <c r="P1575" s="32" t="str">
        <f aca="false">_xlfn.CONCAT(B1575,C1575,D1575,E1575,F1575)</f>
        <v>BC Formoso2.3Inverter(MBUS-12)46053.895833333346053.895833333346054.4479166667</v>
      </c>
      <c r="Q1575" s="32" t="str">
        <f aca="false">_xlfn.CONCAT(H1575,I1575,J1575)</f>
        <v>DAURDE</v>
      </c>
    </row>
  </sheetData>
  <autoFilter ref="A1:Q1"/>
  <conditionalFormatting sqref="P1558:P1048576 P1">
    <cfRule type="duplicateValues" priority="2" aboveAverage="0" equalAverage="0" bottom="0" percent="0" rank="0" text="" dxfId="2"/>
  </conditionalFormatting>
  <conditionalFormatting sqref="P1">
    <cfRule type="duplicateValues" priority="3" aboveAverage="0" equalAverage="0" bottom="0" percent="0" rank="0" text="" dxfId="3"/>
    <cfRule type="duplicateValues" priority="4" aboveAverage="0" equalAverage="0" bottom="0" percent="0" rank="0" text="" dxfId="4"/>
  </conditionalFormatting>
  <conditionalFormatting sqref="P2:P1557">
    <cfRule type="duplicateValues" priority="5" aboveAverage="0" equalAverage="0" bottom="0" percent="0" rank="0" text="" dxfId="5"/>
  </conditionalFormatting>
  <dataValidations count="5">
    <dataValidation allowBlank="true" errorStyle="stop" operator="between" showDropDown="false" showErrorMessage="true" showInputMessage="true" sqref="H2:H101 I100 H102:H1407" type="list">
      <formula1>#REF!</formula1>
      <formula2>0</formula2>
    </dataValidation>
    <dataValidation allowBlank="true" errorStyle="stop" operator="between" showDropDown="false" showErrorMessage="true" showInputMessage="true" sqref="I2:I99 I101:I630 I658:I661 I856:I870 I885:I1289 I1291:I1407" type="list">
      <formula1>#REF!</formula1>
      <formula2>0</formula2>
    </dataValidation>
    <dataValidation allowBlank="true" errorStyle="stop" operator="between" showDropDown="false" showErrorMessage="true" showInputMessage="true" sqref="J2:J1299 K1291:K1298 J1300:J1407" type="list">
      <formula1>#REF!</formula1>
      <formula2>0</formula2>
    </dataValidation>
    <dataValidation allowBlank="true" errorStyle="stop" operator="between" showDropDown="false" showErrorMessage="true" showInputMessage="true" sqref="M2:M67 M69:M1407" type="list">
      <formula1>#REF!</formula1>
      <formula2>0</formula2>
    </dataValidation>
    <dataValidation allowBlank="true" errorStyle="stop" operator="between" showDropDown="false" showErrorMessage="true" showInputMessage="true" sqref="N2:N67 N69:N856 O851:O855 N857:N1407 N1497 N1508:N1509 N1514" type="list">
      <formula1>#REF!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343"/>
  <sheetViews>
    <sheetView showFormulas="false" showGridLines="true" showRowColHeaders="true" showZeros="true" rightToLeft="false" tabSelected="true" showOutlineSymbols="true" defaultGridColor="true" view="normal" topLeftCell="A3143" colorId="64" zoomScale="70" zoomScaleNormal="70" zoomScalePageLayoutView="100" workbookViewId="0">
      <pane xSplit="2" ySplit="0" topLeftCell="C3143" activePane="topRight" state="frozen"/>
      <selection pane="topLeft" activeCell="A3143" activeCellId="0" sqref="A3143"/>
      <selection pane="topRight" activeCell="E3345" activeCellId="0" sqref="E3345"/>
    </sheetView>
  </sheetViews>
  <sheetFormatPr defaultColWidth="8.6796875" defaultRowHeight="14.25" zeroHeight="false" outlineLevelRow="0" outlineLevelCol="0"/>
  <cols>
    <col collapsed="false" customWidth="true" hidden="false" outlineLevel="0" max="1" min="1" style="50" width="19.71"/>
    <col collapsed="false" customWidth="true" hidden="false" outlineLevel="0" max="2" min="2" style="1" width="48.86"/>
    <col collapsed="false" customWidth="true" hidden="false" outlineLevel="0" max="3" min="3" style="1" width="34.29"/>
    <col collapsed="false" customWidth="true" hidden="false" outlineLevel="0" max="4" min="4" style="51" width="31.57"/>
    <col collapsed="false" customWidth="true" hidden="false" outlineLevel="0" max="6" min="5" style="51" width="21.57"/>
    <col collapsed="false" customWidth="true" hidden="false" outlineLevel="0" max="7" min="7" style="52" width="17.29"/>
    <col collapsed="false" customWidth="true" hidden="false" outlineLevel="0" max="8" min="8" style="1" width="27.29"/>
    <col collapsed="false" customWidth="true" hidden="false" outlineLevel="0" max="9" min="9" style="1" width="30.14"/>
    <col collapsed="false" customWidth="true" hidden="false" outlineLevel="0" max="11" min="10" style="1" width="15.71"/>
    <col collapsed="false" customWidth="true" hidden="false" outlineLevel="0" max="12" min="12" style="1" width="142"/>
    <col collapsed="false" customWidth="true" hidden="false" outlineLevel="0" max="13" min="13" style="1" width="18.29"/>
    <col collapsed="false" customWidth="true" hidden="false" outlineLevel="0" max="14" min="14" style="1" width="36.57"/>
    <col collapsed="false" customWidth="true" hidden="false" outlineLevel="0" max="15" min="15" style="1" width="184"/>
    <col collapsed="false" customWidth="true" hidden="false" outlineLevel="0" max="16" min="16" style="1" width="90.71"/>
    <col collapsed="false" customWidth="true" hidden="false" outlineLevel="0" max="17" min="17" style="1" width="16"/>
  </cols>
  <sheetData>
    <row r="1" customFormat="false" ht="16.5" hidden="false" customHeight="true" outlineLevel="0" collapsed="false">
      <c r="A1" s="53" t="s">
        <v>4</v>
      </c>
      <c r="B1" s="54" t="s">
        <v>234</v>
      </c>
      <c r="C1" s="54" t="s">
        <v>235</v>
      </c>
      <c r="D1" s="55" t="s">
        <v>236</v>
      </c>
      <c r="E1" s="55" t="s">
        <v>237</v>
      </c>
      <c r="F1" s="55" t="s">
        <v>238</v>
      </c>
      <c r="G1" s="56" t="s">
        <v>239</v>
      </c>
      <c r="H1" s="54" t="s">
        <v>240</v>
      </c>
      <c r="I1" s="54" t="s">
        <v>241</v>
      </c>
      <c r="J1" s="54" t="s">
        <v>242</v>
      </c>
      <c r="K1" s="54" t="s">
        <v>243</v>
      </c>
      <c r="L1" s="54" t="s">
        <v>244</v>
      </c>
      <c r="M1" s="54" t="s">
        <v>245</v>
      </c>
      <c r="N1" s="54" t="s">
        <v>246</v>
      </c>
      <c r="O1" s="54" t="s">
        <v>247</v>
      </c>
      <c r="P1" s="54" t="s">
        <v>248</v>
      </c>
      <c r="Q1" s="54" t="s">
        <v>249</v>
      </c>
    </row>
    <row r="2" s="50" customFormat="true" ht="14.25" hidden="false" customHeight="true" outlineLevel="0" collapsed="false">
      <c r="A2" s="50" t="s">
        <v>270</v>
      </c>
      <c r="B2" s="57" t="s">
        <v>270</v>
      </c>
      <c r="C2" s="57" t="s">
        <v>265</v>
      </c>
      <c r="D2" s="58" t="n">
        <v>46027.3854166667</v>
      </c>
      <c r="E2" s="58" t="n">
        <v>46054</v>
      </c>
      <c r="F2" s="58" t="n">
        <v>46081.9999884259</v>
      </c>
      <c r="G2" s="59" t="n">
        <f aca="false">F2-E2</f>
        <v>27.9999884259028</v>
      </c>
      <c r="H2" s="57" t="s">
        <v>376</v>
      </c>
      <c r="I2" s="57"/>
      <c r="J2" s="57" t="s">
        <v>377</v>
      </c>
      <c r="K2" s="57" t="s">
        <v>378</v>
      </c>
      <c r="L2" s="57" t="s">
        <v>379</v>
      </c>
      <c r="M2" s="57" t="s">
        <v>380</v>
      </c>
      <c r="N2" s="57" t="s">
        <v>381</v>
      </c>
      <c r="O2" s="57" t="s">
        <v>382</v>
      </c>
      <c r="P2" s="57" t="s">
        <v>691</v>
      </c>
      <c r="Q2" s="57" t="s">
        <v>692</v>
      </c>
    </row>
    <row r="3" s="50" customFormat="true" ht="14.25" hidden="false" customHeight="true" outlineLevel="0" collapsed="false">
      <c r="A3" s="50" t="s">
        <v>271</v>
      </c>
      <c r="B3" s="57" t="s">
        <v>271</v>
      </c>
      <c r="C3" s="57" t="s">
        <v>265</v>
      </c>
      <c r="D3" s="58" t="n">
        <v>46050.3611111111</v>
      </c>
      <c r="E3" s="58" t="n">
        <v>46054</v>
      </c>
      <c r="F3" s="58" t="n">
        <v>46081.9999884259</v>
      </c>
      <c r="G3" s="59" t="n">
        <f aca="false">F3-E3</f>
        <v>27.9999884259028</v>
      </c>
      <c r="H3" s="57" t="s">
        <v>283</v>
      </c>
      <c r="I3" s="57" t="s">
        <v>284</v>
      </c>
      <c r="J3" s="57" t="s">
        <v>285</v>
      </c>
      <c r="K3" s="57" t="s">
        <v>286</v>
      </c>
      <c r="L3" s="57" t="s">
        <v>352</v>
      </c>
      <c r="M3" s="57" t="s">
        <v>288</v>
      </c>
      <c r="N3" s="57" t="s">
        <v>662</v>
      </c>
      <c r="O3" s="57" t="s">
        <v>662</v>
      </c>
      <c r="P3" s="57" t="s">
        <v>693</v>
      </c>
      <c r="Q3" s="57" t="s">
        <v>694</v>
      </c>
    </row>
    <row r="4" s="50" customFormat="true" ht="14.25" hidden="false" customHeight="true" outlineLevel="0" collapsed="false">
      <c r="A4" s="50" t="s">
        <v>477</v>
      </c>
      <c r="B4" s="57" t="s">
        <v>477</v>
      </c>
      <c r="C4" s="57" t="s">
        <v>326</v>
      </c>
      <c r="D4" s="58" t="n">
        <v>46054.2729166667</v>
      </c>
      <c r="E4" s="58" t="n">
        <v>46054.2729166667</v>
      </c>
      <c r="F4" s="58" t="n">
        <v>46054.4340277778</v>
      </c>
      <c r="G4" s="59" t="n">
        <f aca="false">F4-E4</f>
        <v>0.161111111111111</v>
      </c>
      <c r="H4" s="57" t="s">
        <v>252</v>
      </c>
      <c r="I4" s="57"/>
      <c r="J4" s="57" t="s">
        <v>333</v>
      </c>
      <c r="K4" s="57" t="s">
        <v>334</v>
      </c>
      <c r="L4" s="57" t="s">
        <v>695</v>
      </c>
      <c r="M4" s="57" t="s">
        <v>336</v>
      </c>
      <c r="N4" s="57" t="s">
        <v>289</v>
      </c>
      <c r="O4" s="60" t="s">
        <v>696</v>
      </c>
      <c r="P4" s="57" t="s">
        <v>697</v>
      </c>
      <c r="Q4" s="57" t="s">
        <v>698</v>
      </c>
    </row>
    <row r="5" s="1" customFormat="true" ht="28.5" hidden="false" customHeight="true" outlineLevel="0" collapsed="false">
      <c r="A5" s="1" t="s">
        <v>477</v>
      </c>
      <c r="B5" s="57" t="s">
        <v>477</v>
      </c>
      <c r="C5" s="57" t="s">
        <v>326</v>
      </c>
      <c r="D5" s="58" t="n">
        <v>46054.4340277778</v>
      </c>
      <c r="E5" s="58" t="n">
        <v>46054.4340277778</v>
      </c>
      <c r="F5" s="58" t="n">
        <v>46081.9999884259</v>
      </c>
      <c r="G5" s="59" t="n">
        <f aca="false">F5-E5</f>
        <v>27.5659606481019</v>
      </c>
      <c r="H5" s="57" t="s">
        <v>283</v>
      </c>
      <c r="I5" s="57" t="s">
        <v>284</v>
      </c>
      <c r="J5" s="57" t="s">
        <v>699</v>
      </c>
      <c r="K5" s="57" t="s">
        <v>700</v>
      </c>
      <c r="L5" s="57" t="s">
        <v>701</v>
      </c>
      <c r="M5" s="57" t="s">
        <v>336</v>
      </c>
      <c r="N5" s="57" t="s">
        <v>289</v>
      </c>
      <c r="O5" s="60" t="s">
        <v>702</v>
      </c>
      <c r="P5" s="57" t="s">
        <v>703</v>
      </c>
      <c r="Q5" s="57" t="s">
        <v>704</v>
      </c>
    </row>
    <row r="6" s="50" customFormat="true" ht="14.25" hidden="false" customHeight="true" outlineLevel="0" collapsed="false">
      <c r="A6" s="50" t="s">
        <v>264</v>
      </c>
      <c r="B6" s="57" t="s">
        <v>264</v>
      </c>
      <c r="C6" s="57" t="s">
        <v>265</v>
      </c>
      <c r="D6" s="58" t="n">
        <v>46054.3604166667</v>
      </c>
      <c r="E6" s="58" t="n">
        <v>46054.3604166667</v>
      </c>
      <c r="F6" s="58" t="n">
        <v>46054.3875</v>
      </c>
      <c r="G6" s="59" t="n">
        <f aca="false">F6-E6</f>
        <v>0.0270833332986111</v>
      </c>
      <c r="H6" s="57" t="s">
        <v>252</v>
      </c>
      <c r="I6" s="57"/>
      <c r="J6" s="57" t="s">
        <v>253</v>
      </c>
      <c r="K6" s="57" t="s">
        <v>266</v>
      </c>
      <c r="L6" s="57" t="s">
        <v>267</v>
      </c>
      <c r="M6" s="57" t="s">
        <v>255</v>
      </c>
      <c r="N6" s="57" t="s">
        <v>256</v>
      </c>
      <c r="O6" s="57" t="s">
        <v>257</v>
      </c>
      <c r="P6" s="57" t="s">
        <v>705</v>
      </c>
      <c r="Q6" s="57" t="s">
        <v>706</v>
      </c>
    </row>
    <row r="7" s="50" customFormat="true" ht="14.25" hidden="false" customHeight="true" outlineLevel="0" collapsed="false">
      <c r="A7" s="50" t="s">
        <v>271</v>
      </c>
      <c r="B7" s="57" t="s">
        <v>271</v>
      </c>
      <c r="C7" s="57" t="s">
        <v>265</v>
      </c>
      <c r="D7" s="58" t="n">
        <v>46054.3604166667</v>
      </c>
      <c r="E7" s="58" t="n">
        <v>46054.3604166667</v>
      </c>
      <c r="F7" s="58" t="n">
        <v>46054.3875</v>
      </c>
      <c r="G7" s="59" t="n">
        <f aca="false">F7-E7</f>
        <v>0.0270833332986111</v>
      </c>
      <c r="H7" s="57" t="s">
        <v>252</v>
      </c>
      <c r="I7" s="57"/>
      <c r="J7" s="57" t="s">
        <v>253</v>
      </c>
      <c r="K7" s="57" t="s">
        <v>266</v>
      </c>
      <c r="L7" s="57" t="s">
        <v>267</v>
      </c>
      <c r="M7" s="57" t="s">
        <v>255</v>
      </c>
      <c r="N7" s="57" t="s">
        <v>256</v>
      </c>
      <c r="O7" s="57" t="s">
        <v>257</v>
      </c>
      <c r="P7" s="57" t="s">
        <v>707</v>
      </c>
      <c r="Q7" s="57" t="s">
        <v>706</v>
      </c>
    </row>
    <row r="8" s="50" customFormat="true" ht="14.25" hidden="false" customHeight="true" outlineLevel="0" collapsed="false">
      <c r="A8" s="50" t="s">
        <v>272</v>
      </c>
      <c r="B8" s="57" t="s">
        <v>272</v>
      </c>
      <c r="C8" s="57" t="s">
        <v>265</v>
      </c>
      <c r="D8" s="58" t="n">
        <v>46054.3604166667</v>
      </c>
      <c r="E8" s="58" t="n">
        <v>46054.3604166667</v>
      </c>
      <c r="F8" s="58" t="n">
        <v>46054.3875</v>
      </c>
      <c r="G8" s="59" t="n">
        <f aca="false">F8-E8</f>
        <v>0.0270833332986111</v>
      </c>
      <c r="H8" s="57" t="s">
        <v>252</v>
      </c>
      <c r="I8" s="57"/>
      <c r="J8" s="57" t="s">
        <v>253</v>
      </c>
      <c r="K8" s="57" t="s">
        <v>266</v>
      </c>
      <c r="L8" s="57" t="s">
        <v>267</v>
      </c>
      <c r="M8" s="57" t="s">
        <v>255</v>
      </c>
      <c r="N8" s="57" t="s">
        <v>256</v>
      </c>
      <c r="O8" s="57" t="s">
        <v>257</v>
      </c>
      <c r="P8" s="57" t="s">
        <v>708</v>
      </c>
      <c r="Q8" s="57" t="s">
        <v>706</v>
      </c>
    </row>
    <row r="9" s="50" customFormat="true" ht="14.25" hidden="false" customHeight="true" outlineLevel="0" collapsed="false">
      <c r="A9" s="50" t="s">
        <v>273</v>
      </c>
      <c r="B9" s="57" t="s">
        <v>273</v>
      </c>
      <c r="C9" s="57" t="s">
        <v>265</v>
      </c>
      <c r="D9" s="58" t="n">
        <v>46054.3604166667</v>
      </c>
      <c r="E9" s="58" t="n">
        <v>46054.3604166667</v>
      </c>
      <c r="F9" s="58" t="n">
        <v>46054.3875</v>
      </c>
      <c r="G9" s="59" t="n">
        <f aca="false">F9-E9</f>
        <v>0.0270833332986111</v>
      </c>
      <c r="H9" s="57" t="s">
        <v>252</v>
      </c>
      <c r="I9" s="57"/>
      <c r="J9" s="57" t="s">
        <v>253</v>
      </c>
      <c r="K9" s="57" t="s">
        <v>266</v>
      </c>
      <c r="L9" s="57" t="s">
        <v>267</v>
      </c>
      <c r="M9" s="57" t="s">
        <v>255</v>
      </c>
      <c r="N9" s="57" t="s">
        <v>256</v>
      </c>
      <c r="O9" s="57" t="s">
        <v>257</v>
      </c>
      <c r="P9" s="57" t="s">
        <v>709</v>
      </c>
      <c r="Q9" s="57" t="s">
        <v>706</v>
      </c>
    </row>
    <row r="10" s="50" customFormat="true" ht="14.25" hidden="false" customHeight="true" outlineLevel="0" collapsed="false">
      <c r="A10" s="50" t="s">
        <v>500</v>
      </c>
      <c r="B10" s="57" t="s">
        <v>500</v>
      </c>
      <c r="C10" s="57" t="s">
        <v>488</v>
      </c>
      <c r="D10" s="58" t="n">
        <v>46054.3840277778</v>
      </c>
      <c r="E10" s="58" t="n">
        <v>46054.3840277778</v>
      </c>
      <c r="F10" s="58" t="n">
        <v>46054.4166666667</v>
      </c>
      <c r="G10" s="59" t="n">
        <f aca="false">F10-E10</f>
        <v>0.032638888900463</v>
      </c>
      <c r="H10" s="57" t="s">
        <v>252</v>
      </c>
      <c r="I10" s="57" t="s">
        <v>284</v>
      </c>
      <c r="J10" s="57" t="s">
        <v>285</v>
      </c>
      <c r="K10" s="57" t="s">
        <v>286</v>
      </c>
      <c r="L10" s="57" t="s">
        <v>710</v>
      </c>
      <c r="M10" s="57" t="s">
        <v>288</v>
      </c>
      <c r="N10" s="57" t="s">
        <v>589</v>
      </c>
      <c r="O10" s="57" t="s">
        <v>711</v>
      </c>
      <c r="P10" s="57" t="s">
        <v>712</v>
      </c>
      <c r="Q10" s="57" t="s">
        <v>713</v>
      </c>
    </row>
    <row r="11" s="50" customFormat="true" ht="14.25" hidden="false" customHeight="true" outlineLevel="0" collapsed="false">
      <c r="A11" s="50" t="s">
        <v>500</v>
      </c>
      <c r="B11" s="57" t="s">
        <v>500</v>
      </c>
      <c r="C11" s="57" t="s">
        <v>489</v>
      </c>
      <c r="D11" s="58" t="n">
        <v>46054.3840277778</v>
      </c>
      <c r="E11" s="58" t="n">
        <v>46054.3840277778</v>
      </c>
      <c r="F11" s="58" t="n">
        <v>46054.4166666667</v>
      </c>
      <c r="G11" s="59" t="n">
        <f aca="false">F11-E11</f>
        <v>0.032638888900463</v>
      </c>
      <c r="H11" s="57" t="s">
        <v>252</v>
      </c>
      <c r="I11" s="57" t="s">
        <v>284</v>
      </c>
      <c r="J11" s="57" t="s">
        <v>285</v>
      </c>
      <c r="K11" s="57" t="s">
        <v>286</v>
      </c>
      <c r="L11" s="57" t="s">
        <v>710</v>
      </c>
      <c r="M11" s="57" t="s">
        <v>288</v>
      </c>
      <c r="N11" s="57" t="s">
        <v>589</v>
      </c>
      <c r="O11" s="57" t="s">
        <v>711</v>
      </c>
      <c r="P11" s="57" t="s">
        <v>714</v>
      </c>
      <c r="Q11" s="57" t="s">
        <v>713</v>
      </c>
    </row>
    <row r="12" s="50" customFormat="true" ht="14.25" hidden="false" customHeight="true" outlineLevel="0" collapsed="false">
      <c r="A12" s="50" t="s">
        <v>500</v>
      </c>
      <c r="B12" s="57" t="s">
        <v>500</v>
      </c>
      <c r="C12" s="57" t="s">
        <v>490</v>
      </c>
      <c r="D12" s="58" t="n">
        <v>46054.3840277778</v>
      </c>
      <c r="E12" s="58" t="n">
        <v>46054.3840277778</v>
      </c>
      <c r="F12" s="58" t="n">
        <v>46054.4166666667</v>
      </c>
      <c r="G12" s="59" t="n">
        <f aca="false">F12-E12</f>
        <v>0.032638888900463</v>
      </c>
      <c r="H12" s="57" t="s">
        <v>252</v>
      </c>
      <c r="I12" s="57" t="s">
        <v>284</v>
      </c>
      <c r="J12" s="57" t="s">
        <v>285</v>
      </c>
      <c r="K12" s="57" t="s">
        <v>286</v>
      </c>
      <c r="L12" s="57" t="s">
        <v>710</v>
      </c>
      <c r="M12" s="57" t="s">
        <v>288</v>
      </c>
      <c r="N12" s="57" t="s">
        <v>589</v>
      </c>
      <c r="O12" s="57" t="s">
        <v>711</v>
      </c>
      <c r="P12" s="57" t="s">
        <v>715</v>
      </c>
      <c r="Q12" s="57" t="s">
        <v>713</v>
      </c>
    </row>
    <row r="13" s="50" customFormat="true" ht="14.25" hidden="false" customHeight="true" outlineLevel="0" collapsed="false">
      <c r="A13" s="50" t="s">
        <v>500</v>
      </c>
      <c r="B13" s="57" t="s">
        <v>500</v>
      </c>
      <c r="C13" s="57" t="s">
        <v>491</v>
      </c>
      <c r="D13" s="58" t="n">
        <v>46054.3840277778</v>
      </c>
      <c r="E13" s="58" t="n">
        <v>46054.3840277778</v>
      </c>
      <c r="F13" s="58" t="n">
        <v>46054.4166666667</v>
      </c>
      <c r="G13" s="59" t="n">
        <f aca="false">F13-E13</f>
        <v>0.032638888900463</v>
      </c>
      <c r="H13" s="57" t="s">
        <v>252</v>
      </c>
      <c r="I13" s="57" t="s">
        <v>284</v>
      </c>
      <c r="J13" s="57" t="s">
        <v>285</v>
      </c>
      <c r="K13" s="57" t="s">
        <v>286</v>
      </c>
      <c r="L13" s="57" t="s">
        <v>710</v>
      </c>
      <c r="M13" s="57" t="s">
        <v>288</v>
      </c>
      <c r="N13" s="57" t="s">
        <v>589</v>
      </c>
      <c r="O13" s="57" t="s">
        <v>711</v>
      </c>
      <c r="P13" s="57" t="s">
        <v>716</v>
      </c>
      <c r="Q13" s="57" t="s">
        <v>713</v>
      </c>
    </row>
    <row r="14" s="50" customFormat="true" ht="14.25" hidden="false" customHeight="true" outlineLevel="0" collapsed="false">
      <c r="A14" s="50" t="s">
        <v>500</v>
      </c>
      <c r="B14" s="57" t="s">
        <v>500</v>
      </c>
      <c r="C14" s="57" t="s">
        <v>492</v>
      </c>
      <c r="D14" s="58" t="n">
        <v>46054.3840277778</v>
      </c>
      <c r="E14" s="58" t="n">
        <v>46054.3840277778</v>
      </c>
      <c r="F14" s="58" t="n">
        <v>46054.4166666667</v>
      </c>
      <c r="G14" s="59" t="n">
        <f aca="false">F14-E14</f>
        <v>0.032638888900463</v>
      </c>
      <c r="H14" s="57" t="s">
        <v>252</v>
      </c>
      <c r="I14" s="57" t="s">
        <v>284</v>
      </c>
      <c r="J14" s="57" t="s">
        <v>285</v>
      </c>
      <c r="K14" s="57" t="s">
        <v>286</v>
      </c>
      <c r="L14" s="57" t="s">
        <v>710</v>
      </c>
      <c r="M14" s="57" t="s">
        <v>288</v>
      </c>
      <c r="N14" s="57" t="s">
        <v>589</v>
      </c>
      <c r="O14" s="57" t="s">
        <v>711</v>
      </c>
      <c r="P14" s="57" t="s">
        <v>717</v>
      </c>
      <c r="Q14" s="57" t="s">
        <v>713</v>
      </c>
    </row>
    <row r="15" s="50" customFormat="true" ht="14.25" hidden="false" customHeight="true" outlineLevel="0" collapsed="false">
      <c r="A15" s="50" t="s">
        <v>718</v>
      </c>
      <c r="B15" s="57" t="s">
        <v>331</v>
      </c>
      <c r="C15" s="57" t="s">
        <v>654</v>
      </c>
      <c r="D15" s="58" t="n">
        <v>46054.4145833333</v>
      </c>
      <c r="E15" s="58" t="n">
        <v>46054.4145833333</v>
      </c>
      <c r="F15" s="58" t="n">
        <v>46054.4430555556</v>
      </c>
      <c r="G15" s="59" t="n">
        <f aca="false">F15-E15</f>
        <v>0.0284722223032407</v>
      </c>
      <c r="H15" s="57" t="s">
        <v>252</v>
      </c>
      <c r="I15" s="57"/>
      <c r="J15" s="57" t="s">
        <v>253</v>
      </c>
      <c r="K15" s="57" t="s">
        <v>266</v>
      </c>
      <c r="L15" s="57" t="s">
        <v>655</v>
      </c>
      <c r="M15" s="57" t="s">
        <v>255</v>
      </c>
      <c r="N15" s="57" t="s">
        <v>256</v>
      </c>
      <c r="O15" s="57" t="s">
        <v>719</v>
      </c>
      <c r="P15" s="57" t="s">
        <v>720</v>
      </c>
      <c r="Q15" s="57" t="s">
        <v>706</v>
      </c>
    </row>
    <row r="16" s="50" customFormat="true" ht="14.25" hidden="false" customHeight="true" outlineLevel="0" collapsed="false">
      <c r="A16" s="50" t="s">
        <v>367</v>
      </c>
      <c r="B16" s="57" t="s">
        <v>367</v>
      </c>
      <c r="C16" s="57" t="s">
        <v>324</v>
      </c>
      <c r="D16" s="58" t="n">
        <v>46054.4166666667</v>
      </c>
      <c r="E16" s="58" t="n">
        <v>46054.4166666667</v>
      </c>
      <c r="F16" s="58" t="n">
        <v>46054.7395833333</v>
      </c>
      <c r="G16" s="59" t="n">
        <f aca="false">F16-E16</f>
        <v>0.322916666597222</v>
      </c>
      <c r="H16" s="57" t="s">
        <v>252</v>
      </c>
      <c r="I16" s="57"/>
      <c r="J16" s="57" t="s">
        <v>253</v>
      </c>
      <c r="K16" s="57" t="s">
        <v>266</v>
      </c>
      <c r="L16" s="57" t="s">
        <v>721</v>
      </c>
      <c r="M16" s="57" t="s">
        <v>255</v>
      </c>
      <c r="N16" s="57" t="s">
        <v>256</v>
      </c>
      <c r="O16" s="57" t="s">
        <v>722</v>
      </c>
      <c r="P16" s="57" t="s">
        <v>723</v>
      </c>
      <c r="Q16" s="57" t="s">
        <v>706</v>
      </c>
    </row>
    <row r="17" s="50" customFormat="true" ht="14.25" hidden="false" customHeight="true" outlineLevel="0" collapsed="false">
      <c r="A17" s="50" t="s">
        <v>367</v>
      </c>
      <c r="B17" s="57" t="s">
        <v>367</v>
      </c>
      <c r="C17" s="57" t="s">
        <v>328</v>
      </c>
      <c r="D17" s="58" t="n">
        <v>46054.4166666667</v>
      </c>
      <c r="E17" s="58" t="n">
        <v>46054.4166666667</v>
      </c>
      <c r="F17" s="58" t="n">
        <v>46054.7395833333</v>
      </c>
      <c r="G17" s="59" t="n">
        <f aca="false">F17-E17</f>
        <v>0.322916666597222</v>
      </c>
      <c r="H17" s="57" t="s">
        <v>252</v>
      </c>
      <c r="I17" s="57"/>
      <c r="J17" s="57" t="s">
        <v>253</v>
      </c>
      <c r="K17" s="57" t="s">
        <v>266</v>
      </c>
      <c r="L17" s="57" t="s">
        <v>721</v>
      </c>
      <c r="M17" s="57" t="s">
        <v>255</v>
      </c>
      <c r="N17" s="57" t="s">
        <v>256</v>
      </c>
      <c r="O17" s="57" t="s">
        <v>722</v>
      </c>
      <c r="P17" s="57" t="s">
        <v>724</v>
      </c>
      <c r="Q17" s="57" t="s">
        <v>706</v>
      </c>
    </row>
    <row r="18" s="50" customFormat="true" ht="14.25" hidden="false" customHeight="true" outlineLevel="0" collapsed="false">
      <c r="A18" s="50" t="s">
        <v>367</v>
      </c>
      <c r="B18" s="57" t="s">
        <v>367</v>
      </c>
      <c r="C18" s="57" t="s">
        <v>327</v>
      </c>
      <c r="D18" s="58" t="n">
        <v>46054.4166666667</v>
      </c>
      <c r="E18" s="58" t="n">
        <v>46054.4166666667</v>
      </c>
      <c r="F18" s="58" t="n">
        <v>46054.7395833333</v>
      </c>
      <c r="G18" s="59" t="n">
        <f aca="false">F18-E18</f>
        <v>0.322916666597222</v>
      </c>
      <c r="H18" s="57" t="s">
        <v>252</v>
      </c>
      <c r="I18" s="57"/>
      <c r="J18" s="57" t="s">
        <v>253</v>
      </c>
      <c r="K18" s="57" t="s">
        <v>266</v>
      </c>
      <c r="L18" s="57" t="s">
        <v>721</v>
      </c>
      <c r="M18" s="57" t="s">
        <v>255</v>
      </c>
      <c r="N18" s="57" t="s">
        <v>256</v>
      </c>
      <c r="O18" s="57" t="s">
        <v>722</v>
      </c>
      <c r="P18" s="57" t="s">
        <v>725</v>
      </c>
      <c r="Q18" s="57" t="s">
        <v>706</v>
      </c>
    </row>
    <row r="19" s="50" customFormat="true" ht="14.25" hidden="false" customHeight="true" outlineLevel="0" collapsed="false">
      <c r="A19" s="50" t="s">
        <v>367</v>
      </c>
      <c r="B19" s="57" t="s">
        <v>367</v>
      </c>
      <c r="C19" s="57" t="s">
        <v>265</v>
      </c>
      <c r="D19" s="58" t="n">
        <v>46054.4166666667</v>
      </c>
      <c r="E19" s="58" t="n">
        <v>46054.4166666667</v>
      </c>
      <c r="F19" s="58" t="n">
        <v>46054.7395833333</v>
      </c>
      <c r="G19" s="59" t="n">
        <f aca="false">F19-E19</f>
        <v>0.322916666597222</v>
      </c>
      <c r="H19" s="57" t="s">
        <v>252</v>
      </c>
      <c r="I19" s="57"/>
      <c r="J19" s="57" t="s">
        <v>253</v>
      </c>
      <c r="K19" s="57" t="s">
        <v>266</v>
      </c>
      <c r="L19" s="57" t="s">
        <v>721</v>
      </c>
      <c r="M19" s="57" t="s">
        <v>255</v>
      </c>
      <c r="N19" s="57" t="s">
        <v>256</v>
      </c>
      <c r="O19" s="57" t="s">
        <v>722</v>
      </c>
      <c r="P19" s="57" t="s">
        <v>726</v>
      </c>
      <c r="Q19" s="57" t="s">
        <v>706</v>
      </c>
    </row>
    <row r="20" s="50" customFormat="true" ht="14.25" hidden="false" customHeight="true" outlineLevel="0" collapsed="false">
      <c r="A20" s="50" t="s">
        <v>727</v>
      </c>
      <c r="B20" s="57" t="s">
        <v>727</v>
      </c>
      <c r="C20" s="57" t="s">
        <v>415</v>
      </c>
      <c r="D20" s="58" t="n">
        <v>46055.2986111111</v>
      </c>
      <c r="E20" s="58" t="n">
        <v>46055.2986111111</v>
      </c>
      <c r="F20" s="58" t="n">
        <v>46081.9999884259</v>
      </c>
      <c r="G20" s="59" t="n">
        <f aca="false">F20-E20</f>
        <v>26.7013773148032</v>
      </c>
      <c r="H20" s="57" t="s">
        <v>283</v>
      </c>
      <c r="I20" s="57" t="s">
        <v>284</v>
      </c>
      <c r="J20" s="57" t="s">
        <v>333</v>
      </c>
      <c r="K20" s="57" t="s">
        <v>334</v>
      </c>
      <c r="L20" s="57" t="s">
        <v>728</v>
      </c>
      <c r="M20" s="57" t="s">
        <v>336</v>
      </c>
      <c r="N20" s="57" t="s">
        <v>381</v>
      </c>
      <c r="O20" s="57" t="s">
        <v>729</v>
      </c>
      <c r="P20" s="57" t="s">
        <v>730</v>
      </c>
      <c r="Q20" s="57" t="s">
        <v>731</v>
      </c>
    </row>
    <row r="21" s="50" customFormat="true" ht="14.25" hidden="false" customHeight="true" outlineLevel="0" collapsed="false">
      <c r="A21" s="50" t="s">
        <v>367</v>
      </c>
      <c r="B21" s="57" t="s">
        <v>367</v>
      </c>
      <c r="C21" s="57" t="s">
        <v>324</v>
      </c>
      <c r="D21" s="58" t="n">
        <v>46055.3506944444</v>
      </c>
      <c r="E21" s="58" t="n">
        <v>46055.3506944444</v>
      </c>
      <c r="F21" s="58" t="n">
        <v>46055.5034722222</v>
      </c>
      <c r="G21" s="59" t="n">
        <f aca="false">F21-E21</f>
        <v>0.152777777800926</v>
      </c>
      <c r="H21" s="57" t="s">
        <v>252</v>
      </c>
      <c r="I21" s="57"/>
      <c r="J21" s="57" t="s">
        <v>234</v>
      </c>
      <c r="K21" s="57" t="s">
        <v>234</v>
      </c>
      <c r="L21" s="57" t="s">
        <v>732</v>
      </c>
      <c r="M21" s="57" t="s">
        <v>386</v>
      </c>
      <c r="N21" s="57" t="s">
        <v>440</v>
      </c>
      <c r="O21" s="57" t="s">
        <v>733</v>
      </c>
      <c r="P21" s="57" t="s">
        <v>734</v>
      </c>
      <c r="Q21" s="57" t="s">
        <v>735</v>
      </c>
    </row>
    <row r="22" s="50" customFormat="true" ht="14.25" hidden="false" customHeight="true" outlineLevel="0" collapsed="false">
      <c r="A22" s="50" t="s">
        <v>367</v>
      </c>
      <c r="B22" s="57" t="s">
        <v>367</v>
      </c>
      <c r="C22" s="57" t="s">
        <v>328</v>
      </c>
      <c r="D22" s="58" t="n">
        <v>46055.3506944444</v>
      </c>
      <c r="E22" s="58" t="n">
        <v>46055.3506944444</v>
      </c>
      <c r="F22" s="58" t="n">
        <v>46055.5034722222</v>
      </c>
      <c r="G22" s="59" t="n">
        <f aca="false">F22-E22</f>
        <v>0.152777777800926</v>
      </c>
      <c r="H22" s="57" t="s">
        <v>252</v>
      </c>
      <c r="I22" s="57"/>
      <c r="J22" s="57" t="s">
        <v>234</v>
      </c>
      <c r="K22" s="57" t="s">
        <v>234</v>
      </c>
      <c r="L22" s="57" t="s">
        <v>732</v>
      </c>
      <c r="M22" s="57" t="s">
        <v>386</v>
      </c>
      <c r="N22" s="57" t="s">
        <v>440</v>
      </c>
      <c r="O22" s="57" t="s">
        <v>733</v>
      </c>
      <c r="P22" s="57" t="s">
        <v>736</v>
      </c>
      <c r="Q22" s="57" t="s">
        <v>735</v>
      </c>
    </row>
    <row r="23" s="50" customFormat="true" ht="14.25" hidden="false" customHeight="true" outlineLevel="0" collapsed="false">
      <c r="A23" s="50" t="s">
        <v>367</v>
      </c>
      <c r="B23" s="57" t="s">
        <v>367</v>
      </c>
      <c r="C23" s="57" t="s">
        <v>327</v>
      </c>
      <c r="D23" s="58" t="n">
        <v>46055.3506944444</v>
      </c>
      <c r="E23" s="58" t="n">
        <v>46055.3506944444</v>
      </c>
      <c r="F23" s="58" t="n">
        <v>46055.5034722222</v>
      </c>
      <c r="G23" s="59" t="n">
        <f aca="false">F23-E23</f>
        <v>0.152777777800926</v>
      </c>
      <c r="H23" s="57" t="s">
        <v>252</v>
      </c>
      <c r="I23" s="57"/>
      <c r="J23" s="57" t="s">
        <v>234</v>
      </c>
      <c r="K23" s="57" t="s">
        <v>234</v>
      </c>
      <c r="L23" s="57" t="s">
        <v>732</v>
      </c>
      <c r="M23" s="57" t="s">
        <v>386</v>
      </c>
      <c r="N23" s="57" t="s">
        <v>440</v>
      </c>
      <c r="O23" s="57" t="s">
        <v>733</v>
      </c>
      <c r="P23" s="57" t="s">
        <v>737</v>
      </c>
      <c r="Q23" s="57" t="s">
        <v>735</v>
      </c>
    </row>
    <row r="24" s="50" customFormat="true" ht="14.25" hidden="false" customHeight="true" outlineLevel="0" collapsed="false">
      <c r="A24" s="50" t="s">
        <v>367</v>
      </c>
      <c r="B24" s="57" t="s">
        <v>367</v>
      </c>
      <c r="C24" s="57" t="s">
        <v>265</v>
      </c>
      <c r="D24" s="58" t="n">
        <v>46055.3506944444</v>
      </c>
      <c r="E24" s="58" t="n">
        <v>46055.3506944444</v>
      </c>
      <c r="F24" s="58" t="n">
        <v>46055.5034722222</v>
      </c>
      <c r="G24" s="59" t="n">
        <f aca="false">F24-E24</f>
        <v>0.152777777800926</v>
      </c>
      <c r="H24" s="57" t="s">
        <v>252</v>
      </c>
      <c r="I24" s="57"/>
      <c r="J24" s="57" t="s">
        <v>234</v>
      </c>
      <c r="K24" s="57" t="s">
        <v>234</v>
      </c>
      <c r="L24" s="57" t="s">
        <v>732</v>
      </c>
      <c r="M24" s="57" t="s">
        <v>386</v>
      </c>
      <c r="N24" s="57" t="s">
        <v>440</v>
      </c>
      <c r="O24" s="57" t="s">
        <v>733</v>
      </c>
      <c r="P24" s="57" t="s">
        <v>738</v>
      </c>
      <c r="Q24" s="57" t="s">
        <v>735</v>
      </c>
    </row>
    <row r="25" s="50" customFormat="true" ht="14.25" hidden="false" customHeight="true" outlineLevel="0" collapsed="false">
      <c r="A25" s="50" t="s">
        <v>739</v>
      </c>
      <c r="B25" s="57" t="s">
        <v>45</v>
      </c>
      <c r="C25" s="57" t="s">
        <v>447</v>
      </c>
      <c r="D25" s="58" t="n">
        <v>46055.3819444444</v>
      </c>
      <c r="E25" s="58" t="n">
        <v>46055.3819444444</v>
      </c>
      <c r="F25" s="58" t="n">
        <v>46055.4465277778</v>
      </c>
      <c r="G25" s="59" t="n">
        <f aca="false">F25-E25</f>
        <v>0.0645833334027778</v>
      </c>
      <c r="H25" s="57" t="s">
        <v>252</v>
      </c>
      <c r="I25" s="57" t="s">
        <v>284</v>
      </c>
      <c r="J25" s="57" t="s">
        <v>285</v>
      </c>
      <c r="K25" s="57" t="s">
        <v>286</v>
      </c>
      <c r="L25" s="57" t="s">
        <v>740</v>
      </c>
      <c r="M25" s="57" t="s">
        <v>288</v>
      </c>
      <c r="N25" s="57" t="s">
        <v>289</v>
      </c>
      <c r="O25" s="57" t="s">
        <v>741</v>
      </c>
      <c r="P25" s="57" t="s">
        <v>742</v>
      </c>
      <c r="Q25" s="57" t="s">
        <v>713</v>
      </c>
    </row>
    <row r="26" s="50" customFormat="true" ht="14.25" hidden="false" customHeight="true" outlineLevel="0" collapsed="false">
      <c r="A26" s="50" t="s">
        <v>739</v>
      </c>
      <c r="B26" s="57" t="s">
        <v>45</v>
      </c>
      <c r="C26" s="57" t="s">
        <v>594</v>
      </c>
      <c r="D26" s="58" t="n">
        <v>46055.3819444444</v>
      </c>
      <c r="E26" s="58" t="n">
        <v>46055.3819444444</v>
      </c>
      <c r="F26" s="58" t="n">
        <v>46055.4465277778</v>
      </c>
      <c r="G26" s="59" t="n">
        <f aca="false">F26-E26</f>
        <v>0.0645833334027778</v>
      </c>
      <c r="H26" s="57" t="s">
        <v>252</v>
      </c>
      <c r="I26" s="57" t="s">
        <v>284</v>
      </c>
      <c r="J26" s="57" t="s">
        <v>285</v>
      </c>
      <c r="K26" s="57" t="s">
        <v>286</v>
      </c>
      <c r="L26" s="57" t="s">
        <v>740</v>
      </c>
      <c r="M26" s="57" t="s">
        <v>288</v>
      </c>
      <c r="N26" s="57" t="s">
        <v>289</v>
      </c>
      <c r="O26" s="57" t="s">
        <v>741</v>
      </c>
      <c r="P26" s="57" t="s">
        <v>743</v>
      </c>
      <c r="Q26" s="57" t="s">
        <v>713</v>
      </c>
    </row>
    <row r="27" s="50" customFormat="true" ht="14.25" hidden="false" customHeight="true" outlineLevel="0" collapsed="false">
      <c r="A27" s="50" t="s">
        <v>739</v>
      </c>
      <c r="B27" s="57" t="s">
        <v>45</v>
      </c>
      <c r="C27" s="57" t="s">
        <v>595</v>
      </c>
      <c r="D27" s="58" t="n">
        <v>46055.3819444444</v>
      </c>
      <c r="E27" s="58" t="n">
        <v>46055.3819444444</v>
      </c>
      <c r="F27" s="58" t="n">
        <v>46055.4465277778</v>
      </c>
      <c r="G27" s="59" t="n">
        <f aca="false">F27-E27</f>
        <v>0.0645833334027778</v>
      </c>
      <c r="H27" s="57" t="s">
        <v>252</v>
      </c>
      <c r="I27" s="57" t="s">
        <v>284</v>
      </c>
      <c r="J27" s="57" t="s">
        <v>285</v>
      </c>
      <c r="K27" s="57" t="s">
        <v>286</v>
      </c>
      <c r="L27" s="57" t="s">
        <v>740</v>
      </c>
      <c r="M27" s="57" t="s">
        <v>288</v>
      </c>
      <c r="N27" s="57" t="s">
        <v>289</v>
      </c>
      <c r="O27" s="57" t="s">
        <v>741</v>
      </c>
      <c r="P27" s="57" t="s">
        <v>744</v>
      </c>
      <c r="Q27" s="57" t="s">
        <v>713</v>
      </c>
    </row>
    <row r="28" s="50" customFormat="true" ht="14.25" hidden="false" customHeight="true" outlineLevel="0" collapsed="false">
      <c r="A28" s="50" t="s">
        <v>739</v>
      </c>
      <c r="B28" s="57" t="s">
        <v>45</v>
      </c>
      <c r="C28" s="57" t="s">
        <v>596</v>
      </c>
      <c r="D28" s="58" t="n">
        <v>46055.3819444444</v>
      </c>
      <c r="E28" s="58" t="n">
        <v>46055.3819444444</v>
      </c>
      <c r="F28" s="58" t="n">
        <v>46055.4465277778</v>
      </c>
      <c r="G28" s="59" t="n">
        <f aca="false">F28-E28</f>
        <v>0.0645833334027778</v>
      </c>
      <c r="H28" s="57" t="s">
        <v>252</v>
      </c>
      <c r="I28" s="57" t="s">
        <v>284</v>
      </c>
      <c r="J28" s="57" t="s">
        <v>285</v>
      </c>
      <c r="K28" s="57" t="s">
        <v>286</v>
      </c>
      <c r="L28" s="57" t="s">
        <v>740</v>
      </c>
      <c r="M28" s="57" t="s">
        <v>288</v>
      </c>
      <c r="N28" s="57" t="s">
        <v>289</v>
      </c>
      <c r="O28" s="57" t="s">
        <v>741</v>
      </c>
      <c r="P28" s="57" t="s">
        <v>745</v>
      </c>
      <c r="Q28" s="57" t="s">
        <v>713</v>
      </c>
    </row>
    <row r="29" s="50" customFormat="true" ht="14.25" hidden="false" customHeight="true" outlineLevel="0" collapsed="false">
      <c r="A29" s="50" t="s">
        <v>739</v>
      </c>
      <c r="B29" s="57" t="s">
        <v>45</v>
      </c>
      <c r="C29" s="57" t="s">
        <v>597</v>
      </c>
      <c r="D29" s="58" t="n">
        <v>46055.3819444444</v>
      </c>
      <c r="E29" s="58" t="n">
        <v>46055.3819444444</v>
      </c>
      <c r="F29" s="58" t="n">
        <v>46055.4465277778</v>
      </c>
      <c r="G29" s="59" t="n">
        <f aca="false">F29-E29</f>
        <v>0.0645833334027778</v>
      </c>
      <c r="H29" s="57" t="s">
        <v>252</v>
      </c>
      <c r="I29" s="57" t="s">
        <v>284</v>
      </c>
      <c r="J29" s="57" t="s">
        <v>285</v>
      </c>
      <c r="K29" s="57" t="s">
        <v>286</v>
      </c>
      <c r="L29" s="57" t="s">
        <v>740</v>
      </c>
      <c r="M29" s="57" t="s">
        <v>288</v>
      </c>
      <c r="N29" s="57" t="s">
        <v>289</v>
      </c>
      <c r="O29" s="57" t="s">
        <v>741</v>
      </c>
      <c r="P29" s="57" t="s">
        <v>746</v>
      </c>
      <c r="Q29" s="57" t="s">
        <v>713</v>
      </c>
    </row>
    <row r="30" s="50" customFormat="true" ht="14.25" hidden="false" customHeight="true" outlineLevel="0" collapsed="false">
      <c r="A30" s="50" t="s">
        <v>739</v>
      </c>
      <c r="B30" s="57" t="s">
        <v>45</v>
      </c>
      <c r="C30" s="57" t="s">
        <v>598</v>
      </c>
      <c r="D30" s="58" t="n">
        <v>46055.3819444444</v>
      </c>
      <c r="E30" s="58" t="n">
        <v>46055.3819444444</v>
      </c>
      <c r="F30" s="58" t="n">
        <v>46055.4465277778</v>
      </c>
      <c r="G30" s="59" t="n">
        <f aca="false">F30-E30</f>
        <v>0.0645833334027778</v>
      </c>
      <c r="H30" s="57" t="s">
        <v>252</v>
      </c>
      <c r="I30" s="57" t="s">
        <v>284</v>
      </c>
      <c r="J30" s="57" t="s">
        <v>285</v>
      </c>
      <c r="K30" s="57" t="s">
        <v>286</v>
      </c>
      <c r="L30" s="57" t="s">
        <v>740</v>
      </c>
      <c r="M30" s="57" t="s">
        <v>288</v>
      </c>
      <c r="N30" s="57" t="s">
        <v>289</v>
      </c>
      <c r="O30" s="57" t="s">
        <v>741</v>
      </c>
      <c r="P30" s="57" t="s">
        <v>747</v>
      </c>
      <c r="Q30" s="57" t="s">
        <v>713</v>
      </c>
    </row>
    <row r="31" s="50" customFormat="true" ht="14.25" hidden="false" customHeight="true" outlineLevel="0" collapsed="false">
      <c r="A31" s="50" t="s">
        <v>739</v>
      </c>
      <c r="B31" s="57" t="s">
        <v>45</v>
      </c>
      <c r="C31" s="57" t="s">
        <v>599</v>
      </c>
      <c r="D31" s="58" t="n">
        <v>46055.3819444444</v>
      </c>
      <c r="E31" s="58" t="n">
        <v>46055.3819444444</v>
      </c>
      <c r="F31" s="58" t="n">
        <v>46055.4465277778</v>
      </c>
      <c r="G31" s="59" t="n">
        <f aca="false">F31-E31</f>
        <v>0.0645833334027778</v>
      </c>
      <c r="H31" s="57" t="s">
        <v>252</v>
      </c>
      <c r="I31" s="57" t="s">
        <v>284</v>
      </c>
      <c r="J31" s="57" t="s">
        <v>285</v>
      </c>
      <c r="K31" s="57" t="s">
        <v>286</v>
      </c>
      <c r="L31" s="57" t="s">
        <v>740</v>
      </c>
      <c r="M31" s="57" t="s">
        <v>288</v>
      </c>
      <c r="N31" s="57" t="s">
        <v>289</v>
      </c>
      <c r="O31" s="57" t="s">
        <v>741</v>
      </c>
      <c r="P31" s="57" t="s">
        <v>748</v>
      </c>
      <c r="Q31" s="57" t="s">
        <v>713</v>
      </c>
    </row>
    <row r="32" s="50" customFormat="true" ht="14.25" hidden="false" customHeight="true" outlineLevel="0" collapsed="false">
      <c r="A32" s="50" t="s">
        <v>739</v>
      </c>
      <c r="B32" s="57" t="s">
        <v>45</v>
      </c>
      <c r="C32" s="57" t="s">
        <v>600</v>
      </c>
      <c r="D32" s="58" t="n">
        <v>46055.3819444444</v>
      </c>
      <c r="E32" s="58" t="n">
        <v>46055.3819444444</v>
      </c>
      <c r="F32" s="58" t="n">
        <v>46055.4465277778</v>
      </c>
      <c r="G32" s="59" t="n">
        <f aca="false">F32-E32</f>
        <v>0.0645833334027778</v>
      </c>
      <c r="H32" s="57" t="s">
        <v>252</v>
      </c>
      <c r="I32" s="57" t="s">
        <v>284</v>
      </c>
      <c r="J32" s="57" t="s">
        <v>285</v>
      </c>
      <c r="K32" s="57" t="s">
        <v>286</v>
      </c>
      <c r="L32" s="57" t="s">
        <v>740</v>
      </c>
      <c r="M32" s="57" t="s">
        <v>288</v>
      </c>
      <c r="N32" s="57" t="s">
        <v>289</v>
      </c>
      <c r="O32" s="57" t="s">
        <v>741</v>
      </c>
      <c r="P32" s="57" t="s">
        <v>749</v>
      </c>
      <c r="Q32" s="57" t="s">
        <v>713</v>
      </c>
    </row>
    <row r="33" s="50" customFormat="true" ht="14.25" hidden="false" customHeight="true" outlineLevel="0" collapsed="false">
      <c r="A33" s="50" t="s">
        <v>739</v>
      </c>
      <c r="B33" s="57" t="s">
        <v>45</v>
      </c>
      <c r="C33" s="57" t="s">
        <v>601</v>
      </c>
      <c r="D33" s="58" t="n">
        <v>46055.3819444444</v>
      </c>
      <c r="E33" s="58" t="n">
        <v>46055.3819444444</v>
      </c>
      <c r="F33" s="58" t="n">
        <v>46055.4465277778</v>
      </c>
      <c r="G33" s="59" t="n">
        <f aca="false">F33-E33</f>
        <v>0.0645833334027778</v>
      </c>
      <c r="H33" s="57" t="s">
        <v>252</v>
      </c>
      <c r="I33" s="57" t="s">
        <v>284</v>
      </c>
      <c r="J33" s="57" t="s">
        <v>285</v>
      </c>
      <c r="K33" s="57" t="s">
        <v>286</v>
      </c>
      <c r="L33" s="57" t="s">
        <v>740</v>
      </c>
      <c r="M33" s="57" t="s">
        <v>288</v>
      </c>
      <c r="N33" s="57" t="s">
        <v>289</v>
      </c>
      <c r="O33" s="57" t="s">
        <v>741</v>
      </c>
      <c r="P33" s="57" t="s">
        <v>750</v>
      </c>
      <c r="Q33" s="57" t="s">
        <v>713</v>
      </c>
    </row>
    <row r="34" s="50" customFormat="true" ht="14.25" hidden="false" customHeight="true" outlineLevel="0" collapsed="false">
      <c r="A34" s="50" t="s">
        <v>739</v>
      </c>
      <c r="B34" s="57" t="s">
        <v>45</v>
      </c>
      <c r="C34" s="57" t="s">
        <v>602</v>
      </c>
      <c r="D34" s="58" t="n">
        <v>46055.3819444444</v>
      </c>
      <c r="E34" s="58" t="n">
        <v>46055.3819444444</v>
      </c>
      <c r="F34" s="58" t="n">
        <v>46055.4465277778</v>
      </c>
      <c r="G34" s="59" t="n">
        <f aca="false">F34-E34</f>
        <v>0.0645833334027778</v>
      </c>
      <c r="H34" s="57" t="s">
        <v>252</v>
      </c>
      <c r="I34" s="57" t="s">
        <v>284</v>
      </c>
      <c r="J34" s="57" t="s">
        <v>285</v>
      </c>
      <c r="K34" s="57" t="s">
        <v>286</v>
      </c>
      <c r="L34" s="57" t="s">
        <v>740</v>
      </c>
      <c r="M34" s="57" t="s">
        <v>288</v>
      </c>
      <c r="N34" s="57" t="s">
        <v>289</v>
      </c>
      <c r="O34" s="57" t="s">
        <v>741</v>
      </c>
      <c r="P34" s="57" t="s">
        <v>751</v>
      </c>
      <c r="Q34" s="57" t="s">
        <v>713</v>
      </c>
    </row>
    <row r="35" s="50" customFormat="true" ht="14.25" hidden="false" customHeight="true" outlineLevel="0" collapsed="false">
      <c r="A35" s="50" t="s">
        <v>739</v>
      </c>
      <c r="B35" s="57" t="s">
        <v>45</v>
      </c>
      <c r="C35" s="57" t="s">
        <v>603</v>
      </c>
      <c r="D35" s="58" t="n">
        <v>46055.3819444444</v>
      </c>
      <c r="E35" s="58" t="n">
        <v>46055.3819444444</v>
      </c>
      <c r="F35" s="58" t="n">
        <v>46055.4465277778</v>
      </c>
      <c r="G35" s="59" t="n">
        <f aca="false">F35-E35</f>
        <v>0.0645833334027778</v>
      </c>
      <c r="H35" s="57" t="s">
        <v>252</v>
      </c>
      <c r="I35" s="57" t="s">
        <v>284</v>
      </c>
      <c r="J35" s="57" t="s">
        <v>285</v>
      </c>
      <c r="K35" s="57" t="s">
        <v>286</v>
      </c>
      <c r="L35" s="57" t="s">
        <v>740</v>
      </c>
      <c r="M35" s="57" t="s">
        <v>288</v>
      </c>
      <c r="N35" s="57" t="s">
        <v>289</v>
      </c>
      <c r="O35" s="57" t="s">
        <v>741</v>
      </c>
      <c r="P35" s="57" t="s">
        <v>752</v>
      </c>
      <c r="Q35" s="57" t="s">
        <v>713</v>
      </c>
    </row>
    <row r="36" s="50" customFormat="true" ht="14.25" hidden="false" customHeight="true" outlineLevel="0" collapsed="false">
      <c r="A36" s="50" t="s">
        <v>739</v>
      </c>
      <c r="B36" s="57" t="s">
        <v>45</v>
      </c>
      <c r="C36" s="57" t="s">
        <v>604</v>
      </c>
      <c r="D36" s="58" t="n">
        <v>46055.3819444444</v>
      </c>
      <c r="E36" s="58" t="n">
        <v>46055.3819444444</v>
      </c>
      <c r="F36" s="58" t="n">
        <v>46055.4465277778</v>
      </c>
      <c r="G36" s="59" t="n">
        <f aca="false">F36-E36</f>
        <v>0.0645833334027778</v>
      </c>
      <c r="H36" s="57" t="s">
        <v>252</v>
      </c>
      <c r="I36" s="57" t="s">
        <v>284</v>
      </c>
      <c r="J36" s="57" t="s">
        <v>285</v>
      </c>
      <c r="K36" s="57" t="s">
        <v>286</v>
      </c>
      <c r="L36" s="57" t="s">
        <v>740</v>
      </c>
      <c r="M36" s="57" t="s">
        <v>288</v>
      </c>
      <c r="N36" s="57" t="s">
        <v>289</v>
      </c>
      <c r="O36" s="57" t="s">
        <v>741</v>
      </c>
      <c r="P36" s="57" t="s">
        <v>753</v>
      </c>
      <c r="Q36" s="57" t="s">
        <v>713</v>
      </c>
    </row>
    <row r="37" s="50" customFormat="true" ht="14.25" hidden="false" customHeight="true" outlineLevel="0" collapsed="false">
      <c r="A37" s="50" t="s">
        <v>264</v>
      </c>
      <c r="B37" s="57" t="s">
        <v>264</v>
      </c>
      <c r="C37" s="57" t="s">
        <v>265</v>
      </c>
      <c r="D37" s="58" t="n">
        <v>46055.3888888889</v>
      </c>
      <c r="E37" s="58" t="n">
        <v>46055.3888888889</v>
      </c>
      <c r="F37" s="58" t="n">
        <v>46055.4569444444</v>
      </c>
      <c r="G37" s="59" t="n">
        <f aca="false">F37-E37</f>
        <v>0.0680555554976852</v>
      </c>
      <c r="H37" s="57" t="s">
        <v>252</v>
      </c>
      <c r="I37" s="57" t="s">
        <v>284</v>
      </c>
      <c r="J37" s="57" t="s">
        <v>369</v>
      </c>
      <c r="K37" s="57" t="s">
        <v>754</v>
      </c>
      <c r="L37" s="57" t="s">
        <v>755</v>
      </c>
      <c r="M37" s="57" t="s">
        <v>371</v>
      </c>
      <c r="N37" s="57" t="s">
        <v>502</v>
      </c>
      <c r="O37" s="57" t="s">
        <v>756</v>
      </c>
      <c r="P37" s="57" t="s">
        <v>757</v>
      </c>
      <c r="Q37" s="57" t="s">
        <v>758</v>
      </c>
    </row>
    <row r="38" s="50" customFormat="true" ht="14.25" hidden="false" customHeight="true" outlineLevel="0" collapsed="false">
      <c r="A38" s="50" t="s">
        <v>271</v>
      </c>
      <c r="B38" s="57" t="s">
        <v>271</v>
      </c>
      <c r="C38" s="57" t="s">
        <v>265</v>
      </c>
      <c r="D38" s="58" t="n">
        <v>46055.3888888889</v>
      </c>
      <c r="E38" s="58" t="n">
        <v>46055.3888888889</v>
      </c>
      <c r="F38" s="58" t="n">
        <v>46055.4569444444</v>
      </c>
      <c r="G38" s="59" t="n">
        <f aca="false">F38-E38</f>
        <v>0.0680555554976852</v>
      </c>
      <c r="H38" s="57" t="s">
        <v>252</v>
      </c>
      <c r="I38" s="57" t="s">
        <v>284</v>
      </c>
      <c r="J38" s="57" t="s">
        <v>369</v>
      </c>
      <c r="K38" s="57" t="s">
        <v>754</v>
      </c>
      <c r="L38" s="57" t="s">
        <v>755</v>
      </c>
      <c r="M38" s="57" t="s">
        <v>371</v>
      </c>
      <c r="N38" s="57" t="s">
        <v>502</v>
      </c>
      <c r="O38" s="57" t="s">
        <v>756</v>
      </c>
      <c r="P38" s="57" t="s">
        <v>759</v>
      </c>
      <c r="Q38" s="57" t="s">
        <v>758</v>
      </c>
    </row>
    <row r="39" s="50" customFormat="true" ht="14.25" hidden="false" customHeight="true" outlineLevel="0" collapsed="false">
      <c r="A39" s="50" t="s">
        <v>272</v>
      </c>
      <c r="B39" s="57" t="s">
        <v>272</v>
      </c>
      <c r="C39" s="57" t="s">
        <v>265</v>
      </c>
      <c r="D39" s="58" t="n">
        <v>46055.3888888889</v>
      </c>
      <c r="E39" s="58" t="n">
        <v>46055.3888888889</v>
      </c>
      <c r="F39" s="58" t="n">
        <v>46055.4569444444</v>
      </c>
      <c r="G39" s="59" t="n">
        <f aca="false">F39-E39</f>
        <v>0.0680555554976852</v>
      </c>
      <c r="H39" s="57" t="s">
        <v>252</v>
      </c>
      <c r="I39" s="57" t="s">
        <v>284</v>
      </c>
      <c r="J39" s="57" t="s">
        <v>369</v>
      </c>
      <c r="K39" s="57" t="s">
        <v>754</v>
      </c>
      <c r="L39" s="57" t="s">
        <v>755</v>
      </c>
      <c r="M39" s="57" t="s">
        <v>371</v>
      </c>
      <c r="N39" s="57" t="s">
        <v>502</v>
      </c>
      <c r="O39" s="57" t="s">
        <v>756</v>
      </c>
      <c r="P39" s="57" t="s">
        <v>760</v>
      </c>
      <c r="Q39" s="57" t="s">
        <v>758</v>
      </c>
    </row>
    <row r="40" s="50" customFormat="true" ht="14.25" hidden="false" customHeight="true" outlineLevel="0" collapsed="false">
      <c r="A40" s="50" t="s">
        <v>273</v>
      </c>
      <c r="B40" s="57" t="s">
        <v>273</v>
      </c>
      <c r="C40" s="57" t="s">
        <v>265</v>
      </c>
      <c r="D40" s="58" t="n">
        <v>46055.3888888889</v>
      </c>
      <c r="E40" s="58" t="n">
        <v>46055.3888888889</v>
      </c>
      <c r="F40" s="58" t="n">
        <v>46055.4569444444</v>
      </c>
      <c r="G40" s="59" t="n">
        <f aca="false">F40-E40</f>
        <v>0.0680555554976852</v>
      </c>
      <c r="H40" s="57" t="s">
        <v>252</v>
      </c>
      <c r="I40" s="57" t="s">
        <v>284</v>
      </c>
      <c r="J40" s="57" t="s">
        <v>369</v>
      </c>
      <c r="K40" s="57" t="s">
        <v>754</v>
      </c>
      <c r="L40" s="57" t="s">
        <v>755</v>
      </c>
      <c r="M40" s="57" t="s">
        <v>371</v>
      </c>
      <c r="N40" s="57" t="s">
        <v>502</v>
      </c>
      <c r="O40" s="57" t="s">
        <v>756</v>
      </c>
      <c r="P40" s="57" t="s">
        <v>761</v>
      </c>
      <c r="Q40" s="57" t="s">
        <v>758</v>
      </c>
    </row>
    <row r="41" s="50" customFormat="true" ht="14.25" hidden="false" customHeight="true" outlineLevel="0" collapsed="false">
      <c r="A41" s="50" t="s">
        <v>762</v>
      </c>
      <c r="B41" s="57" t="s">
        <v>32</v>
      </c>
      <c r="C41" s="57" t="s">
        <v>576</v>
      </c>
      <c r="D41" s="58" t="n">
        <v>46055.6666666667</v>
      </c>
      <c r="E41" s="58" t="n">
        <v>46055.6666666667</v>
      </c>
      <c r="F41" s="58" t="n">
        <v>46055.7145833333</v>
      </c>
      <c r="G41" s="59" t="n">
        <f aca="false">F41-E41</f>
        <v>0.0479166665972222</v>
      </c>
      <c r="H41" s="57" t="s">
        <v>384</v>
      </c>
      <c r="I41" s="57"/>
      <c r="J41" s="57" t="s">
        <v>333</v>
      </c>
      <c r="K41" s="57" t="s">
        <v>334</v>
      </c>
      <c r="L41" s="57" t="s">
        <v>763</v>
      </c>
      <c r="M41" s="57" t="s">
        <v>386</v>
      </c>
      <c r="N41" s="57" t="s">
        <v>387</v>
      </c>
      <c r="O41" s="57" t="s">
        <v>764</v>
      </c>
      <c r="P41" s="57" t="s">
        <v>765</v>
      </c>
      <c r="Q41" s="57" t="s">
        <v>766</v>
      </c>
    </row>
    <row r="42" s="50" customFormat="true" ht="14.25" hidden="false" customHeight="true" outlineLevel="0" collapsed="false">
      <c r="A42" s="50" t="s">
        <v>762</v>
      </c>
      <c r="B42" s="57" t="s">
        <v>32</v>
      </c>
      <c r="C42" s="57" t="s">
        <v>577</v>
      </c>
      <c r="D42" s="58" t="n">
        <v>46055.6666666667</v>
      </c>
      <c r="E42" s="58" t="n">
        <v>46055.6666666667</v>
      </c>
      <c r="F42" s="58" t="n">
        <v>46055.7145833333</v>
      </c>
      <c r="G42" s="59" t="n">
        <f aca="false">F42-E42</f>
        <v>0.0479166665972222</v>
      </c>
      <c r="H42" s="57" t="s">
        <v>384</v>
      </c>
      <c r="I42" s="57"/>
      <c r="J42" s="57" t="s">
        <v>333</v>
      </c>
      <c r="K42" s="57" t="s">
        <v>334</v>
      </c>
      <c r="L42" s="57" t="s">
        <v>763</v>
      </c>
      <c r="M42" s="57" t="s">
        <v>386</v>
      </c>
      <c r="N42" s="57" t="s">
        <v>387</v>
      </c>
      <c r="O42" s="57" t="s">
        <v>764</v>
      </c>
      <c r="P42" s="57" t="s">
        <v>767</v>
      </c>
      <c r="Q42" s="57" t="s">
        <v>766</v>
      </c>
    </row>
    <row r="43" s="50" customFormat="true" ht="14.25" hidden="false" customHeight="true" outlineLevel="0" collapsed="false">
      <c r="A43" s="50" t="s">
        <v>762</v>
      </c>
      <c r="B43" s="57" t="s">
        <v>32</v>
      </c>
      <c r="C43" s="57" t="s">
        <v>578</v>
      </c>
      <c r="D43" s="58" t="n">
        <v>46055.6666666667</v>
      </c>
      <c r="E43" s="58" t="n">
        <v>46055.6666666667</v>
      </c>
      <c r="F43" s="58" t="n">
        <v>46055.7145833333</v>
      </c>
      <c r="G43" s="59" t="n">
        <f aca="false">F43-E43</f>
        <v>0.0479166665972222</v>
      </c>
      <c r="H43" s="57" t="s">
        <v>384</v>
      </c>
      <c r="I43" s="57"/>
      <c r="J43" s="57" t="s">
        <v>333</v>
      </c>
      <c r="K43" s="57" t="s">
        <v>334</v>
      </c>
      <c r="L43" s="57" t="s">
        <v>763</v>
      </c>
      <c r="M43" s="57" t="s">
        <v>386</v>
      </c>
      <c r="N43" s="57" t="s">
        <v>387</v>
      </c>
      <c r="O43" s="57" t="s">
        <v>764</v>
      </c>
      <c r="P43" s="57" t="s">
        <v>768</v>
      </c>
      <c r="Q43" s="57" t="s">
        <v>766</v>
      </c>
    </row>
    <row r="44" s="50" customFormat="true" ht="14.25" hidden="false" customHeight="true" outlineLevel="0" collapsed="false">
      <c r="A44" s="50" t="s">
        <v>762</v>
      </c>
      <c r="B44" s="57" t="s">
        <v>32</v>
      </c>
      <c r="C44" s="57" t="s">
        <v>579</v>
      </c>
      <c r="D44" s="58" t="n">
        <v>46055.6666666667</v>
      </c>
      <c r="E44" s="58" t="n">
        <v>46055.6666666667</v>
      </c>
      <c r="F44" s="58" t="n">
        <v>46055.7145833333</v>
      </c>
      <c r="G44" s="59" t="n">
        <f aca="false">F44-E44</f>
        <v>0.0479166665972222</v>
      </c>
      <c r="H44" s="57" t="s">
        <v>384</v>
      </c>
      <c r="I44" s="57"/>
      <c r="J44" s="57" t="s">
        <v>333</v>
      </c>
      <c r="K44" s="57" t="s">
        <v>334</v>
      </c>
      <c r="L44" s="57" t="s">
        <v>763</v>
      </c>
      <c r="M44" s="57" t="s">
        <v>386</v>
      </c>
      <c r="N44" s="57" t="s">
        <v>387</v>
      </c>
      <c r="O44" s="57" t="s">
        <v>764</v>
      </c>
      <c r="P44" s="57" t="s">
        <v>769</v>
      </c>
      <c r="Q44" s="57" t="s">
        <v>766</v>
      </c>
    </row>
    <row r="45" s="50" customFormat="true" ht="14.25" hidden="false" customHeight="true" outlineLevel="0" collapsed="false">
      <c r="A45" s="50" t="s">
        <v>770</v>
      </c>
      <c r="B45" s="57" t="s">
        <v>771</v>
      </c>
      <c r="C45" s="57" t="s">
        <v>772</v>
      </c>
      <c r="D45" s="58" t="n">
        <v>46055.8263888889</v>
      </c>
      <c r="E45" s="58" t="n">
        <v>46055.8263888889</v>
      </c>
      <c r="F45" s="58" t="n">
        <v>46055.9548611111</v>
      </c>
      <c r="G45" s="59" t="n">
        <f aca="false">F45-E45</f>
        <v>0.128472222199074</v>
      </c>
      <c r="H45" s="57" t="s">
        <v>252</v>
      </c>
      <c r="I45" s="57"/>
      <c r="J45" s="57" t="s">
        <v>253</v>
      </c>
      <c r="K45" s="57" t="s">
        <v>266</v>
      </c>
      <c r="L45" s="57" t="s">
        <v>254</v>
      </c>
      <c r="M45" s="57" t="s">
        <v>255</v>
      </c>
      <c r="N45" s="57" t="s">
        <v>256</v>
      </c>
      <c r="O45" s="57" t="s">
        <v>773</v>
      </c>
      <c r="P45" s="57" t="s">
        <v>774</v>
      </c>
      <c r="Q45" s="57" t="s">
        <v>706</v>
      </c>
    </row>
    <row r="46" s="50" customFormat="true" ht="14.25" hidden="false" customHeight="true" outlineLevel="0" collapsed="false">
      <c r="A46" s="50" t="s">
        <v>775</v>
      </c>
      <c r="B46" s="57" t="s">
        <v>771</v>
      </c>
      <c r="C46" s="57" t="s">
        <v>776</v>
      </c>
      <c r="D46" s="58" t="n">
        <v>46055.8263888889</v>
      </c>
      <c r="E46" s="58" t="n">
        <v>46055.8263888889</v>
      </c>
      <c r="F46" s="58" t="n">
        <v>46055.9548611111</v>
      </c>
      <c r="G46" s="59" t="n">
        <f aca="false">F46-E46</f>
        <v>0.128472222199074</v>
      </c>
      <c r="H46" s="57" t="s">
        <v>252</v>
      </c>
      <c r="I46" s="57"/>
      <c r="J46" s="57" t="s">
        <v>253</v>
      </c>
      <c r="K46" s="57" t="s">
        <v>266</v>
      </c>
      <c r="L46" s="57" t="s">
        <v>254</v>
      </c>
      <c r="M46" s="57" t="s">
        <v>255</v>
      </c>
      <c r="N46" s="57" t="s">
        <v>256</v>
      </c>
      <c r="O46" s="57" t="s">
        <v>773</v>
      </c>
      <c r="P46" s="57" t="s">
        <v>777</v>
      </c>
      <c r="Q46" s="57" t="s">
        <v>706</v>
      </c>
    </row>
    <row r="47" s="50" customFormat="true" ht="14.25" hidden="false" customHeight="true" outlineLevel="0" collapsed="false">
      <c r="A47" s="50" t="s">
        <v>778</v>
      </c>
      <c r="B47" s="57" t="s">
        <v>771</v>
      </c>
      <c r="C47" s="57" t="s">
        <v>779</v>
      </c>
      <c r="D47" s="58" t="n">
        <v>46055.8263888889</v>
      </c>
      <c r="E47" s="58" t="n">
        <v>46055.8263888889</v>
      </c>
      <c r="F47" s="58" t="n">
        <v>46055.9548611111</v>
      </c>
      <c r="G47" s="59" t="n">
        <f aca="false">F47-E47</f>
        <v>0.128472222199074</v>
      </c>
      <c r="H47" s="57" t="s">
        <v>252</v>
      </c>
      <c r="I47" s="57"/>
      <c r="J47" s="57" t="s">
        <v>253</v>
      </c>
      <c r="K47" s="57" t="s">
        <v>266</v>
      </c>
      <c r="L47" s="57" t="s">
        <v>254</v>
      </c>
      <c r="M47" s="57" t="s">
        <v>255</v>
      </c>
      <c r="N47" s="57" t="s">
        <v>256</v>
      </c>
      <c r="O47" s="57" t="s">
        <v>773</v>
      </c>
      <c r="P47" s="57" t="s">
        <v>780</v>
      </c>
      <c r="Q47" s="57" t="s">
        <v>706</v>
      </c>
    </row>
    <row r="48" s="50" customFormat="true" ht="14.25" hidden="false" customHeight="true" outlineLevel="0" collapsed="false">
      <c r="A48" s="50" t="s">
        <v>781</v>
      </c>
      <c r="B48" s="57" t="s">
        <v>782</v>
      </c>
      <c r="C48" s="57" t="s">
        <v>783</v>
      </c>
      <c r="D48" s="58" t="n">
        <v>46055.8263888889</v>
      </c>
      <c r="E48" s="58" t="n">
        <v>46055.8263888889</v>
      </c>
      <c r="F48" s="58" t="n">
        <v>46055.9548611111</v>
      </c>
      <c r="G48" s="59" t="n">
        <f aca="false">F48-E48</f>
        <v>0.128472222199074</v>
      </c>
      <c r="H48" s="57" t="s">
        <v>252</v>
      </c>
      <c r="I48" s="57"/>
      <c r="J48" s="57" t="s">
        <v>253</v>
      </c>
      <c r="K48" s="57" t="s">
        <v>266</v>
      </c>
      <c r="L48" s="57" t="s">
        <v>254</v>
      </c>
      <c r="M48" s="57" t="s">
        <v>255</v>
      </c>
      <c r="N48" s="57" t="s">
        <v>256</v>
      </c>
      <c r="O48" s="57" t="s">
        <v>773</v>
      </c>
      <c r="P48" s="57" t="s">
        <v>784</v>
      </c>
      <c r="Q48" s="57" t="s">
        <v>706</v>
      </c>
    </row>
    <row r="49" s="50" customFormat="true" ht="14.25" hidden="false" customHeight="true" outlineLevel="0" collapsed="false">
      <c r="A49" s="50" t="s">
        <v>785</v>
      </c>
      <c r="B49" s="57" t="s">
        <v>782</v>
      </c>
      <c r="C49" s="57" t="s">
        <v>786</v>
      </c>
      <c r="D49" s="58" t="n">
        <v>46055.8263888889</v>
      </c>
      <c r="E49" s="58" t="n">
        <v>46055.8263888889</v>
      </c>
      <c r="F49" s="58" t="n">
        <v>46055.9548611111</v>
      </c>
      <c r="G49" s="59" t="n">
        <f aca="false">F49-E49</f>
        <v>0.128472222199074</v>
      </c>
      <c r="H49" s="57" t="s">
        <v>252</v>
      </c>
      <c r="I49" s="57"/>
      <c r="J49" s="57" t="s">
        <v>253</v>
      </c>
      <c r="K49" s="57" t="s">
        <v>266</v>
      </c>
      <c r="L49" s="57" t="s">
        <v>254</v>
      </c>
      <c r="M49" s="57" t="s">
        <v>255</v>
      </c>
      <c r="N49" s="57" t="s">
        <v>256</v>
      </c>
      <c r="O49" s="57" t="s">
        <v>773</v>
      </c>
      <c r="P49" s="57" t="s">
        <v>787</v>
      </c>
      <c r="Q49" s="57" t="s">
        <v>706</v>
      </c>
    </row>
    <row r="50" s="50" customFormat="true" ht="14.25" hidden="false" customHeight="true" outlineLevel="0" collapsed="false">
      <c r="A50" s="50" t="s">
        <v>788</v>
      </c>
      <c r="B50" s="57" t="s">
        <v>782</v>
      </c>
      <c r="C50" s="57" t="s">
        <v>789</v>
      </c>
      <c r="D50" s="58" t="n">
        <v>46055.8263888889</v>
      </c>
      <c r="E50" s="58" t="n">
        <v>46055.8263888889</v>
      </c>
      <c r="F50" s="58" t="n">
        <v>46055.9548611111</v>
      </c>
      <c r="G50" s="59" t="n">
        <f aca="false">F50-E50</f>
        <v>0.128472222199074</v>
      </c>
      <c r="H50" s="57" t="s">
        <v>252</v>
      </c>
      <c r="I50" s="57"/>
      <c r="J50" s="57" t="s">
        <v>253</v>
      </c>
      <c r="K50" s="57" t="s">
        <v>266</v>
      </c>
      <c r="L50" s="57" t="s">
        <v>254</v>
      </c>
      <c r="M50" s="57" t="s">
        <v>255</v>
      </c>
      <c r="N50" s="57" t="s">
        <v>256</v>
      </c>
      <c r="O50" s="57" t="s">
        <v>773</v>
      </c>
      <c r="P50" s="57" t="s">
        <v>790</v>
      </c>
      <c r="Q50" s="57" t="s">
        <v>706</v>
      </c>
    </row>
    <row r="51" s="50" customFormat="true" ht="14.25" hidden="false" customHeight="true" outlineLevel="0" collapsed="false">
      <c r="A51" s="50" t="s">
        <v>791</v>
      </c>
      <c r="B51" s="57" t="s">
        <v>782</v>
      </c>
      <c r="C51" s="57" t="s">
        <v>792</v>
      </c>
      <c r="D51" s="58" t="n">
        <v>46055.8263888889</v>
      </c>
      <c r="E51" s="58" t="n">
        <v>46055.8263888889</v>
      </c>
      <c r="F51" s="58" t="n">
        <v>46055.9548611111</v>
      </c>
      <c r="G51" s="59" t="n">
        <f aca="false">F51-E51</f>
        <v>0.128472222199074</v>
      </c>
      <c r="H51" s="57" t="s">
        <v>252</v>
      </c>
      <c r="I51" s="57"/>
      <c r="J51" s="57" t="s">
        <v>253</v>
      </c>
      <c r="K51" s="57" t="s">
        <v>266</v>
      </c>
      <c r="L51" s="57" t="s">
        <v>254</v>
      </c>
      <c r="M51" s="57" t="s">
        <v>255</v>
      </c>
      <c r="N51" s="57" t="s">
        <v>256</v>
      </c>
      <c r="O51" s="57" t="s">
        <v>773</v>
      </c>
      <c r="P51" s="57" t="s">
        <v>793</v>
      </c>
      <c r="Q51" s="57" t="s">
        <v>706</v>
      </c>
    </row>
    <row r="52" s="50" customFormat="true" ht="14.25" hidden="false" customHeight="true" outlineLevel="0" collapsed="false">
      <c r="A52" s="50" t="s">
        <v>339</v>
      </c>
      <c r="B52" s="57" t="s">
        <v>339</v>
      </c>
      <c r="C52" s="57" t="s">
        <v>324</v>
      </c>
      <c r="D52" s="58" t="n">
        <v>46055.8715277778</v>
      </c>
      <c r="E52" s="58" t="n">
        <v>46055.8715277778</v>
      </c>
      <c r="F52" s="58" t="n">
        <v>46056.3125</v>
      </c>
      <c r="G52" s="59" t="n">
        <f aca="false">F52-E52</f>
        <v>0.440972222199074</v>
      </c>
      <c r="H52" s="57" t="s">
        <v>252</v>
      </c>
      <c r="I52" s="57"/>
      <c r="J52" s="57" t="s">
        <v>253</v>
      </c>
      <c r="K52" s="57" t="s">
        <v>266</v>
      </c>
      <c r="L52" s="57" t="s">
        <v>794</v>
      </c>
      <c r="M52" s="57" t="s">
        <v>255</v>
      </c>
      <c r="N52" s="57" t="s">
        <v>256</v>
      </c>
      <c r="O52" s="57" t="s">
        <v>257</v>
      </c>
      <c r="P52" s="57" t="s">
        <v>795</v>
      </c>
      <c r="Q52" s="57" t="s">
        <v>706</v>
      </c>
    </row>
    <row r="53" s="50" customFormat="true" ht="14.25" hidden="false" customHeight="true" outlineLevel="0" collapsed="false">
      <c r="A53" s="50" t="s">
        <v>339</v>
      </c>
      <c r="B53" s="57" t="s">
        <v>339</v>
      </c>
      <c r="C53" s="57" t="s">
        <v>327</v>
      </c>
      <c r="D53" s="58" t="n">
        <v>46055.8715277778</v>
      </c>
      <c r="E53" s="58" t="n">
        <v>46055.8715277778</v>
      </c>
      <c r="F53" s="58" t="n">
        <v>46056.3125</v>
      </c>
      <c r="G53" s="59" t="n">
        <f aca="false">F53-E53</f>
        <v>0.440972222199074</v>
      </c>
      <c r="H53" s="57" t="s">
        <v>252</v>
      </c>
      <c r="I53" s="57"/>
      <c r="J53" s="57" t="s">
        <v>253</v>
      </c>
      <c r="K53" s="57" t="s">
        <v>266</v>
      </c>
      <c r="L53" s="57" t="s">
        <v>794</v>
      </c>
      <c r="M53" s="57" t="s">
        <v>255</v>
      </c>
      <c r="N53" s="57" t="s">
        <v>256</v>
      </c>
      <c r="O53" s="57" t="s">
        <v>257</v>
      </c>
      <c r="P53" s="57" t="s">
        <v>796</v>
      </c>
      <c r="Q53" s="57" t="s">
        <v>706</v>
      </c>
    </row>
    <row r="54" s="50" customFormat="true" ht="14.25" hidden="false" customHeight="true" outlineLevel="0" collapsed="false">
      <c r="A54" s="50" t="s">
        <v>339</v>
      </c>
      <c r="B54" s="57" t="s">
        <v>339</v>
      </c>
      <c r="C54" s="57" t="s">
        <v>326</v>
      </c>
      <c r="D54" s="58" t="n">
        <v>46055.8715277778</v>
      </c>
      <c r="E54" s="58" t="n">
        <v>46055.8715277778</v>
      </c>
      <c r="F54" s="58" t="n">
        <v>46056.3125</v>
      </c>
      <c r="G54" s="59" t="n">
        <f aca="false">F54-E54</f>
        <v>0.440972222199074</v>
      </c>
      <c r="H54" s="57" t="s">
        <v>252</v>
      </c>
      <c r="I54" s="57"/>
      <c r="J54" s="57" t="s">
        <v>253</v>
      </c>
      <c r="K54" s="57" t="s">
        <v>266</v>
      </c>
      <c r="L54" s="57" t="s">
        <v>794</v>
      </c>
      <c r="M54" s="57" t="s">
        <v>255</v>
      </c>
      <c r="N54" s="57" t="s">
        <v>256</v>
      </c>
      <c r="O54" s="57" t="s">
        <v>257</v>
      </c>
      <c r="P54" s="57" t="s">
        <v>797</v>
      </c>
      <c r="Q54" s="57" t="s">
        <v>706</v>
      </c>
    </row>
    <row r="55" s="50" customFormat="true" ht="14.25" hidden="false" customHeight="true" outlineLevel="0" collapsed="false">
      <c r="A55" s="50" t="s">
        <v>339</v>
      </c>
      <c r="B55" s="57" t="s">
        <v>339</v>
      </c>
      <c r="C55" s="57" t="s">
        <v>265</v>
      </c>
      <c r="D55" s="58" t="n">
        <v>46055.8715277778</v>
      </c>
      <c r="E55" s="58" t="n">
        <v>46055.8715277778</v>
      </c>
      <c r="F55" s="58" t="n">
        <v>46056.3125</v>
      </c>
      <c r="G55" s="59" t="n">
        <f aca="false">F55-E55</f>
        <v>0.440972222199074</v>
      </c>
      <c r="H55" s="57" t="s">
        <v>252</v>
      </c>
      <c r="I55" s="57"/>
      <c r="J55" s="57" t="s">
        <v>253</v>
      </c>
      <c r="K55" s="57" t="s">
        <v>266</v>
      </c>
      <c r="L55" s="57" t="s">
        <v>794</v>
      </c>
      <c r="M55" s="57" t="s">
        <v>255</v>
      </c>
      <c r="N55" s="57" t="s">
        <v>256</v>
      </c>
      <c r="O55" s="57" t="s">
        <v>257</v>
      </c>
      <c r="P55" s="57" t="s">
        <v>798</v>
      </c>
      <c r="Q55" s="57" t="s">
        <v>706</v>
      </c>
    </row>
    <row r="56" s="50" customFormat="true" ht="14.25" hidden="false" customHeight="true" outlineLevel="0" collapsed="false">
      <c r="A56" s="50" t="s">
        <v>341</v>
      </c>
      <c r="B56" s="57" t="s">
        <v>341</v>
      </c>
      <c r="C56" s="57" t="s">
        <v>326</v>
      </c>
      <c r="D56" s="58" t="n">
        <v>46055.8715277778</v>
      </c>
      <c r="E56" s="58" t="n">
        <v>46055.8715277778</v>
      </c>
      <c r="F56" s="58" t="n">
        <v>46056.3125</v>
      </c>
      <c r="G56" s="59" t="n">
        <f aca="false">F56-E56</f>
        <v>0.440972222199074</v>
      </c>
      <c r="H56" s="57" t="s">
        <v>252</v>
      </c>
      <c r="I56" s="57"/>
      <c r="J56" s="57" t="s">
        <v>253</v>
      </c>
      <c r="K56" s="57" t="s">
        <v>266</v>
      </c>
      <c r="L56" s="57" t="s">
        <v>794</v>
      </c>
      <c r="M56" s="57" t="s">
        <v>255</v>
      </c>
      <c r="N56" s="57" t="s">
        <v>256</v>
      </c>
      <c r="O56" s="57" t="s">
        <v>257</v>
      </c>
      <c r="P56" s="57" t="s">
        <v>799</v>
      </c>
      <c r="Q56" s="57" t="s">
        <v>706</v>
      </c>
    </row>
    <row r="57" s="50" customFormat="true" ht="14.25" hidden="false" customHeight="true" outlineLevel="0" collapsed="false">
      <c r="A57" s="50" t="s">
        <v>341</v>
      </c>
      <c r="B57" s="57" t="s">
        <v>341</v>
      </c>
      <c r="C57" s="57" t="s">
        <v>324</v>
      </c>
      <c r="D57" s="58" t="n">
        <v>46055.8715277778</v>
      </c>
      <c r="E57" s="58" t="n">
        <v>46055.8715277778</v>
      </c>
      <c r="F57" s="58" t="n">
        <v>46056.3125</v>
      </c>
      <c r="G57" s="59" t="n">
        <f aca="false">F57-E57</f>
        <v>0.440972222199074</v>
      </c>
      <c r="H57" s="57" t="s">
        <v>252</v>
      </c>
      <c r="I57" s="57"/>
      <c r="J57" s="57" t="s">
        <v>253</v>
      </c>
      <c r="K57" s="57" t="s">
        <v>266</v>
      </c>
      <c r="L57" s="57" t="s">
        <v>794</v>
      </c>
      <c r="M57" s="57" t="s">
        <v>255</v>
      </c>
      <c r="N57" s="57" t="s">
        <v>256</v>
      </c>
      <c r="O57" s="57" t="s">
        <v>257</v>
      </c>
      <c r="P57" s="57" t="s">
        <v>800</v>
      </c>
      <c r="Q57" s="57" t="s">
        <v>706</v>
      </c>
    </row>
    <row r="58" s="50" customFormat="true" ht="14.25" hidden="false" customHeight="true" outlineLevel="0" collapsed="false">
      <c r="A58" s="50" t="s">
        <v>801</v>
      </c>
      <c r="B58" s="57" t="s">
        <v>112</v>
      </c>
      <c r="C58" s="57" t="s">
        <v>524</v>
      </c>
      <c r="D58" s="58" t="n">
        <v>46056.5298611111</v>
      </c>
      <c r="E58" s="58" t="n">
        <v>46056.5298611111</v>
      </c>
      <c r="F58" s="58" t="n">
        <v>46056.5388888889</v>
      </c>
      <c r="G58" s="59" t="n">
        <f aca="false">F58-E58</f>
        <v>0.00902777780092593</v>
      </c>
      <c r="H58" s="57" t="s">
        <v>252</v>
      </c>
      <c r="I58" s="57"/>
      <c r="J58" s="57" t="s">
        <v>253</v>
      </c>
      <c r="K58" s="57" t="s">
        <v>266</v>
      </c>
      <c r="L58" s="57" t="s">
        <v>802</v>
      </c>
      <c r="M58" s="57" t="s">
        <v>255</v>
      </c>
      <c r="N58" s="57" t="s">
        <v>256</v>
      </c>
      <c r="O58" s="57" t="s">
        <v>257</v>
      </c>
      <c r="P58" s="57" t="s">
        <v>803</v>
      </c>
      <c r="Q58" s="57" t="s">
        <v>706</v>
      </c>
    </row>
    <row r="59" s="50" customFormat="true" ht="14.25" hidden="false" customHeight="true" outlineLevel="0" collapsed="false">
      <c r="A59" s="50" t="s">
        <v>801</v>
      </c>
      <c r="B59" s="57" t="s">
        <v>112</v>
      </c>
      <c r="C59" s="57" t="s">
        <v>526</v>
      </c>
      <c r="D59" s="58" t="n">
        <v>46056.5298611111</v>
      </c>
      <c r="E59" s="58" t="n">
        <v>46056.5298611111</v>
      </c>
      <c r="F59" s="58" t="n">
        <v>46056.5388888889</v>
      </c>
      <c r="G59" s="59" t="n">
        <f aca="false">F59-E59</f>
        <v>0.00902777780092593</v>
      </c>
      <c r="H59" s="57" t="s">
        <v>252</v>
      </c>
      <c r="I59" s="57"/>
      <c r="J59" s="57" t="s">
        <v>253</v>
      </c>
      <c r="K59" s="57" t="s">
        <v>266</v>
      </c>
      <c r="L59" s="57" t="s">
        <v>802</v>
      </c>
      <c r="M59" s="57" t="s">
        <v>255</v>
      </c>
      <c r="N59" s="57" t="s">
        <v>256</v>
      </c>
      <c r="O59" s="57" t="s">
        <v>257</v>
      </c>
      <c r="P59" s="57" t="s">
        <v>804</v>
      </c>
      <c r="Q59" s="57" t="s">
        <v>706</v>
      </c>
    </row>
    <row r="60" s="50" customFormat="true" ht="14.25" hidden="false" customHeight="true" outlineLevel="0" collapsed="false">
      <c r="A60" s="50" t="s">
        <v>801</v>
      </c>
      <c r="B60" s="57" t="s">
        <v>112</v>
      </c>
      <c r="C60" s="57" t="s">
        <v>527</v>
      </c>
      <c r="D60" s="58" t="n">
        <v>46056.5298611111</v>
      </c>
      <c r="E60" s="58" t="n">
        <v>46056.5298611111</v>
      </c>
      <c r="F60" s="58" t="n">
        <v>46056.5388888889</v>
      </c>
      <c r="G60" s="59" t="n">
        <f aca="false">F60-E60</f>
        <v>0.00902777780092593</v>
      </c>
      <c r="H60" s="57" t="s">
        <v>252</v>
      </c>
      <c r="I60" s="57"/>
      <c r="J60" s="57" t="s">
        <v>253</v>
      </c>
      <c r="K60" s="57" t="s">
        <v>266</v>
      </c>
      <c r="L60" s="57" t="s">
        <v>802</v>
      </c>
      <c r="M60" s="57" t="s">
        <v>255</v>
      </c>
      <c r="N60" s="57" t="s">
        <v>256</v>
      </c>
      <c r="O60" s="57" t="s">
        <v>257</v>
      </c>
      <c r="P60" s="57" t="s">
        <v>805</v>
      </c>
      <c r="Q60" s="57" t="s">
        <v>706</v>
      </c>
    </row>
    <row r="61" s="50" customFormat="true" ht="14.25" hidden="false" customHeight="true" outlineLevel="0" collapsed="false">
      <c r="A61" s="50" t="s">
        <v>801</v>
      </c>
      <c r="B61" s="57" t="s">
        <v>112</v>
      </c>
      <c r="C61" s="57" t="s">
        <v>528</v>
      </c>
      <c r="D61" s="58" t="n">
        <v>46056.5298611111</v>
      </c>
      <c r="E61" s="58" t="n">
        <v>46056.5298611111</v>
      </c>
      <c r="F61" s="58" t="n">
        <v>46056.5388888889</v>
      </c>
      <c r="G61" s="59" t="n">
        <f aca="false">F61-E61</f>
        <v>0.00902777780092593</v>
      </c>
      <c r="H61" s="57" t="s">
        <v>252</v>
      </c>
      <c r="I61" s="57"/>
      <c r="J61" s="57" t="s">
        <v>253</v>
      </c>
      <c r="K61" s="57" t="s">
        <v>266</v>
      </c>
      <c r="L61" s="57" t="s">
        <v>802</v>
      </c>
      <c r="M61" s="57" t="s">
        <v>255</v>
      </c>
      <c r="N61" s="57" t="s">
        <v>256</v>
      </c>
      <c r="O61" s="57" t="s">
        <v>257</v>
      </c>
      <c r="P61" s="57" t="s">
        <v>806</v>
      </c>
      <c r="Q61" s="57" t="s">
        <v>706</v>
      </c>
    </row>
    <row r="62" s="50" customFormat="true" ht="14.25" hidden="false" customHeight="true" outlineLevel="0" collapsed="false">
      <c r="A62" s="50" t="s">
        <v>801</v>
      </c>
      <c r="B62" s="57" t="s">
        <v>112</v>
      </c>
      <c r="C62" s="57" t="s">
        <v>529</v>
      </c>
      <c r="D62" s="58" t="n">
        <v>46056.5298611111</v>
      </c>
      <c r="E62" s="58" t="n">
        <v>46056.5298611111</v>
      </c>
      <c r="F62" s="58" t="n">
        <v>46056.5388888889</v>
      </c>
      <c r="G62" s="59" t="n">
        <f aca="false">F62-E62</f>
        <v>0.00902777780092593</v>
      </c>
      <c r="H62" s="57" t="s">
        <v>252</v>
      </c>
      <c r="I62" s="57"/>
      <c r="J62" s="57" t="s">
        <v>253</v>
      </c>
      <c r="K62" s="57" t="s">
        <v>266</v>
      </c>
      <c r="L62" s="57" t="s">
        <v>802</v>
      </c>
      <c r="M62" s="57" t="s">
        <v>255</v>
      </c>
      <c r="N62" s="57" t="s">
        <v>256</v>
      </c>
      <c r="O62" s="57" t="s">
        <v>257</v>
      </c>
      <c r="P62" s="57" t="s">
        <v>807</v>
      </c>
      <c r="Q62" s="57" t="s">
        <v>706</v>
      </c>
    </row>
    <row r="63" s="50" customFormat="true" ht="14.25" hidden="false" customHeight="true" outlineLevel="0" collapsed="false">
      <c r="A63" s="50" t="s">
        <v>801</v>
      </c>
      <c r="B63" s="57" t="s">
        <v>112</v>
      </c>
      <c r="C63" s="57" t="s">
        <v>530</v>
      </c>
      <c r="D63" s="58" t="n">
        <v>46056.5298611111</v>
      </c>
      <c r="E63" s="58" t="n">
        <v>46056.5298611111</v>
      </c>
      <c r="F63" s="58" t="n">
        <v>46056.5388888889</v>
      </c>
      <c r="G63" s="59" t="n">
        <f aca="false">F63-E63</f>
        <v>0.00902777780092593</v>
      </c>
      <c r="H63" s="57" t="s">
        <v>252</v>
      </c>
      <c r="I63" s="57"/>
      <c r="J63" s="57" t="s">
        <v>253</v>
      </c>
      <c r="K63" s="57" t="s">
        <v>266</v>
      </c>
      <c r="L63" s="57" t="s">
        <v>802</v>
      </c>
      <c r="M63" s="57" t="s">
        <v>255</v>
      </c>
      <c r="N63" s="57" t="s">
        <v>256</v>
      </c>
      <c r="O63" s="57" t="s">
        <v>257</v>
      </c>
      <c r="P63" s="57" t="s">
        <v>808</v>
      </c>
      <c r="Q63" s="57" t="s">
        <v>706</v>
      </c>
    </row>
    <row r="64" s="50" customFormat="true" ht="14.25" hidden="false" customHeight="true" outlineLevel="0" collapsed="false">
      <c r="A64" s="50" t="s">
        <v>801</v>
      </c>
      <c r="B64" s="57" t="s">
        <v>112</v>
      </c>
      <c r="C64" s="57" t="s">
        <v>531</v>
      </c>
      <c r="D64" s="58" t="n">
        <v>46056.5298611111</v>
      </c>
      <c r="E64" s="58" t="n">
        <v>46056.5298611111</v>
      </c>
      <c r="F64" s="58" t="n">
        <v>46056.5388888889</v>
      </c>
      <c r="G64" s="59" t="n">
        <f aca="false">F64-E64</f>
        <v>0.00902777780092593</v>
      </c>
      <c r="H64" s="57" t="s">
        <v>252</v>
      </c>
      <c r="I64" s="57"/>
      <c r="J64" s="57" t="s">
        <v>253</v>
      </c>
      <c r="K64" s="57" t="s">
        <v>266</v>
      </c>
      <c r="L64" s="57" t="s">
        <v>802</v>
      </c>
      <c r="M64" s="57" t="s">
        <v>255</v>
      </c>
      <c r="N64" s="57" t="s">
        <v>256</v>
      </c>
      <c r="O64" s="57" t="s">
        <v>257</v>
      </c>
      <c r="P64" s="57" t="s">
        <v>809</v>
      </c>
      <c r="Q64" s="57" t="s">
        <v>706</v>
      </c>
    </row>
    <row r="65" s="50" customFormat="true" ht="14.25" hidden="false" customHeight="true" outlineLevel="0" collapsed="false">
      <c r="A65" s="50" t="s">
        <v>801</v>
      </c>
      <c r="B65" s="57" t="s">
        <v>112</v>
      </c>
      <c r="C65" s="57" t="s">
        <v>532</v>
      </c>
      <c r="D65" s="58" t="n">
        <v>46056.5298611111</v>
      </c>
      <c r="E65" s="58" t="n">
        <v>46056.5298611111</v>
      </c>
      <c r="F65" s="58" t="n">
        <v>46056.5388888889</v>
      </c>
      <c r="G65" s="59" t="n">
        <f aca="false">F65-E65</f>
        <v>0.00902777780092593</v>
      </c>
      <c r="H65" s="57" t="s">
        <v>252</v>
      </c>
      <c r="I65" s="57"/>
      <c r="J65" s="57" t="s">
        <v>253</v>
      </c>
      <c r="K65" s="57" t="s">
        <v>266</v>
      </c>
      <c r="L65" s="57" t="s">
        <v>802</v>
      </c>
      <c r="M65" s="57" t="s">
        <v>255</v>
      </c>
      <c r="N65" s="57" t="s">
        <v>256</v>
      </c>
      <c r="O65" s="57" t="s">
        <v>257</v>
      </c>
      <c r="P65" s="57" t="s">
        <v>810</v>
      </c>
      <c r="Q65" s="57" t="s">
        <v>706</v>
      </c>
    </row>
    <row r="66" s="50" customFormat="true" ht="14.25" hidden="false" customHeight="true" outlineLevel="0" collapsed="false">
      <c r="A66" s="50" t="s">
        <v>801</v>
      </c>
      <c r="B66" s="57" t="s">
        <v>112</v>
      </c>
      <c r="C66" s="57" t="s">
        <v>533</v>
      </c>
      <c r="D66" s="58" t="n">
        <v>46056.5298611111</v>
      </c>
      <c r="E66" s="58" t="n">
        <v>46056.5298611111</v>
      </c>
      <c r="F66" s="58" t="n">
        <v>46056.5388888889</v>
      </c>
      <c r="G66" s="59" t="n">
        <f aca="false">F66-E66</f>
        <v>0.00902777780092593</v>
      </c>
      <c r="H66" s="57" t="s">
        <v>252</v>
      </c>
      <c r="I66" s="57"/>
      <c r="J66" s="57" t="s">
        <v>253</v>
      </c>
      <c r="K66" s="57" t="s">
        <v>266</v>
      </c>
      <c r="L66" s="57" t="s">
        <v>802</v>
      </c>
      <c r="M66" s="57" t="s">
        <v>255</v>
      </c>
      <c r="N66" s="57" t="s">
        <v>256</v>
      </c>
      <c r="O66" s="57" t="s">
        <v>257</v>
      </c>
      <c r="P66" s="57" t="s">
        <v>811</v>
      </c>
      <c r="Q66" s="57" t="s">
        <v>706</v>
      </c>
    </row>
    <row r="67" s="50" customFormat="true" ht="14.25" hidden="false" customHeight="true" outlineLevel="0" collapsed="false">
      <c r="A67" s="50" t="s">
        <v>812</v>
      </c>
      <c r="B67" s="57" t="s">
        <v>112</v>
      </c>
      <c r="C67" s="57" t="s">
        <v>534</v>
      </c>
      <c r="D67" s="58" t="n">
        <v>46056.5298611111</v>
      </c>
      <c r="E67" s="58" t="n">
        <v>46056.5298611111</v>
      </c>
      <c r="F67" s="58" t="n">
        <v>46056.5388888889</v>
      </c>
      <c r="G67" s="59" t="n">
        <f aca="false">F67-E67</f>
        <v>0.00902777780092593</v>
      </c>
      <c r="H67" s="57" t="s">
        <v>252</v>
      </c>
      <c r="I67" s="57"/>
      <c r="J67" s="57" t="s">
        <v>253</v>
      </c>
      <c r="K67" s="57" t="s">
        <v>266</v>
      </c>
      <c r="L67" s="57" t="s">
        <v>802</v>
      </c>
      <c r="M67" s="57" t="s">
        <v>255</v>
      </c>
      <c r="N67" s="57" t="s">
        <v>256</v>
      </c>
      <c r="O67" s="57" t="s">
        <v>257</v>
      </c>
      <c r="P67" s="57" t="s">
        <v>813</v>
      </c>
      <c r="Q67" s="57" t="s">
        <v>706</v>
      </c>
    </row>
    <row r="68" s="50" customFormat="true" ht="14.25" hidden="false" customHeight="true" outlineLevel="0" collapsed="false">
      <c r="A68" s="50" t="s">
        <v>812</v>
      </c>
      <c r="B68" s="57" t="s">
        <v>112</v>
      </c>
      <c r="C68" s="57" t="s">
        <v>535</v>
      </c>
      <c r="D68" s="58" t="n">
        <v>46056.5298611111</v>
      </c>
      <c r="E68" s="58" t="n">
        <v>46056.5298611111</v>
      </c>
      <c r="F68" s="58" t="n">
        <v>46056.5388888889</v>
      </c>
      <c r="G68" s="59" t="n">
        <f aca="false">F68-E68</f>
        <v>0.00902777780092593</v>
      </c>
      <c r="H68" s="57" t="s">
        <v>252</v>
      </c>
      <c r="I68" s="57"/>
      <c r="J68" s="57" t="s">
        <v>253</v>
      </c>
      <c r="K68" s="57" t="s">
        <v>266</v>
      </c>
      <c r="L68" s="57" t="s">
        <v>802</v>
      </c>
      <c r="M68" s="57" t="s">
        <v>255</v>
      </c>
      <c r="N68" s="57" t="s">
        <v>256</v>
      </c>
      <c r="O68" s="57" t="s">
        <v>257</v>
      </c>
      <c r="P68" s="57" t="s">
        <v>814</v>
      </c>
      <c r="Q68" s="57" t="s">
        <v>706</v>
      </c>
    </row>
    <row r="69" s="50" customFormat="true" ht="14.25" hidden="false" customHeight="true" outlineLevel="0" collapsed="false">
      <c r="A69" s="50" t="s">
        <v>812</v>
      </c>
      <c r="B69" s="57" t="s">
        <v>112</v>
      </c>
      <c r="C69" s="57" t="s">
        <v>536</v>
      </c>
      <c r="D69" s="58" t="n">
        <v>46056.5298611111</v>
      </c>
      <c r="E69" s="58" t="n">
        <v>46056.5298611111</v>
      </c>
      <c r="F69" s="58" t="n">
        <v>46056.5388888889</v>
      </c>
      <c r="G69" s="59" t="n">
        <f aca="false">F69-E69</f>
        <v>0.00902777780092593</v>
      </c>
      <c r="H69" s="57" t="s">
        <v>252</v>
      </c>
      <c r="I69" s="57"/>
      <c r="J69" s="57" t="s">
        <v>253</v>
      </c>
      <c r="K69" s="57" t="s">
        <v>266</v>
      </c>
      <c r="L69" s="57" t="s">
        <v>802</v>
      </c>
      <c r="M69" s="57" t="s">
        <v>255</v>
      </c>
      <c r="N69" s="57" t="s">
        <v>256</v>
      </c>
      <c r="O69" s="57" t="s">
        <v>257</v>
      </c>
      <c r="P69" s="57" t="s">
        <v>815</v>
      </c>
      <c r="Q69" s="57" t="s">
        <v>706</v>
      </c>
    </row>
    <row r="70" s="50" customFormat="true" ht="14.25" hidden="false" customHeight="true" outlineLevel="0" collapsed="false">
      <c r="A70" s="50" t="s">
        <v>812</v>
      </c>
      <c r="B70" s="57" t="s">
        <v>112</v>
      </c>
      <c r="C70" s="57" t="s">
        <v>537</v>
      </c>
      <c r="D70" s="58" t="n">
        <v>46056.5298611111</v>
      </c>
      <c r="E70" s="58" t="n">
        <v>46056.5298611111</v>
      </c>
      <c r="F70" s="58" t="n">
        <v>46056.5388888889</v>
      </c>
      <c r="G70" s="59" t="n">
        <f aca="false">F70-E70</f>
        <v>0.00902777780092593</v>
      </c>
      <c r="H70" s="57" t="s">
        <v>252</v>
      </c>
      <c r="I70" s="57"/>
      <c r="J70" s="57" t="s">
        <v>253</v>
      </c>
      <c r="K70" s="57" t="s">
        <v>266</v>
      </c>
      <c r="L70" s="57" t="s">
        <v>802</v>
      </c>
      <c r="M70" s="57" t="s">
        <v>255</v>
      </c>
      <c r="N70" s="57" t="s">
        <v>256</v>
      </c>
      <c r="O70" s="57" t="s">
        <v>257</v>
      </c>
      <c r="P70" s="57" t="s">
        <v>816</v>
      </c>
      <c r="Q70" s="57" t="s">
        <v>706</v>
      </c>
    </row>
    <row r="71" s="50" customFormat="true" ht="14.25" hidden="false" customHeight="true" outlineLevel="0" collapsed="false">
      <c r="A71" s="50" t="s">
        <v>812</v>
      </c>
      <c r="B71" s="57" t="s">
        <v>112</v>
      </c>
      <c r="C71" s="57" t="s">
        <v>538</v>
      </c>
      <c r="D71" s="58" t="n">
        <v>46056.5298611111</v>
      </c>
      <c r="E71" s="58" t="n">
        <v>46056.5298611111</v>
      </c>
      <c r="F71" s="58" t="n">
        <v>46056.5388888889</v>
      </c>
      <c r="G71" s="59" t="n">
        <f aca="false">F71-E71</f>
        <v>0.00902777780092593</v>
      </c>
      <c r="H71" s="57" t="s">
        <v>252</v>
      </c>
      <c r="I71" s="57"/>
      <c r="J71" s="57" t="s">
        <v>253</v>
      </c>
      <c r="K71" s="57" t="s">
        <v>266</v>
      </c>
      <c r="L71" s="57" t="s">
        <v>802</v>
      </c>
      <c r="M71" s="57" t="s">
        <v>255</v>
      </c>
      <c r="N71" s="57" t="s">
        <v>256</v>
      </c>
      <c r="O71" s="57" t="s">
        <v>257</v>
      </c>
      <c r="P71" s="57" t="s">
        <v>817</v>
      </c>
      <c r="Q71" s="57" t="s">
        <v>706</v>
      </c>
    </row>
    <row r="72" s="50" customFormat="true" ht="14.25" hidden="false" customHeight="true" outlineLevel="0" collapsed="false">
      <c r="A72" s="50" t="s">
        <v>818</v>
      </c>
      <c r="B72" s="57" t="s">
        <v>112</v>
      </c>
      <c r="C72" s="57" t="s">
        <v>539</v>
      </c>
      <c r="D72" s="58" t="n">
        <v>46056.5298611111</v>
      </c>
      <c r="E72" s="58" t="n">
        <v>46056.5298611111</v>
      </c>
      <c r="F72" s="58" t="n">
        <v>46056.5388888889</v>
      </c>
      <c r="G72" s="59" t="n">
        <f aca="false">F72-E72</f>
        <v>0.00902777780092593</v>
      </c>
      <c r="H72" s="57" t="s">
        <v>252</v>
      </c>
      <c r="I72" s="57"/>
      <c r="J72" s="57" t="s">
        <v>253</v>
      </c>
      <c r="K72" s="57" t="s">
        <v>266</v>
      </c>
      <c r="L72" s="57" t="s">
        <v>802</v>
      </c>
      <c r="M72" s="57" t="s">
        <v>255</v>
      </c>
      <c r="N72" s="57" t="s">
        <v>256</v>
      </c>
      <c r="O72" s="57" t="s">
        <v>257</v>
      </c>
      <c r="P72" s="57" t="s">
        <v>819</v>
      </c>
      <c r="Q72" s="57" t="s">
        <v>706</v>
      </c>
    </row>
    <row r="73" s="50" customFormat="true" ht="14.25" hidden="false" customHeight="true" outlineLevel="0" collapsed="false">
      <c r="A73" s="50" t="s">
        <v>818</v>
      </c>
      <c r="B73" s="57" t="s">
        <v>112</v>
      </c>
      <c r="C73" s="57" t="s">
        <v>540</v>
      </c>
      <c r="D73" s="58" t="n">
        <v>46056.5298611111</v>
      </c>
      <c r="E73" s="58" t="n">
        <v>46056.5298611111</v>
      </c>
      <c r="F73" s="58" t="n">
        <v>46056.5388888889</v>
      </c>
      <c r="G73" s="59" t="n">
        <f aca="false">F73-E73</f>
        <v>0.00902777780092593</v>
      </c>
      <c r="H73" s="57" t="s">
        <v>252</v>
      </c>
      <c r="I73" s="57"/>
      <c r="J73" s="57" t="s">
        <v>253</v>
      </c>
      <c r="K73" s="57" t="s">
        <v>266</v>
      </c>
      <c r="L73" s="57" t="s">
        <v>802</v>
      </c>
      <c r="M73" s="57" t="s">
        <v>255</v>
      </c>
      <c r="N73" s="57" t="s">
        <v>256</v>
      </c>
      <c r="O73" s="57" t="s">
        <v>257</v>
      </c>
      <c r="P73" s="57" t="s">
        <v>820</v>
      </c>
      <c r="Q73" s="57" t="s">
        <v>706</v>
      </c>
    </row>
    <row r="74" s="50" customFormat="true" ht="14.25" hidden="false" customHeight="true" outlineLevel="0" collapsed="false">
      <c r="A74" s="50" t="s">
        <v>818</v>
      </c>
      <c r="B74" s="57" t="s">
        <v>112</v>
      </c>
      <c r="C74" s="57" t="s">
        <v>541</v>
      </c>
      <c r="D74" s="58" t="n">
        <v>46056.5298611111</v>
      </c>
      <c r="E74" s="58" t="n">
        <v>46056.5298611111</v>
      </c>
      <c r="F74" s="58" t="n">
        <v>46056.5388888889</v>
      </c>
      <c r="G74" s="59" t="n">
        <f aca="false">F74-E74</f>
        <v>0.00902777780092593</v>
      </c>
      <c r="H74" s="57" t="s">
        <v>252</v>
      </c>
      <c r="I74" s="57"/>
      <c r="J74" s="57" t="s">
        <v>253</v>
      </c>
      <c r="K74" s="57" t="s">
        <v>266</v>
      </c>
      <c r="L74" s="57" t="s">
        <v>802</v>
      </c>
      <c r="M74" s="57" t="s">
        <v>255</v>
      </c>
      <c r="N74" s="57" t="s">
        <v>256</v>
      </c>
      <c r="O74" s="57" t="s">
        <v>257</v>
      </c>
      <c r="P74" s="57" t="s">
        <v>821</v>
      </c>
      <c r="Q74" s="57" t="s">
        <v>706</v>
      </c>
    </row>
    <row r="75" s="50" customFormat="true" ht="14.25" hidden="false" customHeight="true" outlineLevel="0" collapsed="false">
      <c r="A75" s="50" t="s">
        <v>818</v>
      </c>
      <c r="B75" s="57" t="s">
        <v>112</v>
      </c>
      <c r="C75" s="57" t="s">
        <v>542</v>
      </c>
      <c r="D75" s="58" t="n">
        <v>46056.5298611111</v>
      </c>
      <c r="E75" s="58" t="n">
        <v>46056.5298611111</v>
      </c>
      <c r="F75" s="58" t="n">
        <v>46056.5388888889</v>
      </c>
      <c r="G75" s="59" t="n">
        <f aca="false">F75-E75</f>
        <v>0.00902777780092593</v>
      </c>
      <c r="H75" s="57" t="s">
        <v>252</v>
      </c>
      <c r="I75" s="57"/>
      <c r="J75" s="57" t="s">
        <v>253</v>
      </c>
      <c r="K75" s="57" t="s">
        <v>266</v>
      </c>
      <c r="L75" s="57" t="s">
        <v>802</v>
      </c>
      <c r="M75" s="57" t="s">
        <v>255</v>
      </c>
      <c r="N75" s="57" t="s">
        <v>256</v>
      </c>
      <c r="O75" s="57" t="s">
        <v>257</v>
      </c>
      <c r="P75" s="57" t="s">
        <v>822</v>
      </c>
      <c r="Q75" s="57" t="s">
        <v>706</v>
      </c>
    </row>
    <row r="76" s="50" customFormat="true" ht="14.25" hidden="false" customHeight="true" outlineLevel="0" collapsed="false">
      <c r="A76" s="50" t="s">
        <v>818</v>
      </c>
      <c r="B76" s="57" t="s">
        <v>112</v>
      </c>
      <c r="C76" s="57" t="s">
        <v>543</v>
      </c>
      <c r="D76" s="58" t="n">
        <v>46056.5298611111</v>
      </c>
      <c r="E76" s="58" t="n">
        <v>46056.5298611111</v>
      </c>
      <c r="F76" s="58" t="n">
        <v>46056.5388888889</v>
      </c>
      <c r="G76" s="59" t="n">
        <f aca="false">F76-E76</f>
        <v>0.00902777780092593</v>
      </c>
      <c r="H76" s="57" t="s">
        <v>252</v>
      </c>
      <c r="I76" s="57"/>
      <c r="J76" s="57" t="s">
        <v>253</v>
      </c>
      <c r="K76" s="57" t="s">
        <v>266</v>
      </c>
      <c r="L76" s="57" t="s">
        <v>802</v>
      </c>
      <c r="M76" s="57" t="s">
        <v>255</v>
      </c>
      <c r="N76" s="57" t="s">
        <v>256</v>
      </c>
      <c r="O76" s="57" t="s">
        <v>257</v>
      </c>
      <c r="P76" s="57" t="s">
        <v>823</v>
      </c>
      <c r="Q76" s="57" t="s">
        <v>706</v>
      </c>
    </row>
    <row r="77" s="50" customFormat="true" ht="14.25" hidden="false" customHeight="true" outlineLevel="0" collapsed="false">
      <c r="A77" s="50" t="s">
        <v>818</v>
      </c>
      <c r="B77" s="57" t="s">
        <v>112</v>
      </c>
      <c r="C77" s="57" t="s">
        <v>544</v>
      </c>
      <c r="D77" s="58" t="n">
        <v>46056.5298611111</v>
      </c>
      <c r="E77" s="58" t="n">
        <v>46056.5298611111</v>
      </c>
      <c r="F77" s="58" t="n">
        <v>46056.5388888889</v>
      </c>
      <c r="G77" s="59" t="n">
        <f aca="false">F77-E77</f>
        <v>0.00902777780092593</v>
      </c>
      <c r="H77" s="57" t="s">
        <v>252</v>
      </c>
      <c r="I77" s="57"/>
      <c r="J77" s="57" t="s">
        <v>253</v>
      </c>
      <c r="K77" s="57" t="s">
        <v>266</v>
      </c>
      <c r="L77" s="57" t="s">
        <v>802</v>
      </c>
      <c r="M77" s="57" t="s">
        <v>255</v>
      </c>
      <c r="N77" s="57" t="s">
        <v>256</v>
      </c>
      <c r="O77" s="57" t="s">
        <v>257</v>
      </c>
      <c r="P77" s="57" t="s">
        <v>824</v>
      </c>
      <c r="Q77" s="57" t="s">
        <v>706</v>
      </c>
    </row>
    <row r="78" s="50" customFormat="true" ht="14.25" hidden="false" customHeight="true" outlineLevel="0" collapsed="false">
      <c r="A78" s="50" t="s">
        <v>825</v>
      </c>
      <c r="B78" s="57" t="s">
        <v>112</v>
      </c>
      <c r="C78" s="57" t="s">
        <v>545</v>
      </c>
      <c r="D78" s="58" t="n">
        <v>46056.5298611111</v>
      </c>
      <c r="E78" s="58" t="n">
        <v>46056.5298611111</v>
      </c>
      <c r="F78" s="58" t="n">
        <v>46056.5388888889</v>
      </c>
      <c r="G78" s="59" t="n">
        <f aca="false">F78-E78</f>
        <v>0.00902777780092593</v>
      </c>
      <c r="H78" s="57" t="s">
        <v>252</v>
      </c>
      <c r="I78" s="57"/>
      <c r="J78" s="57" t="s">
        <v>253</v>
      </c>
      <c r="K78" s="57" t="s">
        <v>266</v>
      </c>
      <c r="L78" s="57" t="s">
        <v>802</v>
      </c>
      <c r="M78" s="57" t="s">
        <v>255</v>
      </c>
      <c r="N78" s="57" t="s">
        <v>256</v>
      </c>
      <c r="O78" s="57" t="s">
        <v>257</v>
      </c>
      <c r="P78" s="57" t="s">
        <v>826</v>
      </c>
      <c r="Q78" s="57" t="s">
        <v>706</v>
      </c>
    </row>
    <row r="79" s="50" customFormat="true" ht="14.25" hidden="false" customHeight="true" outlineLevel="0" collapsed="false">
      <c r="A79" s="50" t="s">
        <v>825</v>
      </c>
      <c r="B79" s="57" t="s">
        <v>112</v>
      </c>
      <c r="C79" s="57" t="s">
        <v>546</v>
      </c>
      <c r="D79" s="58" t="n">
        <v>46056.5298611111</v>
      </c>
      <c r="E79" s="58" t="n">
        <v>46056.5298611111</v>
      </c>
      <c r="F79" s="58" t="n">
        <v>46056.5388888889</v>
      </c>
      <c r="G79" s="59" t="n">
        <f aca="false">F79-E79</f>
        <v>0.00902777780092593</v>
      </c>
      <c r="H79" s="57" t="s">
        <v>252</v>
      </c>
      <c r="I79" s="57"/>
      <c r="J79" s="57" t="s">
        <v>253</v>
      </c>
      <c r="K79" s="57" t="s">
        <v>266</v>
      </c>
      <c r="L79" s="57" t="s">
        <v>802</v>
      </c>
      <c r="M79" s="57" t="s">
        <v>255</v>
      </c>
      <c r="N79" s="57" t="s">
        <v>256</v>
      </c>
      <c r="O79" s="57" t="s">
        <v>257</v>
      </c>
      <c r="P79" s="57" t="s">
        <v>827</v>
      </c>
      <c r="Q79" s="57" t="s">
        <v>706</v>
      </c>
    </row>
    <row r="80" s="50" customFormat="true" ht="14.25" hidden="false" customHeight="true" outlineLevel="0" collapsed="false">
      <c r="A80" s="50" t="s">
        <v>825</v>
      </c>
      <c r="B80" s="57" t="s">
        <v>112</v>
      </c>
      <c r="C80" s="57" t="s">
        <v>547</v>
      </c>
      <c r="D80" s="58" t="n">
        <v>46056.5298611111</v>
      </c>
      <c r="E80" s="58" t="n">
        <v>46056.5298611111</v>
      </c>
      <c r="F80" s="58" t="n">
        <v>46056.5388888889</v>
      </c>
      <c r="G80" s="59" t="n">
        <f aca="false">F80-E80</f>
        <v>0.00902777780092593</v>
      </c>
      <c r="H80" s="57" t="s">
        <v>252</v>
      </c>
      <c r="I80" s="57"/>
      <c r="J80" s="57" t="s">
        <v>253</v>
      </c>
      <c r="K80" s="57" t="s">
        <v>266</v>
      </c>
      <c r="L80" s="57" t="s">
        <v>802</v>
      </c>
      <c r="M80" s="57" t="s">
        <v>255</v>
      </c>
      <c r="N80" s="57" t="s">
        <v>256</v>
      </c>
      <c r="O80" s="57" t="s">
        <v>257</v>
      </c>
      <c r="P80" s="57" t="s">
        <v>828</v>
      </c>
      <c r="Q80" s="57" t="s">
        <v>706</v>
      </c>
    </row>
    <row r="81" s="50" customFormat="true" ht="14.25" hidden="false" customHeight="true" outlineLevel="0" collapsed="false">
      <c r="A81" s="50" t="s">
        <v>825</v>
      </c>
      <c r="B81" s="57" t="s">
        <v>112</v>
      </c>
      <c r="C81" s="57" t="s">
        <v>548</v>
      </c>
      <c r="D81" s="58" t="n">
        <v>46056.5298611111</v>
      </c>
      <c r="E81" s="58" t="n">
        <v>46056.5298611111</v>
      </c>
      <c r="F81" s="58" t="n">
        <v>46056.5388888889</v>
      </c>
      <c r="G81" s="59" t="n">
        <f aca="false">F81-E81</f>
        <v>0.00902777780092593</v>
      </c>
      <c r="H81" s="57" t="s">
        <v>252</v>
      </c>
      <c r="I81" s="57"/>
      <c r="J81" s="57" t="s">
        <v>253</v>
      </c>
      <c r="K81" s="57" t="s">
        <v>266</v>
      </c>
      <c r="L81" s="57" t="s">
        <v>802</v>
      </c>
      <c r="M81" s="57" t="s">
        <v>255</v>
      </c>
      <c r="N81" s="57" t="s">
        <v>256</v>
      </c>
      <c r="O81" s="57" t="s">
        <v>257</v>
      </c>
      <c r="P81" s="57" t="s">
        <v>829</v>
      </c>
      <c r="Q81" s="57" t="s">
        <v>706</v>
      </c>
    </row>
    <row r="82" s="50" customFormat="true" ht="14.25" hidden="false" customHeight="true" outlineLevel="0" collapsed="false">
      <c r="A82" s="50" t="s">
        <v>825</v>
      </c>
      <c r="B82" s="57" t="s">
        <v>112</v>
      </c>
      <c r="C82" s="57" t="s">
        <v>549</v>
      </c>
      <c r="D82" s="58" t="n">
        <v>46056.5298611111</v>
      </c>
      <c r="E82" s="58" t="n">
        <v>46056.5298611111</v>
      </c>
      <c r="F82" s="58" t="n">
        <v>46056.5388888889</v>
      </c>
      <c r="G82" s="59" t="n">
        <f aca="false">F82-E82</f>
        <v>0.00902777780092593</v>
      </c>
      <c r="H82" s="57" t="s">
        <v>252</v>
      </c>
      <c r="I82" s="57"/>
      <c r="J82" s="57" t="s">
        <v>253</v>
      </c>
      <c r="K82" s="57" t="s">
        <v>266</v>
      </c>
      <c r="L82" s="57" t="s">
        <v>802</v>
      </c>
      <c r="M82" s="57" t="s">
        <v>255</v>
      </c>
      <c r="N82" s="57" t="s">
        <v>256</v>
      </c>
      <c r="O82" s="57" t="s">
        <v>257</v>
      </c>
      <c r="P82" s="57" t="s">
        <v>830</v>
      </c>
      <c r="Q82" s="57" t="s">
        <v>706</v>
      </c>
    </row>
    <row r="83" s="50" customFormat="true" ht="14.25" hidden="false" customHeight="true" outlineLevel="0" collapsed="false">
      <c r="A83" s="50" t="s">
        <v>825</v>
      </c>
      <c r="B83" s="57" t="s">
        <v>112</v>
      </c>
      <c r="C83" s="57" t="s">
        <v>550</v>
      </c>
      <c r="D83" s="58" t="n">
        <v>46056.5298611111</v>
      </c>
      <c r="E83" s="58" t="n">
        <v>46056.5298611111</v>
      </c>
      <c r="F83" s="58" t="n">
        <v>46056.5388888889</v>
      </c>
      <c r="G83" s="59" t="n">
        <f aca="false">F83-E83</f>
        <v>0.00902777780092593</v>
      </c>
      <c r="H83" s="57" t="s">
        <v>252</v>
      </c>
      <c r="I83" s="57"/>
      <c r="J83" s="57" t="s">
        <v>253</v>
      </c>
      <c r="K83" s="57" t="s">
        <v>266</v>
      </c>
      <c r="L83" s="57" t="s">
        <v>802</v>
      </c>
      <c r="M83" s="57" t="s">
        <v>255</v>
      </c>
      <c r="N83" s="57" t="s">
        <v>256</v>
      </c>
      <c r="O83" s="57" t="s">
        <v>257</v>
      </c>
      <c r="P83" s="57" t="s">
        <v>831</v>
      </c>
      <c r="Q83" s="57" t="s">
        <v>706</v>
      </c>
    </row>
    <row r="84" s="50" customFormat="true" ht="14.25" hidden="false" customHeight="true" outlineLevel="0" collapsed="false">
      <c r="A84" s="50" t="s">
        <v>832</v>
      </c>
      <c r="B84" s="57" t="s">
        <v>112</v>
      </c>
      <c r="C84" s="57" t="s">
        <v>551</v>
      </c>
      <c r="D84" s="58" t="n">
        <v>46056.5298611111</v>
      </c>
      <c r="E84" s="58" t="n">
        <v>46056.5298611111</v>
      </c>
      <c r="F84" s="58" t="n">
        <v>46056.5388888889</v>
      </c>
      <c r="G84" s="59" t="n">
        <f aca="false">F84-E84</f>
        <v>0.00902777780092593</v>
      </c>
      <c r="H84" s="57" t="s">
        <v>252</v>
      </c>
      <c r="I84" s="57"/>
      <c r="J84" s="57" t="s">
        <v>253</v>
      </c>
      <c r="K84" s="57" t="s">
        <v>266</v>
      </c>
      <c r="L84" s="57" t="s">
        <v>802</v>
      </c>
      <c r="M84" s="57" t="s">
        <v>255</v>
      </c>
      <c r="N84" s="57" t="s">
        <v>256</v>
      </c>
      <c r="O84" s="57" t="s">
        <v>257</v>
      </c>
      <c r="P84" s="57" t="s">
        <v>833</v>
      </c>
      <c r="Q84" s="57" t="s">
        <v>706</v>
      </c>
    </row>
    <row r="85" s="50" customFormat="true" ht="14.25" hidden="false" customHeight="true" outlineLevel="0" collapsed="false">
      <c r="A85" s="50" t="s">
        <v>832</v>
      </c>
      <c r="B85" s="57" t="s">
        <v>112</v>
      </c>
      <c r="C85" s="57" t="s">
        <v>552</v>
      </c>
      <c r="D85" s="58" t="n">
        <v>46056.5298611111</v>
      </c>
      <c r="E85" s="58" t="n">
        <v>46056.5298611111</v>
      </c>
      <c r="F85" s="58" t="n">
        <v>46056.5388888889</v>
      </c>
      <c r="G85" s="59" t="n">
        <f aca="false">F85-E85</f>
        <v>0.00902777780092593</v>
      </c>
      <c r="H85" s="57" t="s">
        <v>252</v>
      </c>
      <c r="I85" s="57"/>
      <c r="J85" s="57" t="s">
        <v>253</v>
      </c>
      <c r="K85" s="57" t="s">
        <v>266</v>
      </c>
      <c r="L85" s="57" t="s">
        <v>802</v>
      </c>
      <c r="M85" s="57" t="s">
        <v>255</v>
      </c>
      <c r="N85" s="57" t="s">
        <v>256</v>
      </c>
      <c r="O85" s="57" t="s">
        <v>257</v>
      </c>
      <c r="P85" s="57" t="s">
        <v>834</v>
      </c>
      <c r="Q85" s="57" t="s">
        <v>706</v>
      </c>
    </row>
    <row r="86" s="50" customFormat="true" ht="14.25" hidden="false" customHeight="true" outlineLevel="0" collapsed="false">
      <c r="A86" s="50" t="s">
        <v>832</v>
      </c>
      <c r="B86" s="57" t="s">
        <v>112</v>
      </c>
      <c r="C86" s="57" t="s">
        <v>553</v>
      </c>
      <c r="D86" s="58" t="n">
        <v>46056.5298611111</v>
      </c>
      <c r="E86" s="58" t="n">
        <v>46056.5298611111</v>
      </c>
      <c r="F86" s="58" t="n">
        <v>46056.5388888889</v>
      </c>
      <c r="G86" s="59" t="n">
        <f aca="false">F86-E86</f>
        <v>0.00902777780092593</v>
      </c>
      <c r="H86" s="57" t="s">
        <v>252</v>
      </c>
      <c r="I86" s="57"/>
      <c r="J86" s="57" t="s">
        <v>253</v>
      </c>
      <c r="K86" s="57" t="s">
        <v>266</v>
      </c>
      <c r="L86" s="57" t="s">
        <v>802</v>
      </c>
      <c r="M86" s="57" t="s">
        <v>255</v>
      </c>
      <c r="N86" s="57" t="s">
        <v>256</v>
      </c>
      <c r="O86" s="57" t="s">
        <v>257</v>
      </c>
      <c r="P86" s="57" t="s">
        <v>835</v>
      </c>
      <c r="Q86" s="57" t="s">
        <v>706</v>
      </c>
    </row>
    <row r="87" s="50" customFormat="true" ht="14.25" hidden="false" customHeight="true" outlineLevel="0" collapsed="false">
      <c r="A87" s="50" t="s">
        <v>836</v>
      </c>
      <c r="B87" s="57" t="s">
        <v>112</v>
      </c>
      <c r="C87" s="57" t="s">
        <v>554</v>
      </c>
      <c r="D87" s="58" t="n">
        <v>46056.5298611111</v>
      </c>
      <c r="E87" s="58" t="n">
        <v>46056.5298611111</v>
      </c>
      <c r="F87" s="58" t="n">
        <v>46056.5388888889</v>
      </c>
      <c r="G87" s="59" t="n">
        <f aca="false">F87-E87</f>
        <v>0.00902777780092593</v>
      </c>
      <c r="H87" s="57" t="s">
        <v>252</v>
      </c>
      <c r="I87" s="57"/>
      <c r="J87" s="57" t="s">
        <v>253</v>
      </c>
      <c r="K87" s="57" t="s">
        <v>266</v>
      </c>
      <c r="L87" s="57" t="s">
        <v>802</v>
      </c>
      <c r="M87" s="57" t="s">
        <v>255</v>
      </c>
      <c r="N87" s="57" t="s">
        <v>256</v>
      </c>
      <c r="O87" s="57" t="s">
        <v>257</v>
      </c>
      <c r="P87" s="57" t="s">
        <v>837</v>
      </c>
      <c r="Q87" s="57" t="s">
        <v>706</v>
      </c>
    </row>
    <row r="88" s="50" customFormat="true" ht="14.25" hidden="false" customHeight="true" outlineLevel="0" collapsed="false">
      <c r="A88" s="50" t="s">
        <v>836</v>
      </c>
      <c r="B88" s="57" t="s">
        <v>112</v>
      </c>
      <c r="C88" s="57" t="s">
        <v>555</v>
      </c>
      <c r="D88" s="58" t="n">
        <v>46056.5298611111</v>
      </c>
      <c r="E88" s="58" t="n">
        <v>46056.5298611111</v>
      </c>
      <c r="F88" s="58" t="n">
        <v>46056.5388888889</v>
      </c>
      <c r="G88" s="59" t="n">
        <f aca="false">F88-E88</f>
        <v>0.00902777780092593</v>
      </c>
      <c r="H88" s="57" t="s">
        <v>252</v>
      </c>
      <c r="I88" s="57"/>
      <c r="J88" s="57" t="s">
        <v>253</v>
      </c>
      <c r="K88" s="57" t="s">
        <v>266</v>
      </c>
      <c r="L88" s="57" t="s">
        <v>802</v>
      </c>
      <c r="M88" s="57" t="s">
        <v>255</v>
      </c>
      <c r="N88" s="57" t="s">
        <v>256</v>
      </c>
      <c r="O88" s="57" t="s">
        <v>257</v>
      </c>
      <c r="P88" s="57" t="s">
        <v>838</v>
      </c>
      <c r="Q88" s="57" t="s">
        <v>706</v>
      </c>
    </row>
    <row r="89" s="50" customFormat="true" ht="14.25" hidden="false" customHeight="true" outlineLevel="0" collapsed="false">
      <c r="A89" s="50" t="s">
        <v>836</v>
      </c>
      <c r="B89" s="57" t="s">
        <v>112</v>
      </c>
      <c r="C89" s="57" t="s">
        <v>556</v>
      </c>
      <c r="D89" s="58" t="n">
        <v>46056.5298611111</v>
      </c>
      <c r="E89" s="58" t="n">
        <v>46056.5298611111</v>
      </c>
      <c r="F89" s="58" t="n">
        <v>46056.5388888889</v>
      </c>
      <c r="G89" s="59" t="n">
        <f aca="false">F89-E89</f>
        <v>0.00902777780092593</v>
      </c>
      <c r="H89" s="57" t="s">
        <v>252</v>
      </c>
      <c r="I89" s="57"/>
      <c r="J89" s="57" t="s">
        <v>253</v>
      </c>
      <c r="K89" s="57" t="s">
        <v>266</v>
      </c>
      <c r="L89" s="57" t="s">
        <v>802</v>
      </c>
      <c r="M89" s="57" t="s">
        <v>255</v>
      </c>
      <c r="N89" s="57" t="s">
        <v>256</v>
      </c>
      <c r="O89" s="57" t="s">
        <v>257</v>
      </c>
      <c r="P89" s="57" t="s">
        <v>839</v>
      </c>
      <c r="Q89" s="57" t="s">
        <v>706</v>
      </c>
    </row>
    <row r="90" s="50" customFormat="true" ht="14.25" hidden="false" customHeight="true" outlineLevel="0" collapsed="false">
      <c r="A90" s="50" t="s">
        <v>840</v>
      </c>
      <c r="B90" s="57" t="s">
        <v>112</v>
      </c>
      <c r="C90" s="57" t="s">
        <v>557</v>
      </c>
      <c r="D90" s="58" t="n">
        <v>46056.5298611111</v>
      </c>
      <c r="E90" s="58" t="n">
        <v>46056.5298611111</v>
      </c>
      <c r="F90" s="58" t="n">
        <v>46056.5388888889</v>
      </c>
      <c r="G90" s="59" t="n">
        <f aca="false">F90-E90</f>
        <v>0.00902777780092593</v>
      </c>
      <c r="H90" s="57" t="s">
        <v>252</v>
      </c>
      <c r="I90" s="57"/>
      <c r="J90" s="57" t="s">
        <v>253</v>
      </c>
      <c r="K90" s="57" t="s">
        <v>266</v>
      </c>
      <c r="L90" s="57" t="s">
        <v>802</v>
      </c>
      <c r="M90" s="57" t="s">
        <v>255</v>
      </c>
      <c r="N90" s="57" t="s">
        <v>256</v>
      </c>
      <c r="O90" s="57" t="s">
        <v>257</v>
      </c>
      <c r="P90" s="57" t="s">
        <v>841</v>
      </c>
      <c r="Q90" s="57" t="s">
        <v>706</v>
      </c>
    </row>
    <row r="91" s="50" customFormat="true" ht="14.25" hidden="false" customHeight="true" outlineLevel="0" collapsed="false">
      <c r="A91" s="50" t="s">
        <v>840</v>
      </c>
      <c r="B91" s="57" t="s">
        <v>112</v>
      </c>
      <c r="C91" s="57" t="s">
        <v>558</v>
      </c>
      <c r="D91" s="58" t="n">
        <v>46056.5298611111</v>
      </c>
      <c r="E91" s="58" t="n">
        <v>46056.5298611111</v>
      </c>
      <c r="F91" s="58" t="n">
        <v>46056.5388888889</v>
      </c>
      <c r="G91" s="59" t="n">
        <f aca="false">F91-E91</f>
        <v>0.00902777780092593</v>
      </c>
      <c r="H91" s="57" t="s">
        <v>252</v>
      </c>
      <c r="I91" s="57"/>
      <c r="J91" s="57" t="s">
        <v>253</v>
      </c>
      <c r="K91" s="57" t="s">
        <v>266</v>
      </c>
      <c r="L91" s="57" t="s">
        <v>802</v>
      </c>
      <c r="M91" s="57" t="s">
        <v>255</v>
      </c>
      <c r="N91" s="57" t="s">
        <v>256</v>
      </c>
      <c r="O91" s="57" t="s">
        <v>257</v>
      </c>
      <c r="P91" s="57" t="s">
        <v>842</v>
      </c>
      <c r="Q91" s="57" t="s">
        <v>706</v>
      </c>
    </row>
    <row r="92" s="50" customFormat="true" ht="14.25" hidden="false" customHeight="true" outlineLevel="0" collapsed="false">
      <c r="A92" s="50" t="s">
        <v>840</v>
      </c>
      <c r="B92" s="57" t="s">
        <v>112</v>
      </c>
      <c r="C92" s="57" t="s">
        <v>559</v>
      </c>
      <c r="D92" s="58" t="n">
        <v>46056.5298611111</v>
      </c>
      <c r="E92" s="58" t="n">
        <v>46056.5298611111</v>
      </c>
      <c r="F92" s="58" t="n">
        <v>46056.5388888889</v>
      </c>
      <c r="G92" s="59" t="n">
        <f aca="false">F92-E92</f>
        <v>0.00902777780092593</v>
      </c>
      <c r="H92" s="57" t="s">
        <v>252</v>
      </c>
      <c r="I92" s="57"/>
      <c r="J92" s="57" t="s">
        <v>253</v>
      </c>
      <c r="K92" s="57" t="s">
        <v>266</v>
      </c>
      <c r="L92" s="57" t="s">
        <v>802</v>
      </c>
      <c r="M92" s="57" t="s">
        <v>255</v>
      </c>
      <c r="N92" s="57" t="s">
        <v>256</v>
      </c>
      <c r="O92" s="57" t="s">
        <v>257</v>
      </c>
      <c r="P92" s="57" t="s">
        <v>843</v>
      </c>
      <c r="Q92" s="57" t="s">
        <v>706</v>
      </c>
    </row>
    <row r="93" s="50" customFormat="true" ht="14.25" hidden="false" customHeight="true" outlineLevel="0" collapsed="false">
      <c r="A93" s="50" t="s">
        <v>840</v>
      </c>
      <c r="B93" s="57" t="s">
        <v>112</v>
      </c>
      <c r="C93" s="57" t="s">
        <v>560</v>
      </c>
      <c r="D93" s="58" t="n">
        <v>46056.5298611111</v>
      </c>
      <c r="E93" s="58" t="n">
        <v>46056.5298611111</v>
      </c>
      <c r="F93" s="58" t="n">
        <v>46056.5388888889</v>
      </c>
      <c r="G93" s="59" t="n">
        <f aca="false">F93-E93</f>
        <v>0.00902777780092593</v>
      </c>
      <c r="H93" s="57" t="s">
        <v>252</v>
      </c>
      <c r="I93" s="57"/>
      <c r="J93" s="57" t="s">
        <v>253</v>
      </c>
      <c r="K93" s="57" t="s">
        <v>266</v>
      </c>
      <c r="L93" s="57" t="s">
        <v>802</v>
      </c>
      <c r="M93" s="57" t="s">
        <v>255</v>
      </c>
      <c r="N93" s="57" t="s">
        <v>256</v>
      </c>
      <c r="O93" s="57" t="s">
        <v>257</v>
      </c>
      <c r="P93" s="57" t="s">
        <v>844</v>
      </c>
      <c r="Q93" s="57" t="s">
        <v>706</v>
      </c>
    </row>
    <row r="94" s="50" customFormat="true" ht="14.25" hidden="false" customHeight="true" outlineLevel="0" collapsed="false">
      <c r="A94" s="50" t="s">
        <v>840</v>
      </c>
      <c r="B94" s="57" t="s">
        <v>112</v>
      </c>
      <c r="C94" s="57" t="s">
        <v>561</v>
      </c>
      <c r="D94" s="58" t="n">
        <v>46056.5298611111</v>
      </c>
      <c r="E94" s="58" t="n">
        <v>46056.5298611111</v>
      </c>
      <c r="F94" s="58" t="n">
        <v>46056.5388888889</v>
      </c>
      <c r="G94" s="59" t="n">
        <f aca="false">F94-E94</f>
        <v>0.00902777780092593</v>
      </c>
      <c r="H94" s="57" t="s">
        <v>252</v>
      </c>
      <c r="I94" s="57"/>
      <c r="J94" s="57" t="s">
        <v>253</v>
      </c>
      <c r="K94" s="57" t="s">
        <v>266</v>
      </c>
      <c r="L94" s="57" t="s">
        <v>802</v>
      </c>
      <c r="M94" s="57" t="s">
        <v>255</v>
      </c>
      <c r="N94" s="57" t="s">
        <v>256</v>
      </c>
      <c r="O94" s="57" t="s">
        <v>257</v>
      </c>
      <c r="P94" s="57" t="s">
        <v>845</v>
      </c>
      <c r="Q94" s="57" t="s">
        <v>706</v>
      </c>
    </row>
    <row r="95" s="50" customFormat="true" ht="14.25" hidden="false" customHeight="true" outlineLevel="0" collapsed="false">
      <c r="A95" s="50" t="s">
        <v>840</v>
      </c>
      <c r="B95" s="57" t="s">
        <v>112</v>
      </c>
      <c r="C95" s="57" t="s">
        <v>562</v>
      </c>
      <c r="D95" s="58" t="n">
        <v>46056.5298611111</v>
      </c>
      <c r="E95" s="58" t="n">
        <v>46056.5298611111</v>
      </c>
      <c r="F95" s="58" t="n">
        <v>46056.5388888889</v>
      </c>
      <c r="G95" s="59" t="n">
        <f aca="false">F95-E95</f>
        <v>0.00902777780092593</v>
      </c>
      <c r="H95" s="57" t="s">
        <v>252</v>
      </c>
      <c r="I95" s="57"/>
      <c r="J95" s="57" t="s">
        <v>253</v>
      </c>
      <c r="K95" s="57" t="s">
        <v>266</v>
      </c>
      <c r="L95" s="57" t="s">
        <v>802</v>
      </c>
      <c r="M95" s="57" t="s">
        <v>255</v>
      </c>
      <c r="N95" s="57" t="s">
        <v>256</v>
      </c>
      <c r="O95" s="57" t="s">
        <v>257</v>
      </c>
      <c r="P95" s="57" t="s">
        <v>846</v>
      </c>
      <c r="Q95" s="57" t="s">
        <v>706</v>
      </c>
    </row>
    <row r="96" s="50" customFormat="true" ht="14.25" hidden="false" customHeight="true" outlineLevel="0" collapsed="false">
      <c r="A96" s="50" t="s">
        <v>847</v>
      </c>
      <c r="B96" s="57" t="s">
        <v>112</v>
      </c>
      <c r="C96" s="57" t="s">
        <v>563</v>
      </c>
      <c r="D96" s="58" t="n">
        <v>46056.5298611111</v>
      </c>
      <c r="E96" s="58" t="n">
        <v>46056.5298611111</v>
      </c>
      <c r="F96" s="58" t="n">
        <v>46056.5388888889</v>
      </c>
      <c r="G96" s="59" t="n">
        <f aca="false">F96-E96</f>
        <v>0.00902777780092593</v>
      </c>
      <c r="H96" s="57" t="s">
        <v>252</v>
      </c>
      <c r="I96" s="57"/>
      <c r="J96" s="57" t="s">
        <v>253</v>
      </c>
      <c r="K96" s="57" t="s">
        <v>266</v>
      </c>
      <c r="L96" s="57" t="s">
        <v>802</v>
      </c>
      <c r="M96" s="57" t="s">
        <v>255</v>
      </c>
      <c r="N96" s="57" t="s">
        <v>256</v>
      </c>
      <c r="O96" s="57" t="s">
        <v>257</v>
      </c>
      <c r="P96" s="57" t="s">
        <v>848</v>
      </c>
      <c r="Q96" s="57" t="s">
        <v>706</v>
      </c>
    </row>
    <row r="97" s="50" customFormat="true" ht="14.25" hidden="false" customHeight="true" outlineLevel="0" collapsed="false">
      <c r="A97" s="50" t="s">
        <v>847</v>
      </c>
      <c r="B97" s="57" t="s">
        <v>112</v>
      </c>
      <c r="C97" s="57" t="s">
        <v>564</v>
      </c>
      <c r="D97" s="58" t="n">
        <v>46056.5298611111</v>
      </c>
      <c r="E97" s="58" t="n">
        <v>46056.5298611111</v>
      </c>
      <c r="F97" s="58" t="n">
        <v>46056.5388888889</v>
      </c>
      <c r="G97" s="59" t="n">
        <f aca="false">F97-E97</f>
        <v>0.00902777780092593</v>
      </c>
      <c r="H97" s="57" t="s">
        <v>252</v>
      </c>
      <c r="I97" s="57"/>
      <c r="J97" s="57" t="s">
        <v>253</v>
      </c>
      <c r="K97" s="57" t="s">
        <v>266</v>
      </c>
      <c r="L97" s="57" t="s">
        <v>802</v>
      </c>
      <c r="M97" s="57" t="s">
        <v>255</v>
      </c>
      <c r="N97" s="57" t="s">
        <v>256</v>
      </c>
      <c r="O97" s="57" t="s">
        <v>257</v>
      </c>
      <c r="P97" s="57" t="s">
        <v>849</v>
      </c>
      <c r="Q97" s="57" t="s">
        <v>706</v>
      </c>
    </row>
    <row r="98" s="50" customFormat="true" ht="14.25" hidden="false" customHeight="true" outlineLevel="0" collapsed="false">
      <c r="A98" s="50" t="s">
        <v>847</v>
      </c>
      <c r="B98" s="57" t="s">
        <v>112</v>
      </c>
      <c r="C98" s="57" t="s">
        <v>565</v>
      </c>
      <c r="D98" s="58" t="n">
        <v>46056.5298611111</v>
      </c>
      <c r="E98" s="58" t="n">
        <v>46056.5298611111</v>
      </c>
      <c r="F98" s="58" t="n">
        <v>46056.5388888889</v>
      </c>
      <c r="G98" s="59" t="n">
        <f aca="false">F98-E98</f>
        <v>0.00902777780092593</v>
      </c>
      <c r="H98" s="57" t="s">
        <v>252</v>
      </c>
      <c r="I98" s="57"/>
      <c r="J98" s="57" t="s">
        <v>253</v>
      </c>
      <c r="K98" s="57" t="s">
        <v>266</v>
      </c>
      <c r="L98" s="57" t="s">
        <v>802</v>
      </c>
      <c r="M98" s="57" t="s">
        <v>255</v>
      </c>
      <c r="N98" s="57" t="s">
        <v>256</v>
      </c>
      <c r="O98" s="57" t="s">
        <v>257</v>
      </c>
      <c r="P98" s="57" t="s">
        <v>850</v>
      </c>
      <c r="Q98" s="57" t="s">
        <v>706</v>
      </c>
    </row>
    <row r="99" s="50" customFormat="true" ht="14.25" hidden="false" customHeight="true" outlineLevel="0" collapsed="false">
      <c r="A99" s="50" t="s">
        <v>801</v>
      </c>
      <c r="B99" s="57" t="s">
        <v>112</v>
      </c>
      <c r="C99" s="57" t="s">
        <v>524</v>
      </c>
      <c r="D99" s="58" t="n">
        <v>46056.6513888889</v>
      </c>
      <c r="E99" s="58" t="n">
        <v>46056.6513888889</v>
      </c>
      <c r="F99" s="58" t="n">
        <v>46056.75</v>
      </c>
      <c r="G99" s="59" t="n">
        <f aca="false">F99-E99</f>
        <v>0.098611111099537</v>
      </c>
      <c r="H99" s="57" t="s">
        <v>252</v>
      </c>
      <c r="I99" s="57"/>
      <c r="J99" s="57" t="s">
        <v>253</v>
      </c>
      <c r="K99" s="57" t="s">
        <v>266</v>
      </c>
      <c r="L99" s="57" t="s">
        <v>851</v>
      </c>
      <c r="M99" s="57" t="s">
        <v>255</v>
      </c>
      <c r="N99" s="57" t="s">
        <v>256</v>
      </c>
      <c r="O99" s="61" t="s">
        <v>852</v>
      </c>
      <c r="P99" s="57" t="s">
        <v>853</v>
      </c>
      <c r="Q99" s="57" t="s">
        <v>706</v>
      </c>
    </row>
    <row r="100" s="50" customFormat="true" ht="14.25" hidden="false" customHeight="true" outlineLevel="0" collapsed="false">
      <c r="A100" s="50" t="s">
        <v>801</v>
      </c>
      <c r="B100" s="57" t="s">
        <v>112</v>
      </c>
      <c r="C100" s="57" t="s">
        <v>526</v>
      </c>
      <c r="D100" s="58" t="n">
        <v>46056.6513888889</v>
      </c>
      <c r="E100" s="58" t="n">
        <v>46056.6513888889</v>
      </c>
      <c r="F100" s="58" t="n">
        <v>46056.75</v>
      </c>
      <c r="G100" s="59" t="n">
        <f aca="false">F100-E100</f>
        <v>0.098611111099537</v>
      </c>
      <c r="H100" s="57" t="s">
        <v>252</v>
      </c>
      <c r="I100" s="57"/>
      <c r="J100" s="57" t="s">
        <v>253</v>
      </c>
      <c r="K100" s="57" t="s">
        <v>266</v>
      </c>
      <c r="L100" s="57" t="s">
        <v>851</v>
      </c>
      <c r="M100" s="57" t="s">
        <v>255</v>
      </c>
      <c r="N100" s="57" t="s">
        <v>256</v>
      </c>
      <c r="O100" s="61" t="s">
        <v>852</v>
      </c>
      <c r="P100" s="57" t="s">
        <v>854</v>
      </c>
      <c r="Q100" s="57" t="s">
        <v>706</v>
      </c>
    </row>
    <row r="101" s="50" customFormat="true" ht="14.25" hidden="false" customHeight="true" outlineLevel="0" collapsed="false">
      <c r="A101" s="50" t="s">
        <v>801</v>
      </c>
      <c r="B101" s="57" t="s">
        <v>112</v>
      </c>
      <c r="C101" s="57" t="s">
        <v>527</v>
      </c>
      <c r="D101" s="58" t="n">
        <v>46056.6513888889</v>
      </c>
      <c r="E101" s="58" t="n">
        <v>46056.6513888889</v>
      </c>
      <c r="F101" s="58" t="n">
        <v>46056.75</v>
      </c>
      <c r="G101" s="59" t="n">
        <f aca="false">F101-E101</f>
        <v>0.098611111099537</v>
      </c>
      <c r="H101" s="57" t="s">
        <v>252</v>
      </c>
      <c r="I101" s="57"/>
      <c r="J101" s="57" t="s">
        <v>253</v>
      </c>
      <c r="K101" s="57" t="s">
        <v>266</v>
      </c>
      <c r="L101" s="57" t="s">
        <v>851</v>
      </c>
      <c r="M101" s="57" t="s">
        <v>255</v>
      </c>
      <c r="N101" s="57" t="s">
        <v>256</v>
      </c>
      <c r="O101" s="61" t="s">
        <v>852</v>
      </c>
      <c r="P101" s="57" t="s">
        <v>855</v>
      </c>
      <c r="Q101" s="57" t="s">
        <v>706</v>
      </c>
    </row>
    <row r="102" s="50" customFormat="true" ht="14.25" hidden="false" customHeight="true" outlineLevel="0" collapsed="false">
      <c r="A102" s="50" t="s">
        <v>801</v>
      </c>
      <c r="B102" s="57" t="s">
        <v>112</v>
      </c>
      <c r="C102" s="57" t="s">
        <v>528</v>
      </c>
      <c r="D102" s="58" t="n">
        <v>46056.6513888889</v>
      </c>
      <c r="E102" s="58" t="n">
        <v>46056.6513888889</v>
      </c>
      <c r="F102" s="58" t="n">
        <v>46056.75</v>
      </c>
      <c r="G102" s="59" t="n">
        <f aca="false">F102-E102</f>
        <v>0.098611111099537</v>
      </c>
      <c r="H102" s="57" t="s">
        <v>252</v>
      </c>
      <c r="I102" s="57"/>
      <c r="J102" s="57" t="s">
        <v>253</v>
      </c>
      <c r="K102" s="57" t="s">
        <v>266</v>
      </c>
      <c r="L102" s="57" t="s">
        <v>851</v>
      </c>
      <c r="M102" s="57" t="s">
        <v>255</v>
      </c>
      <c r="N102" s="57" t="s">
        <v>256</v>
      </c>
      <c r="O102" s="61" t="s">
        <v>852</v>
      </c>
      <c r="P102" s="57" t="s">
        <v>856</v>
      </c>
      <c r="Q102" s="57" t="s">
        <v>706</v>
      </c>
    </row>
    <row r="103" s="50" customFormat="true" ht="14.25" hidden="false" customHeight="true" outlineLevel="0" collapsed="false">
      <c r="A103" s="50" t="s">
        <v>801</v>
      </c>
      <c r="B103" s="57" t="s">
        <v>112</v>
      </c>
      <c r="C103" s="57" t="s">
        <v>529</v>
      </c>
      <c r="D103" s="58" t="n">
        <v>46056.6513888889</v>
      </c>
      <c r="E103" s="58" t="n">
        <v>46056.6513888889</v>
      </c>
      <c r="F103" s="58" t="n">
        <v>46056.75</v>
      </c>
      <c r="G103" s="59" t="n">
        <f aca="false">F103-E103</f>
        <v>0.098611111099537</v>
      </c>
      <c r="H103" s="57" t="s">
        <v>252</v>
      </c>
      <c r="I103" s="57"/>
      <c r="J103" s="57" t="s">
        <v>253</v>
      </c>
      <c r="K103" s="57" t="s">
        <v>266</v>
      </c>
      <c r="L103" s="57" t="s">
        <v>851</v>
      </c>
      <c r="M103" s="57" t="s">
        <v>255</v>
      </c>
      <c r="N103" s="57" t="s">
        <v>256</v>
      </c>
      <c r="O103" s="61" t="s">
        <v>852</v>
      </c>
      <c r="P103" s="57" t="s">
        <v>857</v>
      </c>
      <c r="Q103" s="57" t="s">
        <v>706</v>
      </c>
    </row>
    <row r="104" s="50" customFormat="true" ht="14.25" hidden="false" customHeight="true" outlineLevel="0" collapsed="false">
      <c r="A104" s="50" t="s">
        <v>801</v>
      </c>
      <c r="B104" s="57" t="s">
        <v>112</v>
      </c>
      <c r="C104" s="57" t="s">
        <v>530</v>
      </c>
      <c r="D104" s="58" t="n">
        <v>46056.6513888889</v>
      </c>
      <c r="E104" s="58" t="n">
        <v>46056.6513888889</v>
      </c>
      <c r="F104" s="58" t="n">
        <v>46056.75</v>
      </c>
      <c r="G104" s="59" t="n">
        <f aca="false">F104-E104</f>
        <v>0.098611111099537</v>
      </c>
      <c r="H104" s="57" t="s">
        <v>252</v>
      </c>
      <c r="I104" s="57"/>
      <c r="J104" s="57" t="s">
        <v>253</v>
      </c>
      <c r="K104" s="57" t="s">
        <v>266</v>
      </c>
      <c r="L104" s="57" t="s">
        <v>851</v>
      </c>
      <c r="M104" s="57" t="s">
        <v>255</v>
      </c>
      <c r="N104" s="57" t="s">
        <v>256</v>
      </c>
      <c r="O104" s="61" t="s">
        <v>852</v>
      </c>
      <c r="P104" s="57" t="s">
        <v>858</v>
      </c>
      <c r="Q104" s="57" t="s">
        <v>706</v>
      </c>
    </row>
    <row r="105" s="50" customFormat="true" ht="14.25" hidden="false" customHeight="true" outlineLevel="0" collapsed="false">
      <c r="A105" s="50" t="s">
        <v>801</v>
      </c>
      <c r="B105" s="57" t="s">
        <v>112</v>
      </c>
      <c r="C105" s="57" t="s">
        <v>531</v>
      </c>
      <c r="D105" s="58" t="n">
        <v>46056.6513888889</v>
      </c>
      <c r="E105" s="58" t="n">
        <v>46056.6513888889</v>
      </c>
      <c r="F105" s="58" t="n">
        <v>46056.75</v>
      </c>
      <c r="G105" s="59" t="n">
        <f aca="false">F105-E105</f>
        <v>0.098611111099537</v>
      </c>
      <c r="H105" s="57" t="s">
        <v>252</v>
      </c>
      <c r="I105" s="57"/>
      <c r="J105" s="57" t="s">
        <v>253</v>
      </c>
      <c r="K105" s="57" t="s">
        <v>266</v>
      </c>
      <c r="L105" s="57" t="s">
        <v>851</v>
      </c>
      <c r="M105" s="57" t="s">
        <v>255</v>
      </c>
      <c r="N105" s="57" t="s">
        <v>256</v>
      </c>
      <c r="O105" s="61" t="s">
        <v>852</v>
      </c>
      <c r="P105" s="57" t="s">
        <v>859</v>
      </c>
      <c r="Q105" s="57" t="s">
        <v>706</v>
      </c>
    </row>
    <row r="106" s="50" customFormat="true" ht="14.25" hidden="false" customHeight="true" outlineLevel="0" collapsed="false">
      <c r="A106" s="50" t="s">
        <v>801</v>
      </c>
      <c r="B106" s="57" t="s">
        <v>112</v>
      </c>
      <c r="C106" s="57" t="s">
        <v>532</v>
      </c>
      <c r="D106" s="58" t="n">
        <v>46056.6513888889</v>
      </c>
      <c r="E106" s="58" t="n">
        <v>46056.6513888889</v>
      </c>
      <c r="F106" s="58" t="n">
        <v>46056.75</v>
      </c>
      <c r="G106" s="59" t="n">
        <f aca="false">F106-E106</f>
        <v>0.098611111099537</v>
      </c>
      <c r="H106" s="57" t="s">
        <v>252</v>
      </c>
      <c r="I106" s="57"/>
      <c r="J106" s="57" t="s">
        <v>253</v>
      </c>
      <c r="K106" s="57" t="s">
        <v>266</v>
      </c>
      <c r="L106" s="57" t="s">
        <v>851</v>
      </c>
      <c r="M106" s="57" t="s">
        <v>255</v>
      </c>
      <c r="N106" s="57" t="s">
        <v>256</v>
      </c>
      <c r="O106" s="61" t="s">
        <v>852</v>
      </c>
      <c r="P106" s="57" t="s">
        <v>860</v>
      </c>
      <c r="Q106" s="57" t="s">
        <v>706</v>
      </c>
    </row>
    <row r="107" s="50" customFormat="true" ht="14.25" hidden="false" customHeight="true" outlineLevel="0" collapsed="false">
      <c r="A107" s="50" t="s">
        <v>801</v>
      </c>
      <c r="B107" s="57" t="s">
        <v>112</v>
      </c>
      <c r="C107" s="57" t="s">
        <v>533</v>
      </c>
      <c r="D107" s="58" t="n">
        <v>46056.6513888889</v>
      </c>
      <c r="E107" s="58" t="n">
        <v>46056.6513888889</v>
      </c>
      <c r="F107" s="58" t="n">
        <v>46056.75</v>
      </c>
      <c r="G107" s="59" t="n">
        <f aca="false">F107-E107</f>
        <v>0.098611111099537</v>
      </c>
      <c r="H107" s="57" t="s">
        <v>252</v>
      </c>
      <c r="I107" s="57"/>
      <c r="J107" s="57" t="s">
        <v>253</v>
      </c>
      <c r="K107" s="57" t="s">
        <v>266</v>
      </c>
      <c r="L107" s="57" t="s">
        <v>851</v>
      </c>
      <c r="M107" s="57" t="s">
        <v>255</v>
      </c>
      <c r="N107" s="57" t="s">
        <v>256</v>
      </c>
      <c r="O107" s="61" t="s">
        <v>852</v>
      </c>
      <c r="P107" s="57" t="s">
        <v>861</v>
      </c>
      <c r="Q107" s="57" t="s">
        <v>706</v>
      </c>
    </row>
    <row r="108" s="50" customFormat="true" ht="14.25" hidden="false" customHeight="true" outlineLevel="0" collapsed="false">
      <c r="A108" s="50" t="s">
        <v>812</v>
      </c>
      <c r="B108" s="57" t="s">
        <v>112</v>
      </c>
      <c r="C108" s="57" t="s">
        <v>534</v>
      </c>
      <c r="D108" s="58" t="n">
        <v>46056.6513888889</v>
      </c>
      <c r="E108" s="58" t="n">
        <v>46056.6513888889</v>
      </c>
      <c r="F108" s="58" t="n">
        <v>46056.75</v>
      </c>
      <c r="G108" s="59" t="n">
        <f aca="false">F108-E108</f>
        <v>0.098611111099537</v>
      </c>
      <c r="H108" s="57" t="s">
        <v>252</v>
      </c>
      <c r="I108" s="57"/>
      <c r="J108" s="57" t="s">
        <v>253</v>
      </c>
      <c r="K108" s="57" t="s">
        <v>266</v>
      </c>
      <c r="L108" s="57" t="s">
        <v>851</v>
      </c>
      <c r="M108" s="57" t="s">
        <v>255</v>
      </c>
      <c r="N108" s="57" t="s">
        <v>256</v>
      </c>
      <c r="O108" s="61" t="s">
        <v>852</v>
      </c>
      <c r="P108" s="57" t="s">
        <v>862</v>
      </c>
      <c r="Q108" s="57" t="s">
        <v>706</v>
      </c>
    </row>
    <row r="109" s="50" customFormat="true" ht="14.25" hidden="false" customHeight="true" outlineLevel="0" collapsed="false">
      <c r="A109" s="50" t="s">
        <v>812</v>
      </c>
      <c r="B109" s="57" t="s">
        <v>112</v>
      </c>
      <c r="C109" s="57" t="s">
        <v>535</v>
      </c>
      <c r="D109" s="58" t="n">
        <v>46056.6513888889</v>
      </c>
      <c r="E109" s="58" t="n">
        <v>46056.6513888889</v>
      </c>
      <c r="F109" s="58" t="n">
        <v>46056.75</v>
      </c>
      <c r="G109" s="59" t="n">
        <f aca="false">F109-E109</f>
        <v>0.098611111099537</v>
      </c>
      <c r="H109" s="57" t="s">
        <v>252</v>
      </c>
      <c r="I109" s="57"/>
      <c r="J109" s="57" t="s">
        <v>253</v>
      </c>
      <c r="K109" s="57" t="s">
        <v>266</v>
      </c>
      <c r="L109" s="57" t="s">
        <v>851</v>
      </c>
      <c r="M109" s="57" t="s">
        <v>255</v>
      </c>
      <c r="N109" s="57" t="s">
        <v>256</v>
      </c>
      <c r="O109" s="61" t="s">
        <v>852</v>
      </c>
      <c r="P109" s="57" t="s">
        <v>863</v>
      </c>
      <c r="Q109" s="57" t="s">
        <v>706</v>
      </c>
    </row>
    <row r="110" s="50" customFormat="true" ht="14.25" hidden="false" customHeight="true" outlineLevel="0" collapsed="false">
      <c r="A110" s="50" t="s">
        <v>812</v>
      </c>
      <c r="B110" s="57" t="s">
        <v>112</v>
      </c>
      <c r="C110" s="57" t="s">
        <v>536</v>
      </c>
      <c r="D110" s="58" t="n">
        <v>46056.6513888889</v>
      </c>
      <c r="E110" s="58" t="n">
        <v>46056.6513888889</v>
      </c>
      <c r="F110" s="58" t="n">
        <v>46056.75</v>
      </c>
      <c r="G110" s="59" t="n">
        <f aca="false">F110-E110</f>
        <v>0.098611111099537</v>
      </c>
      <c r="H110" s="57" t="s">
        <v>252</v>
      </c>
      <c r="I110" s="57"/>
      <c r="J110" s="57" t="s">
        <v>253</v>
      </c>
      <c r="K110" s="57" t="s">
        <v>266</v>
      </c>
      <c r="L110" s="57" t="s">
        <v>851</v>
      </c>
      <c r="M110" s="57" t="s">
        <v>255</v>
      </c>
      <c r="N110" s="57" t="s">
        <v>256</v>
      </c>
      <c r="O110" s="61" t="s">
        <v>852</v>
      </c>
      <c r="P110" s="57" t="s">
        <v>864</v>
      </c>
      <c r="Q110" s="57" t="s">
        <v>706</v>
      </c>
    </row>
    <row r="111" s="50" customFormat="true" ht="14.25" hidden="false" customHeight="true" outlineLevel="0" collapsed="false">
      <c r="A111" s="50" t="s">
        <v>812</v>
      </c>
      <c r="B111" s="57" t="s">
        <v>112</v>
      </c>
      <c r="C111" s="57" t="s">
        <v>537</v>
      </c>
      <c r="D111" s="58" t="n">
        <v>46056.6513888889</v>
      </c>
      <c r="E111" s="58" t="n">
        <v>46056.6513888889</v>
      </c>
      <c r="F111" s="58" t="n">
        <v>46056.75</v>
      </c>
      <c r="G111" s="59" t="n">
        <f aca="false">F111-E111</f>
        <v>0.098611111099537</v>
      </c>
      <c r="H111" s="57" t="s">
        <v>252</v>
      </c>
      <c r="I111" s="57"/>
      <c r="J111" s="57" t="s">
        <v>253</v>
      </c>
      <c r="K111" s="57" t="s">
        <v>266</v>
      </c>
      <c r="L111" s="57" t="s">
        <v>851</v>
      </c>
      <c r="M111" s="57" t="s">
        <v>255</v>
      </c>
      <c r="N111" s="57" t="s">
        <v>256</v>
      </c>
      <c r="O111" s="61" t="s">
        <v>852</v>
      </c>
      <c r="P111" s="57" t="s">
        <v>865</v>
      </c>
      <c r="Q111" s="57" t="s">
        <v>706</v>
      </c>
    </row>
    <row r="112" s="50" customFormat="true" ht="14.25" hidden="false" customHeight="true" outlineLevel="0" collapsed="false">
      <c r="A112" s="50" t="s">
        <v>812</v>
      </c>
      <c r="B112" s="57" t="s">
        <v>112</v>
      </c>
      <c r="C112" s="57" t="s">
        <v>538</v>
      </c>
      <c r="D112" s="58" t="n">
        <v>46056.6513888889</v>
      </c>
      <c r="E112" s="58" t="n">
        <v>46056.6513888889</v>
      </c>
      <c r="F112" s="58" t="n">
        <v>46056.75</v>
      </c>
      <c r="G112" s="59" t="n">
        <f aca="false">F112-E112</f>
        <v>0.098611111099537</v>
      </c>
      <c r="H112" s="57" t="s">
        <v>252</v>
      </c>
      <c r="I112" s="57"/>
      <c r="J112" s="57" t="s">
        <v>253</v>
      </c>
      <c r="K112" s="57" t="s">
        <v>266</v>
      </c>
      <c r="L112" s="57" t="s">
        <v>851</v>
      </c>
      <c r="M112" s="57" t="s">
        <v>255</v>
      </c>
      <c r="N112" s="57" t="s">
        <v>256</v>
      </c>
      <c r="O112" s="61" t="s">
        <v>852</v>
      </c>
      <c r="P112" s="57" t="s">
        <v>866</v>
      </c>
      <c r="Q112" s="57" t="s">
        <v>706</v>
      </c>
    </row>
    <row r="113" s="50" customFormat="true" ht="14.25" hidden="false" customHeight="true" outlineLevel="0" collapsed="false">
      <c r="A113" s="50" t="s">
        <v>818</v>
      </c>
      <c r="B113" s="57" t="s">
        <v>112</v>
      </c>
      <c r="C113" s="57" t="s">
        <v>539</v>
      </c>
      <c r="D113" s="58" t="n">
        <v>46056.6513888889</v>
      </c>
      <c r="E113" s="58" t="n">
        <v>46056.6513888889</v>
      </c>
      <c r="F113" s="58" t="n">
        <v>46056.75</v>
      </c>
      <c r="G113" s="59" t="n">
        <f aca="false">F113-E113</f>
        <v>0.098611111099537</v>
      </c>
      <c r="H113" s="57" t="s">
        <v>252</v>
      </c>
      <c r="I113" s="57"/>
      <c r="J113" s="57" t="s">
        <v>253</v>
      </c>
      <c r="K113" s="57" t="s">
        <v>266</v>
      </c>
      <c r="L113" s="57" t="s">
        <v>851</v>
      </c>
      <c r="M113" s="57" t="s">
        <v>255</v>
      </c>
      <c r="N113" s="57" t="s">
        <v>256</v>
      </c>
      <c r="O113" s="61" t="s">
        <v>852</v>
      </c>
      <c r="P113" s="57" t="s">
        <v>867</v>
      </c>
      <c r="Q113" s="57" t="s">
        <v>706</v>
      </c>
    </row>
    <row r="114" s="50" customFormat="true" ht="14.25" hidden="false" customHeight="true" outlineLevel="0" collapsed="false">
      <c r="A114" s="50" t="s">
        <v>818</v>
      </c>
      <c r="B114" s="57" t="s">
        <v>112</v>
      </c>
      <c r="C114" s="57" t="s">
        <v>540</v>
      </c>
      <c r="D114" s="58" t="n">
        <v>46056.6513888889</v>
      </c>
      <c r="E114" s="58" t="n">
        <v>46056.6513888889</v>
      </c>
      <c r="F114" s="58" t="n">
        <v>46056.75</v>
      </c>
      <c r="G114" s="59" t="n">
        <f aca="false">F114-E114</f>
        <v>0.098611111099537</v>
      </c>
      <c r="H114" s="57" t="s">
        <v>252</v>
      </c>
      <c r="I114" s="57"/>
      <c r="J114" s="57" t="s">
        <v>253</v>
      </c>
      <c r="K114" s="57" t="s">
        <v>266</v>
      </c>
      <c r="L114" s="57" t="s">
        <v>851</v>
      </c>
      <c r="M114" s="57" t="s">
        <v>255</v>
      </c>
      <c r="N114" s="57" t="s">
        <v>256</v>
      </c>
      <c r="O114" s="61" t="s">
        <v>852</v>
      </c>
      <c r="P114" s="57" t="s">
        <v>868</v>
      </c>
      <c r="Q114" s="57" t="s">
        <v>706</v>
      </c>
    </row>
    <row r="115" s="50" customFormat="true" ht="14.25" hidden="false" customHeight="true" outlineLevel="0" collapsed="false">
      <c r="A115" s="50" t="s">
        <v>818</v>
      </c>
      <c r="B115" s="57" t="s">
        <v>112</v>
      </c>
      <c r="C115" s="57" t="s">
        <v>541</v>
      </c>
      <c r="D115" s="58" t="n">
        <v>46056.6513888889</v>
      </c>
      <c r="E115" s="58" t="n">
        <v>46056.6513888889</v>
      </c>
      <c r="F115" s="58" t="n">
        <v>46056.75</v>
      </c>
      <c r="G115" s="59" t="n">
        <f aca="false">F115-E115</f>
        <v>0.098611111099537</v>
      </c>
      <c r="H115" s="57" t="s">
        <v>252</v>
      </c>
      <c r="I115" s="57"/>
      <c r="J115" s="57" t="s">
        <v>253</v>
      </c>
      <c r="K115" s="57" t="s">
        <v>266</v>
      </c>
      <c r="L115" s="57" t="s">
        <v>851</v>
      </c>
      <c r="M115" s="57" t="s">
        <v>255</v>
      </c>
      <c r="N115" s="57" t="s">
        <v>256</v>
      </c>
      <c r="O115" s="61" t="s">
        <v>852</v>
      </c>
      <c r="P115" s="57" t="s">
        <v>869</v>
      </c>
      <c r="Q115" s="57" t="s">
        <v>706</v>
      </c>
    </row>
    <row r="116" s="50" customFormat="true" ht="14.25" hidden="false" customHeight="true" outlineLevel="0" collapsed="false">
      <c r="A116" s="50" t="s">
        <v>818</v>
      </c>
      <c r="B116" s="57" t="s">
        <v>112</v>
      </c>
      <c r="C116" s="57" t="s">
        <v>542</v>
      </c>
      <c r="D116" s="58" t="n">
        <v>46056.6513888889</v>
      </c>
      <c r="E116" s="58" t="n">
        <v>46056.6513888889</v>
      </c>
      <c r="F116" s="58" t="n">
        <v>46056.75</v>
      </c>
      <c r="G116" s="59" t="n">
        <f aca="false">F116-E116</f>
        <v>0.098611111099537</v>
      </c>
      <c r="H116" s="57" t="s">
        <v>252</v>
      </c>
      <c r="I116" s="57"/>
      <c r="J116" s="57" t="s">
        <v>253</v>
      </c>
      <c r="K116" s="57" t="s">
        <v>266</v>
      </c>
      <c r="L116" s="57" t="s">
        <v>851</v>
      </c>
      <c r="M116" s="57" t="s">
        <v>255</v>
      </c>
      <c r="N116" s="57" t="s">
        <v>256</v>
      </c>
      <c r="O116" s="61" t="s">
        <v>852</v>
      </c>
      <c r="P116" s="57" t="s">
        <v>870</v>
      </c>
      <c r="Q116" s="57" t="s">
        <v>706</v>
      </c>
    </row>
    <row r="117" s="50" customFormat="true" ht="14.25" hidden="false" customHeight="true" outlineLevel="0" collapsed="false">
      <c r="A117" s="50" t="s">
        <v>818</v>
      </c>
      <c r="B117" s="57" t="s">
        <v>112</v>
      </c>
      <c r="C117" s="57" t="s">
        <v>543</v>
      </c>
      <c r="D117" s="58" t="n">
        <v>46056.6513888889</v>
      </c>
      <c r="E117" s="58" t="n">
        <v>46056.6513888889</v>
      </c>
      <c r="F117" s="58" t="n">
        <v>46056.75</v>
      </c>
      <c r="G117" s="59" t="n">
        <f aca="false">F117-E117</f>
        <v>0.098611111099537</v>
      </c>
      <c r="H117" s="57" t="s">
        <v>252</v>
      </c>
      <c r="I117" s="57"/>
      <c r="J117" s="57" t="s">
        <v>253</v>
      </c>
      <c r="K117" s="57" t="s">
        <v>266</v>
      </c>
      <c r="L117" s="57" t="s">
        <v>851</v>
      </c>
      <c r="M117" s="57" t="s">
        <v>255</v>
      </c>
      <c r="N117" s="57" t="s">
        <v>256</v>
      </c>
      <c r="O117" s="61" t="s">
        <v>852</v>
      </c>
      <c r="P117" s="57" t="s">
        <v>871</v>
      </c>
      <c r="Q117" s="57" t="s">
        <v>706</v>
      </c>
    </row>
    <row r="118" s="50" customFormat="true" ht="14.25" hidden="false" customHeight="true" outlineLevel="0" collapsed="false">
      <c r="A118" s="50" t="s">
        <v>818</v>
      </c>
      <c r="B118" s="57" t="s">
        <v>112</v>
      </c>
      <c r="C118" s="57" t="s">
        <v>544</v>
      </c>
      <c r="D118" s="58" t="n">
        <v>46056.6513888889</v>
      </c>
      <c r="E118" s="58" t="n">
        <v>46056.6513888889</v>
      </c>
      <c r="F118" s="58" t="n">
        <v>46056.75</v>
      </c>
      <c r="G118" s="59" t="n">
        <f aca="false">F118-E118</f>
        <v>0.098611111099537</v>
      </c>
      <c r="H118" s="57" t="s">
        <v>252</v>
      </c>
      <c r="I118" s="57"/>
      <c r="J118" s="57" t="s">
        <v>253</v>
      </c>
      <c r="K118" s="57" t="s">
        <v>266</v>
      </c>
      <c r="L118" s="57" t="s">
        <v>851</v>
      </c>
      <c r="M118" s="57" t="s">
        <v>255</v>
      </c>
      <c r="N118" s="57" t="s">
        <v>256</v>
      </c>
      <c r="O118" s="61" t="s">
        <v>852</v>
      </c>
      <c r="P118" s="57" t="s">
        <v>872</v>
      </c>
      <c r="Q118" s="57" t="s">
        <v>706</v>
      </c>
    </row>
    <row r="119" s="50" customFormat="true" ht="14.25" hidden="false" customHeight="true" outlineLevel="0" collapsed="false">
      <c r="A119" s="50" t="s">
        <v>825</v>
      </c>
      <c r="B119" s="57" t="s">
        <v>112</v>
      </c>
      <c r="C119" s="57" t="s">
        <v>545</v>
      </c>
      <c r="D119" s="58" t="n">
        <v>46056.6513888889</v>
      </c>
      <c r="E119" s="58" t="n">
        <v>46056.6513888889</v>
      </c>
      <c r="F119" s="58" t="n">
        <v>46056.75</v>
      </c>
      <c r="G119" s="59" t="n">
        <f aca="false">F119-E119</f>
        <v>0.098611111099537</v>
      </c>
      <c r="H119" s="57" t="s">
        <v>252</v>
      </c>
      <c r="I119" s="57"/>
      <c r="J119" s="57" t="s">
        <v>253</v>
      </c>
      <c r="K119" s="57" t="s">
        <v>266</v>
      </c>
      <c r="L119" s="57" t="s">
        <v>851</v>
      </c>
      <c r="M119" s="57" t="s">
        <v>255</v>
      </c>
      <c r="N119" s="57" t="s">
        <v>256</v>
      </c>
      <c r="O119" s="61" t="s">
        <v>852</v>
      </c>
      <c r="P119" s="57" t="s">
        <v>873</v>
      </c>
      <c r="Q119" s="57" t="s">
        <v>706</v>
      </c>
    </row>
    <row r="120" s="50" customFormat="true" ht="14.25" hidden="false" customHeight="true" outlineLevel="0" collapsed="false">
      <c r="A120" s="50" t="s">
        <v>825</v>
      </c>
      <c r="B120" s="57" t="s">
        <v>112</v>
      </c>
      <c r="C120" s="57" t="s">
        <v>546</v>
      </c>
      <c r="D120" s="58" t="n">
        <v>46056.6513888889</v>
      </c>
      <c r="E120" s="58" t="n">
        <v>46056.6513888889</v>
      </c>
      <c r="F120" s="58" t="n">
        <v>46056.75</v>
      </c>
      <c r="G120" s="59" t="n">
        <f aca="false">F120-E120</f>
        <v>0.098611111099537</v>
      </c>
      <c r="H120" s="57" t="s">
        <v>252</v>
      </c>
      <c r="I120" s="57"/>
      <c r="J120" s="57" t="s">
        <v>253</v>
      </c>
      <c r="K120" s="57" t="s">
        <v>266</v>
      </c>
      <c r="L120" s="57" t="s">
        <v>851</v>
      </c>
      <c r="M120" s="57" t="s">
        <v>255</v>
      </c>
      <c r="N120" s="57" t="s">
        <v>256</v>
      </c>
      <c r="O120" s="61" t="s">
        <v>852</v>
      </c>
      <c r="P120" s="57" t="s">
        <v>874</v>
      </c>
      <c r="Q120" s="57" t="s">
        <v>706</v>
      </c>
    </row>
    <row r="121" s="50" customFormat="true" ht="14.25" hidden="false" customHeight="true" outlineLevel="0" collapsed="false">
      <c r="A121" s="50" t="s">
        <v>825</v>
      </c>
      <c r="B121" s="57" t="s">
        <v>112</v>
      </c>
      <c r="C121" s="57" t="s">
        <v>547</v>
      </c>
      <c r="D121" s="58" t="n">
        <v>46056.6513888889</v>
      </c>
      <c r="E121" s="58" t="n">
        <v>46056.6513888889</v>
      </c>
      <c r="F121" s="58" t="n">
        <v>46056.75</v>
      </c>
      <c r="G121" s="59" t="n">
        <f aca="false">F121-E121</f>
        <v>0.098611111099537</v>
      </c>
      <c r="H121" s="57" t="s">
        <v>252</v>
      </c>
      <c r="I121" s="57"/>
      <c r="J121" s="57" t="s">
        <v>253</v>
      </c>
      <c r="K121" s="57" t="s">
        <v>266</v>
      </c>
      <c r="L121" s="57" t="s">
        <v>851</v>
      </c>
      <c r="M121" s="57" t="s">
        <v>255</v>
      </c>
      <c r="N121" s="57" t="s">
        <v>256</v>
      </c>
      <c r="O121" s="61" t="s">
        <v>852</v>
      </c>
      <c r="P121" s="57" t="s">
        <v>875</v>
      </c>
      <c r="Q121" s="57" t="s">
        <v>706</v>
      </c>
    </row>
    <row r="122" s="50" customFormat="true" ht="14.25" hidden="false" customHeight="true" outlineLevel="0" collapsed="false">
      <c r="A122" s="50" t="s">
        <v>825</v>
      </c>
      <c r="B122" s="57" t="s">
        <v>112</v>
      </c>
      <c r="C122" s="57" t="s">
        <v>548</v>
      </c>
      <c r="D122" s="58" t="n">
        <v>46056.6513888889</v>
      </c>
      <c r="E122" s="58" t="n">
        <v>46056.6513888889</v>
      </c>
      <c r="F122" s="58" t="n">
        <v>46056.75</v>
      </c>
      <c r="G122" s="59" t="n">
        <f aca="false">F122-E122</f>
        <v>0.098611111099537</v>
      </c>
      <c r="H122" s="57" t="s">
        <v>252</v>
      </c>
      <c r="I122" s="57"/>
      <c r="J122" s="57" t="s">
        <v>253</v>
      </c>
      <c r="K122" s="57" t="s">
        <v>266</v>
      </c>
      <c r="L122" s="57" t="s">
        <v>851</v>
      </c>
      <c r="M122" s="57" t="s">
        <v>255</v>
      </c>
      <c r="N122" s="57" t="s">
        <v>256</v>
      </c>
      <c r="O122" s="61" t="s">
        <v>852</v>
      </c>
      <c r="P122" s="57" t="s">
        <v>876</v>
      </c>
      <c r="Q122" s="57" t="s">
        <v>706</v>
      </c>
    </row>
    <row r="123" s="50" customFormat="true" ht="14.25" hidden="false" customHeight="true" outlineLevel="0" collapsed="false">
      <c r="A123" s="50" t="s">
        <v>825</v>
      </c>
      <c r="B123" s="57" t="s">
        <v>112</v>
      </c>
      <c r="C123" s="57" t="s">
        <v>549</v>
      </c>
      <c r="D123" s="58" t="n">
        <v>46056.6513888889</v>
      </c>
      <c r="E123" s="58" t="n">
        <v>46056.6513888889</v>
      </c>
      <c r="F123" s="58" t="n">
        <v>46056.75</v>
      </c>
      <c r="G123" s="59" t="n">
        <f aca="false">F123-E123</f>
        <v>0.098611111099537</v>
      </c>
      <c r="H123" s="57" t="s">
        <v>252</v>
      </c>
      <c r="I123" s="57"/>
      <c r="J123" s="57" t="s">
        <v>253</v>
      </c>
      <c r="K123" s="57" t="s">
        <v>266</v>
      </c>
      <c r="L123" s="57" t="s">
        <v>851</v>
      </c>
      <c r="M123" s="57" t="s">
        <v>255</v>
      </c>
      <c r="N123" s="57" t="s">
        <v>256</v>
      </c>
      <c r="O123" s="61" t="s">
        <v>852</v>
      </c>
      <c r="P123" s="57" t="s">
        <v>877</v>
      </c>
      <c r="Q123" s="57" t="s">
        <v>706</v>
      </c>
    </row>
    <row r="124" s="50" customFormat="true" ht="14.25" hidden="false" customHeight="true" outlineLevel="0" collapsed="false">
      <c r="A124" s="50" t="s">
        <v>825</v>
      </c>
      <c r="B124" s="57" t="s">
        <v>112</v>
      </c>
      <c r="C124" s="57" t="s">
        <v>550</v>
      </c>
      <c r="D124" s="58" t="n">
        <v>46056.6513888889</v>
      </c>
      <c r="E124" s="58" t="n">
        <v>46056.6513888889</v>
      </c>
      <c r="F124" s="58" t="n">
        <v>46056.75</v>
      </c>
      <c r="G124" s="59" t="n">
        <f aca="false">F124-E124</f>
        <v>0.098611111099537</v>
      </c>
      <c r="H124" s="57" t="s">
        <v>252</v>
      </c>
      <c r="I124" s="57"/>
      <c r="J124" s="57" t="s">
        <v>253</v>
      </c>
      <c r="K124" s="57" t="s">
        <v>266</v>
      </c>
      <c r="L124" s="57" t="s">
        <v>851</v>
      </c>
      <c r="M124" s="57" t="s">
        <v>255</v>
      </c>
      <c r="N124" s="57" t="s">
        <v>256</v>
      </c>
      <c r="O124" s="61" t="s">
        <v>852</v>
      </c>
      <c r="P124" s="57" t="s">
        <v>878</v>
      </c>
      <c r="Q124" s="57" t="s">
        <v>706</v>
      </c>
    </row>
    <row r="125" s="50" customFormat="true" ht="14.25" hidden="false" customHeight="true" outlineLevel="0" collapsed="false">
      <c r="A125" s="50" t="s">
        <v>832</v>
      </c>
      <c r="B125" s="57" t="s">
        <v>112</v>
      </c>
      <c r="C125" s="57" t="s">
        <v>551</v>
      </c>
      <c r="D125" s="58" t="n">
        <v>46056.6513888889</v>
      </c>
      <c r="E125" s="58" t="n">
        <v>46056.6513888889</v>
      </c>
      <c r="F125" s="58" t="n">
        <v>46056.75</v>
      </c>
      <c r="G125" s="59" t="n">
        <f aca="false">F125-E125</f>
        <v>0.098611111099537</v>
      </c>
      <c r="H125" s="57" t="s">
        <v>252</v>
      </c>
      <c r="I125" s="57"/>
      <c r="J125" s="57" t="s">
        <v>253</v>
      </c>
      <c r="K125" s="57" t="s">
        <v>266</v>
      </c>
      <c r="L125" s="57" t="s">
        <v>851</v>
      </c>
      <c r="M125" s="57" t="s">
        <v>255</v>
      </c>
      <c r="N125" s="57" t="s">
        <v>256</v>
      </c>
      <c r="O125" s="61" t="s">
        <v>852</v>
      </c>
      <c r="P125" s="57" t="s">
        <v>879</v>
      </c>
      <c r="Q125" s="57" t="s">
        <v>706</v>
      </c>
    </row>
    <row r="126" s="50" customFormat="true" ht="14.25" hidden="false" customHeight="true" outlineLevel="0" collapsed="false">
      <c r="A126" s="50" t="s">
        <v>832</v>
      </c>
      <c r="B126" s="57" t="s">
        <v>112</v>
      </c>
      <c r="C126" s="57" t="s">
        <v>552</v>
      </c>
      <c r="D126" s="58" t="n">
        <v>46056.6513888889</v>
      </c>
      <c r="E126" s="58" t="n">
        <v>46056.6513888889</v>
      </c>
      <c r="F126" s="58" t="n">
        <v>46056.75</v>
      </c>
      <c r="G126" s="59" t="n">
        <f aca="false">F126-E126</f>
        <v>0.098611111099537</v>
      </c>
      <c r="H126" s="57" t="s">
        <v>252</v>
      </c>
      <c r="I126" s="57"/>
      <c r="J126" s="57" t="s">
        <v>253</v>
      </c>
      <c r="K126" s="57" t="s">
        <v>266</v>
      </c>
      <c r="L126" s="57" t="s">
        <v>851</v>
      </c>
      <c r="M126" s="57" t="s">
        <v>255</v>
      </c>
      <c r="N126" s="57" t="s">
        <v>256</v>
      </c>
      <c r="O126" s="61" t="s">
        <v>852</v>
      </c>
      <c r="P126" s="57" t="s">
        <v>880</v>
      </c>
      <c r="Q126" s="57" t="s">
        <v>706</v>
      </c>
    </row>
    <row r="127" s="50" customFormat="true" ht="14.25" hidden="false" customHeight="true" outlineLevel="0" collapsed="false">
      <c r="A127" s="50" t="s">
        <v>832</v>
      </c>
      <c r="B127" s="57" t="s">
        <v>112</v>
      </c>
      <c r="C127" s="57" t="s">
        <v>553</v>
      </c>
      <c r="D127" s="58" t="n">
        <v>46056.6513888889</v>
      </c>
      <c r="E127" s="58" t="n">
        <v>46056.6513888889</v>
      </c>
      <c r="F127" s="58" t="n">
        <v>46056.75</v>
      </c>
      <c r="G127" s="59" t="n">
        <f aca="false">F127-E127</f>
        <v>0.098611111099537</v>
      </c>
      <c r="H127" s="57" t="s">
        <v>252</v>
      </c>
      <c r="I127" s="57"/>
      <c r="J127" s="57" t="s">
        <v>253</v>
      </c>
      <c r="K127" s="57" t="s">
        <v>266</v>
      </c>
      <c r="L127" s="57" t="s">
        <v>851</v>
      </c>
      <c r="M127" s="57" t="s">
        <v>255</v>
      </c>
      <c r="N127" s="57" t="s">
        <v>256</v>
      </c>
      <c r="O127" s="61" t="s">
        <v>852</v>
      </c>
      <c r="P127" s="57" t="s">
        <v>881</v>
      </c>
      <c r="Q127" s="57" t="s">
        <v>706</v>
      </c>
    </row>
    <row r="128" s="50" customFormat="true" ht="14.25" hidden="false" customHeight="true" outlineLevel="0" collapsed="false">
      <c r="A128" s="50" t="s">
        <v>836</v>
      </c>
      <c r="B128" s="57" t="s">
        <v>112</v>
      </c>
      <c r="C128" s="57" t="s">
        <v>554</v>
      </c>
      <c r="D128" s="58" t="n">
        <v>46056.6513888889</v>
      </c>
      <c r="E128" s="58" t="n">
        <v>46056.6513888889</v>
      </c>
      <c r="F128" s="58" t="n">
        <v>46056.75</v>
      </c>
      <c r="G128" s="59" t="n">
        <f aca="false">F128-E128</f>
        <v>0.098611111099537</v>
      </c>
      <c r="H128" s="57" t="s">
        <v>252</v>
      </c>
      <c r="I128" s="57"/>
      <c r="J128" s="57" t="s">
        <v>253</v>
      </c>
      <c r="K128" s="57" t="s">
        <v>266</v>
      </c>
      <c r="L128" s="57" t="s">
        <v>851</v>
      </c>
      <c r="M128" s="57" t="s">
        <v>255</v>
      </c>
      <c r="N128" s="57" t="s">
        <v>256</v>
      </c>
      <c r="O128" s="61" t="s">
        <v>852</v>
      </c>
      <c r="P128" s="57" t="s">
        <v>882</v>
      </c>
      <c r="Q128" s="57" t="s">
        <v>706</v>
      </c>
    </row>
    <row r="129" s="50" customFormat="true" ht="14.25" hidden="false" customHeight="true" outlineLevel="0" collapsed="false">
      <c r="A129" s="50" t="s">
        <v>836</v>
      </c>
      <c r="B129" s="57" t="s">
        <v>112</v>
      </c>
      <c r="C129" s="57" t="s">
        <v>555</v>
      </c>
      <c r="D129" s="58" t="n">
        <v>46056.6513888889</v>
      </c>
      <c r="E129" s="58" t="n">
        <v>46056.6513888889</v>
      </c>
      <c r="F129" s="58" t="n">
        <v>46056.75</v>
      </c>
      <c r="G129" s="59" t="n">
        <f aca="false">F129-E129</f>
        <v>0.098611111099537</v>
      </c>
      <c r="H129" s="57" t="s">
        <v>252</v>
      </c>
      <c r="I129" s="57"/>
      <c r="J129" s="57" t="s">
        <v>253</v>
      </c>
      <c r="K129" s="57" t="s">
        <v>266</v>
      </c>
      <c r="L129" s="57" t="s">
        <v>851</v>
      </c>
      <c r="M129" s="57" t="s">
        <v>255</v>
      </c>
      <c r="N129" s="57" t="s">
        <v>256</v>
      </c>
      <c r="O129" s="61" t="s">
        <v>852</v>
      </c>
      <c r="P129" s="57" t="s">
        <v>883</v>
      </c>
      <c r="Q129" s="57" t="s">
        <v>706</v>
      </c>
    </row>
    <row r="130" s="50" customFormat="true" ht="14.25" hidden="false" customHeight="true" outlineLevel="0" collapsed="false">
      <c r="A130" s="50" t="s">
        <v>836</v>
      </c>
      <c r="B130" s="57" t="s">
        <v>112</v>
      </c>
      <c r="C130" s="57" t="s">
        <v>556</v>
      </c>
      <c r="D130" s="58" t="n">
        <v>46056.6513888889</v>
      </c>
      <c r="E130" s="58" t="n">
        <v>46056.6513888889</v>
      </c>
      <c r="F130" s="58" t="n">
        <v>46056.75</v>
      </c>
      <c r="G130" s="59" t="n">
        <f aca="false">F130-E130</f>
        <v>0.098611111099537</v>
      </c>
      <c r="H130" s="57" t="s">
        <v>252</v>
      </c>
      <c r="I130" s="57"/>
      <c r="J130" s="57" t="s">
        <v>253</v>
      </c>
      <c r="K130" s="57" t="s">
        <v>266</v>
      </c>
      <c r="L130" s="57" t="s">
        <v>851</v>
      </c>
      <c r="M130" s="57" t="s">
        <v>255</v>
      </c>
      <c r="N130" s="57" t="s">
        <v>256</v>
      </c>
      <c r="O130" s="61" t="s">
        <v>852</v>
      </c>
      <c r="P130" s="57" t="s">
        <v>884</v>
      </c>
      <c r="Q130" s="57" t="s">
        <v>706</v>
      </c>
    </row>
    <row r="131" s="50" customFormat="true" ht="14.25" hidden="false" customHeight="true" outlineLevel="0" collapsed="false">
      <c r="A131" s="50" t="s">
        <v>840</v>
      </c>
      <c r="B131" s="57" t="s">
        <v>112</v>
      </c>
      <c r="C131" s="57" t="s">
        <v>557</v>
      </c>
      <c r="D131" s="58" t="n">
        <v>46056.6513888889</v>
      </c>
      <c r="E131" s="58" t="n">
        <v>46056.6513888889</v>
      </c>
      <c r="F131" s="58" t="n">
        <v>46056.75</v>
      </c>
      <c r="G131" s="59" t="n">
        <f aca="false">F131-E131</f>
        <v>0.098611111099537</v>
      </c>
      <c r="H131" s="57" t="s">
        <v>252</v>
      </c>
      <c r="I131" s="57"/>
      <c r="J131" s="57" t="s">
        <v>253</v>
      </c>
      <c r="K131" s="57" t="s">
        <v>266</v>
      </c>
      <c r="L131" s="57" t="s">
        <v>851</v>
      </c>
      <c r="M131" s="57" t="s">
        <v>255</v>
      </c>
      <c r="N131" s="57" t="s">
        <v>256</v>
      </c>
      <c r="O131" s="61" t="s">
        <v>852</v>
      </c>
      <c r="P131" s="57" t="s">
        <v>885</v>
      </c>
      <c r="Q131" s="57" t="s">
        <v>706</v>
      </c>
    </row>
    <row r="132" s="50" customFormat="true" ht="14.25" hidden="false" customHeight="true" outlineLevel="0" collapsed="false">
      <c r="A132" s="50" t="s">
        <v>840</v>
      </c>
      <c r="B132" s="57" t="s">
        <v>112</v>
      </c>
      <c r="C132" s="57" t="s">
        <v>558</v>
      </c>
      <c r="D132" s="58" t="n">
        <v>46056.6513888889</v>
      </c>
      <c r="E132" s="58" t="n">
        <v>46056.6513888889</v>
      </c>
      <c r="F132" s="58" t="n">
        <v>46056.75</v>
      </c>
      <c r="G132" s="59" t="n">
        <f aca="false">F132-E132</f>
        <v>0.098611111099537</v>
      </c>
      <c r="H132" s="57" t="s">
        <v>252</v>
      </c>
      <c r="I132" s="57"/>
      <c r="J132" s="57" t="s">
        <v>253</v>
      </c>
      <c r="K132" s="57" t="s">
        <v>266</v>
      </c>
      <c r="L132" s="57" t="s">
        <v>851</v>
      </c>
      <c r="M132" s="57" t="s">
        <v>255</v>
      </c>
      <c r="N132" s="57" t="s">
        <v>256</v>
      </c>
      <c r="O132" s="61" t="s">
        <v>852</v>
      </c>
      <c r="P132" s="57" t="s">
        <v>886</v>
      </c>
      <c r="Q132" s="57" t="s">
        <v>706</v>
      </c>
    </row>
    <row r="133" s="50" customFormat="true" ht="14.25" hidden="false" customHeight="true" outlineLevel="0" collapsed="false">
      <c r="A133" s="50" t="s">
        <v>840</v>
      </c>
      <c r="B133" s="57" t="s">
        <v>112</v>
      </c>
      <c r="C133" s="57" t="s">
        <v>559</v>
      </c>
      <c r="D133" s="58" t="n">
        <v>46056.6513888889</v>
      </c>
      <c r="E133" s="58" t="n">
        <v>46056.6513888889</v>
      </c>
      <c r="F133" s="58" t="n">
        <v>46056.75</v>
      </c>
      <c r="G133" s="59" t="n">
        <f aca="false">F133-E133</f>
        <v>0.098611111099537</v>
      </c>
      <c r="H133" s="57" t="s">
        <v>252</v>
      </c>
      <c r="I133" s="57"/>
      <c r="J133" s="57" t="s">
        <v>253</v>
      </c>
      <c r="K133" s="57" t="s">
        <v>266</v>
      </c>
      <c r="L133" s="57" t="s">
        <v>851</v>
      </c>
      <c r="M133" s="57" t="s">
        <v>255</v>
      </c>
      <c r="N133" s="57" t="s">
        <v>256</v>
      </c>
      <c r="O133" s="61" t="s">
        <v>852</v>
      </c>
      <c r="P133" s="57" t="s">
        <v>887</v>
      </c>
      <c r="Q133" s="57" t="s">
        <v>706</v>
      </c>
    </row>
    <row r="134" s="50" customFormat="true" ht="14.25" hidden="false" customHeight="true" outlineLevel="0" collapsed="false">
      <c r="A134" s="50" t="s">
        <v>840</v>
      </c>
      <c r="B134" s="57" t="s">
        <v>112</v>
      </c>
      <c r="C134" s="57" t="s">
        <v>560</v>
      </c>
      <c r="D134" s="58" t="n">
        <v>46056.6513888889</v>
      </c>
      <c r="E134" s="58" t="n">
        <v>46056.6513888889</v>
      </c>
      <c r="F134" s="58" t="n">
        <v>46056.75</v>
      </c>
      <c r="G134" s="59" t="n">
        <f aca="false">F134-E134</f>
        <v>0.098611111099537</v>
      </c>
      <c r="H134" s="57" t="s">
        <v>252</v>
      </c>
      <c r="I134" s="57"/>
      <c r="J134" s="57" t="s">
        <v>253</v>
      </c>
      <c r="K134" s="57" t="s">
        <v>266</v>
      </c>
      <c r="L134" s="57" t="s">
        <v>851</v>
      </c>
      <c r="M134" s="57" t="s">
        <v>255</v>
      </c>
      <c r="N134" s="57" t="s">
        <v>256</v>
      </c>
      <c r="O134" s="61" t="s">
        <v>852</v>
      </c>
      <c r="P134" s="57" t="s">
        <v>888</v>
      </c>
      <c r="Q134" s="57" t="s">
        <v>706</v>
      </c>
    </row>
    <row r="135" s="50" customFormat="true" ht="14.25" hidden="false" customHeight="true" outlineLevel="0" collapsed="false">
      <c r="A135" s="50" t="s">
        <v>840</v>
      </c>
      <c r="B135" s="57" t="s">
        <v>112</v>
      </c>
      <c r="C135" s="57" t="s">
        <v>561</v>
      </c>
      <c r="D135" s="58" t="n">
        <v>46056.6513888889</v>
      </c>
      <c r="E135" s="58" t="n">
        <v>46056.6513888889</v>
      </c>
      <c r="F135" s="58" t="n">
        <v>46056.75</v>
      </c>
      <c r="G135" s="59" t="n">
        <f aca="false">F135-E135</f>
        <v>0.098611111099537</v>
      </c>
      <c r="H135" s="57" t="s">
        <v>252</v>
      </c>
      <c r="I135" s="57"/>
      <c r="J135" s="57" t="s">
        <v>253</v>
      </c>
      <c r="K135" s="57" t="s">
        <v>266</v>
      </c>
      <c r="L135" s="57" t="s">
        <v>851</v>
      </c>
      <c r="M135" s="57" t="s">
        <v>255</v>
      </c>
      <c r="N135" s="57" t="s">
        <v>256</v>
      </c>
      <c r="O135" s="61" t="s">
        <v>852</v>
      </c>
      <c r="P135" s="57" t="s">
        <v>889</v>
      </c>
      <c r="Q135" s="57" t="s">
        <v>706</v>
      </c>
    </row>
    <row r="136" s="50" customFormat="true" ht="14.25" hidden="false" customHeight="true" outlineLevel="0" collapsed="false">
      <c r="A136" s="50" t="s">
        <v>840</v>
      </c>
      <c r="B136" s="57" t="s">
        <v>112</v>
      </c>
      <c r="C136" s="57" t="s">
        <v>562</v>
      </c>
      <c r="D136" s="58" t="n">
        <v>46056.6513888889</v>
      </c>
      <c r="E136" s="58" t="n">
        <v>46056.6513888889</v>
      </c>
      <c r="F136" s="58" t="n">
        <v>46056.75</v>
      </c>
      <c r="G136" s="59" t="n">
        <f aca="false">F136-E136</f>
        <v>0.098611111099537</v>
      </c>
      <c r="H136" s="57" t="s">
        <v>252</v>
      </c>
      <c r="I136" s="57"/>
      <c r="J136" s="57" t="s">
        <v>253</v>
      </c>
      <c r="K136" s="57" t="s">
        <v>266</v>
      </c>
      <c r="L136" s="57" t="s">
        <v>851</v>
      </c>
      <c r="M136" s="57" t="s">
        <v>255</v>
      </c>
      <c r="N136" s="57" t="s">
        <v>256</v>
      </c>
      <c r="O136" s="61" t="s">
        <v>852</v>
      </c>
      <c r="P136" s="57" t="s">
        <v>890</v>
      </c>
      <c r="Q136" s="57" t="s">
        <v>706</v>
      </c>
    </row>
    <row r="137" s="50" customFormat="true" ht="14.25" hidden="false" customHeight="true" outlineLevel="0" collapsed="false">
      <c r="A137" s="50" t="s">
        <v>847</v>
      </c>
      <c r="B137" s="57" t="s">
        <v>112</v>
      </c>
      <c r="C137" s="57" t="s">
        <v>563</v>
      </c>
      <c r="D137" s="58" t="n">
        <v>46056.6513888889</v>
      </c>
      <c r="E137" s="58" t="n">
        <v>46056.6513888889</v>
      </c>
      <c r="F137" s="58" t="n">
        <v>46056.75</v>
      </c>
      <c r="G137" s="59" t="n">
        <f aca="false">F137-E137</f>
        <v>0.098611111099537</v>
      </c>
      <c r="H137" s="57" t="s">
        <v>252</v>
      </c>
      <c r="I137" s="57"/>
      <c r="J137" s="57" t="s">
        <v>253</v>
      </c>
      <c r="K137" s="57" t="s">
        <v>266</v>
      </c>
      <c r="L137" s="57" t="s">
        <v>851</v>
      </c>
      <c r="M137" s="57" t="s">
        <v>255</v>
      </c>
      <c r="N137" s="57" t="s">
        <v>256</v>
      </c>
      <c r="O137" s="61" t="s">
        <v>852</v>
      </c>
      <c r="P137" s="57" t="s">
        <v>891</v>
      </c>
      <c r="Q137" s="57" t="s">
        <v>706</v>
      </c>
    </row>
    <row r="138" s="50" customFormat="true" ht="14.25" hidden="false" customHeight="true" outlineLevel="0" collapsed="false">
      <c r="A138" s="50" t="s">
        <v>847</v>
      </c>
      <c r="B138" s="57" t="s">
        <v>112</v>
      </c>
      <c r="C138" s="57" t="s">
        <v>564</v>
      </c>
      <c r="D138" s="58" t="n">
        <v>46056.6513888889</v>
      </c>
      <c r="E138" s="58" t="n">
        <v>46056.6513888889</v>
      </c>
      <c r="F138" s="58" t="n">
        <v>46056.75</v>
      </c>
      <c r="G138" s="59" t="n">
        <f aca="false">F138-E138</f>
        <v>0.098611111099537</v>
      </c>
      <c r="H138" s="57" t="s">
        <v>252</v>
      </c>
      <c r="I138" s="57"/>
      <c r="J138" s="57" t="s">
        <v>253</v>
      </c>
      <c r="K138" s="57" t="s">
        <v>266</v>
      </c>
      <c r="L138" s="57" t="s">
        <v>851</v>
      </c>
      <c r="M138" s="57" t="s">
        <v>255</v>
      </c>
      <c r="N138" s="57" t="s">
        <v>256</v>
      </c>
      <c r="O138" s="61" t="s">
        <v>852</v>
      </c>
      <c r="P138" s="57" t="s">
        <v>892</v>
      </c>
      <c r="Q138" s="57" t="s">
        <v>706</v>
      </c>
    </row>
    <row r="139" s="50" customFormat="true" ht="14.25" hidden="false" customHeight="true" outlineLevel="0" collapsed="false">
      <c r="A139" s="50" t="s">
        <v>847</v>
      </c>
      <c r="B139" s="57" t="s">
        <v>112</v>
      </c>
      <c r="C139" s="57" t="s">
        <v>565</v>
      </c>
      <c r="D139" s="58" t="n">
        <v>46056.6513888889</v>
      </c>
      <c r="E139" s="58" t="n">
        <v>46056.6513888889</v>
      </c>
      <c r="F139" s="58" t="n">
        <v>46056.75</v>
      </c>
      <c r="G139" s="59" t="n">
        <f aca="false">F139-E139</f>
        <v>0.098611111099537</v>
      </c>
      <c r="H139" s="57" t="s">
        <v>252</v>
      </c>
      <c r="I139" s="57"/>
      <c r="J139" s="57" t="s">
        <v>253</v>
      </c>
      <c r="K139" s="57" t="s">
        <v>266</v>
      </c>
      <c r="L139" s="57" t="s">
        <v>851</v>
      </c>
      <c r="M139" s="57" t="s">
        <v>255</v>
      </c>
      <c r="N139" s="57" t="s">
        <v>256</v>
      </c>
      <c r="O139" s="61" t="s">
        <v>852</v>
      </c>
      <c r="P139" s="57" t="s">
        <v>893</v>
      </c>
      <c r="Q139" s="57" t="s">
        <v>706</v>
      </c>
    </row>
    <row r="140" s="50" customFormat="true" ht="14.25" hidden="false" customHeight="true" outlineLevel="0" collapsed="false">
      <c r="A140" s="50" t="s">
        <v>264</v>
      </c>
      <c r="B140" s="57" t="s">
        <v>264</v>
      </c>
      <c r="C140" s="57" t="s">
        <v>265</v>
      </c>
      <c r="D140" s="58" t="n">
        <v>46056.8763888889</v>
      </c>
      <c r="E140" s="58" t="n">
        <v>46056.8763888889</v>
      </c>
      <c r="F140" s="58" t="n">
        <v>46057.2993055556</v>
      </c>
      <c r="G140" s="59" t="n">
        <f aca="false">F140-E140</f>
        <v>0.422916666701389</v>
      </c>
      <c r="H140" s="57" t="s">
        <v>252</v>
      </c>
      <c r="I140" s="57"/>
      <c r="J140" s="57" t="s">
        <v>253</v>
      </c>
      <c r="K140" s="57" t="s">
        <v>266</v>
      </c>
      <c r="L140" s="57" t="s">
        <v>894</v>
      </c>
      <c r="M140" s="57" t="s">
        <v>255</v>
      </c>
      <c r="N140" s="57" t="s">
        <v>268</v>
      </c>
      <c r="O140" s="57" t="s">
        <v>257</v>
      </c>
      <c r="P140" s="57" t="s">
        <v>895</v>
      </c>
      <c r="Q140" s="57" t="s">
        <v>706</v>
      </c>
    </row>
    <row r="141" s="50" customFormat="true" ht="14.25" hidden="false" customHeight="true" outlineLevel="0" collapsed="false">
      <c r="A141" s="50" t="s">
        <v>271</v>
      </c>
      <c r="B141" s="57" t="s">
        <v>271</v>
      </c>
      <c r="C141" s="57" t="s">
        <v>265</v>
      </c>
      <c r="D141" s="58" t="n">
        <v>46056.8763888889</v>
      </c>
      <c r="E141" s="58" t="n">
        <v>46056.8763888889</v>
      </c>
      <c r="F141" s="58" t="n">
        <v>46057.2993055556</v>
      </c>
      <c r="G141" s="59" t="n">
        <f aca="false">F141-E141</f>
        <v>0.422916666701389</v>
      </c>
      <c r="H141" s="57" t="s">
        <v>252</v>
      </c>
      <c r="I141" s="57"/>
      <c r="J141" s="57" t="s">
        <v>253</v>
      </c>
      <c r="K141" s="57" t="s">
        <v>266</v>
      </c>
      <c r="L141" s="57" t="s">
        <v>894</v>
      </c>
      <c r="M141" s="57" t="s">
        <v>255</v>
      </c>
      <c r="N141" s="57" t="s">
        <v>268</v>
      </c>
      <c r="O141" s="57" t="s">
        <v>257</v>
      </c>
      <c r="P141" s="57" t="s">
        <v>896</v>
      </c>
      <c r="Q141" s="57" t="s">
        <v>706</v>
      </c>
    </row>
    <row r="142" s="50" customFormat="true" ht="14.25" hidden="false" customHeight="true" outlineLevel="0" collapsed="false">
      <c r="A142" s="50" t="s">
        <v>272</v>
      </c>
      <c r="B142" s="57" t="s">
        <v>272</v>
      </c>
      <c r="C142" s="57" t="s">
        <v>265</v>
      </c>
      <c r="D142" s="58" t="n">
        <v>46056.8763888889</v>
      </c>
      <c r="E142" s="58" t="n">
        <v>46056.8763888889</v>
      </c>
      <c r="F142" s="58" t="n">
        <v>46057.2993055556</v>
      </c>
      <c r="G142" s="59" t="n">
        <f aca="false">F142-E142</f>
        <v>0.422916666701389</v>
      </c>
      <c r="H142" s="57" t="s">
        <v>252</v>
      </c>
      <c r="I142" s="57"/>
      <c r="J142" s="57" t="s">
        <v>253</v>
      </c>
      <c r="K142" s="57" t="s">
        <v>266</v>
      </c>
      <c r="L142" s="57" t="s">
        <v>894</v>
      </c>
      <c r="M142" s="57" t="s">
        <v>255</v>
      </c>
      <c r="N142" s="57" t="s">
        <v>268</v>
      </c>
      <c r="O142" s="57" t="s">
        <v>257</v>
      </c>
      <c r="P142" s="57" t="s">
        <v>897</v>
      </c>
      <c r="Q142" s="57" t="s">
        <v>706</v>
      </c>
    </row>
    <row r="143" s="50" customFormat="true" ht="14.25" hidden="false" customHeight="true" outlineLevel="0" collapsed="false">
      <c r="A143" s="50" t="s">
        <v>273</v>
      </c>
      <c r="B143" s="57" t="s">
        <v>273</v>
      </c>
      <c r="C143" s="57" t="s">
        <v>265</v>
      </c>
      <c r="D143" s="58" t="n">
        <v>46056.8763888889</v>
      </c>
      <c r="E143" s="58" t="n">
        <v>46056.8763888889</v>
      </c>
      <c r="F143" s="58" t="n">
        <v>46057.2993055556</v>
      </c>
      <c r="G143" s="59" t="n">
        <f aca="false">F143-E143</f>
        <v>0.422916666701389</v>
      </c>
      <c r="H143" s="57" t="s">
        <v>252</v>
      </c>
      <c r="I143" s="57"/>
      <c r="J143" s="57" t="s">
        <v>253</v>
      </c>
      <c r="K143" s="57" t="s">
        <v>266</v>
      </c>
      <c r="L143" s="57" t="s">
        <v>894</v>
      </c>
      <c r="M143" s="57" t="s">
        <v>255</v>
      </c>
      <c r="N143" s="57" t="s">
        <v>268</v>
      </c>
      <c r="O143" s="57" t="s">
        <v>257</v>
      </c>
      <c r="P143" s="57" t="s">
        <v>898</v>
      </c>
      <c r="Q143" s="57" t="s">
        <v>706</v>
      </c>
    </row>
    <row r="144" s="50" customFormat="true" ht="14.25" hidden="false" customHeight="true" outlineLevel="0" collapsed="false">
      <c r="A144" s="50" t="s">
        <v>358</v>
      </c>
      <c r="B144" s="57" t="s">
        <v>358</v>
      </c>
      <c r="C144" s="57" t="s">
        <v>324</v>
      </c>
      <c r="D144" s="58" t="n">
        <v>46057.2722222222</v>
      </c>
      <c r="E144" s="58" t="n">
        <v>46057.2722222222</v>
      </c>
      <c r="F144" s="58" t="n">
        <v>46057.3541666667</v>
      </c>
      <c r="G144" s="59" t="n">
        <f aca="false">F144-E144</f>
        <v>0.0819444445023148</v>
      </c>
      <c r="H144" s="57" t="s">
        <v>252</v>
      </c>
      <c r="I144" s="57"/>
      <c r="J144" s="57" t="s">
        <v>253</v>
      </c>
      <c r="K144" s="57" t="s">
        <v>266</v>
      </c>
      <c r="L144" s="57" t="s">
        <v>894</v>
      </c>
      <c r="M144" s="57" t="s">
        <v>255</v>
      </c>
      <c r="N144" s="57" t="s">
        <v>268</v>
      </c>
      <c r="O144" s="57" t="s">
        <v>257</v>
      </c>
      <c r="P144" s="57" t="s">
        <v>899</v>
      </c>
      <c r="Q144" s="57" t="s">
        <v>706</v>
      </c>
    </row>
    <row r="145" s="50" customFormat="true" ht="14.25" hidden="false" customHeight="true" outlineLevel="0" collapsed="false">
      <c r="A145" s="50" t="s">
        <v>358</v>
      </c>
      <c r="B145" s="57" t="s">
        <v>358</v>
      </c>
      <c r="C145" s="57" t="s">
        <v>326</v>
      </c>
      <c r="D145" s="58" t="n">
        <v>46057.2722222222</v>
      </c>
      <c r="E145" s="58" t="n">
        <v>46057.2722222222</v>
      </c>
      <c r="F145" s="58" t="n">
        <v>46057.3541666667</v>
      </c>
      <c r="G145" s="59" t="n">
        <f aca="false">F145-E145</f>
        <v>0.0819444445023148</v>
      </c>
      <c r="H145" s="57" t="s">
        <v>252</v>
      </c>
      <c r="I145" s="57"/>
      <c r="J145" s="57" t="s">
        <v>253</v>
      </c>
      <c r="K145" s="57" t="s">
        <v>266</v>
      </c>
      <c r="L145" s="57" t="s">
        <v>894</v>
      </c>
      <c r="M145" s="57" t="s">
        <v>255</v>
      </c>
      <c r="N145" s="57" t="s">
        <v>268</v>
      </c>
      <c r="O145" s="57" t="s">
        <v>257</v>
      </c>
      <c r="P145" s="57" t="s">
        <v>900</v>
      </c>
      <c r="Q145" s="57" t="s">
        <v>706</v>
      </c>
    </row>
    <row r="146" s="50" customFormat="true" ht="14.25" hidden="false" customHeight="true" outlineLevel="0" collapsed="false">
      <c r="A146" s="50" t="s">
        <v>358</v>
      </c>
      <c r="B146" s="57" t="s">
        <v>358</v>
      </c>
      <c r="C146" s="57" t="s">
        <v>327</v>
      </c>
      <c r="D146" s="58" t="n">
        <v>46057.2722222222</v>
      </c>
      <c r="E146" s="58" t="n">
        <v>46057.2722222222</v>
      </c>
      <c r="F146" s="58" t="n">
        <v>46057.3541666667</v>
      </c>
      <c r="G146" s="59" t="n">
        <f aca="false">F146-E146</f>
        <v>0.0819444445023148</v>
      </c>
      <c r="H146" s="57" t="s">
        <v>252</v>
      </c>
      <c r="I146" s="57"/>
      <c r="J146" s="57" t="s">
        <v>253</v>
      </c>
      <c r="K146" s="57" t="s">
        <v>266</v>
      </c>
      <c r="L146" s="57" t="s">
        <v>894</v>
      </c>
      <c r="M146" s="57" t="s">
        <v>255</v>
      </c>
      <c r="N146" s="57" t="s">
        <v>268</v>
      </c>
      <c r="O146" s="57" t="s">
        <v>257</v>
      </c>
      <c r="P146" s="57" t="s">
        <v>901</v>
      </c>
      <c r="Q146" s="57" t="s">
        <v>706</v>
      </c>
    </row>
    <row r="147" s="50" customFormat="true" ht="14.25" hidden="false" customHeight="true" outlineLevel="0" collapsed="false">
      <c r="A147" s="50" t="s">
        <v>358</v>
      </c>
      <c r="B147" s="57" t="s">
        <v>358</v>
      </c>
      <c r="C147" s="57" t="s">
        <v>328</v>
      </c>
      <c r="D147" s="58" t="n">
        <v>46057.2722222222</v>
      </c>
      <c r="E147" s="58" t="n">
        <v>46057.2722222222</v>
      </c>
      <c r="F147" s="58" t="n">
        <v>46057.3541666667</v>
      </c>
      <c r="G147" s="59" t="n">
        <f aca="false">F147-E147</f>
        <v>0.0819444445023148</v>
      </c>
      <c r="H147" s="57" t="s">
        <v>252</v>
      </c>
      <c r="I147" s="57"/>
      <c r="J147" s="57" t="s">
        <v>253</v>
      </c>
      <c r="K147" s="57" t="s">
        <v>266</v>
      </c>
      <c r="L147" s="57" t="s">
        <v>894</v>
      </c>
      <c r="M147" s="57" t="s">
        <v>255</v>
      </c>
      <c r="N147" s="57" t="s">
        <v>268</v>
      </c>
      <c r="O147" s="57" t="s">
        <v>257</v>
      </c>
      <c r="P147" s="57" t="s">
        <v>902</v>
      </c>
      <c r="Q147" s="57" t="s">
        <v>706</v>
      </c>
    </row>
    <row r="148" s="50" customFormat="true" ht="14.25" hidden="false" customHeight="true" outlineLevel="0" collapsed="false">
      <c r="A148" s="50" t="s">
        <v>361</v>
      </c>
      <c r="B148" s="57" t="s">
        <v>361</v>
      </c>
      <c r="C148" s="57" t="s">
        <v>324</v>
      </c>
      <c r="D148" s="58" t="n">
        <v>46057.2722222222</v>
      </c>
      <c r="E148" s="58" t="n">
        <v>46057.2722222222</v>
      </c>
      <c r="F148" s="58" t="n">
        <v>46057.3541666667</v>
      </c>
      <c r="G148" s="59" t="n">
        <f aca="false">F148-E148</f>
        <v>0.0819444445023148</v>
      </c>
      <c r="H148" s="57" t="s">
        <v>252</v>
      </c>
      <c r="I148" s="57"/>
      <c r="J148" s="57" t="s">
        <v>253</v>
      </c>
      <c r="K148" s="57" t="s">
        <v>266</v>
      </c>
      <c r="L148" s="57" t="s">
        <v>894</v>
      </c>
      <c r="M148" s="57" t="s">
        <v>255</v>
      </c>
      <c r="N148" s="57" t="s">
        <v>268</v>
      </c>
      <c r="O148" s="57" t="s">
        <v>257</v>
      </c>
      <c r="P148" s="57" t="s">
        <v>903</v>
      </c>
      <c r="Q148" s="57" t="s">
        <v>706</v>
      </c>
    </row>
    <row r="149" s="50" customFormat="true" ht="14.25" hidden="false" customHeight="true" outlineLevel="0" collapsed="false">
      <c r="A149" s="50" t="s">
        <v>361</v>
      </c>
      <c r="B149" s="57" t="s">
        <v>361</v>
      </c>
      <c r="C149" s="57" t="s">
        <v>326</v>
      </c>
      <c r="D149" s="58" t="n">
        <v>46057.2722222222</v>
      </c>
      <c r="E149" s="58" t="n">
        <v>46057.2722222222</v>
      </c>
      <c r="F149" s="58" t="n">
        <v>46057.3541666667</v>
      </c>
      <c r="G149" s="59" t="n">
        <f aca="false">F149-E149</f>
        <v>0.0819444445023148</v>
      </c>
      <c r="H149" s="57" t="s">
        <v>252</v>
      </c>
      <c r="I149" s="57"/>
      <c r="J149" s="57" t="s">
        <v>253</v>
      </c>
      <c r="K149" s="57" t="s">
        <v>266</v>
      </c>
      <c r="L149" s="57" t="s">
        <v>894</v>
      </c>
      <c r="M149" s="57" t="s">
        <v>255</v>
      </c>
      <c r="N149" s="57" t="s">
        <v>268</v>
      </c>
      <c r="O149" s="57" t="s">
        <v>257</v>
      </c>
      <c r="P149" s="57" t="s">
        <v>904</v>
      </c>
      <c r="Q149" s="57" t="s">
        <v>706</v>
      </c>
    </row>
    <row r="150" s="50" customFormat="true" ht="14.25" hidden="false" customHeight="true" outlineLevel="0" collapsed="false">
      <c r="A150" s="50" t="s">
        <v>361</v>
      </c>
      <c r="B150" s="57" t="s">
        <v>361</v>
      </c>
      <c r="C150" s="57" t="s">
        <v>327</v>
      </c>
      <c r="D150" s="58" t="n">
        <v>46057.2722222222</v>
      </c>
      <c r="E150" s="58" t="n">
        <v>46057.2722222222</v>
      </c>
      <c r="F150" s="58" t="n">
        <v>46057.3541666667</v>
      </c>
      <c r="G150" s="59" t="n">
        <f aca="false">F150-E150</f>
        <v>0.0819444445023148</v>
      </c>
      <c r="H150" s="57" t="s">
        <v>252</v>
      </c>
      <c r="I150" s="57"/>
      <c r="J150" s="57" t="s">
        <v>253</v>
      </c>
      <c r="K150" s="57" t="s">
        <v>266</v>
      </c>
      <c r="L150" s="57" t="s">
        <v>894</v>
      </c>
      <c r="M150" s="57" t="s">
        <v>255</v>
      </c>
      <c r="N150" s="57" t="s">
        <v>268</v>
      </c>
      <c r="O150" s="57" t="s">
        <v>257</v>
      </c>
      <c r="P150" s="57" t="s">
        <v>905</v>
      </c>
      <c r="Q150" s="57" t="s">
        <v>706</v>
      </c>
    </row>
    <row r="151" s="50" customFormat="true" ht="14.25" hidden="false" customHeight="true" outlineLevel="0" collapsed="false">
      <c r="A151" s="50" t="s">
        <v>361</v>
      </c>
      <c r="B151" s="57" t="s">
        <v>361</v>
      </c>
      <c r="C151" s="57" t="s">
        <v>328</v>
      </c>
      <c r="D151" s="58" t="n">
        <v>46057.2722222222</v>
      </c>
      <c r="E151" s="58" t="n">
        <v>46057.2722222222</v>
      </c>
      <c r="F151" s="58" t="n">
        <v>46057.3541666667</v>
      </c>
      <c r="G151" s="59" t="n">
        <f aca="false">F151-E151</f>
        <v>0.0819444445023148</v>
      </c>
      <c r="H151" s="57" t="s">
        <v>252</v>
      </c>
      <c r="I151" s="57"/>
      <c r="J151" s="57" t="s">
        <v>253</v>
      </c>
      <c r="K151" s="57" t="s">
        <v>266</v>
      </c>
      <c r="L151" s="57" t="s">
        <v>894</v>
      </c>
      <c r="M151" s="57" t="s">
        <v>255</v>
      </c>
      <c r="N151" s="57" t="s">
        <v>268</v>
      </c>
      <c r="O151" s="57" t="s">
        <v>257</v>
      </c>
      <c r="P151" s="57" t="s">
        <v>906</v>
      </c>
      <c r="Q151" s="57" t="s">
        <v>706</v>
      </c>
    </row>
    <row r="152" s="50" customFormat="true" ht="14.25" hidden="false" customHeight="true" outlineLevel="0" collapsed="false">
      <c r="A152" s="50" t="s">
        <v>362</v>
      </c>
      <c r="B152" s="57" t="s">
        <v>362</v>
      </c>
      <c r="C152" s="57" t="s">
        <v>363</v>
      </c>
      <c r="D152" s="58" t="n">
        <v>46057.2722222222</v>
      </c>
      <c r="E152" s="58" t="n">
        <v>46057.2722222222</v>
      </c>
      <c r="F152" s="58" t="n">
        <v>46057.3541666667</v>
      </c>
      <c r="G152" s="59" t="n">
        <f aca="false">F152-E152</f>
        <v>0.0819444445023148</v>
      </c>
      <c r="H152" s="57" t="s">
        <v>252</v>
      </c>
      <c r="I152" s="57"/>
      <c r="J152" s="57" t="s">
        <v>253</v>
      </c>
      <c r="K152" s="57" t="s">
        <v>266</v>
      </c>
      <c r="L152" s="57" t="s">
        <v>894</v>
      </c>
      <c r="M152" s="57" t="s">
        <v>255</v>
      </c>
      <c r="N152" s="57" t="s">
        <v>268</v>
      </c>
      <c r="O152" s="57" t="s">
        <v>257</v>
      </c>
      <c r="P152" s="57" t="s">
        <v>907</v>
      </c>
      <c r="Q152" s="57" t="s">
        <v>706</v>
      </c>
    </row>
    <row r="153" s="50" customFormat="true" ht="14.25" hidden="false" customHeight="true" outlineLevel="0" collapsed="false">
      <c r="A153" s="50" t="s">
        <v>362</v>
      </c>
      <c r="B153" s="57" t="s">
        <v>362</v>
      </c>
      <c r="C153" s="57" t="s">
        <v>265</v>
      </c>
      <c r="D153" s="58" t="n">
        <v>46057.2722222222</v>
      </c>
      <c r="E153" s="58" t="n">
        <v>46057.2722222222</v>
      </c>
      <c r="F153" s="58" t="n">
        <v>46057.3541666667</v>
      </c>
      <c r="G153" s="59" t="n">
        <f aca="false">F153-E153</f>
        <v>0.0819444445023148</v>
      </c>
      <c r="H153" s="57" t="s">
        <v>252</v>
      </c>
      <c r="I153" s="57"/>
      <c r="J153" s="57" t="s">
        <v>253</v>
      </c>
      <c r="K153" s="57" t="s">
        <v>266</v>
      </c>
      <c r="L153" s="57" t="s">
        <v>894</v>
      </c>
      <c r="M153" s="57" t="s">
        <v>255</v>
      </c>
      <c r="N153" s="57" t="s">
        <v>268</v>
      </c>
      <c r="O153" s="57" t="s">
        <v>257</v>
      </c>
      <c r="P153" s="57" t="s">
        <v>908</v>
      </c>
      <c r="Q153" s="57" t="s">
        <v>706</v>
      </c>
    </row>
    <row r="154" s="50" customFormat="true" ht="14.25" hidden="false" customHeight="true" outlineLevel="0" collapsed="false">
      <c r="A154" s="50" t="s">
        <v>367</v>
      </c>
      <c r="B154" s="57" t="s">
        <v>367</v>
      </c>
      <c r="C154" s="57" t="s">
        <v>324</v>
      </c>
      <c r="D154" s="58" t="n">
        <v>46057.2722222222</v>
      </c>
      <c r="E154" s="58" t="n">
        <v>46057.2722222222</v>
      </c>
      <c r="F154" s="58" t="n">
        <v>46057.3541666667</v>
      </c>
      <c r="G154" s="59" t="n">
        <f aca="false">F154-E154</f>
        <v>0.0819444445023148</v>
      </c>
      <c r="H154" s="57" t="s">
        <v>252</v>
      </c>
      <c r="I154" s="57"/>
      <c r="J154" s="57" t="s">
        <v>253</v>
      </c>
      <c r="K154" s="57" t="s">
        <v>266</v>
      </c>
      <c r="L154" s="57" t="s">
        <v>909</v>
      </c>
      <c r="M154" s="57" t="s">
        <v>255</v>
      </c>
      <c r="N154" s="57" t="s">
        <v>268</v>
      </c>
      <c r="O154" s="57" t="s">
        <v>257</v>
      </c>
      <c r="P154" s="57" t="s">
        <v>910</v>
      </c>
      <c r="Q154" s="57" t="s">
        <v>706</v>
      </c>
    </row>
    <row r="155" s="50" customFormat="true" ht="14.25" hidden="false" customHeight="true" outlineLevel="0" collapsed="false">
      <c r="A155" s="50" t="s">
        <v>367</v>
      </c>
      <c r="B155" s="57" t="s">
        <v>367</v>
      </c>
      <c r="C155" s="57" t="s">
        <v>328</v>
      </c>
      <c r="D155" s="58" t="n">
        <v>46057.2722222222</v>
      </c>
      <c r="E155" s="58" t="n">
        <v>46057.2722222222</v>
      </c>
      <c r="F155" s="58" t="n">
        <v>46057.3541666667</v>
      </c>
      <c r="G155" s="59" t="n">
        <f aca="false">F155-E155</f>
        <v>0.0819444445023148</v>
      </c>
      <c r="H155" s="57" t="s">
        <v>252</v>
      </c>
      <c r="I155" s="57"/>
      <c r="J155" s="57" t="s">
        <v>253</v>
      </c>
      <c r="K155" s="57" t="s">
        <v>266</v>
      </c>
      <c r="L155" s="57" t="s">
        <v>909</v>
      </c>
      <c r="M155" s="57" t="s">
        <v>255</v>
      </c>
      <c r="N155" s="57" t="s">
        <v>268</v>
      </c>
      <c r="O155" s="57" t="s">
        <v>257</v>
      </c>
      <c r="P155" s="57" t="s">
        <v>911</v>
      </c>
      <c r="Q155" s="57" t="s">
        <v>706</v>
      </c>
    </row>
    <row r="156" s="50" customFormat="true" ht="14.25" hidden="false" customHeight="true" outlineLevel="0" collapsed="false">
      <c r="A156" s="50" t="s">
        <v>367</v>
      </c>
      <c r="B156" s="57" t="s">
        <v>367</v>
      </c>
      <c r="C156" s="57" t="s">
        <v>327</v>
      </c>
      <c r="D156" s="58" t="n">
        <v>46057.2722222222</v>
      </c>
      <c r="E156" s="58" t="n">
        <v>46057.2722222222</v>
      </c>
      <c r="F156" s="58" t="n">
        <v>46057.3541666667</v>
      </c>
      <c r="G156" s="59" t="n">
        <f aca="false">F156-E156</f>
        <v>0.0819444445023148</v>
      </c>
      <c r="H156" s="57" t="s">
        <v>252</v>
      </c>
      <c r="I156" s="57"/>
      <c r="J156" s="57" t="s">
        <v>253</v>
      </c>
      <c r="K156" s="57" t="s">
        <v>266</v>
      </c>
      <c r="L156" s="57" t="s">
        <v>909</v>
      </c>
      <c r="M156" s="57" t="s">
        <v>255</v>
      </c>
      <c r="N156" s="57" t="s">
        <v>268</v>
      </c>
      <c r="O156" s="57" t="s">
        <v>257</v>
      </c>
      <c r="P156" s="57" t="s">
        <v>912</v>
      </c>
      <c r="Q156" s="57" t="s">
        <v>706</v>
      </c>
    </row>
    <row r="157" s="50" customFormat="true" ht="14.25" hidden="false" customHeight="true" outlineLevel="0" collapsed="false">
      <c r="A157" s="50" t="s">
        <v>367</v>
      </c>
      <c r="B157" s="57" t="s">
        <v>367</v>
      </c>
      <c r="C157" s="57" t="s">
        <v>265</v>
      </c>
      <c r="D157" s="58" t="n">
        <v>46057.2722222222</v>
      </c>
      <c r="E157" s="58" t="n">
        <v>46057.2722222222</v>
      </c>
      <c r="F157" s="58" t="n">
        <v>46057.3541666667</v>
      </c>
      <c r="G157" s="59" t="n">
        <f aca="false">F157-E157</f>
        <v>0.0819444445023148</v>
      </c>
      <c r="H157" s="57" t="s">
        <v>252</v>
      </c>
      <c r="I157" s="57"/>
      <c r="J157" s="57" t="s">
        <v>253</v>
      </c>
      <c r="K157" s="57" t="s">
        <v>266</v>
      </c>
      <c r="L157" s="57" t="s">
        <v>909</v>
      </c>
      <c r="M157" s="57" t="s">
        <v>255</v>
      </c>
      <c r="N157" s="57" t="s">
        <v>268</v>
      </c>
      <c r="O157" s="57" t="s">
        <v>257</v>
      </c>
      <c r="P157" s="57" t="s">
        <v>913</v>
      </c>
      <c r="Q157" s="57" t="s">
        <v>706</v>
      </c>
    </row>
    <row r="158" s="50" customFormat="true" ht="14.25" hidden="false" customHeight="true" outlineLevel="0" collapsed="false">
      <c r="A158" s="50" t="s">
        <v>460</v>
      </c>
      <c r="B158" s="57" t="s">
        <v>460</v>
      </c>
      <c r="C158" s="57" t="s">
        <v>328</v>
      </c>
      <c r="D158" s="58" t="n">
        <v>46057.2722222222</v>
      </c>
      <c r="E158" s="58" t="n">
        <v>46057.2722222222</v>
      </c>
      <c r="F158" s="58" t="n">
        <v>46057.3541666667</v>
      </c>
      <c r="G158" s="59" t="n">
        <f aca="false">F158-E158</f>
        <v>0.0819444445023148</v>
      </c>
      <c r="H158" s="57" t="s">
        <v>252</v>
      </c>
      <c r="I158" s="57"/>
      <c r="J158" s="57" t="s">
        <v>253</v>
      </c>
      <c r="K158" s="57" t="s">
        <v>266</v>
      </c>
      <c r="L158" s="57" t="s">
        <v>909</v>
      </c>
      <c r="M158" s="57" t="s">
        <v>255</v>
      </c>
      <c r="N158" s="57" t="s">
        <v>268</v>
      </c>
      <c r="O158" s="57" t="s">
        <v>257</v>
      </c>
      <c r="P158" s="57" t="s">
        <v>914</v>
      </c>
      <c r="Q158" s="57" t="s">
        <v>706</v>
      </c>
    </row>
    <row r="159" s="50" customFormat="true" ht="14.25" hidden="false" customHeight="true" outlineLevel="0" collapsed="false">
      <c r="A159" s="50" t="s">
        <v>460</v>
      </c>
      <c r="B159" s="57" t="s">
        <v>460</v>
      </c>
      <c r="C159" s="57" t="s">
        <v>326</v>
      </c>
      <c r="D159" s="58" t="n">
        <v>46057.2722222222</v>
      </c>
      <c r="E159" s="58" t="n">
        <v>46057.2722222222</v>
      </c>
      <c r="F159" s="58" t="n">
        <v>46057.3541666667</v>
      </c>
      <c r="G159" s="59" t="n">
        <f aca="false">F159-E159</f>
        <v>0.0819444445023148</v>
      </c>
      <c r="H159" s="57" t="s">
        <v>252</v>
      </c>
      <c r="I159" s="57"/>
      <c r="J159" s="57" t="s">
        <v>253</v>
      </c>
      <c r="K159" s="57" t="s">
        <v>266</v>
      </c>
      <c r="L159" s="57" t="s">
        <v>909</v>
      </c>
      <c r="M159" s="57" t="s">
        <v>255</v>
      </c>
      <c r="N159" s="57" t="s">
        <v>268</v>
      </c>
      <c r="O159" s="57" t="s">
        <v>257</v>
      </c>
      <c r="P159" s="57" t="s">
        <v>915</v>
      </c>
      <c r="Q159" s="57" t="s">
        <v>706</v>
      </c>
    </row>
    <row r="160" s="50" customFormat="true" ht="14.25" hidden="false" customHeight="true" outlineLevel="0" collapsed="false">
      <c r="A160" s="50" t="s">
        <v>460</v>
      </c>
      <c r="B160" s="57" t="s">
        <v>460</v>
      </c>
      <c r="C160" s="57" t="s">
        <v>327</v>
      </c>
      <c r="D160" s="58" t="n">
        <v>46057.2722222222</v>
      </c>
      <c r="E160" s="58" t="n">
        <v>46057.2722222222</v>
      </c>
      <c r="F160" s="58" t="n">
        <v>46057.3541666667</v>
      </c>
      <c r="G160" s="59" t="n">
        <f aca="false">F160-E160</f>
        <v>0.0819444445023148</v>
      </c>
      <c r="H160" s="57" t="s">
        <v>252</v>
      </c>
      <c r="I160" s="57"/>
      <c r="J160" s="57" t="s">
        <v>253</v>
      </c>
      <c r="K160" s="57" t="s">
        <v>266</v>
      </c>
      <c r="L160" s="57" t="s">
        <v>909</v>
      </c>
      <c r="M160" s="57" t="s">
        <v>255</v>
      </c>
      <c r="N160" s="57" t="s">
        <v>268</v>
      </c>
      <c r="O160" s="57" t="s">
        <v>257</v>
      </c>
      <c r="P160" s="57" t="s">
        <v>916</v>
      </c>
      <c r="Q160" s="57" t="s">
        <v>706</v>
      </c>
    </row>
    <row r="161" s="50" customFormat="true" ht="14.25" hidden="false" customHeight="true" outlineLevel="0" collapsed="false">
      <c r="A161" s="50" t="s">
        <v>460</v>
      </c>
      <c r="B161" s="57" t="s">
        <v>460</v>
      </c>
      <c r="C161" s="57" t="s">
        <v>324</v>
      </c>
      <c r="D161" s="58" t="n">
        <v>46057.2722222222</v>
      </c>
      <c r="E161" s="58" t="n">
        <v>46057.2722222222</v>
      </c>
      <c r="F161" s="58" t="n">
        <v>46057.3541666667</v>
      </c>
      <c r="G161" s="59" t="n">
        <f aca="false">F161-E161</f>
        <v>0.0819444445023148</v>
      </c>
      <c r="H161" s="57" t="s">
        <v>252</v>
      </c>
      <c r="I161" s="57"/>
      <c r="J161" s="57" t="s">
        <v>253</v>
      </c>
      <c r="K161" s="57" t="s">
        <v>266</v>
      </c>
      <c r="L161" s="57" t="s">
        <v>909</v>
      </c>
      <c r="M161" s="57" t="s">
        <v>255</v>
      </c>
      <c r="N161" s="57" t="s">
        <v>268</v>
      </c>
      <c r="O161" s="57" t="s">
        <v>257</v>
      </c>
      <c r="P161" s="57" t="s">
        <v>917</v>
      </c>
      <c r="Q161" s="57" t="s">
        <v>706</v>
      </c>
    </row>
    <row r="162" s="50" customFormat="true" ht="14.25" hidden="false" customHeight="true" outlineLevel="0" collapsed="false">
      <c r="A162" s="50" t="s">
        <v>461</v>
      </c>
      <c r="B162" s="57" t="s">
        <v>461</v>
      </c>
      <c r="C162" s="57" t="s">
        <v>324</v>
      </c>
      <c r="D162" s="58" t="n">
        <v>46057.2722222222</v>
      </c>
      <c r="E162" s="58" t="n">
        <v>46057.2722222222</v>
      </c>
      <c r="F162" s="58" t="n">
        <v>46057.3541666667</v>
      </c>
      <c r="G162" s="59" t="n">
        <f aca="false">F162-E162</f>
        <v>0.0819444445023148</v>
      </c>
      <c r="H162" s="57" t="s">
        <v>252</v>
      </c>
      <c r="I162" s="57"/>
      <c r="J162" s="57" t="s">
        <v>253</v>
      </c>
      <c r="K162" s="57" t="s">
        <v>266</v>
      </c>
      <c r="L162" s="57" t="s">
        <v>909</v>
      </c>
      <c r="M162" s="57" t="s">
        <v>255</v>
      </c>
      <c r="N162" s="57" t="s">
        <v>268</v>
      </c>
      <c r="O162" s="57" t="s">
        <v>257</v>
      </c>
      <c r="P162" s="57" t="s">
        <v>918</v>
      </c>
      <c r="Q162" s="57" t="s">
        <v>706</v>
      </c>
    </row>
    <row r="163" s="50" customFormat="true" ht="14.25" hidden="false" customHeight="true" outlineLevel="0" collapsed="false">
      <c r="A163" s="50" t="s">
        <v>461</v>
      </c>
      <c r="B163" s="57" t="s">
        <v>461</v>
      </c>
      <c r="C163" s="57" t="s">
        <v>326</v>
      </c>
      <c r="D163" s="58" t="n">
        <v>46057.2722222222</v>
      </c>
      <c r="E163" s="58" t="n">
        <v>46057.2722222222</v>
      </c>
      <c r="F163" s="58" t="n">
        <v>46057.3541666667</v>
      </c>
      <c r="G163" s="59" t="n">
        <f aca="false">F163-E163</f>
        <v>0.0819444445023148</v>
      </c>
      <c r="H163" s="57" t="s">
        <v>252</v>
      </c>
      <c r="I163" s="57"/>
      <c r="J163" s="57" t="s">
        <v>253</v>
      </c>
      <c r="K163" s="57" t="s">
        <v>266</v>
      </c>
      <c r="L163" s="57" t="s">
        <v>909</v>
      </c>
      <c r="M163" s="57" t="s">
        <v>255</v>
      </c>
      <c r="N163" s="57" t="s">
        <v>268</v>
      </c>
      <c r="O163" s="57" t="s">
        <v>257</v>
      </c>
      <c r="P163" s="57" t="s">
        <v>919</v>
      </c>
      <c r="Q163" s="57" t="s">
        <v>706</v>
      </c>
    </row>
    <row r="164" s="50" customFormat="true" ht="14.25" hidden="false" customHeight="true" outlineLevel="0" collapsed="false">
      <c r="A164" s="50" t="s">
        <v>264</v>
      </c>
      <c r="B164" s="57" t="s">
        <v>264</v>
      </c>
      <c r="C164" s="57" t="s">
        <v>265</v>
      </c>
      <c r="D164" s="58" t="n">
        <v>46057.6388888889</v>
      </c>
      <c r="E164" s="58" t="n">
        <v>46057.6388888889</v>
      </c>
      <c r="F164" s="58" t="n">
        <v>46057.6736111111</v>
      </c>
      <c r="G164" s="59" t="n">
        <f aca="false">F164-E164</f>
        <v>0.0347222221990741</v>
      </c>
      <c r="H164" s="57" t="s">
        <v>384</v>
      </c>
      <c r="I164" s="57"/>
      <c r="J164" s="57" t="s">
        <v>333</v>
      </c>
      <c r="K164" s="57" t="s">
        <v>334</v>
      </c>
      <c r="L164" s="57" t="s">
        <v>920</v>
      </c>
      <c r="M164" s="57" t="s">
        <v>386</v>
      </c>
      <c r="N164" s="57" t="s">
        <v>387</v>
      </c>
      <c r="O164" s="57" t="s">
        <v>921</v>
      </c>
      <c r="P164" s="57" t="s">
        <v>922</v>
      </c>
      <c r="Q164" s="57" t="s">
        <v>766</v>
      </c>
    </row>
    <row r="165" s="50" customFormat="true" ht="14.25" hidden="false" customHeight="true" outlineLevel="0" collapsed="false">
      <c r="A165" s="50" t="s">
        <v>271</v>
      </c>
      <c r="B165" s="57" t="s">
        <v>271</v>
      </c>
      <c r="C165" s="57" t="s">
        <v>265</v>
      </c>
      <c r="D165" s="58" t="n">
        <v>46057.6388888889</v>
      </c>
      <c r="E165" s="58" t="n">
        <v>46057.6388888889</v>
      </c>
      <c r="F165" s="58" t="n">
        <v>46057.6736111111</v>
      </c>
      <c r="G165" s="59" t="n">
        <f aca="false">F165-E165</f>
        <v>0.0347222221990741</v>
      </c>
      <c r="H165" s="57" t="s">
        <v>384</v>
      </c>
      <c r="I165" s="57"/>
      <c r="J165" s="57" t="s">
        <v>333</v>
      </c>
      <c r="K165" s="57" t="s">
        <v>334</v>
      </c>
      <c r="L165" s="57" t="s">
        <v>920</v>
      </c>
      <c r="M165" s="57" t="s">
        <v>386</v>
      </c>
      <c r="N165" s="57" t="s">
        <v>387</v>
      </c>
      <c r="O165" s="57" t="s">
        <v>921</v>
      </c>
      <c r="P165" s="57" t="s">
        <v>923</v>
      </c>
      <c r="Q165" s="57" t="s">
        <v>766</v>
      </c>
    </row>
    <row r="166" s="50" customFormat="true" ht="14.25" hidden="false" customHeight="true" outlineLevel="0" collapsed="false">
      <c r="A166" s="50" t="s">
        <v>273</v>
      </c>
      <c r="B166" s="57" t="s">
        <v>273</v>
      </c>
      <c r="C166" s="57" t="s">
        <v>265</v>
      </c>
      <c r="D166" s="58" t="n">
        <v>46057.6388888889</v>
      </c>
      <c r="E166" s="58" t="n">
        <v>46057.6388888889</v>
      </c>
      <c r="F166" s="58" t="n">
        <v>46057.6736111111</v>
      </c>
      <c r="G166" s="59" t="n">
        <f aca="false">F166-E166</f>
        <v>0.0347222221990741</v>
      </c>
      <c r="H166" s="57" t="s">
        <v>384</v>
      </c>
      <c r="I166" s="57"/>
      <c r="J166" s="57" t="s">
        <v>333</v>
      </c>
      <c r="K166" s="57" t="s">
        <v>334</v>
      </c>
      <c r="L166" s="57" t="s">
        <v>920</v>
      </c>
      <c r="M166" s="57" t="s">
        <v>386</v>
      </c>
      <c r="N166" s="57" t="s">
        <v>387</v>
      </c>
      <c r="O166" s="57" t="s">
        <v>921</v>
      </c>
      <c r="P166" s="57" t="s">
        <v>924</v>
      </c>
      <c r="Q166" s="57" t="s">
        <v>766</v>
      </c>
    </row>
    <row r="167" s="50" customFormat="true" ht="14.25" hidden="false" customHeight="true" outlineLevel="0" collapsed="false">
      <c r="A167" s="50" t="s">
        <v>429</v>
      </c>
      <c r="B167" s="57" t="s">
        <v>429</v>
      </c>
      <c r="C167" s="57" t="s">
        <v>261</v>
      </c>
      <c r="D167" s="58" t="n">
        <v>46057.6611111111</v>
      </c>
      <c r="E167" s="58" t="n">
        <v>46057.6611111111</v>
      </c>
      <c r="F167" s="58" t="n">
        <v>46057.6736111111</v>
      </c>
      <c r="G167" s="59" t="n">
        <f aca="false">F167-E167</f>
        <v>0.0125</v>
      </c>
      <c r="H167" s="57" t="s">
        <v>252</v>
      </c>
      <c r="I167" s="57" t="s">
        <v>284</v>
      </c>
      <c r="J167" s="57" t="s">
        <v>285</v>
      </c>
      <c r="K167" s="57" t="s">
        <v>286</v>
      </c>
      <c r="L167" s="57" t="s">
        <v>925</v>
      </c>
      <c r="M167" s="57" t="s">
        <v>288</v>
      </c>
      <c r="N167" s="57" t="s">
        <v>289</v>
      </c>
      <c r="O167" s="60" t="s">
        <v>926</v>
      </c>
      <c r="P167" s="57" t="s">
        <v>927</v>
      </c>
      <c r="Q167" s="57" t="s">
        <v>713</v>
      </c>
    </row>
    <row r="168" s="50" customFormat="true" ht="14.25" hidden="false" customHeight="true" outlineLevel="0" collapsed="false">
      <c r="A168" s="50" t="s">
        <v>429</v>
      </c>
      <c r="B168" s="57" t="s">
        <v>429</v>
      </c>
      <c r="C168" s="57" t="s">
        <v>259</v>
      </c>
      <c r="D168" s="58" t="n">
        <v>46057.6611111111</v>
      </c>
      <c r="E168" s="58" t="n">
        <v>46057.6611111111</v>
      </c>
      <c r="F168" s="58" t="n">
        <v>46057.6736111111</v>
      </c>
      <c r="G168" s="59" t="n">
        <f aca="false">F168-E168</f>
        <v>0.0125</v>
      </c>
      <c r="H168" s="57" t="s">
        <v>252</v>
      </c>
      <c r="I168" s="57" t="s">
        <v>284</v>
      </c>
      <c r="J168" s="57" t="s">
        <v>285</v>
      </c>
      <c r="K168" s="57" t="s">
        <v>286</v>
      </c>
      <c r="L168" s="57" t="s">
        <v>925</v>
      </c>
      <c r="M168" s="57" t="s">
        <v>288</v>
      </c>
      <c r="N168" s="57" t="s">
        <v>289</v>
      </c>
      <c r="O168" s="60" t="s">
        <v>926</v>
      </c>
      <c r="P168" s="57" t="s">
        <v>928</v>
      </c>
      <c r="Q168" s="57" t="s">
        <v>713</v>
      </c>
    </row>
    <row r="169" s="50" customFormat="true" ht="14.25" hidden="false" customHeight="true" outlineLevel="0" collapsed="false">
      <c r="A169" s="50" t="s">
        <v>429</v>
      </c>
      <c r="B169" s="57" t="s">
        <v>429</v>
      </c>
      <c r="C169" s="57" t="s">
        <v>260</v>
      </c>
      <c r="D169" s="58" t="n">
        <v>46057.6611111111</v>
      </c>
      <c r="E169" s="58" t="n">
        <v>46057.6611111111</v>
      </c>
      <c r="F169" s="58" t="n">
        <v>46057.6736111111</v>
      </c>
      <c r="G169" s="59" t="n">
        <f aca="false">F169-E169</f>
        <v>0.0125</v>
      </c>
      <c r="H169" s="57" t="s">
        <v>252</v>
      </c>
      <c r="I169" s="57" t="s">
        <v>284</v>
      </c>
      <c r="J169" s="57" t="s">
        <v>285</v>
      </c>
      <c r="K169" s="57" t="s">
        <v>286</v>
      </c>
      <c r="L169" s="57" t="s">
        <v>925</v>
      </c>
      <c r="M169" s="57" t="s">
        <v>288</v>
      </c>
      <c r="N169" s="57" t="s">
        <v>289</v>
      </c>
      <c r="O169" s="60" t="s">
        <v>926</v>
      </c>
      <c r="P169" s="57" t="s">
        <v>929</v>
      </c>
      <c r="Q169" s="57" t="s">
        <v>713</v>
      </c>
    </row>
    <row r="170" s="50" customFormat="true" ht="14.25" hidden="false" customHeight="true" outlineLevel="0" collapsed="false">
      <c r="A170" s="50" t="s">
        <v>429</v>
      </c>
      <c r="B170" s="57" t="s">
        <v>429</v>
      </c>
      <c r="C170" s="57" t="s">
        <v>251</v>
      </c>
      <c r="D170" s="58" t="n">
        <v>46057.6611111111</v>
      </c>
      <c r="E170" s="58" t="n">
        <v>46057.6611111111</v>
      </c>
      <c r="F170" s="58" t="n">
        <v>46057.6736111111</v>
      </c>
      <c r="G170" s="59" t="n">
        <f aca="false">F170-E170</f>
        <v>0.0125</v>
      </c>
      <c r="H170" s="57" t="s">
        <v>252</v>
      </c>
      <c r="I170" s="57" t="s">
        <v>284</v>
      </c>
      <c r="J170" s="57" t="s">
        <v>285</v>
      </c>
      <c r="K170" s="57" t="s">
        <v>286</v>
      </c>
      <c r="L170" s="57" t="s">
        <v>925</v>
      </c>
      <c r="M170" s="57" t="s">
        <v>288</v>
      </c>
      <c r="N170" s="57" t="s">
        <v>289</v>
      </c>
      <c r="O170" s="60" t="s">
        <v>926</v>
      </c>
      <c r="P170" s="57" t="s">
        <v>930</v>
      </c>
      <c r="Q170" s="57" t="s">
        <v>713</v>
      </c>
    </row>
    <row r="171" s="50" customFormat="true" ht="14.25" hidden="false" customHeight="true" outlineLevel="0" collapsed="false">
      <c r="A171" s="50" t="s">
        <v>429</v>
      </c>
      <c r="B171" s="57" t="s">
        <v>429</v>
      </c>
      <c r="C171" s="57" t="s">
        <v>258</v>
      </c>
      <c r="D171" s="58" t="n">
        <v>46057.6611111111</v>
      </c>
      <c r="E171" s="58" t="n">
        <v>46057.6611111111</v>
      </c>
      <c r="F171" s="58" t="n">
        <v>46057.6736111111</v>
      </c>
      <c r="G171" s="59" t="n">
        <f aca="false">F171-E171</f>
        <v>0.0125</v>
      </c>
      <c r="H171" s="57" t="s">
        <v>252</v>
      </c>
      <c r="I171" s="57" t="s">
        <v>284</v>
      </c>
      <c r="J171" s="57" t="s">
        <v>285</v>
      </c>
      <c r="K171" s="57" t="s">
        <v>286</v>
      </c>
      <c r="L171" s="57" t="s">
        <v>925</v>
      </c>
      <c r="M171" s="57" t="s">
        <v>288</v>
      </c>
      <c r="N171" s="57" t="s">
        <v>289</v>
      </c>
      <c r="O171" s="60" t="s">
        <v>926</v>
      </c>
      <c r="P171" s="57" t="s">
        <v>931</v>
      </c>
      <c r="Q171" s="57" t="s">
        <v>713</v>
      </c>
    </row>
    <row r="172" s="50" customFormat="true" ht="14.25" hidden="false" customHeight="true" outlineLevel="0" collapsed="false">
      <c r="A172" s="50" t="s">
        <v>264</v>
      </c>
      <c r="B172" s="57" t="s">
        <v>264</v>
      </c>
      <c r="C172" s="57" t="s">
        <v>265</v>
      </c>
      <c r="D172" s="58" t="n">
        <v>46057.9722222222</v>
      </c>
      <c r="E172" s="58" t="n">
        <v>46057.9722222222</v>
      </c>
      <c r="F172" s="58" t="n">
        <v>46058.2986111111</v>
      </c>
      <c r="G172" s="59" t="n">
        <f aca="false">F172-E172</f>
        <v>0.326388888900463</v>
      </c>
      <c r="H172" s="57" t="s">
        <v>252</v>
      </c>
      <c r="I172" s="57"/>
      <c r="J172" s="57" t="s">
        <v>253</v>
      </c>
      <c r="K172" s="57" t="s">
        <v>266</v>
      </c>
      <c r="L172" s="57" t="s">
        <v>932</v>
      </c>
      <c r="M172" s="57" t="s">
        <v>255</v>
      </c>
      <c r="N172" s="57" t="s">
        <v>268</v>
      </c>
      <c r="O172" s="57" t="s">
        <v>257</v>
      </c>
      <c r="P172" s="57" t="s">
        <v>933</v>
      </c>
      <c r="Q172" s="57" t="s">
        <v>706</v>
      </c>
    </row>
    <row r="173" s="50" customFormat="true" ht="14.25" hidden="false" customHeight="true" outlineLevel="0" collapsed="false">
      <c r="A173" s="50" t="s">
        <v>271</v>
      </c>
      <c r="B173" s="57" t="s">
        <v>271</v>
      </c>
      <c r="C173" s="57" t="s">
        <v>265</v>
      </c>
      <c r="D173" s="58" t="n">
        <v>46057.9722222222</v>
      </c>
      <c r="E173" s="58" t="n">
        <v>46057.9722222222</v>
      </c>
      <c r="F173" s="58" t="n">
        <v>46058.2986111111</v>
      </c>
      <c r="G173" s="59" t="n">
        <f aca="false">F173-E173</f>
        <v>0.326388888900463</v>
      </c>
      <c r="H173" s="57" t="s">
        <v>252</v>
      </c>
      <c r="I173" s="57"/>
      <c r="J173" s="57" t="s">
        <v>253</v>
      </c>
      <c r="K173" s="57" t="s">
        <v>266</v>
      </c>
      <c r="L173" s="57" t="s">
        <v>932</v>
      </c>
      <c r="M173" s="57" t="s">
        <v>255</v>
      </c>
      <c r="N173" s="57" t="s">
        <v>268</v>
      </c>
      <c r="O173" s="57" t="s">
        <v>257</v>
      </c>
      <c r="P173" s="57" t="s">
        <v>934</v>
      </c>
      <c r="Q173" s="57" t="s">
        <v>706</v>
      </c>
    </row>
    <row r="174" s="50" customFormat="true" ht="14.25" hidden="false" customHeight="true" outlineLevel="0" collapsed="false">
      <c r="A174" s="50" t="s">
        <v>272</v>
      </c>
      <c r="B174" s="57" t="s">
        <v>272</v>
      </c>
      <c r="C174" s="57" t="s">
        <v>265</v>
      </c>
      <c r="D174" s="58" t="n">
        <v>46057.9722222222</v>
      </c>
      <c r="E174" s="58" t="n">
        <v>46057.9722222222</v>
      </c>
      <c r="F174" s="58" t="n">
        <v>46058.2986111111</v>
      </c>
      <c r="G174" s="59" t="n">
        <f aca="false">F174-E174</f>
        <v>0.326388888900463</v>
      </c>
      <c r="H174" s="57" t="s">
        <v>252</v>
      </c>
      <c r="I174" s="57"/>
      <c r="J174" s="57" t="s">
        <v>253</v>
      </c>
      <c r="K174" s="57" t="s">
        <v>266</v>
      </c>
      <c r="L174" s="57" t="s">
        <v>932</v>
      </c>
      <c r="M174" s="57" t="s">
        <v>255</v>
      </c>
      <c r="N174" s="57" t="s">
        <v>268</v>
      </c>
      <c r="O174" s="57" t="s">
        <v>257</v>
      </c>
      <c r="P174" s="57" t="s">
        <v>935</v>
      </c>
      <c r="Q174" s="57" t="s">
        <v>706</v>
      </c>
    </row>
    <row r="175" s="50" customFormat="true" ht="14.25" hidden="false" customHeight="true" outlineLevel="0" collapsed="false">
      <c r="A175" s="50" t="s">
        <v>273</v>
      </c>
      <c r="B175" s="57" t="s">
        <v>273</v>
      </c>
      <c r="C175" s="57" t="s">
        <v>265</v>
      </c>
      <c r="D175" s="58" t="n">
        <v>46057.9722222222</v>
      </c>
      <c r="E175" s="58" t="n">
        <v>46057.9722222222</v>
      </c>
      <c r="F175" s="58" t="n">
        <v>46058.2986111111</v>
      </c>
      <c r="G175" s="59" t="n">
        <f aca="false">F175-E175</f>
        <v>0.326388888900463</v>
      </c>
      <c r="H175" s="57" t="s">
        <v>252</v>
      </c>
      <c r="I175" s="57"/>
      <c r="J175" s="57" t="s">
        <v>253</v>
      </c>
      <c r="K175" s="57" t="s">
        <v>266</v>
      </c>
      <c r="L175" s="57" t="s">
        <v>932</v>
      </c>
      <c r="M175" s="57" t="s">
        <v>255</v>
      </c>
      <c r="N175" s="57" t="s">
        <v>268</v>
      </c>
      <c r="O175" s="57" t="s">
        <v>257</v>
      </c>
      <c r="P175" s="57" t="s">
        <v>936</v>
      </c>
      <c r="Q175" s="57" t="s">
        <v>706</v>
      </c>
    </row>
    <row r="176" s="50" customFormat="true" ht="14.25" hidden="false" customHeight="true" outlineLevel="0" collapsed="false">
      <c r="A176" s="50" t="s">
        <v>937</v>
      </c>
      <c r="B176" s="57" t="s">
        <v>48</v>
      </c>
      <c r="C176" s="57" t="s">
        <v>294</v>
      </c>
      <c r="D176" s="58" t="n">
        <v>46058.0583333333</v>
      </c>
      <c r="E176" s="58" t="n">
        <v>46058.0583333333</v>
      </c>
      <c r="F176" s="58" t="n">
        <v>46058.3659722222</v>
      </c>
      <c r="G176" s="59" t="n">
        <f aca="false">F176-E176</f>
        <v>0.307638888900463</v>
      </c>
      <c r="H176" s="57" t="s">
        <v>252</v>
      </c>
      <c r="I176" s="57"/>
      <c r="J176" s="57" t="s">
        <v>253</v>
      </c>
      <c r="K176" s="57" t="s">
        <v>266</v>
      </c>
      <c r="L176" s="57" t="s">
        <v>434</v>
      </c>
      <c r="M176" s="57" t="s">
        <v>255</v>
      </c>
      <c r="N176" s="57" t="s">
        <v>268</v>
      </c>
      <c r="O176" s="57" t="s">
        <v>257</v>
      </c>
      <c r="P176" s="57" t="s">
        <v>938</v>
      </c>
      <c r="Q176" s="57" t="s">
        <v>706</v>
      </c>
    </row>
    <row r="177" s="50" customFormat="true" ht="14.25" hidden="false" customHeight="true" outlineLevel="0" collapsed="false">
      <c r="A177" s="50" t="s">
        <v>937</v>
      </c>
      <c r="B177" s="57" t="s">
        <v>48</v>
      </c>
      <c r="C177" s="57" t="s">
        <v>295</v>
      </c>
      <c r="D177" s="58" t="n">
        <v>46058.0583333333</v>
      </c>
      <c r="E177" s="58" t="n">
        <v>46058.0583333333</v>
      </c>
      <c r="F177" s="58" t="n">
        <v>46058.3659722222</v>
      </c>
      <c r="G177" s="59" t="n">
        <f aca="false">F177-E177</f>
        <v>0.307638888900463</v>
      </c>
      <c r="H177" s="57" t="s">
        <v>252</v>
      </c>
      <c r="I177" s="57"/>
      <c r="J177" s="57" t="s">
        <v>253</v>
      </c>
      <c r="K177" s="57" t="s">
        <v>266</v>
      </c>
      <c r="L177" s="57" t="s">
        <v>434</v>
      </c>
      <c r="M177" s="57" t="s">
        <v>255</v>
      </c>
      <c r="N177" s="57" t="s">
        <v>268</v>
      </c>
      <c r="O177" s="57" t="s">
        <v>257</v>
      </c>
      <c r="P177" s="57" t="s">
        <v>939</v>
      </c>
      <c r="Q177" s="57" t="s">
        <v>706</v>
      </c>
    </row>
    <row r="178" s="50" customFormat="true" ht="14.25" hidden="false" customHeight="true" outlineLevel="0" collapsed="false">
      <c r="A178" s="50" t="s">
        <v>937</v>
      </c>
      <c r="B178" s="57" t="s">
        <v>48</v>
      </c>
      <c r="C178" s="57" t="s">
        <v>296</v>
      </c>
      <c r="D178" s="58" t="n">
        <v>46058.0583333333</v>
      </c>
      <c r="E178" s="58" t="n">
        <v>46058.0583333333</v>
      </c>
      <c r="F178" s="58" t="n">
        <v>46058.3659722222</v>
      </c>
      <c r="G178" s="59" t="n">
        <f aca="false">F178-E178</f>
        <v>0.307638888900463</v>
      </c>
      <c r="H178" s="57" t="s">
        <v>252</v>
      </c>
      <c r="I178" s="57"/>
      <c r="J178" s="57" t="s">
        <v>253</v>
      </c>
      <c r="K178" s="57" t="s">
        <v>266</v>
      </c>
      <c r="L178" s="57" t="s">
        <v>434</v>
      </c>
      <c r="M178" s="57" t="s">
        <v>255</v>
      </c>
      <c r="N178" s="57" t="s">
        <v>268</v>
      </c>
      <c r="O178" s="57" t="s">
        <v>257</v>
      </c>
      <c r="P178" s="57" t="s">
        <v>940</v>
      </c>
      <c r="Q178" s="57" t="s">
        <v>706</v>
      </c>
    </row>
    <row r="179" s="50" customFormat="true" ht="14.25" hidden="false" customHeight="true" outlineLevel="0" collapsed="false">
      <c r="A179" s="50" t="s">
        <v>937</v>
      </c>
      <c r="B179" s="57" t="s">
        <v>48</v>
      </c>
      <c r="C179" s="57" t="s">
        <v>297</v>
      </c>
      <c r="D179" s="58" t="n">
        <v>46058.0583333333</v>
      </c>
      <c r="E179" s="58" t="n">
        <v>46058.0583333333</v>
      </c>
      <c r="F179" s="58" t="n">
        <v>46058.3659722222</v>
      </c>
      <c r="G179" s="59" t="n">
        <f aca="false">F179-E179</f>
        <v>0.307638888900463</v>
      </c>
      <c r="H179" s="57" t="s">
        <v>252</v>
      </c>
      <c r="I179" s="57"/>
      <c r="J179" s="57" t="s">
        <v>253</v>
      </c>
      <c r="K179" s="57" t="s">
        <v>266</v>
      </c>
      <c r="L179" s="57" t="s">
        <v>434</v>
      </c>
      <c r="M179" s="57" t="s">
        <v>255</v>
      </c>
      <c r="N179" s="57" t="s">
        <v>268</v>
      </c>
      <c r="O179" s="57" t="s">
        <v>257</v>
      </c>
      <c r="P179" s="57" t="s">
        <v>941</v>
      </c>
      <c r="Q179" s="57" t="s">
        <v>706</v>
      </c>
    </row>
    <row r="180" s="50" customFormat="true" ht="14.25" hidden="false" customHeight="true" outlineLevel="0" collapsed="false">
      <c r="A180" s="50" t="s">
        <v>937</v>
      </c>
      <c r="B180" s="57" t="s">
        <v>48</v>
      </c>
      <c r="C180" s="57" t="s">
        <v>298</v>
      </c>
      <c r="D180" s="58" t="n">
        <v>46058.0583333333</v>
      </c>
      <c r="E180" s="58" t="n">
        <v>46058.0583333333</v>
      </c>
      <c r="F180" s="58" t="n">
        <v>46058.3659722222</v>
      </c>
      <c r="G180" s="59" t="n">
        <f aca="false">F180-E180</f>
        <v>0.307638888900463</v>
      </c>
      <c r="H180" s="57" t="s">
        <v>252</v>
      </c>
      <c r="I180" s="57"/>
      <c r="J180" s="57" t="s">
        <v>253</v>
      </c>
      <c r="K180" s="57" t="s">
        <v>266</v>
      </c>
      <c r="L180" s="57" t="s">
        <v>434</v>
      </c>
      <c r="M180" s="57" t="s">
        <v>255</v>
      </c>
      <c r="N180" s="57" t="s">
        <v>268</v>
      </c>
      <c r="O180" s="57" t="s">
        <v>257</v>
      </c>
      <c r="P180" s="57" t="s">
        <v>942</v>
      </c>
      <c r="Q180" s="57" t="s">
        <v>706</v>
      </c>
    </row>
    <row r="181" s="50" customFormat="true" ht="14.25" hidden="false" customHeight="true" outlineLevel="0" collapsed="false">
      <c r="A181" s="50" t="s">
        <v>937</v>
      </c>
      <c r="B181" s="57" t="s">
        <v>48</v>
      </c>
      <c r="C181" s="57" t="s">
        <v>299</v>
      </c>
      <c r="D181" s="58" t="n">
        <v>46058.0583333333</v>
      </c>
      <c r="E181" s="58" t="n">
        <v>46058.0583333333</v>
      </c>
      <c r="F181" s="58" t="n">
        <v>46058.3659722222</v>
      </c>
      <c r="G181" s="59" t="n">
        <f aca="false">F181-E181</f>
        <v>0.307638888900463</v>
      </c>
      <c r="H181" s="57" t="s">
        <v>252</v>
      </c>
      <c r="I181" s="57"/>
      <c r="J181" s="57" t="s">
        <v>253</v>
      </c>
      <c r="K181" s="57" t="s">
        <v>266</v>
      </c>
      <c r="L181" s="57" t="s">
        <v>434</v>
      </c>
      <c r="M181" s="57" t="s">
        <v>255</v>
      </c>
      <c r="N181" s="57" t="s">
        <v>268</v>
      </c>
      <c r="O181" s="57" t="s">
        <v>257</v>
      </c>
      <c r="P181" s="57" t="s">
        <v>943</v>
      </c>
      <c r="Q181" s="57" t="s">
        <v>706</v>
      </c>
    </row>
    <row r="182" s="50" customFormat="true" ht="14.25" hidden="false" customHeight="true" outlineLevel="0" collapsed="false">
      <c r="A182" s="50" t="s">
        <v>937</v>
      </c>
      <c r="B182" s="57" t="s">
        <v>48</v>
      </c>
      <c r="C182" s="57" t="s">
        <v>300</v>
      </c>
      <c r="D182" s="58" t="n">
        <v>46058.0583333333</v>
      </c>
      <c r="E182" s="58" t="n">
        <v>46058.0583333333</v>
      </c>
      <c r="F182" s="58" t="n">
        <v>46058.3659722222</v>
      </c>
      <c r="G182" s="59" t="n">
        <f aca="false">F182-E182</f>
        <v>0.307638888900463</v>
      </c>
      <c r="H182" s="57" t="s">
        <v>252</v>
      </c>
      <c r="I182" s="57"/>
      <c r="J182" s="57" t="s">
        <v>253</v>
      </c>
      <c r="K182" s="57" t="s">
        <v>266</v>
      </c>
      <c r="L182" s="57" t="s">
        <v>434</v>
      </c>
      <c r="M182" s="57" t="s">
        <v>255</v>
      </c>
      <c r="N182" s="57" t="s">
        <v>268</v>
      </c>
      <c r="O182" s="57" t="s">
        <v>257</v>
      </c>
      <c r="P182" s="57" t="s">
        <v>944</v>
      </c>
      <c r="Q182" s="57" t="s">
        <v>706</v>
      </c>
    </row>
    <row r="183" s="50" customFormat="true" ht="14.25" hidden="false" customHeight="true" outlineLevel="0" collapsed="false">
      <c r="A183" s="50" t="s">
        <v>937</v>
      </c>
      <c r="B183" s="57" t="s">
        <v>48</v>
      </c>
      <c r="C183" s="57" t="s">
        <v>301</v>
      </c>
      <c r="D183" s="58" t="n">
        <v>46058.0583333333</v>
      </c>
      <c r="E183" s="58" t="n">
        <v>46058.0583333333</v>
      </c>
      <c r="F183" s="58" t="n">
        <v>46058.3659722222</v>
      </c>
      <c r="G183" s="59" t="n">
        <f aca="false">F183-E183</f>
        <v>0.307638888900463</v>
      </c>
      <c r="H183" s="57" t="s">
        <v>252</v>
      </c>
      <c r="I183" s="57"/>
      <c r="J183" s="57" t="s">
        <v>253</v>
      </c>
      <c r="K183" s="57" t="s">
        <v>266</v>
      </c>
      <c r="L183" s="57" t="s">
        <v>434</v>
      </c>
      <c r="M183" s="57" t="s">
        <v>255</v>
      </c>
      <c r="N183" s="57" t="s">
        <v>268</v>
      </c>
      <c r="O183" s="57" t="s">
        <v>257</v>
      </c>
      <c r="P183" s="57" t="s">
        <v>945</v>
      </c>
      <c r="Q183" s="57" t="s">
        <v>706</v>
      </c>
    </row>
    <row r="184" s="50" customFormat="true" ht="14.25" hidden="false" customHeight="true" outlineLevel="0" collapsed="false">
      <c r="A184" s="50" t="s">
        <v>946</v>
      </c>
      <c r="B184" s="57" t="s">
        <v>48</v>
      </c>
      <c r="C184" s="57" t="s">
        <v>302</v>
      </c>
      <c r="D184" s="58" t="n">
        <v>46058.0583333333</v>
      </c>
      <c r="E184" s="58" t="n">
        <v>46058.0583333333</v>
      </c>
      <c r="F184" s="58" t="n">
        <v>46058.3659722222</v>
      </c>
      <c r="G184" s="59" t="n">
        <f aca="false">F184-E184</f>
        <v>0.307638888900463</v>
      </c>
      <c r="H184" s="57" t="s">
        <v>252</v>
      </c>
      <c r="I184" s="57"/>
      <c r="J184" s="57" t="s">
        <v>253</v>
      </c>
      <c r="K184" s="57" t="s">
        <v>266</v>
      </c>
      <c r="L184" s="57" t="s">
        <v>434</v>
      </c>
      <c r="M184" s="57" t="s">
        <v>255</v>
      </c>
      <c r="N184" s="57" t="s">
        <v>268</v>
      </c>
      <c r="O184" s="57" t="s">
        <v>257</v>
      </c>
      <c r="P184" s="57" t="s">
        <v>947</v>
      </c>
      <c r="Q184" s="57" t="s">
        <v>706</v>
      </c>
    </row>
    <row r="185" s="50" customFormat="true" ht="14.25" hidden="false" customHeight="true" outlineLevel="0" collapsed="false">
      <c r="A185" s="50" t="s">
        <v>946</v>
      </c>
      <c r="B185" s="57" t="s">
        <v>48</v>
      </c>
      <c r="C185" s="57" t="s">
        <v>303</v>
      </c>
      <c r="D185" s="58" t="n">
        <v>46058.0583333333</v>
      </c>
      <c r="E185" s="58" t="n">
        <v>46058.0583333333</v>
      </c>
      <c r="F185" s="58" t="n">
        <v>46058.3659722222</v>
      </c>
      <c r="G185" s="59" t="n">
        <f aca="false">F185-E185</f>
        <v>0.307638888900463</v>
      </c>
      <c r="H185" s="57" t="s">
        <v>252</v>
      </c>
      <c r="I185" s="57"/>
      <c r="J185" s="57" t="s">
        <v>253</v>
      </c>
      <c r="K185" s="57" t="s">
        <v>266</v>
      </c>
      <c r="L185" s="57" t="s">
        <v>434</v>
      </c>
      <c r="M185" s="57" t="s">
        <v>255</v>
      </c>
      <c r="N185" s="57" t="s">
        <v>268</v>
      </c>
      <c r="O185" s="57" t="s">
        <v>257</v>
      </c>
      <c r="P185" s="57" t="s">
        <v>948</v>
      </c>
      <c r="Q185" s="57" t="s">
        <v>706</v>
      </c>
    </row>
    <row r="186" s="50" customFormat="true" ht="14.25" hidden="false" customHeight="true" outlineLevel="0" collapsed="false">
      <c r="A186" s="50" t="s">
        <v>946</v>
      </c>
      <c r="B186" s="57" t="s">
        <v>48</v>
      </c>
      <c r="C186" s="57" t="s">
        <v>304</v>
      </c>
      <c r="D186" s="58" t="n">
        <v>46058.0583333333</v>
      </c>
      <c r="E186" s="58" t="n">
        <v>46058.0583333333</v>
      </c>
      <c r="F186" s="58" t="n">
        <v>46058.3659722222</v>
      </c>
      <c r="G186" s="59" t="n">
        <f aca="false">F186-E186</f>
        <v>0.307638888900463</v>
      </c>
      <c r="H186" s="57" t="s">
        <v>252</v>
      </c>
      <c r="I186" s="57"/>
      <c r="J186" s="57" t="s">
        <v>253</v>
      </c>
      <c r="K186" s="57" t="s">
        <v>266</v>
      </c>
      <c r="L186" s="57" t="s">
        <v>434</v>
      </c>
      <c r="M186" s="57" t="s">
        <v>255</v>
      </c>
      <c r="N186" s="57" t="s">
        <v>268</v>
      </c>
      <c r="O186" s="57" t="s">
        <v>257</v>
      </c>
      <c r="P186" s="57" t="s">
        <v>949</v>
      </c>
      <c r="Q186" s="57" t="s">
        <v>706</v>
      </c>
    </row>
    <row r="187" s="50" customFormat="true" ht="14.25" hidden="false" customHeight="true" outlineLevel="0" collapsed="false">
      <c r="A187" s="50" t="s">
        <v>946</v>
      </c>
      <c r="B187" s="57" t="s">
        <v>48</v>
      </c>
      <c r="C187" s="57" t="s">
        <v>305</v>
      </c>
      <c r="D187" s="58" t="n">
        <v>46058.0583333333</v>
      </c>
      <c r="E187" s="58" t="n">
        <v>46058.0583333333</v>
      </c>
      <c r="F187" s="58" t="n">
        <v>46058.3659722222</v>
      </c>
      <c r="G187" s="59" t="n">
        <f aca="false">F187-E187</f>
        <v>0.307638888900463</v>
      </c>
      <c r="H187" s="57" t="s">
        <v>252</v>
      </c>
      <c r="I187" s="57"/>
      <c r="J187" s="57" t="s">
        <v>253</v>
      </c>
      <c r="K187" s="57" t="s">
        <v>266</v>
      </c>
      <c r="L187" s="57" t="s">
        <v>434</v>
      </c>
      <c r="M187" s="57" t="s">
        <v>255</v>
      </c>
      <c r="N187" s="57" t="s">
        <v>268</v>
      </c>
      <c r="O187" s="57" t="s">
        <v>257</v>
      </c>
      <c r="P187" s="57" t="s">
        <v>950</v>
      </c>
      <c r="Q187" s="57" t="s">
        <v>706</v>
      </c>
    </row>
    <row r="188" s="50" customFormat="true" ht="14.25" hidden="false" customHeight="true" outlineLevel="0" collapsed="false">
      <c r="A188" s="50" t="s">
        <v>946</v>
      </c>
      <c r="B188" s="57" t="s">
        <v>48</v>
      </c>
      <c r="C188" s="57" t="s">
        <v>306</v>
      </c>
      <c r="D188" s="58" t="n">
        <v>46058.0583333333</v>
      </c>
      <c r="E188" s="58" t="n">
        <v>46058.0583333333</v>
      </c>
      <c r="F188" s="58" t="n">
        <v>46058.3659722222</v>
      </c>
      <c r="G188" s="59" t="n">
        <f aca="false">F188-E188</f>
        <v>0.307638888900463</v>
      </c>
      <c r="H188" s="57" t="s">
        <v>252</v>
      </c>
      <c r="I188" s="57"/>
      <c r="J188" s="57" t="s">
        <v>253</v>
      </c>
      <c r="K188" s="57" t="s">
        <v>266</v>
      </c>
      <c r="L188" s="57" t="s">
        <v>434</v>
      </c>
      <c r="M188" s="57" t="s">
        <v>255</v>
      </c>
      <c r="N188" s="57" t="s">
        <v>268</v>
      </c>
      <c r="O188" s="57" t="s">
        <v>257</v>
      </c>
      <c r="P188" s="57" t="s">
        <v>951</v>
      </c>
      <c r="Q188" s="57" t="s">
        <v>706</v>
      </c>
    </row>
    <row r="189" s="50" customFormat="true" ht="14.25" hidden="false" customHeight="true" outlineLevel="0" collapsed="false">
      <c r="A189" s="50" t="s">
        <v>946</v>
      </c>
      <c r="B189" s="57" t="s">
        <v>48</v>
      </c>
      <c r="C189" s="57" t="s">
        <v>307</v>
      </c>
      <c r="D189" s="58" t="n">
        <v>46058.0583333333</v>
      </c>
      <c r="E189" s="58" t="n">
        <v>46058.0583333333</v>
      </c>
      <c r="F189" s="58" t="n">
        <v>46058.3659722222</v>
      </c>
      <c r="G189" s="59" t="n">
        <f aca="false">F189-E189</f>
        <v>0.307638888900463</v>
      </c>
      <c r="H189" s="57" t="s">
        <v>252</v>
      </c>
      <c r="I189" s="57"/>
      <c r="J189" s="57" t="s">
        <v>253</v>
      </c>
      <c r="K189" s="57" t="s">
        <v>266</v>
      </c>
      <c r="L189" s="57" t="s">
        <v>434</v>
      </c>
      <c r="M189" s="57" t="s">
        <v>255</v>
      </c>
      <c r="N189" s="57" t="s">
        <v>268</v>
      </c>
      <c r="O189" s="57" t="s">
        <v>257</v>
      </c>
      <c r="P189" s="57" t="s">
        <v>952</v>
      </c>
      <c r="Q189" s="57" t="s">
        <v>706</v>
      </c>
    </row>
    <row r="190" s="50" customFormat="true" ht="14.25" hidden="false" customHeight="true" outlineLevel="0" collapsed="false">
      <c r="A190" s="50" t="s">
        <v>946</v>
      </c>
      <c r="B190" s="57" t="s">
        <v>48</v>
      </c>
      <c r="C190" s="57" t="s">
        <v>308</v>
      </c>
      <c r="D190" s="58" t="n">
        <v>46058.0583333333</v>
      </c>
      <c r="E190" s="58" t="n">
        <v>46058.0583333333</v>
      </c>
      <c r="F190" s="58" t="n">
        <v>46058.3659722222</v>
      </c>
      <c r="G190" s="59" t="n">
        <f aca="false">F190-E190</f>
        <v>0.307638888900463</v>
      </c>
      <c r="H190" s="57" t="s">
        <v>252</v>
      </c>
      <c r="I190" s="57"/>
      <c r="J190" s="57" t="s">
        <v>253</v>
      </c>
      <c r="K190" s="57" t="s">
        <v>266</v>
      </c>
      <c r="L190" s="57" t="s">
        <v>434</v>
      </c>
      <c r="M190" s="57" t="s">
        <v>255</v>
      </c>
      <c r="N190" s="57" t="s">
        <v>268</v>
      </c>
      <c r="O190" s="57" t="s">
        <v>257</v>
      </c>
      <c r="P190" s="57" t="s">
        <v>953</v>
      </c>
      <c r="Q190" s="57" t="s">
        <v>706</v>
      </c>
    </row>
    <row r="191" s="50" customFormat="true" ht="14.25" hidden="false" customHeight="true" outlineLevel="0" collapsed="false">
      <c r="A191" s="50" t="s">
        <v>954</v>
      </c>
      <c r="B191" s="57" t="s">
        <v>48</v>
      </c>
      <c r="C191" s="57" t="s">
        <v>309</v>
      </c>
      <c r="D191" s="58" t="n">
        <v>46058.0583333333</v>
      </c>
      <c r="E191" s="58" t="n">
        <v>46058.0583333333</v>
      </c>
      <c r="F191" s="58" t="n">
        <v>46058.3659722222</v>
      </c>
      <c r="G191" s="59" t="n">
        <f aca="false">F191-E191</f>
        <v>0.307638888900463</v>
      </c>
      <c r="H191" s="57" t="s">
        <v>252</v>
      </c>
      <c r="I191" s="57"/>
      <c r="J191" s="57" t="s">
        <v>253</v>
      </c>
      <c r="K191" s="57" t="s">
        <v>266</v>
      </c>
      <c r="L191" s="57" t="s">
        <v>434</v>
      </c>
      <c r="M191" s="57" t="s">
        <v>255</v>
      </c>
      <c r="N191" s="57" t="s">
        <v>268</v>
      </c>
      <c r="O191" s="57" t="s">
        <v>257</v>
      </c>
      <c r="P191" s="57" t="s">
        <v>955</v>
      </c>
      <c r="Q191" s="57" t="s">
        <v>706</v>
      </c>
    </row>
    <row r="192" s="50" customFormat="true" ht="14.25" hidden="false" customHeight="true" outlineLevel="0" collapsed="false">
      <c r="A192" s="50" t="s">
        <v>954</v>
      </c>
      <c r="B192" s="57" t="s">
        <v>48</v>
      </c>
      <c r="C192" s="57" t="s">
        <v>310</v>
      </c>
      <c r="D192" s="58" t="n">
        <v>46058.0583333333</v>
      </c>
      <c r="E192" s="58" t="n">
        <v>46058.0583333333</v>
      </c>
      <c r="F192" s="58" t="n">
        <v>46058.3659722222</v>
      </c>
      <c r="G192" s="59" t="n">
        <f aca="false">F192-E192</f>
        <v>0.307638888900463</v>
      </c>
      <c r="H192" s="57" t="s">
        <v>252</v>
      </c>
      <c r="I192" s="57"/>
      <c r="J192" s="57" t="s">
        <v>253</v>
      </c>
      <c r="K192" s="57" t="s">
        <v>266</v>
      </c>
      <c r="L192" s="57" t="s">
        <v>434</v>
      </c>
      <c r="M192" s="57" t="s">
        <v>255</v>
      </c>
      <c r="N192" s="57" t="s">
        <v>268</v>
      </c>
      <c r="O192" s="57" t="s">
        <v>257</v>
      </c>
      <c r="P192" s="57" t="s">
        <v>956</v>
      </c>
      <c r="Q192" s="57" t="s">
        <v>706</v>
      </c>
    </row>
    <row r="193" s="50" customFormat="true" ht="14.25" hidden="false" customHeight="true" outlineLevel="0" collapsed="false">
      <c r="A193" s="50" t="s">
        <v>954</v>
      </c>
      <c r="B193" s="57" t="s">
        <v>48</v>
      </c>
      <c r="C193" s="57" t="s">
        <v>311</v>
      </c>
      <c r="D193" s="58" t="n">
        <v>46058.0583333333</v>
      </c>
      <c r="E193" s="58" t="n">
        <v>46058.0583333333</v>
      </c>
      <c r="F193" s="58" t="n">
        <v>46058.3659722222</v>
      </c>
      <c r="G193" s="59" t="n">
        <f aca="false">F193-E193</f>
        <v>0.307638888900463</v>
      </c>
      <c r="H193" s="57" t="s">
        <v>252</v>
      </c>
      <c r="I193" s="57"/>
      <c r="J193" s="57" t="s">
        <v>253</v>
      </c>
      <c r="K193" s="57" t="s">
        <v>266</v>
      </c>
      <c r="L193" s="57" t="s">
        <v>434</v>
      </c>
      <c r="M193" s="57" t="s">
        <v>255</v>
      </c>
      <c r="N193" s="57" t="s">
        <v>268</v>
      </c>
      <c r="O193" s="57" t="s">
        <v>257</v>
      </c>
      <c r="P193" s="57" t="s">
        <v>957</v>
      </c>
      <c r="Q193" s="57" t="s">
        <v>706</v>
      </c>
    </row>
    <row r="194" s="50" customFormat="true" ht="14.25" hidden="false" customHeight="true" outlineLevel="0" collapsed="false">
      <c r="A194" s="50" t="s">
        <v>954</v>
      </c>
      <c r="B194" s="57" t="s">
        <v>48</v>
      </c>
      <c r="C194" s="57" t="s">
        <v>312</v>
      </c>
      <c r="D194" s="58" t="n">
        <v>46058.0583333333</v>
      </c>
      <c r="E194" s="58" t="n">
        <v>46058.0583333333</v>
      </c>
      <c r="F194" s="58" t="n">
        <v>46058.3659722222</v>
      </c>
      <c r="G194" s="59" t="n">
        <f aca="false">F194-E194</f>
        <v>0.307638888900463</v>
      </c>
      <c r="H194" s="57" t="s">
        <v>252</v>
      </c>
      <c r="I194" s="57"/>
      <c r="J194" s="57" t="s">
        <v>253</v>
      </c>
      <c r="K194" s="57" t="s">
        <v>266</v>
      </c>
      <c r="L194" s="57" t="s">
        <v>434</v>
      </c>
      <c r="M194" s="57" t="s">
        <v>255</v>
      </c>
      <c r="N194" s="57" t="s">
        <v>268</v>
      </c>
      <c r="O194" s="57" t="s">
        <v>257</v>
      </c>
      <c r="P194" s="57" t="s">
        <v>958</v>
      </c>
      <c r="Q194" s="57" t="s">
        <v>706</v>
      </c>
    </row>
    <row r="195" s="50" customFormat="true" ht="14.25" hidden="false" customHeight="true" outlineLevel="0" collapsed="false">
      <c r="A195" s="50" t="s">
        <v>954</v>
      </c>
      <c r="B195" s="57" t="s">
        <v>48</v>
      </c>
      <c r="C195" s="57" t="s">
        <v>313</v>
      </c>
      <c r="D195" s="58" t="n">
        <v>46058.0583333333</v>
      </c>
      <c r="E195" s="58" t="n">
        <v>46058.0583333333</v>
      </c>
      <c r="F195" s="58" t="n">
        <v>46058.3659722222</v>
      </c>
      <c r="G195" s="59" t="n">
        <f aca="false">F195-E195</f>
        <v>0.307638888900463</v>
      </c>
      <c r="H195" s="57" t="s">
        <v>252</v>
      </c>
      <c r="I195" s="57"/>
      <c r="J195" s="57" t="s">
        <v>253</v>
      </c>
      <c r="K195" s="57" t="s">
        <v>266</v>
      </c>
      <c r="L195" s="57" t="s">
        <v>434</v>
      </c>
      <c r="M195" s="57" t="s">
        <v>255</v>
      </c>
      <c r="N195" s="57" t="s">
        <v>268</v>
      </c>
      <c r="O195" s="57" t="s">
        <v>257</v>
      </c>
      <c r="P195" s="57" t="s">
        <v>959</v>
      </c>
      <c r="Q195" s="57" t="s">
        <v>706</v>
      </c>
    </row>
    <row r="196" s="50" customFormat="true" ht="14.25" hidden="false" customHeight="true" outlineLevel="0" collapsed="false">
      <c r="A196" s="50" t="s">
        <v>960</v>
      </c>
      <c r="B196" s="57" t="s">
        <v>48</v>
      </c>
      <c r="C196" s="57" t="s">
        <v>314</v>
      </c>
      <c r="D196" s="58" t="n">
        <v>46058.0583333333</v>
      </c>
      <c r="E196" s="58" t="n">
        <v>46058.0583333333</v>
      </c>
      <c r="F196" s="58" t="n">
        <v>46058.3659722222</v>
      </c>
      <c r="G196" s="59" t="n">
        <f aca="false">F196-E196</f>
        <v>0.307638888900463</v>
      </c>
      <c r="H196" s="57" t="s">
        <v>252</v>
      </c>
      <c r="I196" s="57"/>
      <c r="J196" s="57" t="s">
        <v>253</v>
      </c>
      <c r="K196" s="57" t="s">
        <v>266</v>
      </c>
      <c r="L196" s="57" t="s">
        <v>434</v>
      </c>
      <c r="M196" s="57" t="s">
        <v>255</v>
      </c>
      <c r="N196" s="57" t="s">
        <v>268</v>
      </c>
      <c r="O196" s="57" t="s">
        <v>257</v>
      </c>
      <c r="P196" s="57" t="s">
        <v>961</v>
      </c>
      <c r="Q196" s="57" t="s">
        <v>706</v>
      </c>
    </row>
    <row r="197" s="50" customFormat="true" ht="14.25" hidden="false" customHeight="true" outlineLevel="0" collapsed="false">
      <c r="A197" s="50" t="s">
        <v>960</v>
      </c>
      <c r="B197" s="57" t="s">
        <v>48</v>
      </c>
      <c r="C197" s="57" t="s">
        <v>315</v>
      </c>
      <c r="D197" s="58" t="n">
        <v>46058.0583333333</v>
      </c>
      <c r="E197" s="58" t="n">
        <v>46058.0583333333</v>
      </c>
      <c r="F197" s="58" t="n">
        <v>46058.3659722222</v>
      </c>
      <c r="G197" s="59" t="n">
        <f aca="false">F197-E197</f>
        <v>0.307638888900463</v>
      </c>
      <c r="H197" s="57" t="s">
        <v>252</v>
      </c>
      <c r="I197" s="57"/>
      <c r="J197" s="57" t="s">
        <v>253</v>
      </c>
      <c r="K197" s="57" t="s">
        <v>266</v>
      </c>
      <c r="L197" s="57" t="s">
        <v>434</v>
      </c>
      <c r="M197" s="57" t="s">
        <v>255</v>
      </c>
      <c r="N197" s="57" t="s">
        <v>268</v>
      </c>
      <c r="O197" s="57" t="s">
        <v>257</v>
      </c>
      <c r="P197" s="57" t="s">
        <v>962</v>
      </c>
      <c r="Q197" s="57" t="s">
        <v>706</v>
      </c>
    </row>
    <row r="198" s="50" customFormat="true" ht="14.25" hidden="false" customHeight="true" outlineLevel="0" collapsed="false">
      <c r="A198" s="50" t="s">
        <v>960</v>
      </c>
      <c r="B198" s="57" t="s">
        <v>48</v>
      </c>
      <c r="C198" s="57" t="s">
        <v>316</v>
      </c>
      <c r="D198" s="58" t="n">
        <v>46058.0583333333</v>
      </c>
      <c r="E198" s="58" t="n">
        <v>46058.0583333333</v>
      </c>
      <c r="F198" s="58" t="n">
        <v>46058.3659722222</v>
      </c>
      <c r="G198" s="59" t="n">
        <f aca="false">F198-E198</f>
        <v>0.307638888900463</v>
      </c>
      <c r="H198" s="57" t="s">
        <v>252</v>
      </c>
      <c r="I198" s="57"/>
      <c r="J198" s="57" t="s">
        <v>253</v>
      </c>
      <c r="K198" s="57" t="s">
        <v>266</v>
      </c>
      <c r="L198" s="57" t="s">
        <v>434</v>
      </c>
      <c r="M198" s="57" t="s">
        <v>255</v>
      </c>
      <c r="N198" s="57" t="s">
        <v>268</v>
      </c>
      <c r="O198" s="57" t="s">
        <v>257</v>
      </c>
      <c r="P198" s="57" t="s">
        <v>963</v>
      </c>
      <c r="Q198" s="57" t="s">
        <v>706</v>
      </c>
    </row>
    <row r="199" s="50" customFormat="true" ht="14.25" hidden="false" customHeight="true" outlineLevel="0" collapsed="false">
      <c r="A199" s="50" t="s">
        <v>960</v>
      </c>
      <c r="B199" s="57" t="s">
        <v>48</v>
      </c>
      <c r="C199" s="57" t="s">
        <v>317</v>
      </c>
      <c r="D199" s="58" t="n">
        <v>46058.0583333333</v>
      </c>
      <c r="E199" s="58" t="n">
        <v>46058.0583333333</v>
      </c>
      <c r="F199" s="58" t="n">
        <v>46058.3659722222</v>
      </c>
      <c r="G199" s="59" t="n">
        <f aca="false">F199-E199</f>
        <v>0.307638888900463</v>
      </c>
      <c r="H199" s="57" t="s">
        <v>252</v>
      </c>
      <c r="I199" s="57"/>
      <c r="J199" s="57" t="s">
        <v>253</v>
      </c>
      <c r="K199" s="57" t="s">
        <v>266</v>
      </c>
      <c r="L199" s="57" t="s">
        <v>434</v>
      </c>
      <c r="M199" s="57" t="s">
        <v>255</v>
      </c>
      <c r="N199" s="57" t="s">
        <v>268</v>
      </c>
      <c r="O199" s="57" t="s">
        <v>257</v>
      </c>
      <c r="P199" s="57" t="s">
        <v>964</v>
      </c>
      <c r="Q199" s="57" t="s">
        <v>706</v>
      </c>
    </row>
    <row r="200" s="50" customFormat="true" ht="14.25" hidden="false" customHeight="true" outlineLevel="0" collapsed="false">
      <c r="A200" s="50" t="s">
        <v>965</v>
      </c>
      <c r="B200" s="57" t="s">
        <v>48</v>
      </c>
      <c r="C200" s="57" t="s">
        <v>318</v>
      </c>
      <c r="D200" s="58" t="n">
        <v>46058.0583333333</v>
      </c>
      <c r="E200" s="58" t="n">
        <v>46058.0583333333</v>
      </c>
      <c r="F200" s="58" t="n">
        <v>46058.3659722222</v>
      </c>
      <c r="G200" s="59" t="n">
        <f aca="false">F200-E200</f>
        <v>0.307638888900463</v>
      </c>
      <c r="H200" s="57" t="s">
        <v>252</v>
      </c>
      <c r="I200" s="57"/>
      <c r="J200" s="57" t="s">
        <v>253</v>
      </c>
      <c r="K200" s="57" t="s">
        <v>266</v>
      </c>
      <c r="L200" s="57" t="s">
        <v>434</v>
      </c>
      <c r="M200" s="57" t="s">
        <v>255</v>
      </c>
      <c r="N200" s="57" t="s">
        <v>268</v>
      </c>
      <c r="O200" s="57" t="s">
        <v>257</v>
      </c>
      <c r="P200" s="57" t="s">
        <v>966</v>
      </c>
      <c r="Q200" s="57" t="s">
        <v>706</v>
      </c>
    </row>
    <row r="201" s="50" customFormat="true" ht="14.25" hidden="false" customHeight="true" outlineLevel="0" collapsed="false">
      <c r="A201" s="50" t="s">
        <v>965</v>
      </c>
      <c r="B201" s="57" t="s">
        <v>48</v>
      </c>
      <c r="C201" s="57" t="s">
        <v>319</v>
      </c>
      <c r="D201" s="58" t="n">
        <v>46058.0583333333</v>
      </c>
      <c r="E201" s="58" t="n">
        <v>46058.0583333333</v>
      </c>
      <c r="F201" s="58" t="n">
        <v>46058.3659722222</v>
      </c>
      <c r="G201" s="59" t="n">
        <f aca="false">F201-E201</f>
        <v>0.307638888900463</v>
      </c>
      <c r="H201" s="57" t="s">
        <v>252</v>
      </c>
      <c r="I201" s="57"/>
      <c r="J201" s="57" t="s">
        <v>253</v>
      </c>
      <c r="K201" s="57" t="s">
        <v>266</v>
      </c>
      <c r="L201" s="57" t="s">
        <v>434</v>
      </c>
      <c r="M201" s="57" t="s">
        <v>255</v>
      </c>
      <c r="N201" s="57" t="s">
        <v>268</v>
      </c>
      <c r="O201" s="57" t="s">
        <v>257</v>
      </c>
      <c r="P201" s="57" t="s">
        <v>967</v>
      </c>
      <c r="Q201" s="57" t="s">
        <v>706</v>
      </c>
    </row>
    <row r="202" s="50" customFormat="true" ht="14.25" hidden="false" customHeight="true" outlineLevel="0" collapsed="false">
      <c r="A202" s="50" t="s">
        <v>965</v>
      </c>
      <c r="B202" s="57" t="s">
        <v>48</v>
      </c>
      <c r="C202" s="57" t="s">
        <v>320</v>
      </c>
      <c r="D202" s="58" t="n">
        <v>46058.0583333333</v>
      </c>
      <c r="E202" s="58" t="n">
        <v>46058.0583333333</v>
      </c>
      <c r="F202" s="58" t="n">
        <v>46058.3659722222</v>
      </c>
      <c r="G202" s="59" t="n">
        <f aca="false">F202-E202</f>
        <v>0.307638888900463</v>
      </c>
      <c r="H202" s="57" t="s">
        <v>252</v>
      </c>
      <c r="I202" s="57"/>
      <c r="J202" s="57" t="s">
        <v>253</v>
      </c>
      <c r="K202" s="57" t="s">
        <v>266</v>
      </c>
      <c r="L202" s="57" t="s">
        <v>434</v>
      </c>
      <c r="M202" s="57" t="s">
        <v>255</v>
      </c>
      <c r="N202" s="57" t="s">
        <v>268</v>
      </c>
      <c r="O202" s="57" t="s">
        <v>257</v>
      </c>
      <c r="P202" s="57" t="s">
        <v>968</v>
      </c>
      <c r="Q202" s="57" t="s">
        <v>706</v>
      </c>
    </row>
    <row r="203" s="50" customFormat="true" ht="14.25" hidden="false" customHeight="true" outlineLevel="0" collapsed="false">
      <c r="A203" s="50" t="s">
        <v>965</v>
      </c>
      <c r="B203" s="57" t="s">
        <v>48</v>
      </c>
      <c r="C203" s="57" t="s">
        <v>321</v>
      </c>
      <c r="D203" s="58" t="n">
        <v>46058.0583333333</v>
      </c>
      <c r="E203" s="58" t="n">
        <v>46058.0583333333</v>
      </c>
      <c r="F203" s="58" t="n">
        <v>46058.3659722222</v>
      </c>
      <c r="G203" s="59" t="n">
        <f aca="false">F203-E203</f>
        <v>0.307638888900463</v>
      </c>
      <c r="H203" s="57" t="s">
        <v>252</v>
      </c>
      <c r="I203" s="57"/>
      <c r="J203" s="57" t="s">
        <v>253</v>
      </c>
      <c r="K203" s="57" t="s">
        <v>266</v>
      </c>
      <c r="L203" s="57" t="s">
        <v>434</v>
      </c>
      <c r="M203" s="57" t="s">
        <v>255</v>
      </c>
      <c r="N203" s="57" t="s">
        <v>268</v>
      </c>
      <c r="O203" s="57" t="s">
        <v>257</v>
      </c>
      <c r="P203" s="57" t="s">
        <v>969</v>
      </c>
      <c r="Q203" s="57" t="s">
        <v>706</v>
      </c>
    </row>
    <row r="204" s="50" customFormat="true" ht="14.25" hidden="false" customHeight="true" outlineLevel="0" collapsed="false">
      <c r="A204" s="50" t="s">
        <v>965</v>
      </c>
      <c r="B204" s="57" t="s">
        <v>48</v>
      </c>
      <c r="C204" s="57" t="s">
        <v>322</v>
      </c>
      <c r="D204" s="58" t="n">
        <v>46058.0583333333</v>
      </c>
      <c r="E204" s="58" t="n">
        <v>46058.0583333333</v>
      </c>
      <c r="F204" s="58" t="n">
        <v>46058.3659722222</v>
      </c>
      <c r="G204" s="59" t="n">
        <f aca="false">F204-E204</f>
        <v>0.307638888900463</v>
      </c>
      <c r="H204" s="57" t="s">
        <v>252</v>
      </c>
      <c r="I204" s="57"/>
      <c r="J204" s="57" t="s">
        <v>253</v>
      </c>
      <c r="K204" s="57" t="s">
        <v>266</v>
      </c>
      <c r="L204" s="57" t="s">
        <v>434</v>
      </c>
      <c r="M204" s="57" t="s">
        <v>255</v>
      </c>
      <c r="N204" s="57" t="s">
        <v>268</v>
      </c>
      <c r="O204" s="57" t="s">
        <v>257</v>
      </c>
      <c r="P204" s="57" t="s">
        <v>970</v>
      </c>
      <c r="Q204" s="57" t="s">
        <v>706</v>
      </c>
    </row>
    <row r="205" s="50" customFormat="true" ht="14.25" hidden="false" customHeight="true" outlineLevel="0" collapsed="false">
      <c r="A205" s="50" t="s">
        <v>250</v>
      </c>
      <c r="B205" s="57" t="s">
        <v>250</v>
      </c>
      <c r="C205" s="57" t="s">
        <v>251</v>
      </c>
      <c r="D205" s="58" t="n">
        <v>46058.0583333333</v>
      </c>
      <c r="E205" s="58" t="n">
        <v>46058.0583333333</v>
      </c>
      <c r="F205" s="58" t="n">
        <v>46058.3659722222</v>
      </c>
      <c r="G205" s="59" t="n">
        <f aca="false">F205-E205</f>
        <v>0.307638888900463</v>
      </c>
      <c r="H205" s="57" t="s">
        <v>252</v>
      </c>
      <c r="I205" s="57"/>
      <c r="J205" s="57" t="s">
        <v>253</v>
      </c>
      <c r="K205" s="57" t="s">
        <v>266</v>
      </c>
      <c r="L205" s="57" t="s">
        <v>434</v>
      </c>
      <c r="M205" s="57" t="s">
        <v>255</v>
      </c>
      <c r="N205" s="57" t="s">
        <v>268</v>
      </c>
      <c r="O205" s="57" t="s">
        <v>257</v>
      </c>
      <c r="P205" s="57" t="s">
        <v>971</v>
      </c>
      <c r="Q205" s="57" t="s">
        <v>706</v>
      </c>
    </row>
    <row r="206" s="50" customFormat="true" ht="14.25" hidden="false" customHeight="true" outlineLevel="0" collapsed="false">
      <c r="A206" s="50" t="s">
        <v>250</v>
      </c>
      <c r="B206" s="57" t="s">
        <v>250</v>
      </c>
      <c r="C206" s="57" t="s">
        <v>258</v>
      </c>
      <c r="D206" s="58" t="n">
        <v>46058.0583333333</v>
      </c>
      <c r="E206" s="58" t="n">
        <v>46058.0583333333</v>
      </c>
      <c r="F206" s="58" t="n">
        <v>46058.3659722222</v>
      </c>
      <c r="G206" s="59" t="n">
        <f aca="false">F206-E206</f>
        <v>0.307638888900463</v>
      </c>
      <c r="H206" s="57" t="s">
        <v>252</v>
      </c>
      <c r="I206" s="57"/>
      <c r="J206" s="57" t="s">
        <v>253</v>
      </c>
      <c r="K206" s="57" t="s">
        <v>266</v>
      </c>
      <c r="L206" s="57" t="s">
        <v>434</v>
      </c>
      <c r="M206" s="57" t="s">
        <v>255</v>
      </c>
      <c r="N206" s="57" t="s">
        <v>268</v>
      </c>
      <c r="O206" s="57" t="s">
        <v>257</v>
      </c>
      <c r="P206" s="57" t="s">
        <v>972</v>
      </c>
      <c r="Q206" s="57" t="s">
        <v>706</v>
      </c>
    </row>
    <row r="207" s="50" customFormat="true" ht="14.25" hidden="false" customHeight="true" outlineLevel="0" collapsed="false">
      <c r="A207" s="50" t="s">
        <v>250</v>
      </c>
      <c r="B207" s="57" t="s">
        <v>250</v>
      </c>
      <c r="C207" s="57" t="s">
        <v>259</v>
      </c>
      <c r="D207" s="58" t="n">
        <v>46058.0583333333</v>
      </c>
      <c r="E207" s="58" t="n">
        <v>46058.0583333333</v>
      </c>
      <c r="F207" s="58" t="n">
        <v>46058.3659722222</v>
      </c>
      <c r="G207" s="59" t="n">
        <f aca="false">F207-E207</f>
        <v>0.307638888900463</v>
      </c>
      <c r="H207" s="57" t="s">
        <v>252</v>
      </c>
      <c r="I207" s="57"/>
      <c r="J207" s="57" t="s">
        <v>253</v>
      </c>
      <c r="K207" s="57" t="s">
        <v>266</v>
      </c>
      <c r="L207" s="57" t="s">
        <v>434</v>
      </c>
      <c r="M207" s="57" t="s">
        <v>255</v>
      </c>
      <c r="N207" s="57" t="s">
        <v>268</v>
      </c>
      <c r="O207" s="57" t="s">
        <v>257</v>
      </c>
      <c r="P207" s="57" t="s">
        <v>973</v>
      </c>
      <c r="Q207" s="57" t="s">
        <v>706</v>
      </c>
    </row>
    <row r="208" s="50" customFormat="true" ht="14.25" hidden="false" customHeight="true" outlineLevel="0" collapsed="false">
      <c r="A208" s="50" t="s">
        <v>250</v>
      </c>
      <c r="B208" s="57" t="s">
        <v>250</v>
      </c>
      <c r="C208" s="57" t="s">
        <v>260</v>
      </c>
      <c r="D208" s="58" t="n">
        <v>46058.0583333333</v>
      </c>
      <c r="E208" s="58" t="n">
        <v>46058.0583333333</v>
      </c>
      <c r="F208" s="58" t="n">
        <v>46058.3659722222</v>
      </c>
      <c r="G208" s="59" t="n">
        <f aca="false">F208-E208</f>
        <v>0.307638888900463</v>
      </c>
      <c r="H208" s="57" t="s">
        <v>252</v>
      </c>
      <c r="I208" s="57"/>
      <c r="J208" s="57" t="s">
        <v>253</v>
      </c>
      <c r="K208" s="57" t="s">
        <v>266</v>
      </c>
      <c r="L208" s="57" t="s">
        <v>434</v>
      </c>
      <c r="M208" s="57" t="s">
        <v>255</v>
      </c>
      <c r="N208" s="57" t="s">
        <v>268</v>
      </c>
      <c r="O208" s="57" t="s">
        <v>257</v>
      </c>
      <c r="P208" s="57" t="s">
        <v>974</v>
      </c>
      <c r="Q208" s="57" t="s">
        <v>706</v>
      </c>
    </row>
    <row r="209" s="50" customFormat="true" ht="14.25" hidden="false" customHeight="true" outlineLevel="0" collapsed="false">
      <c r="A209" s="50" t="s">
        <v>250</v>
      </c>
      <c r="B209" s="57" t="s">
        <v>250</v>
      </c>
      <c r="C209" s="57" t="s">
        <v>261</v>
      </c>
      <c r="D209" s="58" t="n">
        <v>46058.0583333333</v>
      </c>
      <c r="E209" s="58" t="n">
        <v>46058.0583333333</v>
      </c>
      <c r="F209" s="58" t="n">
        <v>46058.3659722222</v>
      </c>
      <c r="G209" s="59" t="n">
        <f aca="false">F209-E209</f>
        <v>0.307638888900463</v>
      </c>
      <c r="H209" s="57" t="s">
        <v>252</v>
      </c>
      <c r="I209" s="57"/>
      <c r="J209" s="57" t="s">
        <v>253</v>
      </c>
      <c r="K209" s="57" t="s">
        <v>266</v>
      </c>
      <c r="L209" s="57" t="s">
        <v>434</v>
      </c>
      <c r="M209" s="57" t="s">
        <v>255</v>
      </c>
      <c r="N209" s="57" t="s">
        <v>268</v>
      </c>
      <c r="O209" s="57" t="s">
        <v>257</v>
      </c>
      <c r="P209" s="57" t="s">
        <v>975</v>
      </c>
      <c r="Q209" s="57" t="s">
        <v>706</v>
      </c>
    </row>
    <row r="210" s="50" customFormat="true" ht="14.25" hidden="false" customHeight="true" outlineLevel="0" collapsed="false">
      <c r="A210" s="50" t="s">
        <v>262</v>
      </c>
      <c r="B210" s="57" t="s">
        <v>262</v>
      </c>
      <c r="C210" s="57" t="s">
        <v>251</v>
      </c>
      <c r="D210" s="58" t="n">
        <v>46058.0583333333</v>
      </c>
      <c r="E210" s="58" t="n">
        <v>46058.0583333333</v>
      </c>
      <c r="F210" s="58" t="n">
        <v>46058.3659722222</v>
      </c>
      <c r="G210" s="59" t="n">
        <f aca="false">F210-E210</f>
        <v>0.307638888900463</v>
      </c>
      <c r="H210" s="57" t="s">
        <v>252</v>
      </c>
      <c r="I210" s="57"/>
      <c r="J210" s="57" t="s">
        <v>253</v>
      </c>
      <c r="K210" s="57" t="s">
        <v>266</v>
      </c>
      <c r="L210" s="57" t="s">
        <v>434</v>
      </c>
      <c r="M210" s="57" t="s">
        <v>255</v>
      </c>
      <c r="N210" s="57" t="s">
        <v>268</v>
      </c>
      <c r="O210" s="57" t="s">
        <v>257</v>
      </c>
      <c r="P210" s="57" t="s">
        <v>976</v>
      </c>
      <c r="Q210" s="57" t="s">
        <v>706</v>
      </c>
    </row>
    <row r="211" s="50" customFormat="true" ht="14.25" hidden="false" customHeight="true" outlineLevel="0" collapsed="false">
      <c r="A211" s="50" t="s">
        <v>262</v>
      </c>
      <c r="B211" s="57" t="s">
        <v>262</v>
      </c>
      <c r="C211" s="57" t="s">
        <v>258</v>
      </c>
      <c r="D211" s="58" t="n">
        <v>46058.0583333333</v>
      </c>
      <c r="E211" s="58" t="n">
        <v>46058.0583333333</v>
      </c>
      <c r="F211" s="58" t="n">
        <v>46058.3659722222</v>
      </c>
      <c r="G211" s="59" t="n">
        <f aca="false">F211-E211</f>
        <v>0.307638888900463</v>
      </c>
      <c r="H211" s="57" t="s">
        <v>252</v>
      </c>
      <c r="I211" s="57"/>
      <c r="J211" s="57" t="s">
        <v>253</v>
      </c>
      <c r="K211" s="57" t="s">
        <v>266</v>
      </c>
      <c r="L211" s="57" t="s">
        <v>434</v>
      </c>
      <c r="M211" s="57" t="s">
        <v>255</v>
      </c>
      <c r="N211" s="57" t="s">
        <v>268</v>
      </c>
      <c r="O211" s="57" t="s">
        <v>257</v>
      </c>
      <c r="P211" s="57" t="s">
        <v>977</v>
      </c>
      <c r="Q211" s="57" t="s">
        <v>706</v>
      </c>
    </row>
    <row r="212" s="50" customFormat="true" ht="14.25" hidden="false" customHeight="true" outlineLevel="0" collapsed="false">
      <c r="A212" s="50" t="s">
        <v>262</v>
      </c>
      <c r="B212" s="57" t="s">
        <v>262</v>
      </c>
      <c r="C212" s="57" t="s">
        <v>259</v>
      </c>
      <c r="D212" s="58" t="n">
        <v>46058.0583333333</v>
      </c>
      <c r="E212" s="58" t="n">
        <v>46058.0583333333</v>
      </c>
      <c r="F212" s="58" t="n">
        <v>46058.3659722222</v>
      </c>
      <c r="G212" s="59" t="n">
        <f aca="false">F212-E212</f>
        <v>0.307638888900463</v>
      </c>
      <c r="H212" s="57" t="s">
        <v>252</v>
      </c>
      <c r="I212" s="57"/>
      <c r="J212" s="57" t="s">
        <v>253</v>
      </c>
      <c r="K212" s="57" t="s">
        <v>266</v>
      </c>
      <c r="L212" s="57" t="s">
        <v>434</v>
      </c>
      <c r="M212" s="57" t="s">
        <v>255</v>
      </c>
      <c r="N212" s="57" t="s">
        <v>268</v>
      </c>
      <c r="O212" s="57" t="s">
        <v>257</v>
      </c>
      <c r="P212" s="57" t="s">
        <v>978</v>
      </c>
      <c r="Q212" s="57" t="s">
        <v>706</v>
      </c>
    </row>
    <row r="213" s="50" customFormat="true" ht="14.25" hidden="false" customHeight="true" outlineLevel="0" collapsed="false">
      <c r="A213" s="50" t="s">
        <v>262</v>
      </c>
      <c r="B213" s="57" t="s">
        <v>262</v>
      </c>
      <c r="C213" s="57" t="s">
        <v>260</v>
      </c>
      <c r="D213" s="58" t="n">
        <v>46058.0583333333</v>
      </c>
      <c r="E213" s="58" t="n">
        <v>46058.0583333333</v>
      </c>
      <c r="F213" s="58" t="n">
        <v>46058.3659722222</v>
      </c>
      <c r="G213" s="59" t="n">
        <f aca="false">F213-E213</f>
        <v>0.307638888900463</v>
      </c>
      <c r="H213" s="57" t="s">
        <v>252</v>
      </c>
      <c r="I213" s="57"/>
      <c r="J213" s="57" t="s">
        <v>253</v>
      </c>
      <c r="K213" s="57" t="s">
        <v>266</v>
      </c>
      <c r="L213" s="57" t="s">
        <v>434</v>
      </c>
      <c r="M213" s="57" t="s">
        <v>255</v>
      </c>
      <c r="N213" s="57" t="s">
        <v>268</v>
      </c>
      <c r="O213" s="57" t="s">
        <v>257</v>
      </c>
      <c r="P213" s="57" t="s">
        <v>979</v>
      </c>
      <c r="Q213" s="57" t="s">
        <v>706</v>
      </c>
    </row>
    <row r="214" s="50" customFormat="true" ht="14.25" hidden="false" customHeight="true" outlineLevel="0" collapsed="false">
      <c r="A214" s="50" t="s">
        <v>262</v>
      </c>
      <c r="B214" s="57" t="s">
        <v>262</v>
      </c>
      <c r="C214" s="57" t="s">
        <v>261</v>
      </c>
      <c r="D214" s="58" t="n">
        <v>46058.0583333333</v>
      </c>
      <c r="E214" s="58" t="n">
        <v>46058.0583333333</v>
      </c>
      <c r="F214" s="58" t="n">
        <v>46058.3659722222</v>
      </c>
      <c r="G214" s="59" t="n">
        <f aca="false">F214-E214</f>
        <v>0.307638888900463</v>
      </c>
      <c r="H214" s="57" t="s">
        <v>252</v>
      </c>
      <c r="I214" s="57"/>
      <c r="J214" s="57" t="s">
        <v>253</v>
      </c>
      <c r="K214" s="57" t="s">
        <v>266</v>
      </c>
      <c r="L214" s="57" t="s">
        <v>434</v>
      </c>
      <c r="M214" s="57" t="s">
        <v>255</v>
      </c>
      <c r="N214" s="57" t="s">
        <v>268</v>
      </c>
      <c r="O214" s="57" t="s">
        <v>257</v>
      </c>
      <c r="P214" s="57" t="s">
        <v>980</v>
      </c>
      <c r="Q214" s="57" t="s">
        <v>706</v>
      </c>
    </row>
    <row r="215" s="50" customFormat="true" ht="14.25" hidden="false" customHeight="true" outlineLevel="0" collapsed="false">
      <c r="A215" s="50" t="s">
        <v>263</v>
      </c>
      <c r="B215" s="57" t="s">
        <v>263</v>
      </c>
      <c r="C215" s="57" t="s">
        <v>251</v>
      </c>
      <c r="D215" s="58" t="n">
        <v>46058.0583333333</v>
      </c>
      <c r="E215" s="58" t="n">
        <v>46058.0583333333</v>
      </c>
      <c r="F215" s="58" t="n">
        <v>46058.3659722222</v>
      </c>
      <c r="G215" s="59" t="n">
        <f aca="false">F215-E215</f>
        <v>0.307638888900463</v>
      </c>
      <c r="H215" s="57" t="s">
        <v>252</v>
      </c>
      <c r="I215" s="57"/>
      <c r="J215" s="57" t="s">
        <v>253</v>
      </c>
      <c r="K215" s="57" t="s">
        <v>266</v>
      </c>
      <c r="L215" s="57" t="s">
        <v>434</v>
      </c>
      <c r="M215" s="57" t="s">
        <v>255</v>
      </c>
      <c r="N215" s="57" t="s">
        <v>268</v>
      </c>
      <c r="O215" s="57" t="s">
        <v>257</v>
      </c>
      <c r="P215" s="57" t="s">
        <v>981</v>
      </c>
      <c r="Q215" s="57" t="s">
        <v>706</v>
      </c>
    </row>
    <row r="216" s="50" customFormat="true" ht="14.25" hidden="false" customHeight="true" outlineLevel="0" collapsed="false">
      <c r="A216" s="50" t="s">
        <v>263</v>
      </c>
      <c r="B216" s="57" t="s">
        <v>263</v>
      </c>
      <c r="C216" s="57" t="s">
        <v>258</v>
      </c>
      <c r="D216" s="58" t="n">
        <v>46058.0583333333</v>
      </c>
      <c r="E216" s="58" t="n">
        <v>46058.0583333333</v>
      </c>
      <c r="F216" s="58" t="n">
        <v>46058.3659722222</v>
      </c>
      <c r="G216" s="59" t="n">
        <f aca="false">F216-E216</f>
        <v>0.307638888900463</v>
      </c>
      <c r="H216" s="57" t="s">
        <v>252</v>
      </c>
      <c r="I216" s="57"/>
      <c r="J216" s="57" t="s">
        <v>253</v>
      </c>
      <c r="K216" s="57" t="s">
        <v>266</v>
      </c>
      <c r="L216" s="57" t="s">
        <v>434</v>
      </c>
      <c r="M216" s="57" t="s">
        <v>255</v>
      </c>
      <c r="N216" s="57" t="s">
        <v>268</v>
      </c>
      <c r="O216" s="57" t="s">
        <v>257</v>
      </c>
      <c r="P216" s="57" t="s">
        <v>982</v>
      </c>
      <c r="Q216" s="57" t="s">
        <v>706</v>
      </c>
    </row>
    <row r="217" s="50" customFormat="true" ht="14.25" hidden="false" customHeight="true" outlineLevel="0" collapsed="false">
      <c r="A217" s="50" t="s">
        <v>263</v>
      </c>
      <c r="B217" s="57" t="s">
        <v>263</v>
      </c>
      <c r="C217" s="57" t="s">
        <v>259</v>
      </c>
      <c r="D217" s="58" t="n">
        <v>46058.0583333333</v>
      </c>
      <c r="E217" s="58" t="n">
        <v>46058.0583333333</v>
      </c>
      <c r="F217" s="58" t="n">
        <v>46058.3659722222</v>
      </c>
      <c r="G217" s="59" t="n">
        <f aca="false">F217-E217</f>
        <v>0.307638888900463</v>
      </c>
      <c r="H217" s="57" t="s">
        <v>252</v>
      </c>
      <c r="I217" s="57"/>
      <c r="J217" s="57" t="s">
        <v>253</v>
      </c>
      <c r="K217" s="57" t="s">
        <v>266</v>
      </c>
      <c r="L217" s="57" t="s">
        <v>434</v>
      </c>
      <c r="M217" s="57" t="s">
        <v>255</v>
      </c>
      <c r="N217" s="57" t="s">
        <v>268</v>
      </c>
      <c r="O217" s="57" t="s">
        <v>257</v>
      </c>
      <c r="P217" s="57" t="s">
        <v>983</v>
      </c>
      <c r="Q217" s="57" t="s">
        <v>706</v>
      </c>
    </row>
    <row r="218" s="50" customFormat="true" ht="14.25" hidden="false" customHeight="true" outlineLevel="0" collapsed="false">
      <c r="A218" s="50" t="s">
        <v>263</v>
      </c>
      <c r="B218" s="57" t="s">
        <v>263</v>
      </c>
      <c r="C218" s="57" t="s">
        <v>260</v>
      </c>
      <c r="D218" s="58" t="n">
        <v>46058.0583333333</v>
      </c>
      <c r="E218" s="58" t="n">
        <v>46058.0583333333</v>
      </c>
      <c r="F218" s="58" t="n">
        <v>46058.3659722222</v>
      </c>
      <c r="G218" s="59" t="n">
        <f aca="false">F218-E218</f>
        <v>0.307638888900463</v>
      </c>
      <c r="H218" s="57" t="s">
        <v>252</v>
      </c>
      <c r="I218" s="57"/>
      <c r="J218" s="57" t="s">
        <v>253</v>
      </c>
      <c r="K218" s="57" t="s">
        <v>266</v>
      </c>
      <c r="L218" s="57" t="s">
        <v>434</v>
      </c>
      <c r="M218" s="57" t="s">
        <v>255</v>
      </c>
      <c r="N218" s="57" t="s">
        <v>268</v>
      </c>
      <c r="O218" s="57" t="s">
        <v>257</v>
      </c>
      <c r="P218" s="57" t="s">
        <v>984</v>
      </c>
      <c r="Q218" s="57" t="s">
        <v>706</v>
      </c>
    </row>
    <row r="219" s="50" customFormat="true" ht="14.25" hidden="false" customHeight="true" outlineLevel="0" collapsed="false">
      <c r="A219" s="50" t="s">
        <v>263</v>
      </c>
      <c r="B219" s="57" t="s">
        <v>263</v>
      </c>
      <c r="C219" s="57" t="s">
        <v>261</v>
      </c>
      <c r="D219" s="58" t="n">
        <v>46058.0583333333</v>
      </c>
      <c r="E219" s="58" t="n">
        <v>46058.0583333333</v>
      </c>
      <c r="F219" s="58" t="n">
        <v>46058.3659722222</v>
      </c>
      <c r="G219" s="59" t="n">
        <f aca="false">F219-E219</f>
        <v>0.307638888900463</v>
      </c>
      <c r="H219" s="57" t="s">
        <v>252</v>
      </c>
      <c r="I219" s="57"/>
      <c r="J219" s="57" t="s">
        <v>253</v>
      </c>
      <c r="K219" s="57" t="s">
        <v>266</v>
      </c>
      <c r="L219" s="57" t="s">
        <v>434</v>
      </c>
      <c r="M219" s="57" t="s">
        <v>255</v>
      </c>
      <c r="N219" s="57" t="s">
        <v>268</v>
      </c>
      <c r="O219" s="57" t="s">
        <v>257</v>
      </c>
      <c r="P219" s="57" t="s">
        <v>985</v>
      </c>
      <c r="Q219" s="57" t="s">
        <v>706</v>
      </c>
    </row>
    <row r="220" s="50" customFormat="true" ht="14.25" hidden="false" customHeight="true" outlineLevel="0" collapsed="false">
      <c r="A220" s="50" t="s">
        <v>429</v>
      </c>
      <c r="B220" s="57" t="s">
        <v>429</v>
      </c>
      <c r="C220" s="57" t="s">
        <v>261</v>
      </c>
      <c r="D220" s="58" t="n">
        <v>46058.4027777778</v>
      </c>
      <c r="E220" s="58" t="n">
        <v>46058.4027777778</v>
      </c>
      <c r="F220" s="58" t="n">
        <v>46058.4236111111</v>
      </c>
      <c r="G220" s="59" t="n">
        <f aca="false">F220-E220</f>
        <v>0.0208333332986111</v>
      </c>
      <c r="H220" s="57" t="s">
        <v>252</v>
      </c>
      <c r="I220" s="57" t="s">
        <v>284</v>
      </c>
      <c r="J220" s="57" t="s">
        <v>285</v>
      </c>
      <c r="K220" s="57" t="s">
        <v>286</v>
      </c>
      <c r="L220" s="57" t="s">
        <v>352</v>
      </c>
      <c r="M220" s="57" t="s">
        <v>288</v>
      </c>
      <c r="N220" s="57" t="s">
        <v>589</v>
      </c>
      <c r="O220" s="57" t="s">
        <v>986</v>
      </c>
      <c r="P220" s="57" t="s">
        <v>987</v>
      </c>
      <c r="Q220" s="57" t="s">
        <v>713</v>
      </c>
    </row>
    <row r="221" s="50" customFormat="true" ht="14.25" hidden="false" customHeight="true" outlineLevel="0" collapsed="false">
      <c r="A221" s="50" t="s">
        <v>429</v>
      </c>
      <c r="B221" s="57" t="s">
        <v>429</v>
      </c>
      <c r="C221" s="57" t="s">
        <v>259</v>
      </c>
      <c r="D221" s="58" t="n">
        <v>46058.4027777778</v>
      </c>
      <c r="E221" s="58" t="n">
        <v>46058.4027777778</v>
      </c>
      <c r="F221" s="58" t="n">
        <v>46058.4236111111</v>
      </c>
      <c r="G221" s="59" t="n">
        <f aca="false">F221-E221</f>
        <v>0.0208333332986111</v>
      </c>
      <c r="H221" s="57" t="s">
        <v>252</v>
      </c>
      <c r="I221" s="57" t="s">
        <v>284</v>
      </c>
      <c r="J221" s="57" t="s">
        <v>285</v>
      </c>
      <c r="K221" s="57" t="s">
        <v>286</v>
      </c>
      <c r="L221" s="57" t="s">
        <v>352</v>
      </c>
      <c r="M221" s="57" t="s">
        <v>288</v>
      </c>
      <c r="N221" s="57" t="s">
        <v>589</v>
      </c>
      <c r="O221" s="57" t="s">
        <v>986</v>
      </c>
      <c r="P221" s="57" t="s">
        <v>988</v>
      </c>
      <c r="Q221" s="57" t="s">
        <v>713</v>
      </c>
    </row>
    <row r="222" s="50" customFormat="true" ht="14.25" hidden="false" customHeight="true" outlineLevel="0" collapsed="false">
      <c r="A222" s="50" t="s">
        <v>429</v>
      </c>
      <c r="B222" s="57" t="s">
        <v>429</v>
      </c>
      <c r="C222" s="57" t="s">
        <v>260</v>
      </c>
      <c r="D222" s="58" t="n">
        <v>46058.4027777778</v>
      </c>
      <c r="E222" s="58" t="n">
        <v>46058.4027777778</v>
      </c>
      <c r="F222" s="58" t="n">
        <v>46058.4236111111</v>
      </c>
      <c r="G222" s="59" t="n">
        <f aca="false">F222-E222</f>
        <v>0.0208333332986111</v>
      </c>
      <c r="H222" s="57" t="s">
        <v>252</v>
      </c>
      <c r="I222" s="57" t="s">
        <v>284</v>
      </c>
      <c r="J222" s="57" t="s">
        <v>285</v>
      </c>
      <c r="K222" s="57" t="s">
        <v>286</v>
      </c>
      <c r="L222" s="57" t="s">
        <v>352</v>
      </c>
      <c r="M222" s="57" t="s">
        <v>288</v>
      </c>
      <c r="N222" s="57" t="s">
        <v>589</v>
      </c>
      <c r="O222" s="57" t="s">
        <v>986</v>
      </c>
      <c r="P222" s="57" t="s">
        <v>989</v>
      </c>
      <c r="Q222" s="57" t="s">
        <v>713</v>
      </c>
    </row>
    <row r="223" s="50" customFormat="true" ht="14.25" hidden="false" customHeight="true" outlineLevel="0" collapsed="false">
      <c r="A223" s="50" t="s">
        <v>429</v>
      </c>
      <c r="B223" s="57" t="s">
        <v>429</v>
      </c>
      <c r="C223" s="57" t="s">
        <v>251</v>
      </c>
      <c r="D223" s="58" t="n">
        <v>46058.4027777778</v>
      </c>
      <c r="E223" s="58" t="n">
        <v>46058.4027777778</v>
      </c>
      <c r="F223" s="58" t="n">
        <v>46058.4236111111</v>
      </c>
      <c r="G223" s="59" t="n">
        <f aca="false">F223-E223</f>
        <v>0.0208333332986111</v>
      </c>
      <c r="H223" s="57" t="s">
        <v>252</v>
      </c>
      <c r="I223" s="57" t="s">
        <v>284</v>
      </c>
      <c r="J223" s="57" t="s">
        <v>285</v>
      </c>
      <c r="K223" s="57" t="s">
        <v>286</v>
      </c>
      <c r="L223" s="57" t="s">
        <v>352</v>
      </c>
      <c r="M223" s="57" t="s">
        <v>288</v>
      </c>
      <c r="N223" s="57" t="s">
        <v>589</v>
      </c>
      <c r="O223" s="57" t="s">
        <v>986</v>
      </c>
      <c r="P223" s="57" t="s">
        <v>990</v>
      </c>
      <c r="Q223" s="57" t="s">
        <v>713</v>
      </c>
    </row>
    <row r="224" s="50" customFormat="true" ht="14.25" hidden="false" customHeight="true" outlineLevel="0" collapsed="false">
      <c r="A224" s="50" t="s">
        <v>429</v>
      </c>
      <c r="B224" s="57" t="s">
        <v>429</v>
      </c>
      <c r="C224" s="57" t="s">
        <v>258</v>
      </c>
      <c r="D224" s="58" t="n">
        <v>46058.4027777778</v>
      </c>
      <c r="E224" s="58" t="n">
        <v>46058.4027777778</v>
      </c>
      <c r="F224" s="58" t="n">
        <v>46058.4236111111</v>
      </c>
      <c r="G224" s="59" t="n">
        <f aca="false">F224-E224</f>
        <v>0.0208333332986111</v>
      </c>
      <c r="H224" s="57" t="s">
        <v>252</v>
      </c>
      <c r="I224" s="57" t="s">
        <v>284</v>
      </c>
      <c r="J224" s="57" t="s">
        <v>285</v>
      </c>
      <c r="K224" s="57" t="s">
        <v>286</v>
      </c>
      <c r="L224" s="57" t="s">
        <v>352</v>
      </c>
      <c r="M224" s="57" t="s">
        <v>288</v>
      </c>
      <c r="N224" s="57" t="s">
        <v>589</v>
      </c>
      <c r="O224" s="57" t="s">
        <v>986</v>
      </c>
      <c r="P224" s="57" t="s">
        <v>991</v>
      </c>
      <c r="Q224" s="57" t="s">
        <v>713</v>
      </c>
    </row>
    <row r="225" s="50" customFormat="true" ht="14.25" hidden="false" customHeight="true" outlineLevel="0" collapsed="false">
      <c r="A225" s="50" t="s">
        <v>992</v>
      </c>
      <c r="B225" s="57" t="s">
        <v>142</v>
      </c>
      <c r="C225" s="57" t="s">
        <v>641</v>
      </c>
      <c r="D225" s="58" t="n">
        <v>46058.4416666667</v>
      </c>
      <c r="E225" s="58" t="n">
        <v>46058.4416666667</v>
      </c>
      <c r="F225" s="58" t="n">
        <v>46058.5055555556</v>
      </c>
      <c r="G225" s="59" t="n">
        <f aca="false">F225-E225</f>
        <v>0.063888888900463</v>
      </c>
      <c r="H225" s="57" t="s">
        <v>252</v>
      </c>
      <c r="I225" s="57"/>
      <c r="J225" s="57" t="s">
        <v>253</v>
      </c>
      <c r="K225" s="57" t="s">
        <v>266</v>
      </c>
      <c r="L225" s="57" t="s">
        <v>993</v>
      </c>
      <c r="M225" s="57" t="s">
        <v>255</v>
      </c>
      <c r="N225" s="57" t="s">
        <v>256</v>
      </c>
      <c r="O225" s="57" t="s">
        <v>994</v>
      </c>
      <c r="P225" s="57" t="s">
        <v>995</v>
      </c>
      <c r="Q225" s="57" t="s">
        <v>706</v>
      </c>
    </row>
    <row r="226" s="50" customFormat="true" ht="14.25" hidden="false" customHeight="true" outlineLevel="0" collapsed="false">
      <c r="A226" s="50" t="s">
        <v>718</v>
      </c>
      <c r="B226" s="57" t="s">
        <v>331</v>
      </c>
      <c r="C226" s="57" t="s">
        <v>654</v>
      </c>
      <c r="D226" s="58" t="n">
        <v>46058.5409722222</v>
      </c>
      <c r="E226" s="58" t="n">
        <v>46058.5409722222</v>
      </c>
      <c r="F226" s="58" t="n">
        <v>46058.6770833333</v>
      </c>
      <c r="G226" s="59" t="n">
        <f aca="false">F226-E226</f>
        <v>0.136111111099537</v>
      </c>
      <c r="H226" s="57" t="s">
        <v>252</v>
      </c>
      <c r="I226" s="57"/>
      <c r="J226" s="57" t="s">
        <v>333</v>
      </c>
      <c r="K226" s="57" t="s">
        <v>334</v>
      </c>
      <c r="L226" s="57" t="s">
        <v>655</v>
      </c>
      <c r="M226" s="57" t="s">
        <v>336</v>
      </c>
      <c r="N226" s="57" t="s">
        <v>289</v>
      </c>
      <c r="O226" s="57" t="s">
        <v>719</v>
      </c>
      <c r="P226" s="57" t="s">
        <v>996</v>
      </c>
      <c r="Q226" s="57" t="s">
        <v>698</v>
      </c>
    </row>
    <row r="227" s="50" customFormat="true" ht="14.25" hidden="false" customHeight="true" outlineLevel="0" collapsed="false">
      <c r="A227" s="50" t="s">
        <v>937</v>
      </c>
      <c r="B227" s="57" t="s">
        <v>48</v>
      </c>
      <c r="C227" s="57" t="s">
        <v>294</v>
      </c>
      <c r="D227" s="58" t="n">
        <v>46058.5756944444</v>
      </c>
      <c r="E227" s="58" t="n">
        <v>46058.5756944444</v>
      </c>
      <c r="F227" s="58" t="n">
        <v>46058.6694444444</v>
      </c>
      <c r="G227" s="59" t="n">
        <f aca="false">F227-E227</f>
        <v>0.09375</v>
      </c>
      <c r="H227" s="57" t="s">
        <v>252</v>
      </c>
      <c r="I227" s="57"/>
      <c r="J227" s="57" t="s">
        <v>253</v>
      </c>
      <c r="K227" s="57" t="s">
        <v>266</v>
      </c>
      <c r="L227" s="57" t="s">
        <v>434</v>
      </c>
      <c r="M227" s="57" t="s">
        <v>255</v>
      </c>
      <c r="N227" s="57" t="s">
        <v>256</v>
      </c>
      <c r="O227" s="57" t="s">
        <v>257</v>
      </c>
      <c r="P227" s="57" t="s">
        <v>997</v>
      </c>
      <c r="Q227" s="57" t="s">
        <v>706</v>
      </c>
    </row>
    <row r="228" s="50" customFormat="true" ht="14.25" hidden="false" customHeight="true" outlineLevel="0" collapsed="false">
      <c r="A228" s="50" t="s">
        <v>937</v>
      </c>
      <c r="B228" s="57" t="s">
        <v>48</v>
      </c>
      <c r="C228" s="57" t="s">
        <v>295</v>
      </c>
      <c r="D228" s="58" t="n">
        <v>46058.5756944444</v>
      </c>
      <c r="E228" s="58" t="n">
        <v>46058.5756944444</v>
      </c>
      <c r="F228" s="58" t="n">
        <v>46058.6694444444</v>
      </c>
      <c r="G228" s="59" t="n">
        <f aca="false">F228-E228</f>
        <v>0.09375</v>
      </c>
      <c r="H228" s="57" t="s">
        <v>252</v>
      </c>
      <c r="I228" s="57"/>
      <c r="J228" s="57" t="s">
        <v>253</v>
      </c>
      <c r="K228" s="57" t="s">
        <v>266</v>
      </c>
      <c r="L228" s="57" t="s">
        <v>434</v>
      </c>
      <c r="M228" s="57" t="s">
        <v>255</v>
      </c>
      <c r="N228" s="57" t="s">
        <v>256</v>
      </c>
      <c r="O228" s="57" t="s">
        <v>257</v>
      </c>
      <c r="P228" s="57" t="s">
        <v>998</v>
      </c>
      <c r="Q228" s="57" t="s">
        <v>706</v>
      </c>
    </row>
    <row r="229" s="50" customFormat="true" ht="14.25" hidden="false" customHeight="true" outlineLevel="0" collapsed="false">
      <c r="A229" s="50" t="s">
        <v>937</v>
      </c>
      <c r="B229" s="57" t="s">
        <v>48</v>
      </c>
      <c r="C229" s="57" t="s">
        <v>296</v>
      </c>
      <c r="D229" s="58" t="n">
        <v>46058.5756944444</v>
      </c>
      <c r="E229" s="58" t="n">
        <v>46058.5756944444</v>
      </c>
      <c r="F229" s="58" t="n">
        <v>46058.6694444444</v>
      </c>
      <c r="G229" s="59" t="n">
        <f aca="false">F229-E229</f>
        <v>0.09375</v>
      </c>
      <c r="H229" s="57" t="s">
        <v>252</v>
      </c>
      <c r="I229" s="57"/>
      <c r="J229" s="57" t="s">
        <v>253</v>
      </c>
      <c r="K229" s="57" t="s">
        <v>266</v>
      </c>
      <c r="L229" s="57" t="s">
        <v>434</v>
      </c>
      <c r="M229" s="57" t="s">
        <v>255</v>
      </c>
      <c r="N229" s="57" t="s">
        <v>256</v>
      </c>
      <c r="O229" s="57" t="s">
        <v>257</v>
      </c>
      <c r="P229" s="57" t="s">
        <v>999</v>
      </c>
      <c r="Q229" s="57" t="s">
        <v>706</v>
      </c>
    </row>
    <row r="230" s="50" customFormat="true" ht="14.25" hidden="false" customHeight="true" outlineLevel="0" collapsed="false">
      <c r="A230" s="50" t="s">
        <v>937</v>
      </c>
      <c r="B230" s="57" t="s">
        <v>48</v>
      </c>
      <c r="C230" s="57" t="s">
        <v>297</v>
      </c>
      <c r="D230" s="58" t="n">
        <v>46058.5756944444</v>
      </c>
      <c r="E230" s="58" t="n">
        <v>46058.5756944444</v>
      </c>
      <c r="F230" s="58" t="n">
        <v>46058.6694444444</v>
      </c>
      <c r="G230" s="59" t="n">
        <f aca="false">F230-E230</f>
        <v>0.09375</v>
      </c>
      <c r="H230" s="57" t="s">
        <v>252</v>
      </c>
      <c r="I230" s="57"/>
      <c r="J230" s="57" t="s">
        <v>253</v>
      </c>
      <c r="K230" s="57" t="s">
        <v>266</v>
      </c>
      <c r="L230" s="57" t="s">
        <v>434</v>
      </c>
      <c r="M230" s="57" t="s">
        <v>255</v>
      </c>
      <c r="N230" s="57" t="s">
        <v>256</v>
      </c>
      <c r="O230" s="57" t="s">
        <v>257</v>
      </c>
      <c r="P230" s="57" t="s">
        <v>1000</v>
      </c>
      <c r="Q230" s="57" t="s">
        <v>706</v>
      </c>
    </row>
    <row r="231" s="50" customFormat="true" ht="14.25" hidden="false" customHeight="true" outlineLevel="0" collapsed="false">
      <c r="A231" s="50" t="s">
        <v>937</v>
      </c>
      <c r="B231" s="57" t="s">
        <v>48</v>
      </c>
      <c r="C231" s="57" t="s">
        <v>298</v>
      </c>
      <c r="D231" s="58" t="n">
        <v>46058.5756944444</v>
      </c>
      <c r="E231" s="58" t="n">
        <v>46058.5756944444</v>
      </c>
      <c r="F231" s="58" t="n">
        <v>46058.6694444444</v>
      </c>
      <c r="G231" s="59" t="n">
        <f aca="false">F231-E231</f>
        <v>0.09375</v>
      </c>
      <c r="H231" s="57" t="s">
        <v>252</v>
      </c>
      <c r="I231" s="57"/>
      <c r="J231" s="57" t="s">
        <v>253</v>
      </c>
      <c r="K231" s="57" t="s">
        <v>266</v>
      </c>
      <c r="L231" s="57" t="s">
        <v>434</v>
      </c>
      <c r="M231" s="57" t="s">
        <v>255</v>
      </c>
      <c r="N231" s="57" t="s">
        <v>256</v>
      </c>
      <c r="O231" s="57" t="s">
        <v>257</v>
      </c>
      <c r="P231" s="57" t="s">
        <v>1001</v>
      </c>
      <c r="Q231" s="57" t="s">
        <v>706</v>
      </c>
    </row>
    <row r="232" s="50" customFormat="true" ht="14.25" hidden="false" customHeight="true" outlineLevel="0" collapsed="false">
      <c r="A232" s="50" t="s">
        <v>937</v>
      </c>
      <c r="B232" s="57" t="s">
        <v>48</v>
      </c>
      <c r="C232" s="57" t="s">
        <v>299</v>
      </c>
      <c r="D232" s="58" t="n">
        <v>46058.5756944444</v>
      </c>
      <c r="E232" s="58" t="n">
        <v>46058.5756944444</v>
      </c>
      <c r="F232" s="58" t="n">
        <v>46058.6694444444</v>
      </c>
      <c r="G232" s="59" t="n">
        <f aca="false">F232-E232</f>
        <v>0.09375</v>
      </c>
      <c r="H232" s="57" t="s">
        <v>252</v>
      </c>
      <c r="I232" s="57"/>
      <c r="J232" s="57" t="s">
        <v>253</v>
      </c>
      <c r="K232" s="57" t="s">
        <v>266</v>
      </c>
      <c r="L232" s="57" t="s">
        <v>434</v>
      </c>
      <c r="M232" s="57" t="s">
        <v>255</v>
      </c>
      <c r="N232" s="57" t="s">
        <v>256</v>
      </c>
      <c r="O232" s="57" t="s">
        <v>257</v>
      </c>
      <c r="P232" s="57" t="s">
        <v>1002</v>
      </c>
      <c r="Q232" s="57" t="s">
        <v>706</v>
      </c>
    </row>
    <row r="233" s="50" customFormat="true" ht="14.25" hidden="false" customHeight="true" outlineLevel="0" collapsed="false">
      <c r="A233" s="50" t="s">
        <v>937</v>
      </c>
      <c r="B233" s="57" t="s">
        <v>48</v>
      </c>
      <c r="C233" s="57" t="s">
        <v>300</v>
      </c>
      <c r="D233" s="58" t="n">
        <v>46058.5756944444</v>
      </c>
      <c r="E233" s="58" t="n">
        <v>46058.5756944444</v>
      </c>
      <c r="F233" s="58" t="n">
        <v>46058.6694444444</v>
      </c>
      <c r="G233" s="59" t="n">
        <f aca="false">F233-E233</f>
        <v>0.09375</v>
      </c>
      <c r="H233" s="57" t="s">
        <v>252</v>
      </c>
      <c r="I233" s="57"/>
      <c r="J233" s="57" t="s">
        <v>253</v>
      </c>
      <c r="K233" s="57" t="s">
        <v>266</v>
      </c>
      <c r="L233" s="57" t="s">
        <v>434</v>
      </c>
      <c r="M233" s="57" t="s">
        <v>255</v>
      </c>
      <c r="N233" s="57" t="s">
        <v>256</v>
      </c>
      <c r="O233" s="57" t="s">
        <v>257</v>
      </c>
      <c r="P233" s="57" t="s">
        <v>1003</v>
      </c>
      <c r="Q233" s="57" t="s">
        <v>706</v>
      </c>
    </row>
    <row r="234" s="50" customFormat="true" ht="14.25" hidden="false" customHeight="true" outlineLevel="0" collapsed="false">
      <c r="A234" s="50" t="s">
        <v>937</v>
      </c>
      <c r="B234" s="57" t="s">
        <v>48</v>
      </c>
      <c r="C234" s="57" t="s">
        <v>301</v>
      </c>
      <c r="D234" s="58" t="n">
        <v>46058.5756944444</v>
      </c>
      <c r="E234" s="58" t="n">
        <v>46058.5756944444</v>
      </c>
      <c r="F234" s="58" t="n">
        <v>46058.6694444444</v>
      </c>
      <c r="G234" s="59" t="n">
        <f aca="false">F234-E234</f>
        <v>0.09375</v>
      </c>
      <c r="H234" s="57" t="s">
        <v>252</v>
      </c>
      <c r="I234" s="57"/>
      <c r="J234" s="57" t="s">
        <v>253</v>
      </c>
      <c r="K234" s="57" t="s">
        <v>266</v>
      </c>
      <c r="L234" s="57" t="s">
        <v>434</v>
      </c>
      <c r="M234" s="57" t="s">
        <v>255</v>
      </c>
      <c r="N234" s="57" t="s">
        <v>256</v>
      </c>
      <c r="O234" s="57" t="s">
        <v>257</v>
      </c>
      <c r="P234" s="57" t="s">
        <v>1004</v>
      </c>
      <c r="Q234" s="57" t="s">
        <v>706</v>
      </c>
    </row>
    <row r="235" s="50" customFormat="true" ht="14.25" hidden="false" customHeight="true" outlineLevel="0" collapsed="false">
      <c r="A235" s="50" t="s">
        <v>946</v>
      </c>
      <c r="B235" s="57" t="s">
        <v>48</v>
      </c>
      <c r="C235" s="57" t="s">
        <v>302</v>
      </c>
      <c r="D235" s="58" t="n">
        <v>46058.5756944444</v>
      </c>
      <c r="E235" s="58" t="n">
        <v>46058.5756944444</v>
      </c>
      <c r="F235" s="58" t="n">
        <v>46058.6694444444</v>
      </c>
      <c r="G235" s="59" t="n">
        <f aca="false">F235-E235</f>
        <v>0.09375</v>
      </c>
      <c r="H235" s="57" t="s">
        <v>252</v>
      </c>
      <c r="I235" s="57"/>
      <c r="J235" s="57" t="s">
        <v>253</v>
      </c>
      <c r="K235" s="57" t="s">
        <v>266</v>
      </c>
      <c r="L235" s="57" t="s">
        <v>434</v>
      </c>
      <c r="M235" s="57" t="s">
        <v>255</v>
      </c>
      <c r="N235" s="57" t="s">
        <v>256</v>
      </c>
      <c r="O235" s="57" t="s">
        <v>257</v>
      </c>
      <c r="P235" s="57" t="s">
        <v>1005</v>
      </c>
      <c r="Q235" s="57" t="s">
        <v>706</v>
      </c>
    </row>
    <row r="236" s="50" customFormat="true" ht="14.25" hidden="false" customHeight="true" outlineLevel="0" collapsed="false">
      <c r="A236" s="50" t="s">
        <v>946</v>
      </c>
      <c r="B236" s="57" t="s">
        <v>48</v>
      </c>
      <c r="C236" s="57" t="s">
        <v>303</v>
      </c>
      <c r="D236" s="58" t="n">
        <v>46058.5756944444</v>
      </c>
      <c r="E236" s="58" t="n">
        <v>46058.5756944444</v>
      </c>
      <c r="F236" s="58" t="n">
        <v>46058.6694444444</v>
      </c>
      <c r="G236" s="59" t="n">
        <f aca="false">F236-E236</f>
        <v>0.09375</v>
      </c>
      <c r="H236" s="57" t="s">
        <v>252</v>
      </c>
      <c r="I236" s="57"/>
      <c r="J236" s="57" t="s">
        <v>253</v>
      </c>
      <c r="K236" s="57" t="s">
        <v>266</v>
      </c>
      <c r="L236" s="57" t="s">
        <v>434</v>
      </c>
      <c r="M236" s="57" t="s">
        <v>255</v>
      </c>
      <c r="N236" s="57" t="s">
        <v>256</v>
      </c>
      <c r="O236" s="57" t="s">
        <v>257</v>
      </c>
      <c r="P236" s="57" t="s">
        <v>1006</v>
      </c>
      <c r="Q236" s="57" t="s">
        <v>706</v>
      </c>
    </row>
    <row r="237" s="50" customFormat="true" ht="14.25" hidden="false" customHeight="true" outlineLevel="0" collapsed="false">
      <c r="A237" s="50" t="s">
        <v>946</v>
      </c>
      <c r="B237" s="57" t="s">
        <v>48</v>
      </c>
      <c r="C237" s="57" t="s">
        <v>304</v>
      </c>
      <c r="D237" s="58" t="n">
        <v>46058.5756944444</v>
      </c>
      <c r="E237" s="58" t="n">
        <v>46058.5756944444</v>
      </c>
      <c r="F237" s="58" t="n">
        <v>46058.6694444444</v>
      </c>
      <c r="G237" s="59" t="n">
        <f aca="false">F237-E237</f>
        <v>0.09375</v>
      </c>
      <c r="H237" s="57" t="s">
        <v>252</v>
      </c>
      <c r="I237" s="57"/>
      <c r="J237" s="57" t="s">
        <v>253</v>
      </c>
      <c r="K237" s="57" t="s">
        <v>266</v>
      </c>
      <c r="L237" s="57" t="s">
        <v>434</v>
      </c>
      <c r="M237" s="57" t="s">
        <v>255</v>
      </c>
      <c r="N237" s="57" t="s">
        <v>256</v>
      </c>
      <c r="O237" s="57" t="s">
        <v>257</v>
      </c>
      <c r="P237" s="57" t="s">
        <v>1007</v>
      </c>
      <c r="Q237" s="57" t="s">
        <v>706</v>
      </c>
    </row>
    <row r="238" s="50" customFormat="true" ht="14.25" hidden="false" customHeight="true" outlineLevel="0" collapsed="false">
      <c r="A238" s="50" t="s">
        <v>946</v>
      </c>
      <c r="B238" s="57" t="s">
        <v>48</v>
      </c>
      <c r="C238" s="57" t="s">
        <v>305</v>
      </c>
      <c r="D238" s="58" t="n">
        <v>46058.5756944444</v>
      </c>
      <c r="E238" s="58" t="n">
        <v>46058.5756944444</v>
      </c>
      <c r="F238" s="58" t="n">
        <v>46058.6694444444</v>
      </c>
      <c r="G238" s="59" t="n">
        <f aca="false">F238-E238</f>
        <v>0.09375</v>
      </c>
      <c r="H238" s="57" t="s">
        <v>252</v>
      </c>
      <c r="I238" s="57"/>
      <c r="J238" s="57" t="s">
        <v>253</v>
      </c>
      <c r="K238" s="57" t="s">
        <v>266</v>
      </c>
      <c r="L238" s="57" t="s">
        <v>434</v>
      </c>
      <c r="M238" s="57" t="s">
        <v>255</v>
      </c>
      <c r="N238" s="57" t="s">
        <v>256</v>
      </c>
      <c r="O238" s="57" t="s">
        <v>257</v>
      </c>
      <c r="P238" s="57" t="s">
        <v>1008</v>
      </c>
      <c r="Q238" s="57" t="s">
        <v>706</v>
      </c>
    </row>
    <row r="239" s="50" customFormat="true" ht="14.25" hidden="false" customHeight="true" outlineLevel="0" collapsed="false">
      <c r="A239" s="50" t="s">
        <v>946</v>
      </c>
      <c r="B239" s="57" t="s">
        <v>48</v>
      </c>
      <c r="C239" s="57" t="s">
        <v>306</v>
      </c>
      <c r="D239" s="58" t="n">
        <v>46058.5756944444</v>
      </c>
      <c r="E239" s="58" t="n">
        <v>46058.5756944444</v>
      </c>
      <c r="F239" s="58" t="n">
        <v>46058.6694444444</v>
      </c>
      <c r="G239" s="59" t="n">
        <f aca="false">F239-E239</f>
        <v>0.09375</v>
      </c>
      <c r="H239" s="57" t="s">
        <v>252</v>
      </c>
      <c r="I239" s="57"/>
      <c r="J239" s="57" t="s">
        <v>253</v>
      </c>
      <c r="K239" s="57" t="s">
        <v>266</v>
      </c>
      <c r="L239" s="57" t="s">
        <v>434</v>
      </c>
      <c r="M239" s="57" t="s">
        <v>255</v>
      </c>
      <c r="N239" s="57" t="s">
        <v>256</v>
      </c>
      <c r="O239" s="57" t="s">
        <v>257</v>
      </c>
      <c r="P239" s="57" t="s">
        <v>1009</v>
      </c>
      <c r="Q239" s="57" t="s">
        <v>706</v>
      </c>
    </row>
    <row r="240" s="50" customFormat="true" ht="14.25" hidden="false" customHeight="true" outlineLevel="0" collapsed="false">
      <c r="A240" s="50" t="s">
        <v>946</v>
      </c>
      <c r="B240" s="57" t="s">
        <v>48</v>
      </c>
      <c r="C240" s="57" t="s">
        <v>307</v>
      </c>
      <c r="D240" s="58" t="n">
        <v>46058.5756944444</v>
      </c>
      <c r="E240" s="58" t="n">
        <v>46058.5756944444</v>
      </c>
      <c r="F240" s="58" t="n">
        <v>46058.6694444444</v>
      </c>
      <c r="G240" s="59" t="n">
        <f aca="false">F240-E240</f>
        <v>0.09375</v>
      </c>
      <c r="H240" s="57" t="s">
        <v>252</v>
      </c>
      <c r="I240" s="57"/>
      <c r="J240" s="57" t="s">
        <v>253</v>
      </c>
      <c r="K240" s="57" t="s">
        <v>266</v>
      </c>
      <c r="L240" s="57" t="s">
        <v>434</v>
      </c>
      <c r="M240" s="57" t="s">
        <v>255</v>
      </c>
      <c r="N240" s="57" t="s">
        <v>256</v>
      </c>
      <c r="O240" s="57" t="s">
        <v>257</v>
      </c>
      <c r="P240" s="57" t="s">
        <v>1010</v>
      </c>
      <c r="Q240" s="57" t="s">
        <v>706</v>
      </c>
    </row>
    <row r="241" s="50" customFormat="true" ht="14.25" hidden="false" customHeight="true" outlineLevel="0" collapsed="false">
      <c r="A241" s="50" t="s">
        <v>946</v>
      </c>
      <c r="B241" s="57" t="s">
        <v>48</v>
      </c>
      <c r="C241" s="57" t="s">
        <v>308</v>
      </c>
      <c r="D241" s="58" t="n">
        <v>46058.5756944444</v>
      </c>
      <c r="E241" s="58" t="n">
        <v>46058.5756944444</v>
      </c>
      <c r="F241" s="58" t="n">
        <v>46058.6694444444</v>
      </c>
      <c r="G241" s="59" t="n">
        <f aca="false">F241-E241</f>
        <v>0.09375</v>
      </c>
      <c r="H241" s="57" t="s">
        <v>252</v>
      </c>
      <c r="I241" s="57"/>
      <c r="J241" s="57" t="s">
        <v>253</v>
      </c>
      <c r="K241" s="57" t="s">
        <v>266</v>
      </c>
      <c r="L241" s="57" t="s">
        <v>434</v>
      </c>
      <c r="M241" s="57" t="s">
        <v>255</v>
      </c>
      <c r="N241" s="57" t="s">
        <v>256</v>
      </c>
      <c r="O241" s="57" t="s">
        <v>257</v>
      </c>
      <c r="P241" s="57" t="s">
        <v>1011</v>
      </c>
      <c r="Q241" s="57" t="s">
        <v>706</v>
      </c>
    </row>
    <row r="242" s="50" customFormat="true" ht="14.25" hidden="false" customHeight="true" outlineLevel="0" collapsed="false">
      <c r="A242" s="50" t="s">
        <v>954</v>
      </c>
      <c r="B242" s="57" t="s">
        <v>48</v>
      </c>
      <c r="C242" s="57" t="s">
        <v>309</v>
      </c>
      <c r="D242" s="58" t="n">
        <v>46058.5756944444</v>
      </c>
      <c r="E242" s="58" t="n">
        <v>46058.5756944444</v>
      </c>
      <c r="F242" s="58" t="n">
        <v>46058.6694444444</v>
      </c>
      <c r="G242" s="59" t="n">
        <f aca="false">F242-E242</f>
        <v>0.09375</v>
      </c>
      <c r="H242" s="57" t="s">
        <v>252</v>
      </c>
      <c r="I242" s="57"/>
      <c r="J242" s="57" t="s">
        <v>253</v>
      </c>
      <c r="K242" s="57" t="s">
        <v>266</v>
      </c>
      <c r="L242" s="57" t="s">
        <v>434</v>
      </c>
      <c r="M242" s="57" t="s">
        <v>255</v>
      </c>
      <c r="N242" s="57" t="s">
        <v>256</v>
      </c>
      <c r="O242" s="57" t="s">
        <v>257</v>
      </c>
      <c r="P242" s="57" t="s">
        <v>1012</v>
      </c>
      <c r="Q242" s="57" t="s">
        <v>706</v>
      </c>
    </row>
    <row r="243" s="50" customFormat="true" ht="14.25" hidden="false" customHeight="true" outlineLevel="0" collapsed="false">
      <c r="A243" s="50" t="s">
        <v>954</v>
      </c>
      <c r="B243" s="57" t="s">
        <v>48</v>
      </c>
      <c r="C243" s="57" t="s">
        <v>310</v>
      </c>
      <c r="D243" s="58" t="n">
        <v>46058.5756944444</v>
      </c>
      <c r="E243" s="58" t="n">
        <v>46058.5756944444</v>
      </c>
      <c r="F243" s="58" t="n">
        <v>46058.6694444444</v>
      </c>
      <c r="G243" s="59" t="n">
        <f aca="false">F243-E243</f>
        <v>0.09375</v>
      </c>
      <c r="H243" s="57" t="s">
        <v>252</v>
      </c>
      <c r="I243" s="57"/>
      <c r="J243" s="57" t="s">
        <v>253</v>
      </c>
      <c r="K243" s="57" t="s">
        <v>266</v>
      </c>
      <c r="L243" s="57" t="s">
        <v>434</v>
      </c>
      <c r="M243" s="57" t="s">
        <v>255</v>
      </c>
      <c r="N243" s="57" t="s">
        <v>256</v>
      </c>
      <c r="O243" s="57" t="s">
        <v>257</v>
      </c>
      <c r="P243" s="57" t="s">
        <v>1013</v>
      </c>
      <c r="Q243" s="57" t="s">
        <v>706</v>
      </c>
    </row>
    <row r="244" s="50" customFormat="true" ht="14.25" hidden="false" customHeight="true" outlineLevel="0" collapsed="false">
      <c r="A244" s="50" t="s">
        <v>954</v>
      </c>
      <c r="B244" s="57" t="s">
        <v>48</v>
      </c>
      <c r="C244" s="57" t="s">
        <v>311</v>
      </c>
      <c r="D244" s="58" t="n">
        <v>46058.5756944444</v>
      </c>
      <c r="E244" s="58" t="n">
        <v>46058.5756944444</v>
      </c>
      <c r="F244" s="58" t="n">
        <v>46058.6694444444</v>
      </c>
      <c r="G244" s="59" t="n">
        <f aca="false">F244-E244</f>
        <v>0.09375</v>
      </c>
      <c r="H244" s="57" t="s">
        <v>252</v>
      </c>
      <c r="I244" s="57"/>
      <c r="J244" s="57" t="s">
        <v>253</v>
      </c>
      <c r="K244" s="57" t="s">
        <v>266</v>
      </c>
      <c r="L244" s="57" t="s">
        <v>434</v>
      </c>
      <c r="M244" s="57" t="s">
        <v>255</v>
      </c>
      <c r="N244" s="57" t="s">
        <v>256</v>
      </c>
      <c r="O244" s="57" t="s">
        <v>257</v>
      </c>
      <c r="P244" s="57" t="s">
        <v>1014</v>
      </c>
      <c r="Q244" s="57" t="s">
        <v>706</v>
      </c>
    </row>
    <row r="245" s="50" customFormat="true" ht="14.25" hidden="false" customHeight="true" outlineLevel="0" collapsed="false">
      <c r="A245" s="50" t="s">
        <v>954</v>
      </c>
      <c r="B245" s="57" t="s">
        <v>48</v>
      </c>
      <c r="C245" s="57" t="s">
        <v>312</v>
      </c>
      <c r="D245" s="58" t="n">
        <v>46058.5756944444</v>
      </c>
      <c r="E245" s="58" t="n">
        <v>46058.5756944444</v>
      </c>
      <c r="F245" s="58" t="n">
        <v>46058.6694444444</v>
      </c>
      <c r="G245" s="59" t="n">
        <f aca="false">F245-E245</f>
        <v>0.09375</v>
      </c>
      <c r="H245" s="57" t="s">
        <v>252</v>
      </c>
      <c r="I245" s="57"/>
      <c r="J245" s="57" t="s">
        <v>253</v>
      </c>
      <c r="K245" s="57" t="s">
        <v>266</v>
      </c>
      <c r="L245" s="57" t="s">
        <v>434</v>
      </c>
      <c r="M245" s="57" t="s">
        <v>255</v>
      </c>
      <c r="N245" s="57" t="s">
        <v>256</v>
      </c>
      <c r="O245" s="57" t="s">
        <v>257</v>
      </c>
      <c r="P245" s="57" t="s">
        <v>1015</v>
      </c>
      <c r="Q245" s="57" t="s">
        <v>706</v>
      </c>
    </row>
    <row r="246" s="50" customFormat="true" ht="14.25" hidden="false" customHeight="true" outlineLevel="0" collapsed="false">
      <c r="A246" s="50" t="s">
        <v>954</v>
      </c>
      <c r="B246" s="57" t="s">
        <v>48</v>
      </c>
      <c r="C246" s="57" t="s">
        <v>313</v>
      </c>
      <c r="D246" s="58" t="n">
        <v>46058.5756944444</v>
      </c>
      <c r="E246" s="58" t="n">
        <v>46058.5756944444</v>
      </c>
      <c r="F246" s="58" t="n">
        <v>46058.6694444444</v>
      </c>
      <c r="G246" s="59" t="n">
        <f aca="false">F246-E246</f>
        <v>0.09375</v>
      </c>
      <c r="H246" s="57" t="s">
        <v>252</v>
      </c>
      <c r="I246" s="57"/>
      <c r="J246" s="57" t="s">
        <v>253</v>
      </c>
      <c r="K246" s="57" t="s">
        <v>266</v>
      </c>
      <c r="L246" s="57" t="s">
        <v>434</v>
      </c>
      <c r="M246" s="57" t="s">
        <v>255</v>
      </c>
      <c r="N246" s="57" t="s">
        <v>256</v>
      </c>
      <c r="O246" s="57" t="s">
        <v>257</v>
      </c>
      <c r="P246" s="57" t="s">
        <v>1016</v>
      </c>
      <c r="Q246" s="57" t="s">
        <v>706</v>
      </c>
    </row>
    <row r="247" s="50" customFormat="true" ht="14.25" hidden="false" customHeight="true" outlineLevel="0" collapsed="false">
      <c r="A247" s="50" t="s">
        <v>960</v>
      </c>
      <c r="B247" s="57" t="s">
        <v>48</v>
      </c>
      <c r="C247" s="57" t="s">
        <v>314</v>
      </c>
      <c r="D247" s="58" t="n">
        <v>46058.5756944444</v>
      </c>
      <c r="E247" s="58" t="n">
        <v>46058.5756944444</v>
      </c>
      <c r="F247" s="58" t="n">
        <v>46058.6694444444</v>
      </c>
      <c r="G247" s="59" t="n">
        <f aca="false">F247-E247</f>
        <v>0.09375</v>
      </c>
      <c r="H247" s="57" t="s">
        <v>252</v>
      </c>
      <c r="I247" s="57"/>
      <c r="J247" s="57" t="s">
        <v>253</v>
      </c>
      <c r="K247" s="57" t="s">
        <v>266</v>
      </c>
      <c r="L247" s="57" t="s">
        <v>434</v>
      </c>
      <c r="M247" s="57" t="s">
        <v>255</v>
      </c>
      <c r="N247" s="57" t="s">
        <v>256</v>
      </c>
      <c r="O247" s="57" t="s">
        <v>257</v>
      </c>
      <c r="P247" s="57" t="s">
        <v>1017</v>
      </c>
      <c r="Q247" s="57" t="s">
        <v>706</v>
      </c>
    </row>
    <row r="248" s="50" customFormat="true" ht="14.25" hidden="false" customHeight="true" outlineLevel="0" collapsed="false">
      <c r="A248" s="50" t="s">
        <v>960</v>
      </c>
      <c r="B248" s="57" t="s">
        <v>48</v>
      </c>
      <c r="C248" s="57" t="s">
        <v>315</v>
      </c>
      <c r="D248" s="58" t="n">
        <v>46058.5756944444</v>
      </c>
      <c r="E248" s="58" t="n">
        <v>46058.5756944444</v>
      </c>
      <c r="F248" s="58" t="n">
        <v>46058.6694444444</v>
      </c>
      <c r="G248" s="59" t="n">
        <f aca="false">F248-E248</f>
        <v>0.09375</v>
      </c>
      <c r="H248" s="57" t="s">
        <v>252</v>
      </c>
      <c r="I248" s="57"/>
      <c r="J248" s="57" t="s">
        <v>253</v>
      </c>
      <c r="K248" s="57" t="s">
        <v>266</v>
      </c>
      <c r="L248" s="57" t="s">
        <v>434</v>
      </c>
      <c r="M248" s="57" t="s">
        <v>255</v>
      </c>
      <c r="N248" s="57" t="s">
        <v>256</v>
      </c>
      <c r="O248" s="57" t="s">
        <v>257</v>
      </c>
      <c r="P248" s="57" t="s">
        <v>1018</v>
      </c>
      <c r="Q248" s="57" t="s">
        <v>706</v>
      </c>
    </row>
    <row r="249" s="50" customFormat="true" ht="14.25" hidden="false" customHeight="true" outlineLevel="0" collapsed="false">
      <c r="A249" s="50" t="s">
        <v>960</v>
      </c>
      <c r="B249" s="57" t="s">
        <v>48</v>
      </c>
      <c r="C249" s="57" t="s">
        <v>316</v>
      </c>
      <c r="D249" s="58" t="n">
        <v>46058.5756944444</v>
      </c>
      <c r="E249" s="58" t="n">
        <v>46058.5756944444</v>
      </c>
      <c r="F249" s="58" t="n">
        <v>46058.6694444444</v>
      </c>
      <c r="G249" s="59" t="n">
        <f aca="false">F249-E249</f>
        <v>0.09375</v>
      </c>
      <c r="H249" s="57" t="s">
        <v>252</v>
      </c>
      <c r="I249" s="57"/>
      <c r="J249" s="57" t="s">
        <v>253</v>
      </c>
      <c r="K249" s="57" t="s">
        <v>266</v>
      </c>
      <c r="L249" s="57" t="s">
        <v>434</v>
      </c>
      <c r="M249" s="57" t="s">
        <v>255</v>
      </c>
      <c r="N249" s="57" t="s">
        <v>256</v>
      </c>
      <c r="O249" s="57" t="s">
        <v>257</v>
      </c>
      <c r="P249" s="57" t="s">
        <v>1019</v>
      </c>
      <c r="Q249" s="57" t="s">
        <v>706</v>
      </c>
    </row>
    <row r="250" s="50" customFormat="true" ht="14.25" hidden="false" customHeight="true" outlineLevel="0" collapsed="false">
      <c r="A250" s="50" t="s">
        <v>960</v>
      </c>
      <c r="B250" s="57" t="s">
        <v>48</v>
      </c>
      <c r="C250" s="57" t="s">
        <v>317</v>
      </c>
      <c r="D250" s="58" t="n">
        <v>46058.5756944444</v>
      </c>
      <c r="E250" s="58" t="n">
        <v>46058.5756944444</v>
      </c>
      <c r="F250" s="58" t="n">
        <v>46058.6694444444</v>
      </c>
      <c r="G250" s="59" t="n">
        <f aca="false">F250-E250</f>
        <v>0.09375</v>
      </c>
      <c r="H250" s="57" t="s">
        <v>252</v>
      </c>
      <c r="I250" s="57"/>
      <c r="J250" s="57" t="s">
        <v>253</v>
      </c>
      <c r="K250" s="57" t="s">
        <v>266</v>
      </c>
      <c r="L250" s="57" t="s">
        <v>434</v>
      </c>
      <c r="M250" s="57" t="s">
        <v>255</v>
      </c>
      <c r="N250" s="57" t="s">
        <v>256</v>
      </c>
      <c r="O250" s="57" t="s">
        <v>257</v>
      </c>
      <c r="P250" s="57" t="s">
        <v>1020</v>
      </c>
      <c r="Q250" s="57" t="s">
        <v>706</v>
      </c>
    </row>
    <row r="251" s="50" customFormat="true" ht="14.25" hidden="false" customHeight="true" outlineLevel="0" collapsed="false">
      <c r="A251" s="50" t="s">
        <v>965</v>
      </c>
      <c r="B251" s="57" t="s">
        <v>48</v>
      </c>
      <c r="C251" s="57" t="s">
        <v>318</v>
      </c>
      <c r="D251" s="58" t="n">
        <v>46058.5756944444</v>
      </c>
      <c r="E251" s="58" t="n">
        <v>46058.5756944444</v>
      </c>
      <c r="F251" s="58" t="n">
        <v>46058.6694444444</v>
      </c>
      <c r="G251" s="59" t="n">
        <f aca="false">F251-E251</f>
        <v>0.09375</v>
      </c>
      <c r="H251" s="57" t="s">
        <v>252</v>
      </c>
      <c r="I251" s="57"/>
      <c r="J251" s="57" t="s">
        <v>253</v>
      </c>
      <c r="K251" s="57" t="s">
        <v>266</v>
      </c>
      <c r="L251" s="57" t="s">
        <v>434</v>
      </c>
      <c r="M251" s="57" t="s">
        <v>255</v>
      </c>
      <c r="N251" s="57" t="s">
        <v>256</v>
      </c>
      <c r="O251" s="57" t="s">
        <v>257</v>
      </c>
      <c r="P251" s="57" t="s">
        <v>1021</v>
      </c>
      <c r="Q251" s="57" t="s">
        <v>706</v>
      </c>
    </row>
    <row r="252" s="50" customFormat="true" ht="14.25" hidden="false" customHeight="true" outlineLevel="0" collapsed="false">
      <c r="A252" s="50" t="s">
        <v>965</v>
      </c>
      <c r="B252" s="57" t="s">
        <v>48</v>
      </c>
      <c r="C252" s="57" t="s">
        <v>319</v>
      </c>
      <c r="D252" s="58" t="n">
        <v>46058.5756944444</v>
      </c>
      <c r="E252" s="58" t="n">
        <v>46058.5756944444</v>
      </c>
      <c r="F252" s="58" t="n">
        <v>46058.6694444444</v>
      </c>
      <c r="G252" s="59" t="n">
        <f aca="false">F252-E252</f>
        <v>0.09375</v>
      </c>
      <c r="H252" s="57" t="s">
        <v>252</v>
      </c>
      <c r="I252" s="57"/>
      <c r="J252" s="57" t="s">
        <v>253</v>
      </c>
      <c r="K252" s="57" t="s">
        <v>266</v>
      </c>
      <c r="L252" s="57" t="s">
        <v>434</v>
      </c>
      <c r="M252" s="57" t="s">
        <v>255</v>
      </c>
      <c r="N252" s="57" t="s">
        <v>256</v>
      </c>
      <c r="O252" s="57" t="s">
        <v>257</v>
      </c>
      <c r="P252" s="57" t="s">
        <v>1022</v>
      </c>
      <c r="Q252" s="57" t="s">
        <v>706</v>
      </c>
    </row>
    <row r="253" s="50" customFormat="true" ht="14.25" hidden="false" customHeight="true" outlineLevel="0" collapsed="false">
      <c r="A253" s="50" t="s">
        <v>965</v>
      </c>
      <c r="B253" s="57" t="s">
        <v>48</v>
      </c>
      <c r="C253" s="57" t="s">
        <v>320</v>
      </c>
      <c r="D253" s="58" t="n">
        <v>46058.5756944444</v>
      </c>
      <c r="E253" s="58" t="n">
        <v>46058.5756944444</v>
      </c>
      <c r="F253" s="58" t="n">
        <v>46058.6694444444</v>
      </c>
      <c r="G253" s="59" t="n">
        <f aca="false">F253-E253</f>
        <v>0.09375</v>
      </c>
      <c r="H253" s="57" t="s">
        <v>252</v>
      </c>
      <c r="I253" s="57"/>
      <c r="J253" s="57" t="s">
        <v>253</v>
      </c>
      <c r="K253" s="57" t="s">
        <v>266</v>
      </c>
      <c r="L253" s="57" t="s">
        <v>434</v>
      </c>
      <c r="M253" s="57" t="s">
        <v>255</v>
      </c>
      <c r="N253" s="57" t="s">
        <v>256</v>
      </c>
      <c r="O253" s="57" t="s">
        <v>257</v>
      </c>
      <c r="P253" s="57" t="s">
        <v>1023</v>
      </c>
      <c r="Q253" s="57" t="s">
        <v>706</v>
      </c>
    </row>
    <row r="254" s="50" customFormat="true" ht="14.25" hidden="false" customHeight="true" outlineLevel="0" collapsed="false">
      <c r="A254" s="50" t="s">
        <v>965</v>
      </c>
      <c r="B254" s="57" t="s">
        <v>48</v>
      </c>
      <c r="C254" s="57" t="s">
        <v>321</v>
      </c>
      <c r="D254" s="58" t="n">
        <v>46058.5756944444</v>
      </c>
      <c r="E254" s="58" t="n">
        <v>46058.5756944444</v>
      </c>
      <c r="F254" s="58" t="n">
        <v>46058.6694444444</v>
      </c>
      <c r="G254" s="59" t="n">
        <f aca="false">F254-E254</f>
        <v>0.09375</v>
      </c>
      <c r="H254" s="57" t="s">
        <v>252</v>
      </c>
      <c r="I254" s="57"/>
      <c r="J254" s="57" t="s">
        <v>253</v>
      </c>
      <c r="K254" s="57" t="s">
        <v>266</v>
      </c>
      <c r="L254" s="57" t="s">
        <v>434</v>
      </c>
      <c r="M254" s="57" t="s">
        <v>255</v>
      </c>
      <c r="N254" s="57" t="s">
        <v>256</v>
      </c>
      <c r="O254" s="57" t="s">
        <v>257</v>
      </c>
      <c r="P254" s="57" t="s">
        <v>1024</v>
      </c>
      <c r="Q254" s="57" t="s">
        <v>706</v>
      </c>
    </row>
    <row r="255" s="50" customFormat="true" ht="14.25" hidden="false" customHeight="true" outlineLevel="0" collapsed="false">
      <c r="A255" s="50" t="s">
        <v>965</v>
      </c>
      <c r="B255" s="57" t="s">
        <v>48</v>
      </c>
      <c r="C255" s="57" t="s">
        <v>322</v>
      </c>
      <c r="D255" s="58" t="n">
        <v>46058.5756944444</v>
      </c>
      <c r="E255" s="58" t="n">
        <v>46058.5756944444</v>
      </c>
      <c r="F255" s="58" t="n">
        <v>46058.6694444444</v>
      </c>
      <c r="G255" s="59" t="n">
        <f aca="false">F255-E255</f>
        <v>0.09375</v>
      </c>
      <c r="H255" s="57" t="s">
        <v>252</v>
      </c>
      <c r="I255" s="57"/>
      <c r="J255" s="57" t="s">
        <v>253</v>
      </c>
      <c r="K255" s="57" t="s">
        <v>266</v>
      </c>
      <c r="L255" s="57" t="s">
        <v>434</v>
      </c>
      <c r="M255" s="57" t="s">
        <v>255</v>
      </c>
      <c r="N255" s="57" t="s">
        <v>256</v>
      </c>
      <c r="O255" s="57" t="s">
        <v>257</v>
      </c>
      <c r="P255" s="57" t="s">
        <v>1025</v>
      </c>
      <c r="Q255" s="57" t="s">
        <v>706</v>
      </c>
    </row>
    <row r="256" s="50" customFormat="true" ht="14.25" hidden="false" customHeight="true" outlineLevel="0" collapsed="false">
      <c r="A256" s="50" t="s">
        <v>250</v>
      </c>
      <c r="B256" s="57" t="s">
        <v>250</v>
      </c>
      <c r="C256" s="57" t="s">
        <v>251</v>
      </c>
      <c r="D256" s="58" t="n">
        <v>46058.5756944444</v>
      </c>
      <c r="E256" s="58" t="n">
        <v>46058.5756944444</v>
      </c>
      <c r="F256" s="58" t="n">
        <v>46058.6694444444</v>
      </c>
      <c r="G256" s="59" t="n">
        <f aca="false">F256-E256</f>
        <v>0.09375</v>
      </c>
      <c r="H256" s="57" t="s">
        <v>252</v>
      </c>
      <c r="I256" s="57"/>
      <c r="J256" s="57" t="s">
        <v>253</v>
      </c>
      <c r="K256" s="57" t="s">
        <v>266</v>
      </c>
      <c r="L256" s="57" t="s">
        <v>434</v>
      </c>
      <c r="M256" s="57" t="s">
        <v>255</v>
      </c>
      <c r="N256" s="57" t="s">
        <v>256</v>
      </c>
      <c r="O256" s="57" t="s">
        <v>257</v>
      </c>
      <c r="P256" s="57" t="s">
        <v>1026</v>
      </c>
      <c r="Q256" s="57" t="s">
        <v>706</v>
      </c>
    </row>
    <row r="257" s="50" customFormat="true" ht="14.25" hidden="false" customHeight="true" outlineLevel="0" collapsed="false">
      <c r="A257" s="50" t="s">
        <v>250</v>
      </c>
      <c r="B257" s="57" t="s">
        <v>250</v>
      </c>
      <c r="C257" s="57" t="s">
        <v>258</v>
      </c>
      <c r="D257" s="58" t="n">
        <v>46058.5756944444</v>
      </c>
      <c r="E257" s="58" t="n">
        <v>46058.5756944444</v>
      </c>
      <c r="F257" s="58" t="n">
        <v>46058.6694444444</v>
      </c>
      <c r="G257" s="59" t="n">
        <f aca="false">F257-E257</f>
        <v>0.09375</v>
      </c>
      <c r="H257" s="57" t="s">
        <v>252</v>
      </c>
      <c r="I257" s="57"/>
      <c r="J257" s="57" t="s">
        <v>253</v>
      </c>
      <c r="K257" s="57" t="s">
        <v>266</v>
      </c>
      <c r="L257" s="57" t="s">
        <v>434</v>
      </c>
      <c r="M257" s="57" t="s">
        <v>255</v>
      </c>
      <c r="N257" s="57" t="s">
        <v>256</v>
      </c>
      <c r="O257" s="57" t="s">
        <v>257</v>
      </c>
      <c r="P257" s="57" t="s">
        <v>1027</v>
      </c>
      <c r="Q257" s="57" t="s">
        <v>706</v>
      </c>
    </row>
    <row r="258" s="50" customFormat="true" ht="14.25" hidden="false" customHeight="true" outlineLevel="0" collapsed="false">
      <c r="A258" s="50" t="s">
        <v>250</v>
      </c>
      <c r="B258" s="57" t="s">
        <v>250</v>
      </c>
      <c r="C258" s="57" t="s">
        <v>259</v>
      </c>
      <c r="D258" s="58" t="n">
        <v>46058.5756944444</v>
      </c>
      <c r="E258" s="58" t="n">
        <v>46058.5756944444</v>
      </c>
      <c r="F258" s="58" t="n">
        <v>46058.6694444444</v>
      </c>
      <c r="G258" s="59" t="n">
        <f aca="false">F258-E258</f>
        <v>0.09375</v>
      </c>
      <c r="H258" s="57" t="s">
        <v>252</v>
      </c>
      <c r="I258" s="57"/>
      <c r="J258" s="57" t="s">
        <v>253</v>
      </c>
      <c r="K258" s="57" t="s">
        <v>266</v>
      </c>
      <c r="L258" s="57" t="s">
        <v>434</v>
      </c>
      <c r="M258" s="57" t="s">
        <v>255</v>
      </c>
      <c r="N258" s="57" t="s">
        <v>256</v>
      </c>
      <c r="O258" s="57" t="s">
        <v>257</v>
      </c>
      <c r="P258" s="57" t="s">
        <v>1028</v>
      </c>
      <c r="Q258" s="57" t="s">
        <v>706</v>
      </c>
    </row>
    <row r="259" s="50" customFormat="true" ht="14.25" hidden="false" customHeight="true" outlineLevel="0" collapsed="false">
      <c r="A259" s="50" t="s">
        <v>250</v>
      </c>
      <c r="B259" s="57" t="s">
        <v>250</v>
      </c>
      <c r="C259" s="57" t="s">
        <v>260</v>
      </c>
      <c r="D259" s="58" t="n">
        <v>46058.5756944444</v>
      </c>
      <c r="E259" s="58" t="n">
        <v>46058.5756944444</v>
      </c>
      <c r="F259" s="58" t="n">
        <v>46058.6694444444</v>
      </c>
      <c r="G259" s="59" t="n">
        <f aca="false">F259-E259</f>
        <v>0.09375</v>
      </c>
      <c r="H259" s="57" t="s">
        <v>252</v>
      </c>
      <c r="I259" s="57"/>
      <c r="J259" s="57" t="s">
        <v>253</v>
      </c>
      <c r="K259" s="57" t="s">
        <v>266</v>
      </c>
      <c r="L259" s="57" t="s">
        <v>434</v>
      </c>
      <c r="M259" s="57" t="s">
        <v>255</v>
      </c>
      <c r="N259" s="57" t="s">
        <v>256</v>
      </c>
      <c r="O259" s="57" t="s">
        <v>257</v>
      </c>
      <c r="P259" s="57" t="s">
        <v>1029</v>
      </c>
      <c r="Q259" s="57" t="s">
        <v>706</v>
      </c>
    </row>
    <row r="260" s="50" customFormat="true" ht="14.25" hidden="false" customHeight="true" outlineLevel="0" collapsed="false">
      <c r="A260" s="50" t="s">
        <v>250</v>
      </c>
      <c r="B260" s="57" t="s">
        <v>250</v>
      </c>
      <c r="C260" s="57" t="s">
        <v>261</v>
      </c>
      <c r="D260" s="58" t="n">
        <v>46058.5756944444</v>
      </c>
      <c r="E260" s="58" t="n">
        <v>46058.5756944444</v>
      </c>
      <c r="F260" s="58" t="n">
        <v>46058.6694444444</v>
      </c>
      <c r="G260" s="59" t="n">
        <f aca="false">F260-E260</f>
        <v>0.09375</v>
      </c>
      <c r="H260" s="57" t="s">
        <v>252</v>
      </c>
      <c r="I260" s="57"/>
      <c r="J260" s="57" t="s">
        <v>253</v>
      </c>
      <c r="K260" s="57" t="s">
        <v>266</v>
      </c>
      <c r="L260" s="57" t="s">
        <v>434</v>
      </c>
      <c r="M260" s="57" t="s">
        <v>255</v>
      </c>
      <c r="N260" s="57" t="s">
        <v>256</v>
      </c>
      <c r="O260" s="57" t="s">
        <v>257</v>
      </c>
      <c r="P260" s="57" t="s">
        <v>1030</v>
      </c>
      <c r="Q260" s="57" t="s">
        <v>706</v>
      </c>
    </row>
    <row r="261" s="50" customFormat="true" ht="14.25" hidden="false" customHeight="true" outlineLevel="0" collapsed="false">
      <c r="A261" s="50" t="s">
        <v>262</v>
      </c>
      <c r="B261" s="57" t="s">
        <v>262</v>
      </c>
      <c r="C261" s="57" t="s">
        <v>251</v>
      </c>
      <c r="D261" s="58" t="n">
        <v>46058.5756944444</v>
      </c>
      <c r="E261" s="58" t="n">
        <v>46058.5756944444</v>
      </c>
      <c r="F261" s="58" t="n">
        <v>46058.6694444444</v>
      </c>
      <c r="G261" s="59" t="n">
        <f aca="false">F261-E261</f>
        <v>0.09375</v>
      </c>
      <c r="H261" s="57" t="s">
        <v>252</v>
      </c>
      <c r="I261" s="57"/>
      <c r="J261" s="57" t="s">
        <v>253</v>
      </c>
      <c r="K261" s="57" t="s">
        <v>266</v>
      </c>
      <c r="L261" s="57" t="s">
        <v>434</v>
      </c>
      <c r="M261" s="57" t="s">
        <v>255</v>
      </c>
      <c r="N261" s="57" t="s">
        <v>256</v>
      </c>
      <c r="O261" s="57" t="s">
        <v>257</v>
      </c>
      <c r="P261" s="57" t="s">
        <v>1031</v>
      </c>
      <c r="Q261" s="57" t="s">
        <v>706</v>
      </c>
    </row>
    <row r="262" s="50" customFormat="true" ht="14.25" hidden="false" customHeight="true" outlineLevel="0" collapsed="false">
      <c r="A262" s="50" t="s">
        <v>262</v>
      </c>
      <c r="B262" s="57" t="s">
        <v>262</v>
      </c>
      <c r="C262" s="57" t="s">
        <v>258</v>
      </c>
      <c r="D262" s="58" t="n">
        <v>46058.5756944444</v>
      </c>
      <c r="E262" s="58" t="n">
        <v>46058.5756944444</v>
      </c>
      <c r="F262" s="58" t="n">
        <v>46058.6694444444</v>
      </c>
      <c r="G262" s="59" t="n">
        <f aca="false">F262-E262</f>
        <v>0.09375</v>
      </c>
      <c r="H262" s="57" t="s">
        <v>252</v>
      </c>
      <c r="I262" s="57"/>
      <c r="J262" s="57" t="s">
        <v>253</v>
      </c>
      <c r="K262" s="57" t="s">
        <v>266</v>
      </c>
      <c r="L262" s="57" t="s">
        <v>434</v>
      </c>
      <c r="M262" s="57" t="s">
        <v>255</v>
      </c>
      <c r="N262" s="57" t="s">
        <v>256</v>
      </c>
      <c r="O262" s="57" t="s">
        <v>257</v>
      </c>
      <c r="P262" s="57" t="s">
        <v>1032</v>
      </c>
      <c r="Q262" s="57" t="s">
        <v>706</v>
      </c>
    </row>
    <row r="263" s="50" customFormat="true" ht="14.25" hidden="false" customHeight="true" outlineLevel="0" collapsed="false">
      <c r="A263" s="50" t="s">
        <v>262</v>
      </c>
      <c r="B263" s="57" t="s">
        <v>262</v>
      </c>
      <c r="C263" s="57" t="s">
        <v>259</v>
      </c>
      <c r="D263" s="58" t="n">
        <v>46058.5756944444</v>
      </c>
      <c r="E263" s="58" t="n">
        <v>46058.5756944444</v>
      </c>
      <c r="F263" s="58" t="n">
        <v>46058.6694444444</v>
      </c>
      <c r="G263" s="59" t="n">
        <f aca="false">F263-E263</f>
        <v>0.09375</v>
      </c>
      <c r="H263" s="57" t="s">
        <v>252</v>
      </c>
      <c r="I263" s="57"/>
      <c r="J263" s="57" t="s">
        <v>253</v>
      </c>
      <c r="K263" s="57" t="s">
        <v>266</v>
      </c>
      <c r="L263" s="57" t="s">
        <v>434</v>
      </c>
      <c r="M263" s="57" t="s">
        <v>255</v>
      </c>
      <c r="N263" s="57" t="s">
        <v>256</v>
      </c>
      <c r="O263" s="57" t="s">
        <v>257</v>
      </c>
      <c r="P263" s="57" t="s">
        <v>1033</v>
      </c>
      <c r="Q263" s="57" t="s">
        <v>706</v>
      </c>
    </row>
    <row r="264" s="50" customFormat="true" ht="14.25" hidden="false" customHeight="true" outlineLevel="0" collapsed="false">
      <c r="A264" s="50" t="s">
        <v>262</v>
      </c>
      <c r="B264" s="57" t="s">
        <v>262</v>
      </c>
      <c r="C264" s="57" t="s">
        <v>260</v>
      </c>
      <c r="D264" s="58" t="n">
        <v>46058.5756944444</v>
      </c>
      <c r="E264" s="58" t="n">
        <v>46058.5756944444</v>
      </c>
      <c r="F264" s="58" t="n">
        <v>46058.6694444444</v>
      </c>
      <c r="G264" s="59" t="n">
        <f aca="false">F264-E264</f>
        <v>0.09375</v>
      </c>
      <c r="H264" s="57" t="s">
        <v>252</v>
      </c>
      <c r="I264" s="57"/>
      <c r="J264" s="57" t="s">
        <v>253</v>
      </c>
      <c r="K264" s="57" t="s">
        <v>266</v>
      </c>
      <c r="L264" s="57" t="s">
        <v>434</v>
      </c>
      <c r="M264" s="57" t="s">
        <v>255</v>
      </c>
      <c r="N264" s="57" t="s">
        <v>256</v>
      </c>
      <c r="O264" s="57" t="s">
        <v>257</v>
      </c>
      <c r="P264" s="57" t="s">
        <v>1034</v>
      </c>
      <c r="Q264" s="57" t="s">
        <v>706</v>
      </c>
    </row>
    <row r="265" s="50" customFormat="true" ht="14.25" hidden="false" customHeight="true" outlineLevel="0" collapsed="false">
      <c r="A265" s="50" t="s">
        <v>262</v>
      </c>
      <c r="B265" s="57" t="s">
        <v>262</v>
      </c>
      <c r="C265" s="57" t="s">
        <v>261</v>
      </c>
      <c r="D265" s="58" t="n">
        <v>46058.5756944444</v>
      </c>
      <c r="E265" s="58" t="n">
        <v>46058.5756944444</v>
      </c>
      <c r="F265" s="58" t="n">
        <v>46058.6694444444</v>
      </c>
      <c r="G265" s="59" t="n">
        <f aca="false">F265-E265</f>
        <v>0.09375</v>
      </c>
      <c r="H265" s="57" t="s">
        <v>252</v>
      </c>
      <c r="I265" s="57"/>
      <c r="J265" s="57" t="s">
        <v>253</v>
      </c>
      <c r="K265" s="57" t="s">
        <v>266</v>
      </c>
      <c r="L265" s="57" t="s">
        <v>434</v>
      </c>
      <c r="M265" s="57" t="s">
        <v>255</v>
      </c>
      <c r="N265" s="57" t="s">
        <v>256</v>
      </c>
      <c r="O265" s="57" t="s">
        <v>257</v>
      </c>
      <c r="P265" s="57" t="s">
        <v>1035</v>
      </c>
      <c r="Q265" s="57" t="s">
        <v>706</v>
      </c>
    </row>
    <row r="266" s="50" customFormat="true" ht="14.25" hidden="false" customHeight="true" outlineLevel="0" collapsed="false">
      <c r="A266" s="50" t="s">
        <v>263</v>
      </c>
      <c r="B266" s="57" t="s">
        <v>263</v>
      </c>
      <c r="C266" s="57" t="s">
        <v>251</v>
      </c>
      <c r="D266" s="58" t="n">
        <v>46058.5756944444</v>
      </c>
      <c r="E266" s="58" t="n">
        <v>46058.5756944444</v>
      </c>
      <c r="F266" s="58" t="n">
        <v>46058.6694444444</v>
      </c>
      <c r="G266" s="59" t="n">
        <f aca="false">F266-E266</f>
        <v>0.09375</v>
      </c>
      <c r="H266" s="57" t="s">
        <v>252</v>
      </c>
      <c r="I266" s="57"/>
      <c r="J266" s="57" t="s">
        <v>253</v>
      </c>
      <c r="K266" s="57" t="s">
        <v>266</v>
      </c>
      <c r="L266" s="57" t="s">
        <v>434</v>
      </c>
      <c r="M266" s="57" t="s">
        <v>255</v>
      </c>
      <c r="N266" s="57" t="s">
        <v>256</v>
      </c>
      <c r="O266" s="57" t="s">
        <v>257</v>
      </c>
      <c r="P266" s="57" t="s">
        <v>1036</v>
      </c>
      <c r="Q266" s="57" t="s">
        <v>706</v>
      </c>
    </row>
    <row r="267" s="50" customFormat="true" ht="14.25" hidden="false" customHeight="true" outlineLevel="0" collapsed="false">
      <c r="A267" s="50" t="s">
        <v>263</v>
      </c>
      <c r="B267" s="57" t="s">
        <v>263</v>
      </c>
      <c r="C267" s="57" t="s">
        <v>258</v>
      </c>
      <c r="D267" s="58" t="n">
        <v>46058.5756944444</v>
      </c>
      <c r="E267" s="58" t="n">
        <v>46058.5756944444</v>
      </c>
      <c r="F267" s="58" t="n">
        <v>46058.6694444444</v>
      </c>
      <c r="G267" s="59" t="n">
        <f aca="false">F267-E267</f>
        <v>0.09375</v>
      </c>
      <c r="H267" s="57" t="s">
        <v>252</v>
      </c>
      <c r="I267" s="57"/>
      <c r="J267" s="57" t="s">
        <v>253</v>
      </c>
      <c r="K267" s="57" t="s">
        <v>266</v>
      </c>
      <c r="L267" s="57" t="s">
        <v>434</v>
      </c>
      <c r="M267" s="57" t="s">
        <v>255</v>
      </c>
      <c r="N267" s="57" t="s">
        <v>256</v>
      </c>
      <c r="O267" s="57" t="s">
        <v>257</v>
      </c>
      <c r="P267" s="57" t="s">
        <v>1037</v>
      </c>
      <c r="Q267" s="57" t="s">
        <v>706</v>
      </c>
    </row>
    <row r="268" s="50" customFormat="true" ht="14.25" hidden="false" customHeight="true" outlineLevel="0" collapsed="false">
      <c r="A268" s="50" t="s">
        <v>263</v>
      </c>
      <c r="B268" s="57" t="s">
        <v>263</v>
      </c>
      <c r="C268" s="57" t="s">
        <v>259</v>
      </c>
      <c r="D268" s="58" t="n">
        <v>46058.5756944444</v>
      </c>
      <c r="E268" s="58" t="n">
        <v>46058.5756944444</v>
      </c>
      <c r="F268" s="58" t="n">
        <v>46058.6694444444</v>
      </c>
      <c r="G268" s="59" t="n">
        <f aca="false">F268-E268</f>
        <v>0.09375</v>
      </c>
      <c r="H268" s="57" t="s">
        <v>252</v>
      </c>
      <c r="I268" s="57"/>
      <c r="J268" s="57" t="s">
        <v>253</v>
      </c>
      <c r="K268" s="57" t="s">
        <v>266</v>
      </c>
      <c r="L268" s="57" t="s">
        <v>434</v>
      </c>
      <c r="M268" s="57" t="s">
        <v>255</v>
      </c>
      <c r="N268" s="57" t="s">
        <v>256</v>
      </c>
      <c r="O268" s="57" t="s">
        <v>257</v>
      </c>
      <c r="P268" s="57" t="s">
        <v>1038</v>
      </c>
      <c r="Q268" s="57" t="s">
        <v>706</v>
      </c>
    </row>
    <row r="269" s="50" customFormat="true" ht="14.25" hidden="false" customHeight="true" outlineLevel="0" collapsed="false">
      <c r="A269" s="50" t="s">
        <v>263</v>
      </c>
      <c r="B269" s="57" t="s">
        <v>263</v>
      </c>
      <c r="C269" s="57" t="s">
        <v>260</v>
      </c>
      <c r="D269" s="58" t="n">
        <v>46058.5756944444</v>
      </c>
      <c r="E269" s="58" t="n">
        <v>46058.5756944444</v>
      </c>
      <c r="F269" s="58" t="n">
        <v>46058.6694444444</v>
      </c>
      <c r="G269" s="59" t="n">
        <f aca="false">F269-E269</f>
        <v>0.09375</v>
      </c>
      <c r="H269" s="57" t="s">
        <v>252</v>
      </c>
      <c r="I269" s="57"/>
      <c r="J269" s="57" t="s">
        <v>253</v>
      </c>
      <c r="K269" s="57" t="s">
        <v>266</v>
      </c>
      <c r="L269" s="57" t="s">
        <v>434</v>
      </c>
      <c r="M269" s="57" t="s">
        <v>255</v>
      </c>
      <c r="N269" s="57" t="s">
        <v>256</v>
      </c>
      <c r="O269" s="57" t="s">
        <v>257</v>
      </c>
      <c r="P269" s="57" t="s">
        <v>1039</v>
      </c>
      <c r="Q269" s="57" t="s">
        <v>706</v>
      </c>
    </row>
    <row r="270" s="50" customFormat="true" ht="14.25" hidden="false" customHeight="true" outlineLevel="0" collapsed="false">
      <c r="A270" s="50" t="s">
        <v>263</v>
      </c>
      <c r="B270" s="57" t="s">
        <v>263</v>
      </c>
      <c r="C270" s="57" t="s">
        <v>261</v>
      </c>
      <c r="D270" s="58" t="n">
        <v>46058.5756944444</v>
      </c>
      <c r="E270" s="58" t="n">
        <v>46058.5756944444</v>
      </c>
      <c r="F270" s="58" t="n">
        <v>46058.6694444444</v>
      </c>
      <c r="G270" s="59" t="n">
        <f aca="false">F270-E270</f>
        <v>0.09375</v>
      </c>
      <c r="H270" s="57" t="s">
        <v>252</v>
      </c>
      <c r="I270" s="57"/>
      <c r="J270" s="57" t="s">
        <v>253</v>
      </c>
      <c r="K270" s="57" t="s">
        <v>266</v>
      </c>
      <c r="L270" s="57" t="s">
        <v>434</v>
      </c>
      <c r="M270" s="57" t="s">
        <v>255</v>
      </c>
      <c r="N270" s="57" t="s">
        <v>256</v>
      </c>
      <c r="O270" s="57" t="s">
        <v>257</v>
      </c>
      <c r="P270" s="57" t="s">
        <v>1040</v>
      </c>
      <c r="Q270" s="57" t="s">
        <v>706</v>
      </c>
    </row>
    <row r="271" s="50" customFormat="true" ht="14.25" hidden="false" customHeight="true" outlineLevel="0" collapsed="false">
      <c r="A271" s="50" t="s">
        <v>937</v>
      </c>
      <c r="B271" s="57" t="s">
        <v>48</v>
      </c>
      <c r="C271" s="57" t="s">
        <v>294</v>
      </c>
      <c r="D271" s="58" t="n">
        <v>46058.7013888889</v>
      </c>
      <c r="E271" s="58" t="n">
        <v>46058.7013888889</v>
      </c>
      <c r="F271" s="58" t="n">
        <v>46058.8659722222</v>
      </c>
      <c r="G271" s="59" t="n">
        <f aca="false">F271-E271</f>
        <v>0.164583333298611</v>
      </c>
      <c r="H271" s="57" t="s">
        <v>252</v>
      </c>
      <c r="I271" s="57"/>
      <c r="J271" s="57" t="s">
        <v>253</v>
      </c>
      <c r="K271" s="57" t="s">
        <v>266</v>
      </c>
      <c r="L271" s="57" t="s">
        <v>434</v>
      </c>
      <c r="M271" s="57" t="s">
        <v>255</v>
      </c>
      <c r="N271" s="57" t="s">
        <v>256</v>
      </c>
      <c r="O271" s="57" t="s">
        <v>257</v>
      </c>
      <c r="P271" s="57" t="s">
        <v>1041</v>
      </c>
      <c r="Q271" s="57" t="s">
        <v>706</v>
      </c>
    </row>
    <row r="272" s="50" customFormat="true" ht="14.25" hidden="false" customHeight="true" outlineLevel="0" collapsed="false">
      <c r="A272" s="50" t="s">
        <v>937</v>
      </c>
      <c r="B272" s="57" t="s">
        <v>48</v>
      </c>
      <c r="C272" s="57" t="s">
        <v>295</v>
      </c>
      <c r="D272" s="58" t="n">
        <v>46058.7013888889</v>
      </c>
      <c r="E272" s="58" t="n">
        <v>46058.7013888889</v>
      </c>
      <c r="F272" s="58" t="n">
        <v>46058.8659722222</v>
      </c>
      <c r="G272" s="59" t="n">
        <f aca="false">F272-E272</f>
        <v>0.164583333298611</v>
      </c>
      <c r="H272" s="57" t="s">
        <v>252</v>
      </c>
      <c r="I272" s="57"/>
      <c r="J272" s="57" t="s">
        <v>253</v>
      </c>
      <c r="K272" s="57" t="s">
        <v>266</v>
      </c>
      <c r="L272" s="57" t="s">
        <v>434</v>
      </c>
      <c r="M272" s="57" t="s">
        <v>255</v>
      </c>
      <c r="N272" s="57" t="s">
        <v>256</v>
      </c>
      <c r="O272" s="57" t="s">
        <v>257</v>
      </c>
      <c r="P272" s="57" t="s">
        <v>1042</v>
      </c>
      <c r="Q272" s="57" t="s">
        <v>706</v>
      </c>
    </row>
    <row r="273" s="50" customFormat="true" ht="14.25" hidden="false" customHeight="true" outlineLevel="0" collapsed="false">
      <c r="A273" s="50" t="s">
        <v>937</v>
      </c>
      <c r="B273" s="57" t="s">
        <v>48</v>
      </c>
      <c r="C273" s="57" t="s">
        <v>296</v>
      </c>
      <c r="D273" s="58" t="n">
        <v>46058.7013888889</v>
      </c>
      <c r="E273" s="58" t="n">
        <v>46058.7013888889</v>
      </c>
      <c r="F273" s="58" t="n">
        <v>46058.8659722222</v>
      </c>
      <c r="G273" s="59" t="n">
        <f aca="false">F273-E273</f>
        <v>0.164583333298611</v>
      </c>
      <c r="H273" s="57" t="s">
        <v>252</v>
      </c>
      <c r="I273" s="57"/>
      <c r="J273" s="57" t="s">
        <v>253</v>
      </c>
      <c r="K273" s="57" t="s">
        <v>266</v>
      </c>
      <c r="L273" s="57" t="s">
        <v>434</v>
      </c>
      <c r="M273" s="57" t="s">
        <v>255</v>
      </c>
      <c r="N273" s="57" t="s">
        <v>256</v>
      </c>
      <c r="O273" s="57" t="s">
        <v>257</v>
      </c>
      <c r="P273" s="57" t="s">
        <v>1043</v>
      </c>
      <c r="Q273" s="57" t="s">
        <v>706</v>
      </c>
    </row>
    <row r="274" s="50" customFormat="true" ht="14.25" hidden="false" customHeight="true" outlineLevel="0" collapsed="false">
      <c r="A274" s="50" t="s">
        <v>937</v>
      </c>
      <c r="B274" s="57" t="s">
        <v>48</v>
      </c>
      <c r="C274" s="57" t="s">
        <v>297</v>
      </c>
      <c r="D274" s="58" t="n">
        <v>46058.7013888889</v>
      </c>
      <c r="E274" s="58" t="n">
        <v>46058.7013888889</v>
      </c>
      <c r="F274" s="58" t="n">
        <v>46058.8659722222</v>
      </c>
      <c r="G274" s="59" t="n">
        <f aca="false">F274-E274</f>
        <v>0.164583333298611</v>
      </c>
      <c r="H274" s="57" t="s">
        <v>252</v>
      </c>
      <c r="I274" s="57"/>
      <c r="J274" s="57" t="s">
        <v>253</v>
      </c>
      <c r="K274" s="57" t="s">
        <v>266</v>
      </c>
      <c r="L274" s="57" t="s">
        <v>434</v>
      </c>
      <c r="M274" s="57" t="s">
        <v>255</v>
      </c>
      <c r="N274" s="57" t="s">
        <v>256</v>
      </c>
      <c r="O274" s="57" t="s">
        <v>257</v>
      </c>
      <c r="P274" s="57" t="s">
        <v>1044</v>
      </c>
      <c r="Q274" s="57" t="s">
        <v>706</v>
      </c>
    </row>
    <row r="275" s="50" customFormat="true" ht="14.25" hidden="false" customHeight="true" outlineLevel="0" collapsed="false">
      <c r="A275" s="50" t="s">
        <v>937</v>
      </c>
      <c r="B275" s="57" t="s">
        <v>48</v>
      </c>
      <c r="C275" s="57" t="s">
        <v>298</v>
      </c>
      <c r="D275" s="58" t="n">
        <v>46058.7013888889</v>
      </c>
      <c r="E275" s="58" t="n">
        <v>46058.7013888889</v>
      </c>
      <c r="F275" s="58" t="n">
        <v>46058.8659722222</v>
      </c>
      <c r="G275" s="59" t="n">
        <f aca="false">F275-E275</f>
        <v>0.164583333298611</v>
      </c>
      <c r="H275" s="57" t="s">
        <v>252</v>
      </c>
      <c r="I275" s="57"/>
      <c r="J275" s="57" t="s">
        <v>253</v>
      </c>
      <c r="K275" s="57" t="s">
        <v>266</v>
      </c>
      <c r="L275" s="57" t="s">
        <v>434</v>
      </c>
      <c r="M275" s="57" t="s">
        <v>255</v>
      </c>
      <c r="N275" s="57" t="s">
        <v>256</v>
      </c>
      <c r="O275" s="57" t="s">
        <v>257</v>
      </c>
      <c r="P275" s="57" t="s">
        <v>1045</v>
      </c>
      <c r="Q275" s="57" t="s">
        <v>706</v>
      </c>
    </row>
    <row r="276" s="50" customFormat="true" ht="14.25" hidden="false" customHeight="true" outlineLevel="0" collapsed="false">
      <c r="A276" s="50" t="s">
        <v>937</v>
      </c>
      <c r="B276" s="57" t="s">
        <v>48</v>
      </c>
      <c r="C276" s="57" t="s">
        <v>299</v>
      </c>
      <c r="D276" s="58" t="n">
        <v>46058.7013888889</v>
      </c>
      <c r="E276" s="58" t="n">
        <v>46058.7013888889</v>
      </c>
      <c r="F276" s="58" t="n">
        <v>46058.8659722222</v>
      </c>
      <c r="G276" s="59" t="n">
        <f aca="false">F276-E276</f>
        <v>0.164583333298611</v>
      </c>
      <c r="H276" s="57" t="s">
        <v>252</v>
      </c>
      <c r="I276" s="57"/>
      <c r="J276" s="57" t="s">
        <v>253</v>
      </c>
      <c r="K276" s="57" t="s">
        <v>266</v>
      </c>
      <c r="L276" s="57" t="s">
        <v>434</v>
      </c>
      <c r="M276" s="57" t="s">
        <v>255</v>
      </c>
      <c r="N276" s="57" t="s">
        <v>256</v>
      </c>
      <c r="O276" s="57" t="s">
        <v>257</v>
      </c>
      <c r="P276" s="57" t="s">
        <v>1046</v>
      </c>
      <c r="Q276" s="57" t="s">
        <v>706</v>
      </c>
    </row>
    <row r="277" s="50" customFormat="true" ht="14.25" hidden="false" customHeight="true" outlineLevel="0" collapsed="false">
      <c r="A277" s="50" t="s">
        <v>937</v>
      </c>
      <c r="B277" s="57" t="s">
        <v>48</v>
      </c>
      <c r="C277" s="57" t="s">
        <v>300</v>
      </c>
      <c r="D277" s="58" t="n">
        <v>46058.7013888889</v>
      </c>
      <c r="E277" s="58" t="n">
        <v>46058.7013888889</v>
      </c>
      <c r="F277" s="58" t="n">
        <v>46058.8659722222</v>
      </c>
      <c r="G277" s="59" t="n">
        <f aca="false">F277-E277</f>
        <v>0.164583333298611</v>
      </c>
      <c r="H277" s="57" t="s">
        <v>252</v>
      </c>
      <c r="I277" s="57"/>
      <c r="J277" s="57" t="s">
        <v>253</v>
      </c>
      <c r="K277" s="57" t="s">
        <v>266</v>
      </c>
      <c r="L277" s="57" t="s">
        <v>434</v>
      </c>
      <c r="M277" s="57" t="s">
        <v>255</v>
      </c>
      <c r="N277" s="57" t="s">
        <v>256</v>
      </c>
      <c r="O277" s="57" t="s">
        <v>257</v>
      </c>
      <c r="P277" s="57" t="s">
        <v>1047</v>
      </c>
      <c r="Q277" s="57" t="s">
        <v>706</v>
      </c>
    </row>
    <row r="278" s="50" customFormat="true" ht="14.25" hidden="false" customHeight="true" outlineLevel="0" collapsed="false">
      <c r="A278" s="50" t="s">
        <v>937</v>
      </c>
      <c r="B278" s="57" t="s">
        <v>48</v>
      </c>
      <c r="C278" s="57" t="s">
        <v>301</v>
      </c>
      <c r="D278" s="58" t="n">
        <v>46058.7013888889</v>
      </c>
      <c r="E278" s="58" t="n">
        <v>46058.7013888889</v>
      </c>
      <c r="F278" s="58" t="n">
        <v>46058.8659722222</v>
      </c>
      <c r="G278" s="59" t="n">
        <f aca="false">F278-E278</f>
        <v>0.164583333298611</v>
      </c>
      <c r="H278" s="57" t="s">
        <v>252</v>
      </c>
      <c r="I278" s="57"/>
      <c r="J278" s="57" t="s">
        <v>253</v>
      </c>
      <c r="K278" s="57" t="s">
        <v>266</v>
      </c>
      <c r="L278" s="57" t="s">
        <v>434</v>
      </c>
      <c r="M278" s="57" t="s">
        <v>255</v>
      </c>
      <c r="N278" s="57" t="s">
        <v>256</v>
      </c>
      <c r="O278" s="57" t="s">
        <v>257</v>
      </c>
      <c r="P278" s="57" t="s">
        <v>1048</v>
      </c>
      <c r="Q278" s="57" t="s">
        <v>706</v>
      </c>
    </row>
    <row r="279" s="50" customFormat="true" ht="14.25" hidden="false" customHeight="true" outlineLevel="0" collapsed="false">
      <c r="A279" s="50" t="s">
        <v>946</v>
      </c>
      <c r="B279" s="57" t="s">
        <v>48</v>
      </c>
      <c r="C279" s="57" t="s">
        <v>302</v>
      </c>
      <c r="D279" s="58" t="n">
        <v>46058.7013888889</v>
      </c>
      <c r="E279" s="58" t="n">
        <v>46058.7013888889</v>
      </c>
      <c r="F279" s="58" t="n">
        <v>46058.8659722222</v>
      </c>
      <c r="G279" s="59" t="n">
        <f aca="false">F279-E279</f>
        <v>0.164583333298611</v>
      </c>
      <c r="H279" s="57" t="s">
        <v>252</v>
      </c>
      <c r="I279" s="57"/>
      <c r="J279" s="57" t="s">
        <v>253</v>
      </c>
      <c r="K279" s="57" t="s">
        <v>266</v>
      </c>
      <c r="L279" s="57" t="s">
        <v>434</v>
      </c>
      <c r="M279" s="57" t="s">
        <v>255</v>
      </c>
      <c r="N279" s="57" t="s">
        <v>256</v>
      </c>
      <c r="O279" s="57" t="s">
        <v>257</v>
      </c>
      <c r="P279" s="57" t="s">
        <v>1049</v>
      </c>
      <c r="Q279" s="57" t="s">
        <v>706</v>
      </c>
    </row>
    <row r="280" s="50" customFormat="true" ht="14.25" hidden="false" customHeight="true" outlineLevel="0" collapsed="false">
      <c r="A280" s="50" t="s">
        <v>946</v>
      </c>
      <c r="B280" s="57" t="s">
        <v>48</v>
      </c>
      <c r="C280" s="57" t="s">
        <v>303</v>
      </c>
      <c r="D280" s="58" t="n">
        <v>46058.7013888889</v>
      </c>
      <c r="E280" s="58" t="n">
        <v>46058.7013888889</v>
      </c>
      <c r="F280" s="58" t="n">
        <v>46058.8659722222</v>
      </c>
      <c r="G280" s="59" t="n">
        <f aca="false">F280-E280</f>
        <v>0.164583333298611</v>
      </c>
      <c r="H280" s="57" t="s">
        <v>252</v>
      </c>
      <c r="I280" s="57"/>
      <c r="J280" s="57" t="s">
        <v>253</v>
      </c>
      <c r="K280" s="57" t="s">
        <v>266</v>
      </c>
      <c r="L280" s="57" t="s">
        <v>434</v>
      </c>
      <c r="M280" s="57" t="s">
        <v>255</v>
      </c>
      <c r="N280" s="57" t="s">
        <v>256</v>
      </c>
      <c r="O280" s="57" t="s">
        <v>257</v>
      </c>
      <c r="P280" s="57" t="s">
        <v>1050</v>
      </c>
      <c r="Q280" s="57" t="s">
        <v>706</v>
      </c>
    </row>
    <row r="281" s="50" customFormat="true" ht="14.25" hidden="false" customHeight="true" outlineLevel="0" collapsed="false">
      <c r="A281" s="50" t="s">
        <v>946</v>
      </c>
      <c r="B281" s="57" t="s">
        <v>48</v>
      </c>
      <c r="C281" s="57" t="s">
        <v>304</v>
      </c>
      <c r="D281" s="58" t="n">
        <v>46058.7013888889</v>
      </c>
      <c r="E281" s="58" t="n">
        <v>46058.7013888889</v>
      </c>
      <c r="F281" s="58" t="n">
        <v>46058.8659722222</v>
      </c>
      <c r="G281" s="59" t="n">
        <f aca="false">F281-E281</f>
        <v>0.164583333298611</v>
      </c>
      <c r="H281" s="57" t="s">
        <v>252</v>
      </c>
      <c r="I281" s="57"/>
      <c r="J281" s="57" t="s">
        <v>253</v>
      </c>
      <c r="K281" s="57" t="s">
        <v>266</v>
      </c>
      <c r="L281" s="57" t="s">
        <v>434</v>
      </c>
      <c r="M281" s="57" t="s">
        <v>255</v>
      </c>
      <c r="N281" s="57" t="s">
        <v>256</v>
      </c>
      <c r="O281" s="57" t="s">
        <v>257</v>
      </c>
      <c r="P281" s="57" t="s">
        <v>1051</v>
      </c>
      <c r="Q281" s="57" t="s">
        <v>706</v>
      </c>
    </row>
    <row r="282" s="50" customFormat="true" ht="14.25" hidden="false" customHeight="true" outlineLevel="0" collapsed="false">
      <c r="A282" s="50" t="s">
        <v>946</v>
      </c>
      <c r="B282" s="57" t="s">
        <v>48</v>
      </c>
      <c r="C282" s="57" t="s">
        <v>305</v>
      </c>
      <c r="D282" s="58" t="n">
        <v>46058.7013888889</v>
      </c>
      <c r="E282" s="58" t="n">
        <v>46058.7013888889</v>
      </c>
      <c r="F282" s="58" t="n">
        <v>46058.8659722222</v>
      </c>
      <c r="G282" s="59" t="n">
        <f aca="false">F282-E282</f>
        <v>0.164583333298611</v>
      </c>
      <c r="H282" s="57" t="s">
        <v>252</v>
      </c>
      <c r="I282" s="57"/>
      <c r="J282" s="57" t="s">
        <v>253</v>
      </c>
      <c r="K282" s="57" t="s">
        <v>266</v>
      </c>
      <c r="L282" s="57" t="s">
        <v>434</v>
      </c>
      <c r="M282" s="57" t="s">
        <v>255</v>
      </c>
      <c r="N282" s="57" t="s">
        <v>256</v>
      </c>
      <c r="O282" s="57" t="s">
        <v>257</v>
      </c>
      <c r="P282" s="57" t="s">
        <v>1052</v>
      </c>
      <c r="Q282" s="57" t="s">
        <v>706</v>
      </c>
    </row>
    <row r="283" s="50" customFormat="true" ht="14.25" hidden="false" customHeight="true" outlineLevel="0" collapsed="false">
      <c r="A283" s="50" t="s">
        <v>946</v>
      </c>
      <c r="B283" s="57" t="s">
        <v>48</v>
      </c>
      <c r="C283" s="57" t="s">
        <v>306</v>
      </c>
      <c r="D283" s="58" t="n">
        <v>46058.7013888889</v>
      </c>
      <c r="E283" s="58" t="n">
        <v>46058.7013888889</v>
      </c>
      <c r="F283" s="58" t="n">
        <v>46058.8659722222</v>
      </c>
      <c r="G283" s="59" t="n">
        <f aca="false">F283-E283</f>
        <v>0.164583333298611</v>
      </c>
      <c r="H283" s="57" t="s">
        <v>252</v>
      </c>
      <c r="I283" s="57"/>
      <c r="J283" s="57" t="s">
        <v>253</v>
      </c>
      <c r="K283" s="57" t="s">
        <v>266</v>
      </c>
      <c r="L283" s="57" t="s">
        <v>434</v>
      </c>
      <c r="M283" s="57" t="s">
        <v>255</v>
      </c>
      <c r="N283" s="57" t="s">
        <v>256</v>
      </c>
      <c r="O283" s="57" t="s">
        <v>257</v>
      </c>
      <c r="P283" s="57" t="s">
        <v>1053</v>
      </c>
      <c r="Q283" s="57" t="s">
        <v>706</v>
      </c>
    </row>
    <row r="284" s="50" customFormat="true" ht="14.25" hidden="false" customHeight="true" outlineLevel="0" collapsed="false">
      <c r="A284" s="50" t="s">
        <v>946</v>
      </c>
      <c r="B284" s="57" t="s">
        <v>48</v>
      </c>
      <c r="C284" s="57" t="s">
        <v>307</v>
      </c>
      <c r="D284" s="58" t="n">
        <v>46058.7013888889</v>
      </c>
      <c r="E284" s="58" t="n">
        <v>46058.7013888889</v>
      </c>
      <c r="F284" s="58" t="n">
        <v>46058.8659722222</v>
      </c>
      <c r="G284" s="59" t="n">
        <f aca="false">F284-E284</f>
        <v>0.164583333298611</v>
      </c>
      <c r="H284" s="57" t="s">
        <v>252</v>
      </c>
      <c r="I284" s="57"/>
      <c r="J284" s="57" t="s">
        <v>253</v>
      </c>
      <c r="K284" s="57" t="s">
        <v>266</v>
      </c>
      <c r="L284" s="57" t="s">
        <v>434</v>
      </c>
      <c r="M284" s="57" t="s">
        <v>255</v>
      </c>
      <c r="N284" s="57" t="s">
        <v>256</v>
      </c>
      <c r="O284" s="57" t="s">
        <v>257</v>
      </c>
      <c r="P284" s="57" t="s">
        <v>1054</v>
      </c>
      <c r="Q284" s="57" t="s">
        <v>706</v>
      </c>
    </row>
    <row r="285" s="50" customFormat="true" ht="14.25" hidden="false" customHeight="true" outlineLevel="0" collapsed="false">
      <c r="A285" s="50" t="s">
        <v>946</v>
      </c>
      <c r="B285" s="57" t="s">
        <v>48</v>
      </c>
      <c r="C285" s="57" t="s">
        <v>308</v>
      </c>
      <c r="D285" s="58" t="n">
        <v>46058.7013888889</v>
      </c>
      <c r="E285" s="58" t="n">
        <v>46058.7013888889</v>
      </c>
      <c r="F285" s="58" t="n">
        <v>46058.8659722222</v>
      </c>
      <c r="G285" s="59" t="n">
        <f aca="false">F285-E285</f>
        <v>0.164583333298611</v>
      </c>
      <c r="H285" s="57" t="s">
        <v>252</v>
      </c>
      <c r="I285" s="57"/>
      <c r="J285" s="57" t="s">
        <v>253</v>
      </c>
      <c r="K285" s="57" t="s">
        <v>266</v>
      </c>
      <c r="L285" s="57" t="s">
        <v>434</v>
      </c>
      <c r="M285" s="57" t="s">
        <v>255</v>
      </c>
      <c r="N285" s="57" t="s">
        <v>256</v>
      </c>
      <c r="O285" s="57" t="s">
        <v>257</v>
      </c>
      <c r="P285" s="57" t="s">
        <v>1055</v>
      </c>
      <c r="Q285" s="57" t="s">
        <v>706</v>
      </c>
    </row>
    <row r="286" s="50" customFormat="true" ht="14.25" hidden="false" customHeight="true" outlineLevel="0" collapsed="false">
      <c r="A286" s="50" t="s">
        <v>954</v>
      </c>
      <c r="B286" s="57" t="s">
        <v>48</v>
      </c>
      <c r="C286" s="57" t="s">
        <v>309</v>
      </c>
      <c r="D286" s="58" t="n">
        <v>46058.7013888889</v>
      </c>
      <c r="E286" s="58" t="n">
        <v>46058.7013888889</v>
      </c>
      <c r="F286" s="58" t="n">
        <v>46058.8659722222</v>
      </c>
      <c r="G286" s="59" t="n">
        <f aca="false">F286-E286</f>
        <v>0.164583333298611</v>
      </c>
      <c r="H286" s="57" t="s">
        <v>252</v>
      </c>
      <c r="I286" s="57"/>
      <c r="J286" s="57" t="s">
        <v>253</v>
      </c>
      <c r="K286" s="57" t="s">
        <v>266</v>
      </c>
      <c r="L286" s="57" t="s">
        <v>434</v>
      </c>
      <c r="M286" s="57" t="s">
        <v>255</v>
      </c>
      <c r="N286" s="57" t="s">
        <v>256</v>
      </c>
      <c r="O286" s="57" t="s">
        <v>257</v>
      </c>
      <c r="P286" s="57" t="s">
        <v>1056</v>
      </c>
      <c r="Q286" s="57" t="s">
        <v>706</v>
      </c>
    </row>
    <row r="287" s="50" customFormat="true" ht="14.25" hidden="false" customHeight="true" outlineLevel="0" collapsed="false">
      <c r="A287" s="50" t="s">
        <v>954</v>
      </c>
      <c r="B287" s="57" t="s">
        <v>48</v>
      </c>
      <c r="C287" s="57" t="s">
        <v>310</v>
      </c>
      <c r="D287" s="58" t="n">
        <v>46058.7013888889</v>
      </c>
      <c r="E287" s="58" t="n">
        <v>46058.7013888889</v>
      </c>
      <c r="F287" s="58" t="n">
        <v>46058.8659722222</v>
      </c>
      <c r="G287" s="59" t="n">
        <f aca="false">F287-E287</f>
        <v>0.164583333298611</v>
      </c>
      <c r="H287" s="57" t="s">
        <v>252</v>
      </c>
      <c r="I287" s="57"/>
      <c r="J287" s="57" t="s">
        <v>253</v>
      </c>
      <c r="K287" s="57" t="s">
        <v>266</v>
      </c>
      <c r="L287" s="57" t="s">
        <v>434</v>
      </c>
      <c r="M287" s="57" t="s">
        <v>255</v>
      </c>
      <c r="N287" s="57" t="s">
        <v>256</v>
      </c>
      <c r="O287" s="57" t="s">
        <v>257</v>
      </c>
      <c r="P287" s="57" t="s">
        <v>1057</v>
      </c>
      <c r="Q287" s="57" t="s">
        <v>706</v>
      </c>
    </row>
    <row r="288" s="50" customFormat="true" ht="14.25" hidden="false" customHeight="true" outlineLevel="0" collapsed="false">
      <c r="A288" s="50" t="s">
        <v>954</v>
      </c>
      <c r="B288" s="57" t="s">
        <v>48</v>
      </c>
      <c r="C288" s="57" t="s">
        <v>311</v>
      </c>
      <c r="D288" s="58" t="n">
        <v>46058.7013888889</v>
      </c>
      <c r="E288" s="58" t="n">
        <v>46058.7013888889</v>
      </c>
      <c r="F288" s="58" t="n">
        <v>46058.8659722222</v>
      </c>
      <c r="G288" s="59" t="n">
        <f aca="false">F288-E288</f>
        <v>0.164583333298611</v>
      </c>
      <c r="H288" s="57" t="s">
        <v>252</v>
      </c>
      <c r="I288" s="57"/>
      <c r="J288" s="57" t="s">
        <v>253</v>
      </c>
      <c r="K288" s="57" t="s">
        <v>266</v>
      </c>
      <c r="L288" s="57" t="s">
        <v>434</v>
      </c>
      <c r="M288" s="57" t="s">
        <v>255</v>
      </c>
      <c r="N288" s="57" t="s">
        <v>256</v>
      </c>
      <c r="O288" s="57" t="s">
        <v>257</v>
      </c>
      <c r="P288" s="57" t="s">
        <v>1058</v>
      </c>
      <c r="Q288" s="57" t="s">
        <v>706</v>
      </c>
    </row>
    <row r="289" s="50" customFormat="true" ht="14.25" hidden="false" customHeight="true" outlineLevel="0" collapsed="false">
      <c r="A289" s="50" t="s">
        <v>954</v>
      </c>
      <c r="B289" s="57" t="s">
        <v>48</v>
      </c>
      <c r="C289" s="57" t="s">
        <v>312</v>
      </c>
      <c r="D289" s="58" t="n">
        <v>46058.7013888889</v>
      </c>
      <c r="E289" s="58" t="n">
        <v>46058.7013888889</v>
      </c>
      <c r="F289" s="58" t="n">
        <v>46058.8659722222</v>
      </c>
      <c r="G289" s="59" t="n">
        <f aca="false">F289-E289</f>
        <v>0.164583333298611</v>
      </c>
      <c r="H289" s="57" t="s">
        <v>252</v>
      </c>
      <c r="I289" s="57"/>
      <c r="J289" s="57" t="s">
        <v>253</v>
      </c>
      <c r="K289" s="57" t="s">
        <v>266</v>
      </c>
      <c r="L289" s="57" t="s">
        <v>434</v>
      </c>
      <c r="M289" s="57" t="s">
        <v>255</v>
      </c>
      <c r="N289" s="57" t="s">
        <v>256</v>
      </c>
      <c r="O289" s="57" t="s">
        <v>257</v>
      </c>
      <c r="P289" s="57" t="s">
        <v>1059</v>
      </c>
      <c r="Q289" s="57" t="s">
        <v>706</v>
      </c>
    </row>
    <row r="290" s="50" customFormat="true" ht="14.25" hidden="false" customHeight="true" outlineLevel="0" collapsed="false">
      <c r="A290" s="50" t="s">
        <v>954</v>
      </c>
      <c r="B290" s="57" t="s">
        <v>48</v>
      </c>
      <c r="C290" s="57" t="s">
        <v>313</v>
      </c>
      <c r="D290" s="58" t="n">
        <v>46058.7013888889</v>
      </c>
      <c r="E290" s="58" t="n">
        <v>46058.7013888889</v>
      </c>
      <c r="F290" s="58" t="n">
        <v>46058.8659722222</v>
      </c>
      <c r="G290" s="59" t="n">
        <f aca="false">F290-E290</f>
        <v>0.164583333298611</v>
      </c>
      <c r="H290" s="57" t="s">
        <v>252</v>
      </c>
      <c r="I290" s="57"/>
      <c r="J290" s="57" t="s">
        <v>253</v>
      </c>
      <c r="K290" s="57" t="s">
        <v>266</v>
      </c>
      <c r="L290" s="57" t="s">
        <v>434</v>
      </c>
      <c r="M290" s="57" t="s">
        <v>255</v>
      </c>
      <c r="N290" s="57" t="s">
        <v>256</v>
      </c>
      <c r="O290" s="57" t="s">
        <v>257</v>
      </c>
      <c r="P290" s="57" t="s">
        <v>1060</v>
      </c>
      <c r="Q290" s="57" t="s">
        <v>706</v>
      </c>
    </row>
    <row r="291" s="50" customFormat="true" ht="14.25" hidden="false" customHeight="true" outlineLevel="0" collapsed="false">
      <c r="A291" s="50" t="s">
        <v>960</v>
      </c>
      <c r="B291" s="57" t="s">
        <v>48</v>
      </c>
      <c r="C291" s="57" t="s">
        <v>314</v>
      </c>
      <c r="D291" s="58" t="n">
        <v>46058.7013888889</v>
      </c>
      <c r="E291" s="58" t="n">
        <v>46058.7013888889</v>
      </c>
      <c r="F291" s="58" t="n">
        <v>46058.8659722222</v>
      </c>
      <c r="G291" s="59" t="n">
        <f aca="false">F291-E291</f>
        <v>0.164583333298611</v>
      </c>
      <c r="H291" s="57" t="s">
        <v>252</v>
      </c>
      <c r="I291" s="57"/>
      <c r="J291" s="57" t="s">
        <v>253</v>
      </c>
      <c r="K291" s="57" t="s">
        <v>266</v>
      </c>
      <c r="L291" s="57" t="s">
        <v>434</v>
      </c>
      <c r="M291" s="57" t="s">
        <v>255</v>
      </c>
      <c r="N291" s="57" t="s">
        <v>256</v>
      </c>
      <c r="O291" s="57" t="s">
        <v>257</v>
      </c>
      <c r="P291" s="57" t="s">
        <v>1061</v>
      </c>
      <c r="Q291" s="57" t="s">
        <v>706</v>
      </c>
    </row>
    <row r="292" s="50" customFormat="true" ht="14.25" hidden="false" customHeight="true" outlineLevel="0" collapsed="false">
      <c r="A292" s="50" t="s">
        <v>960</v>
      </c>
      <c r="B292" s="57" t="s">
        <v>48</v>
      </c>
      <c r="C292" s="57" t="s">
        <v>315</v>
      </c>
      <c r="D292" s="58" t="n">
        <v>46058.7013888889</v>
      </c>
      <c r="E292" s="58" t="n">
        <v>46058.7013888889</v>
      </c>
      <c r="F292" s="58" t="n">
        <v>46058.8659722222</v>
      </c>
      <c r="G292" s="59" t="n">
        <f aca="false">F292-E292</f>
        <v>0.164583333298611</v>
      </c>
      <c r="H292" s="57" t="s">
        <v>252</v>
      </c>
      <c r="I292" s="57"/>
      <c r="J292" s="57" t="s">
        <v>253</v>
      </c>
      <c r="K292" s="57" t="s">
        <v>266</v>
      </c>
      <c r="L292" s="57" t="s">
        <v>434</v>
      </c>
      <c r="M292" s="57" t="s">
        <v>255</v>
      </c>
      <c r="N292" s="57" t="s">
        <v>256</v>
      </c>
      <c r="O292" s="57" t="s">
        <v>257</v>
      </c>
      <c r="P292" s="57" t="s">
        <v>1062</v>
      </c>
      <c r="Q292" s="57" t="s">
        <v>706</v>
      </c>
    </row>
    <row r="293" s="50" customFormat="true" ht="14.25" hidden="false" customHeight="true" outlineLevel="0" collapsed="false">
      <c r="A293" s="50" t="s">
        <v>960</v>
      </c>
      <c r="B293" s="57" t="s">
        <v>48</v>
      </c>
      <c r="C293" s="57" t="s">
        <v>316</v>
      </c>
      <c r="D293" s="58" t="n">
        <v>46058.7013888889</v>
      </c>
      <c r="E293" s="58" t="n">
        <v>46058.7013888889</v>
      </c>
      <c r="F293" s="58" t="n">
        <v>46058.8659722222</v>
      </c>
      <c r="G293" s="59" t="n">
        <f aca="false">F293-E293</f>
        <v>0.164583333298611</v>
      </c>
      <c r="H293" s="57" t="s">
        <v>252</v>
      </c>
      <c r="I293" s="57"/>
      <c r="J293" s="57" t="s">
        <v>253</v>
      </c>
      <c r="K293" s="57" t="s">
        <v>266</v>
      </c>
      <c r="L293" s="57" t="s">
        <v>434</v>
      </c>
      <c r="M293" s="57" t="s">
        <v>255</v>
      </c>
      <c r="N293" s="57" t="s">
        <v>256</v>
      </c>
      <c r="O293" s="57" t="s">
        <v>257</v>
      </c>
      <c r="P293" s="57" t="s">
        <v>1063</v>
      </c>
      <c r="Q293" s="57" t="s">
        <v>706</v>
      </c>
    </row>
    <row r="294" s="50" customFormat="true" ht="14.25" hidden="false" customHeight="true" outlineLevel="0" collapsed="false">
      <c r="A294" s="50" t="s">
        <v>960</v>
      </c>
      <c r="B294" s="57" t="s">
        <v>48</v>
      </c>
      <c r="C294" s="57" t="s">
        <v>317</v>
      </c>
      <c r="D294" s="58" t="n">
        <v>46058.7013888889</v>
      </c>
      <c r="E294" s="58" t="n">
        <v>46058.7013888889</v>
      </c>
      <c r="F294" s="58" t="n">
        <v>46058.8659722222</v>
      </c>
      <c r="G294" s="59" t="n">
        <f aca="false">F294-E294</f>
        <v>0.164583333298611</v>
      </c>
      <c r="H294" s="57" t="s">
        <v>252</v>
      </c>
      <c r="I294" s="57"/>
      <c r="J294" s="57" t="s">
        <v>253</v>
      </c>
      <c r="K294" s="57" t="s">
        <v>266</v>
      </c>
      <c r="L294" s="57" t="s">
        <v>434</v>
      </c>
      <c r="M294" s="57" t="s">
        <v>255</v>
      </c>
      <c r="N294" s="57" t="s">
        <v>256</v>
      </c>
      <c r="O294" s="57" t="s">
        <v>257</v>
      </c>
      <c r="P294" s="57" t="s">
        <v>1064</v>
      </c>
      <c r="Q294" s="57" t="s">
        <v>706</v>
      </c>
    </row>
    <row r="295" s="50" customFormat="true" ht="14.25" hidden="false" customHeight="true" outlineLevel="0" collapsed="false">
      <c r="A295" s="50" t="s">
        <v>965</v>
      </c>
      <c r="B295" s="57" t="s">
        <v>48</v>
      </c>
      <c r="C295" s="57" t="s">
        <v>318</v>
      </c>
      <c r="D295" s="58" t="n">
        <v>46058.7013888889</v>
      </c>
      <c r="E295" s="58" t="n">
        <v>46058.7013888889</v>
      </c>
      <c r="F295" s="58" t="n">
        <v>46058.8659722222</v>
      </c>
      <c r="G295" s="59" t="n">
        <f aca="false">F295-E295</f>
        <v>0.164583333298611</v>
      </c>
      <c r="H295" s="57" t="s">
        <v>252</v>
      </c>
      <c r="I295" s="57"/>
      <c r="J295" s="57" t="s">
        <v>253</v>
      </c>
      <c r="K295" s="57" t="s">
        <v>266</v>
      </c>
      <c r="L295" s="57" t="s">
        <v>434</v>
      </c>
      <c r="M295" s="57" t="s">
        <v>255</v>
      </c>
      <c r="N295" s="57" t="s">
        <v>256</v>
      </c>
      <c r="O295" s="57" t="s">
        <v>257</v>
      </c>
      <c r="P295" s="57" t="s">
        <v>1065</v>
      </c>
      <c r="Q295" s="57" t="s">
        <v>706</v>
      </c>
    </row>
    <row r="296" s="50" customFormat="true" ht="14.25" hidden="false" customHeight="true" outlineLevel="0" collapsed="false">
      <c r="A296" s="50" t="s">
        <v>965</v>
      </c>
      <c r="B296" s="57" t="s">
        <v>48</v>
      </c>
      <c r="C296" s="57" t="s">
        <v>319</v>
      </c>
      <c r="D296" s="58" t="n">
        <v>46058.7013888889</v>
      </c>
      <c r="E296" s="58" t="n">
        <v>46058.7013888889</v>
      </c>
      <c r="F296" s="58" t="n">
        <v>46058.8659722222</v>
      </c>
      <c r="G296" s="59" t="n">
        <f aca="false">F296-E296</f>
        <v>0.164583333298611</v>
      </c>
      <c r="H296" s="57" t="s">
        <v>252</v>
      </c>
      <c r="I296" s="57"/>
      <c r="J296" s="57" t="s">
        <v>253</v>
      </c>
      <c r="K296" s="57" t="s">
        <v>266</v>
      </c>
      <c r="L296" s="57" t="s">
        <v>434</v>
      </c>
      <c r="M296" s="57" t="s">
        <v>255</v>
      </c>
      <c r="N296" s="57" t="s">
        <v>256</v>
      </c>
      <c r="O296" s="57" t="s">
        <v>257</v>
      </c>
      <c r="P296" s="57" t="s">
        <v>1066</v>
      </c>
      <c r="Q296" s="57" t="s">
        <v>706</v>
      </c>
    </row>
    <row r="297" s="50" customFormat="true" ht="14.25" hidden="false" customHeight="true" outlineLevel="0" collapsed="false">
      <c r="A297" s="50" t="s">
        <v>965</v>
      </c>
      <c r="B297" s="57" t="s">
        <v>48</v>
      </c>
      <c r="C297" s="57" t="s">
        <v>320</v>
      </c>
      <c r="D297" s="58" t="n">
        <v>46058.7013888889</v>
      </c>
      <c r="E297" s="58" t="n">
        <v>46058.7013888889</v>
      </c>
      <c r="F297" s="58" t="n">
        <v>46058.8659722222</v>
      </c>
      <c r="G297" s="59" t="n">
        <f aca="false">F297-E297</f>
        <v>0.164583333298611</v>
      </c>
      <c r="H297" s="57" t="s">
        <v>252</v>
      </c>
      <c r="I297" s="57"/>
      <c r="J297" s="57" t="s">
        <v>253</v>
      </c>
      <c r="K297" s="57" t="s">
        <v>266</v>
      </c>
      <c r="L297" s="57" t="s">
        <v>434</v>
      </c>
      <c r="M297" s="57" t="s">
        <v>255</v>
      </c>
      <c r="N297" s="57" t="s">
        <v>256</v>
      </c>
      <c r="O297" s="57" t="s">
        <v>257</v>
      </c>
      <c r="P297" s="57" t="s">
        <v>1067</v>
      </c>
      <c r="Q297" s="57" t="s">
        <v>706</v>
      </c>
    </row>
    <row r="298" s="50" customFormat="true" ht="14.25" hidden="false" customHeight="true" outlineLevel="0" collapsed="false">
      <c r="A298" s="50" t="s">
        <v>965</v>
      </c>
      <c r="B298" s="57" t="s">
        <v>48</v>
      </c>
      <c r="C298" s="57" t="s">
        <v>321</v>
      </c>
      <c r="D298" s="58" t="n">
        <v>46058.7013888889</v>
      </c>
      <c r="E298" s="58" t="n">
        <v>46058.7013888889</v>
      </c>
      <c r="F298" s="58" t="n">
        <v>46058.8659722222</v>
      </c>
      <c r="G298" s="59" t="n">
        <f aca="false">F298-E298</f>
        <v>0.164583333298611</v>
      </c>
      <c r="H298" s="57" t="s">
        <v>252</v>
      </c>
      <c r="I298" s="57"/>
      <c r="J298" s="57" t="s">
        <v>253</v>
      </c>
      <c r="K298" s="57" t="s">
        <v>266</v>
      </c>
      <c r="L298" s="57" t="s">
        <v>434</v>
      </c>
      <c r="M298" s="57" t="s">
        <v>255</v>
      </c>
      <c r="N298" s="57" t="s">
        <v>256</v>
      </c>
      <c r="O298" s="57" t="s">
        <v>257</v>
      </c>
      <c r="P298" s="57" t="s">
        <v>1068</v>
      </c>
      <c r="Q298" s="57" t="s">
        <v>706</v>
      </c>
    </row>
    <row r="299" s="50" customFormat="true" ht="14.25" hidden="false" customHeight="true" outlineLevel="0" collapsed="false">
      <c r="A299" s="50" t="s">
        <v>965</v>
      </c>
      <c r="B299" s="57" t="s">
        <v>48</v>
      </c>
      <c r="C299" s="57" t="s">
        <v>322</v>
      </c>
      <c r="D299" s="58" t="n">
        <v>46058.7013888889</v>
      </c>
      <c r="E299" s="58" t="n">
        <v>46058.7013888889</v>
      </c>
      <c r="F299" s="58" t="n">
        <v>46058.8659722222</v>
      </c>
      <c r="G299" s="59" t="n">
        <f aca="false">F299-E299</f>
        <v>0.164583333298611</v>
      </c>
      <c r="H299" s="57" t="s">
        <v>252</v>
      </c>
      <c r="I299" s="57"/>
      <c r="J299" s="57" t="s">
        <v>253</v>
      </c>
      <c r="K299" s="57" t="s">
        <v>266</v>
      </c>
      <c r="L299" s="57" t="s">
        <v>434</v>
      </c>
      <c r="M299" s="57" t="s">
        <v>255</v>
      </c>
      <c r="N299" s="57" t="s">
        <v>256</v>
      </c>
      <c r="O299" s="57" t="s">
        <v>257</v>
      </c>
      <c r="P299" s="57" t="s">
        <v>1069</v>
      </c>
      <c r="Q299" s="57" t="s">
        <v>706</v>
      </c>
    </row>
    <row r="300" s="50" customFormat="true" ht="14.25" hidden="false" customHeight="true" outlineLevel="0" collapsed="false">
      <c r="A300" s="50" t="s">
        <v>250</v>
      </c>
      <c r="B300" s="57" t="s">
        <v>250</v>
      </c>
      <c r="C300" s="57" t="s">
        <v>251</v>
      </c>
      <c r="D300" s="58" t="n">
        <v>46058.7013888889</v>
      </c>
      <c r="E300" s="58" t="n">
        <v>46058.7013888889</v>
      </c>
      <c r="F300" s="58" t="n">
        <v>46058.8659722222</v>
      </c>
      <c r="G300" s="59" t="n">
        <f aca="false">F300-E300</f>
        <v>0.164583333298611</v>
      </c>
      <c r="H300" s="57" t="s">
        <v>252</v>
      </c>
      <c r="I300" s="57"/>
      <c r="J300" s="57" t="s">
        <v>253</v>
      </c>
      <c r="K300" s="57" t="s">
        <v>266</v>
      </c>
      <c r="L300" s="57" t="s">
        <v>434</v>
      </c>
      <c r="M300" s="57" t="s">
        <v>255</v>
      </c>
      <c r="N300" s="57" t="s">
        <v>256</v>
      </c>
      <c r="O300" s="57" t="s">
        <v>257</v>
      </c>
      <c r="P300" s="57" t="s">
        <v>1070</v>
      </c>
      <c r="Q300" s="57" t="s">
        <v>706</v>
      </c>
    </row>
    <row r="301" s="50" customFormat="true" ht="14.25" hidden="false" customHeight="true" outlineLevel="0" collapsed="false">
      <c r="A301" s="50" t="s">
        <v>250</v>
      </c>
      <c r="B301" s="57" t="s">
        <v>250</v>
      </c>
      <c r="C301" s="57" t="s">
        <v>258</v>
      </c>
      <c r="D301" s="58" t="n">
        <v>46058.7013888889</v>
      </c>
      <c r="E301" s="58" t="n">
        <v>46058.7013888889</v>
      </c>
      <c r="F301" s="58" t="n">
        <v>46058.8659722222</v>
      </c>
      <c r="G301" s="59" t="n">
        <f aca="false">F301-E301</f>
        <v>0.164583333298611</v>
      </c>
      <c r="H301" s="57" t="s">
        <v>252</v>
      </c>
      <c r="I301" s="57"/>
      <c r="J301" s="57" t="s">
        <v>253</v>
      </c>
      <c r="K301" s="57" t="s">
        <v>266</v>
      </c>
      <c r="L301" s="57" t="s">
        <v>434</v>
      </c>
      <c r="M301" s="57" t="s">
        <v>255</v>
      </c>
      <c r="N301" s="57" t="s">
        <v>256</v>
      </c>
      <c r="O301" s="57" t="s">
        <v>257</v>
      </c>
      <c r="P301" s="57" t="s">
        <v>1071</v>
      </c>
      <c r="Q301" s="57" t="s">
        <v>706</v>
      </c>
    </row>
    <row r="302" s="50" customFormat="true" ht="14.25" hidden="false" customHeight="true" outlineLevel="0" collapsed="false">
      <c r="A302" s="50" t="s">
        <v>250</v>
      </c>
      <c r="B302" s="57" t="s">
        <v>250</v>
      </c>
      <c r="C302" s="57" t="s">
        <v>259</v>
      </c>
      <c r="D302" s="58" t="n">
        <v>46058.7013888889</v>
      </c>
      <c r="E302" s="58" t="n">
        <v>46058.7013888889</v>
      </c>
      <c r="F302" s="58" t="n">
        <v>46058.8659722222</v>
      </c>
      <c r="G302" s="59" t="n">
        <f aca="false">F302-E302</f>
        <v>0.164583333298611</v>
      </c>
      <c r="H302" s="57" t="s">
        <v>252</v>
      </c>
      <c r="I302" s="57"/>
      <c r="J302" s="57" t="s">
        <v>253</v>
      </c>
      <c r="K302" s="57" t="s">
        <v>266</v>
      </c>
      <c r="L302" s="57" t="s">
        <v>434</v>
      </c>
      <c r="M302" s="57" t="s">
        <v>255</v>
      </c>
      <c r="N302" s="57" t="s">
        <v>256</v>
      </c>
      <c r="O302" s="57" t="s">
        <v>257</v>
      </c>
      <c r="P302" s="57" t="s">
        <v>1072</v>
      </c>
      <c r="Q302" s="57" t="s">
        <v>706</v>
      </c>
    </row>
    <row r="303" s="50" customFormat="true" ht="14.25" hidden="false" customHeight="true" outlineLevel="0" collapsed="false">
      <c r="A303" s="50" t="s">
        <v>250</v>
      </c>
      <c r="B303" s="57" t="s">
        <v>250</v>
      </c>
      <c r="C303" s="57" t="s">
        <v>260</v>
      </c>
      <c r="D303" s="58" t="n">
        <v>46058.7013888889</v>
      </c>
      <c r="E303" s="58" t="n">
        <v>46058.7013888889</v>
      </c>
      <c r="F303" s="58" t="n">
        <v>46058.8659722222</v>
      </c>
      <c r="G303" s="59" t="n">
        <f aca="false">F303-E303</f>
        <v>0.164583333298611</v>
      </c>
      <c r="H303" s="57" t="s">
        <v>252</v>
      </c>
      <c r="I303" s="57"/>
      <c r="J303" s="57" t="s">
        <v>253</v>
      </c>
      <c r="K303" s="57" t="s">
        <v>266</v>
      </c>
      <c r="L303" s="57" t="s">
        <v>434</v>
      </c>
      <c r="M303" s="57" t="s">
        <v>255</v>
      </c>
      <c r="N303" s="57" t="s">
        <v>256</v>
      </c>
      <c r="O303" s="57" t="s">
        <v>257</v>
      </c>
      <c r="P303" s="57" t="s">
        <v>1073</v>
      </c>
      <c r="Q303" s="57" t="s">
        <v>706</v>
      </c>
    </row>
    <row r="304" s="50" customFormat="true" ht="14.25" hidden="false" customHeight="true" outlineLevel="0" collapsed="false">
      <c r="A304" s="50" t="s">
        <v>250</v>
      </c>
      <c r="B304" s="57" t="s">
        <v>250</v>
      </c>
      <c r="C304" s="57" t="s">
        <v>261</v>
      </c>
      <c r="D304" s="58" t="n">
        <v>46058.7013888889</v>
      </c>
      <c r="E304" s="58" t="n">
        <v>46058.7013888889</v>
      </c>
      <c r="F304" s="58" t="n">
        <v>46058.8659722222</v>
      </c>
      <c r="G304" s="59" t="n">
        <f aca="false">F304-E304</f>
        <v>0.164583333298611</v>
      </c>
      <c r="H304" s="57" t="s">
        <v>252</v>
      </c>
      <c r="I304" s="57"/>
      <c r="J304" s="57" t="s">
        <v>253</v>
      </c>
      <c r="K304" s="57" t="s">
        <v>266</v>
      </c>
      <c r="L304" s="57" t="s">
        <v>434</v>
      </c>
      <c r="M304" s="57" t="s">
        <v>255</v>
      </c>
      <c r="N304" s="57" t="s">
        <v>256</v>
      </c>
      <c r="O304" s="57" t="s">
        <v>257</v>
      </c>
      <c r="P304" s="57" t="s">
        <v>1074</v>
      </c>
      <c r="Q304" s="57" t="s">
        <v>706</v>
      </c>
    </row>
    <row r="305" s="50" customFormat="true" ht="14.25" hidden="false" customHeight="true" outlineLevel="0" collapsed="false">
      <c r="A305" s="50" t="s">
        <v>262</v>
      </c>
      <c r="B305" s="57" t="s">
        <v>262</v>
      </c>
      <c r="C305" s="57" t="s">
        <v>251</v>
      </c>
      <c r="D305" s="58" t="n">
        <v>46058.7013888889</v>
      </c>
      <c r="E305" s="58" t="n">
        <v>46058.7013888889</v>
      </c>
      <c r="F305" s="58" t="n">
        <v>46058.8659722222</v>
      </c>
      <c r="G305" s="59" t="n">
        <f aca="false">F305-E305</f>
        <v>0.164583333298611</v>
      </c>
      <c r="H305" s="57" t="s">
        <v>252</v>
      </c>
      <c r="I305" s="57"/>
      <c r="J305" s="57" t="s">
        <v>253</v>
      </c>
      <c r="K305" s="57" t="s">
        <v>266</v>
      </c>
      <c r="L305" s="57" t="s">
        <v>434</v>
      </c>
      <c r="M305" s="57" t="s">
        <v>255</v>
      </c>
      <c r="N305" s="57" t="s">
        <v>256</v>
      </c>
      <c r="O305" s="57" t="s">
        <v>257</v>
      </c>
      <c r="P305" s="57" t="s">
        <v>1075</v>
      </c>
      <c r="Q305" s="57" t="s">
        <v>706</v>
      </c>
    </row>
    <row r="306" s="50" customFormat="true" ht="14.25" hidden="false" customHeight="true" outlineLevel="0" collapsed="false">
      <c r="A306" s="50" t="s">
        <v>262</v>
      </c>
      <c r="B306" s="57" t="s">
        <v>262</v>
      </c>
      <c r="C306" s="57" t="s">
        <v>258</v>
      </c>
      <c r="D306" s="58" t="n">
        <v>46058.7013888889</v>
      </c>
      <c r="E306" s="58" t="n">
        <v>46058.7013888889</v>
      </c>
      <c r="F306" s="58" t="n">
        <v>46058.8659722222</v>
      </c>
      <c r="G306" s="59" t="n">
        <f aca="false">F306-E306</f>
        <v>0.164583333298611</v>
      </c>
      <c r="H306" s="57" t="s">
        <v>252</v>
      </c>
      <c r="I306" s="57"/>
      <c r="J306" s="57" t="s">
        <v>253</v>
      </c>
      <c r="K306" s="57" t="s">
        <v>266</v>
      </c>
      <c r="L306" s="57" t="s">
        <v>434</v>
      </c>
      <c r="M306" s="57" t="s">
        <v>255</v>
      </c>
      <c r="N306" s="57" t="s">
        <v>256</v>
      </c>
      <c r="O306" s="57" t="s">
        <v>257</v>
      </c>
      <c r="P306" s="57" t="s">
        <v>1076</v>
      </c>
      <c r="Q306" s="57" t="s">
        <v>706</v>
      </c>
    </row>
    <row r="307" s="50" customFormat="true" ht="14.25" hidden="false" customHeight="true" outlineLevel="0" collapsed="false">
      <c r="A307" s="50" t="s">
        <v>262</v>
      </c>
      <c r="B307" s="57" t="s">
        <v>262</v>
      </c>
      <c r="C307" s="57" t="s">
        <v>259</v>
      </c>
      <c r="D307" s="58" t="n">
        <v>46058.7013888889</v>
      </c>
      <c r="E307" s="58" t="n">
        <v>46058.7013888889</v>
      </c>
      <c r="F307" s="58" t="n">
        <v>46058.8659722222</v>
      </c>
      <c r="G307" s="59" t="n">
        <f aca="false">F307-E307</f>
        <v>0.164583333298611</v>
      </c>
      <c r="H307" s="57" t="s">
        <v>252</v>
      </c>
      <c r="I307" s="57"/>
      <c r="J307" s="57" t="s">
        <v>253</v>
      </c>
      <c r="K307" s="57" t="s">
        <v>266</v>
      </c>
      <c r="L307" s="57" t="s">
        <v>434</v>
      </c>
      <c r="M307" s="57" t="s">
        <v>255</v>
      </c>
      <c r="N307" s="57" t="s">
        <v>256</v>
      </c>
      <c r="O307" s="57" t="s">
        <v>257</v>
      </c>
      <c r="P307" s="57" t="s">
        <v>1077</v>
      </c>
      <c r="Q307" s="57" t="s">
        <v>706</v>
      </c>
    </row>
    <row r="308" s="50" customFormat="true" ht="14.25" hidden="false" customHeight="true" outlineLevel="0" collapsed="false">
      <c r="A308" s="50" t="s">
        <v>262</v>
      </c>
      <c r="B308" s="57" t="s">
        <v>262</v>
      </c>
      <c r="C308" s="57" t="s">
        <v>260</v>
      </c>
      <c r="D308" s="58" t="n">
        <v>46058.7013888889</v>
      </c>
      <c r="E308" s="58" t="n">
        <v>46058.7013888889</v>
      </c>
      <c r="F308" s="58" t="n">
        <v>46058.8659722222</v>
      </c>
      <c r="G308" s="59" t="n">
        <f aca="false">F308-E308</f>
        <v>0.164583333298611</v>
      </c>
      <c r="H308" s="57" t="s">
        <v>252</v>
      </c>
      <c r="I308" s="57"/>
      <c r="J308" s="57" t="s">
        <v>253</v>
      </c>
      <c r="K308" s="57" t="s">
        <v>266</v>
      </c>
      <c r="L308" s="57" t="s">
        <v>434</v>
      </c>
      <c r="M308" s="57" t="s">
        <v>255</v>
      </c>
      <c r="N308" s="57" t="s">
        <v>256</v>
      </c>
      <c r="O308" s="57" t="s">
        <v>257</v>
      </c>
      <c r="P308" s="57" t="s">
        <v>1078</v>
      </c>
      <c r="Q308" s="57" t="s">
        <v>706</v>
      </c>
    </row>
    <row r="309" s="50" customFormat="true" ht="14.25" hidden="false" customHeight="true" outlineLevel="0" collapsed="false">
      <c r="A309" s="50" t="s">
        <v>262</v>
      </c>
      <c r="B309" s="57" t="s">
        <v>262</v>
      </c>
      <c r="C309" s="57" t="s">
        <v>261</v>
      </c>
      <c r="D309" s="58" t="n">
        <v>46058.7013888889</v>
      </c>
      <c r="E309" s="58" t="n">
        <v>46058.7013888889</v>
      </c>
      <c r="F309" s="58" t="n">
        <v>46058.8659722222</v>
      </c>
      <c r="G309" s="59" t="n">
        <f aca="false">F309-E309</f>
        <v>0.164583333298611</v>
      </c>
      <c r="H309" s="57" t="s">
        <v>252</v>
      </c>
      <c r="I309" s="57"/>
      <c r="J309" s="57" t="s">
        <v>253</v>
      </c>
      <c r="K309" s="57" t="s">
        <v>266</v>
      </c>
      <c r="L309" s="57" t="s">
        <v>434</v>
      </c>
      <c r="M309" s="57" t="s">
        <v>255</v>
      </c>
      <c r="N309" s="57" t="s">
        <v>256</v>
      </c>
      <c r="O309" s="57" t="s">
        <v>257</v>
      </c>
      <c r="P309" s="57" t="s">
        <v>1079</v>
      </c>
      <c r="Q309" s="57" t="s">
        <v>706</v>
      </c>
    </row>
    <row r="310" s="50" customFormat="true" ht="14.25" hidden="false" customHeight="true" outlineLevel="0" collapsed="false">
      <c r="A310" s="50" t="s">
        <v>263</v>
      </c>
      <c r="B310" s="57" t="s">
        <v>263</v>
      </c>
      <c r="C310" s="57" t="s">
        <v>251</v>
      </c>
      <c r="D310" s="58" t="n">
        <v>46058.7013888889</v>
      </c>
      <c r="E310" s="58" t="n">
        <v>46058.7013888889</v>
      </c>
      <c r="F310" s="58" t="n">
        <v>46058.8659722222</v>
      </c>
      <c r="G310" s="59" t="n">
        <f aca="false">F310-E310</f>
        <v>0.164583333298611</v>
      </c>
      <c r="H310" s="57" t="s">
        <v>252</v>
      </c>
      <c r="I310" s="57"/>
      <c r="J310" s="57" t="s">
        <v>253</v>
      </c>
      <c r="K310" s="57" t="s">
        <v>266</v>
      </c>
      <c r="L310" s="57" t="s">
        <v>434</v>
      </c>
      <c r="M310" s="57" t="s">
        <v>255</v>
      </c>
      <c r="N310" s="57" t="s">
        <v>256</v>
      </c>
      <c r="O310" s="57" t="s">
        <v>257</v>
      </c>
      <c r="P310" s="57" t="s">
        <v>1080</v>
      </c>
      <c r="Q310" s="57" t="s">
        <v>706</v>
      </c>
    </row>
    <row r="311" s="50" customFormat="true" ht="14.25" hidden="false" customHeight="true" outlineLevel="0" collapsed="false">
      <c r="A311" s="50" t="s">
        <v>263</v>
      </c>
      <c r="B311" s="57" t="s">
        <v>263</v>
      </c>
      <c r="C311" s="57" t="s">
        <v>258</v>
      </c>
      <c r="D311" s="58" t="n">
        <v>46058.7013888889</v>
      </c>
      <c r="E311" s="58" t="n">
        <v>46058.7013888889</v>
      </c>
      <c r="F311" s="58" t="n">
        <v>46058.8659722222</v>
      </c>
      <c r="G311" s="59" t="n">
        <f aca="false">F311-E311</f>
        <v>0.164583333298611</v>
      </c>
      <c r="H311" s="57" t="s">
        <v>252</v>
      </c>
      <c r="I311" s="57"/>
      <c r="J311" s="57" t="s">
        <v>253</v>
      </c>
      <c r="K311" s="57" t="s">
        <v>266</v>
      </c>
      <c r="L311" s="57" t="s">
        <v>434</v>
      </c>
      <c r="M311" s="57" t="s">
        <v>255</v>
      </c>
      <c r="N311" s="57" t="s">
        <v>256</v>
      </c>
      <c r="O311" s="57" t="s">
        <v>257</v>
      </c>
      <c r="P311" s="57" t="s">
        <v>1081</v>
      </c>
      <c r="Q311" s="57" t="s">
        <v>706</v>
      </c>
    </row>
    <row r="312" s="50" customFormat="true" ht="14.25" hidden="false" customHeight="true" outlineLevel="0" collapsed="false">
      <c r="A312" s="50" t="s">
        <v>263</v>
      </c>
      <c r="B312" s="57" t="s">
        <v>263</v>
      </c>
      <c r="C312" s="57" t="s">
        <v>259</v>
      </c>
      <c r="D312" s="58" t="n">
        <v>46058.7013888889</v>
      </c>
      <c r="E312" s="58" t="n">
        <v>46058.7013888889</v>
      </c>
      <c r="F312" s="58" t="n">
        <v>46058.8659722222</v>
      </c>
      <c r="G312" s="59" t="n">
        <f aca="false">F312-E312</f>
        <v>0.164583333298611</v>
      </c>
      <c r="H312" s="57" t="s">
        <v>252</v>
      </c>
      <c r="I312" s="57"/>
      <c r="J312" s="57" t="s">
        <v>253</v>
      </c>
      <c r="K312" s="57" t="s">
        <v>266</v>
      </c>
      <c r="L312" s="57" t="s">
        <v>434</v>
      </c>
      <c r="M312" s="57" t="s">
        <v>255</v>
      </c>
      <c r="N312" s="57" t="s">
        <v>256</v>
      </c>
      <c r="O312" s="57" t="s">
        <v>257</v>
      </c>
      <c r="P312" s="57" t="s">
        <v>1082</v>
      </c>
      <c r="Q312" s="57" t="s">
        <v>706</v>
      </c>
    </row>
    <row r="313" s="50" customFormat="true" ht="14.25" hidden="false" customHeight="true" outlineLevel="0" collapsed="false">
      <c r="A313" s="50" t="s">
        <v>263</v>
      </c>
      <c r="B313" s="57" t="s">
        <v>263</v>
      </c>
      <c r="C313" s="57" t="s">
        <v>260</v>
      </c>
      <c r="D313" s="58" t="n">
        <v>46058.7013888889</v>
      </c>
      <c r="E313" s="58" t="n">
        <v>46058.7013888889</v>
      </c>
      <c r="F313" s="58" t="n">
        <v>46058.8659722222</v>
      </c>
      <c r="G313" s="59" t="n">
        <f aca="false">F313-E313</f>
        <v>0.164583333298611</v>
      </c>
      <c r="H313" s="57" t="s">
        <v>252</v>
      </c>
      <c r="I313" s="57"/>
      <c r="J313" s="57" t="s">
        <v>253</v>
      </c>
      <c r="K313" s="57" t="s">
        <v>266</v>
      </c>
      <c r="L313" s="57" t="s">
        <v>434</v>
      </c>
      <c r="M313" s="57" t="s">
        <v>255</v>
      </c>
      <c r="N313" s="57" t="s">
        <v>256</v>
      </c>
      <c r="O313" s="57" t="s">
        <v>257</v>
      </c>
      <c r="P313" s="57" t="s">
        <v>1083</v>
      </c>
      <c r="Q313" s="57" t="s">
        <v>706</v>
      </c>
    </row>
    <row r="314" s="50" customFormat="true" ht="14.25" hidden="false" customHeight="true" outlineLevel="0" collapsed="false">
      <c r="A314" s="50" t="s">
        <v>263</v>
      </c>
      <c r="B314" s="57" t="s">
        <v>263</v>
      </c>
      <c r="C314" s="57" t="s">
        <v>261</v>
      </c>
      <c r="D314" s="58" t="n">
        <v>46058.7013888889</v>
      </c>
      <c r="E314" s="58" t="n">
        <v>46058.7013888889</v>
      </c>
      <c r="F314" s="58" t="n">
        <v>46058.8659722222</v>
      </c>
      <c r="G314" s="59" t="n">
        <f aca="false">F314-E314</f>
        <v>0.164583333298611</v>
      </c>
      <c r="H314" s="57" t="s">
        <v>252</v>
      </c>
      <c r="I314" s="57"/>
      <c r="J314" s="57" t="s">
        <v>253</v>
      </c>
      <c r="K314" s="57" t="s">
        <v>266</v>
      </c>
      <c r="L314" s="57" t="s">
        <v>434</v>
      </c>
      <c r="M314" s="57" t="s">
        <v>255</v>
      </c>
      <c r="N314" s="57" t="s">
        <v>256</v>
      </c>
      <c r="O314" s="57" t="s">
        <v>257</v>
      </c>
      <c r="P314" s="57" t="s">
        <v>1084</v>
      </c>
      <c r="Q314" s="57" t="s">
        <v>706</v>
      </c>
    </row>
    <row r="315" s="50" customFormat="true" ht="14.25" hidden="false" customHeight="true" outlineLevel="0" collapsed="false">
      <c r="A315" s="50" t="s">
        <v>474</v>
      </c>
      <c r="B315" s="57" t="s">
        <v>474</v>
      </c>
      <c r="C315" s="57" t="s">
        <v>327</v>
      </c>
      <c r="D315" s="58" t="n">
        <v>46058.70625</v>
      </c>
      <c r="E315" s="58" t="n">
        <v>46058.70625</v>
      </c>
      <c r="F315" s="58" t="n">
        <v>46058.7361111111</v>
      </c>
      <c r="G315" s="59" t="n">
        <f aca="false">F315-E315</f>
        <v>0.029861111099537</v>
      </c>
      <c r="H315" s="57" t="s">
        <v>252</v>
      </c>
      <c r="I315" s="57"/>
      <c r="J315" s="57" t="s">
        <v>253</v>
      </c>
      <c r="K315" s="57" t="s">
        <v>266</v>
      </c>
      <c r="L315" s="57" t="s">
        <v>1085</v>
      </c>
      <c r="M315" s="57" t="s">
        <v>255</v>
      </c>
      <c r="N315" s="57" t="s">
        <v>256</v>
      </c>
      <c r="O315" s="57" t="s">
        <v>1086</v>
      </c>
      <c r="P315" s="57" t="s">
        <v>1087</v>
      </c>
      <c r="Q315" s="57" t="s">
        <v>706</v>
      </c>
    </row>
    <row r="316" s="50" customFormat="true" ht="14.25" hidden="false" customHeight="true" outlineLevel="0" collapsed="false">
      <c r="A316" s="50" t="s">
        <v>474</v>
      </c>
      <c r="B316" s="57" t="s">
        <v>474</v>
      </c>
      <c r="C316" s="57" t="s">
        <v>328</v>
      </c>
      <c r="D316" s="58" t="n">
        <v>46058.70625</v>
      </c>
      <c r="E316" s="58" t="n">
        <v>46058.70625</v>
      </c>
      <c r="F316" s="58" t="n">
        <v>46058.7361111111</v>
      </c>
      <c r="G316" s="59" t="n">
        <f aca="false">F316-E316</f>
        <v>0.029861111099537</v>
      </c>
      <c r="H316" s="57" t="s">
        <v>252</v>
      </c>
      <c r="I316" s="57"/>
      <c r="J316" s="57" t="s">
        <v>253</v>
      </c>
      <c r="K316" s="57" t="s">
        <v>266</v>
      </c>
      <c r="L316" s="57" t="s">
        <v>1085</v>
      </c>
      <c r="M316" s="57" t="s">
        <v>255</v>
      </c>
      <c r="N316" s="57" t="s">
        <v>256</v>
      </c>
      <c r="O316" s="57" t="s">
        <v>1086</v>
      </c>
      <c r="P316" s="57" t="s">
        <v>1088</v>
      </c>
      <c r="Q316" s="57" t="s">
        <v>706</v>
      </c>
    </row>
    <row r="317" s="50" customFormat="true" ht="14.25" hidden="false" customHeight="true" outlineLevel="0" collapsed="false">
      <c r="A317" s="50" t="s">
        <v>474</v>
      </c>
      <c r="B317" s="57" t="s">
        <v>474</v>
      </c>
      <c r="C317" s="57" t="s">
        <v>324</v>
      </c>
      <c r="D317" s="58" t="n">
        <v>46058.70625</v>
      </c>
      <c r="E317" s="58" t="n">
        <v>46058.70625</v>
      </c>
      <c r="F317" s="58" t="n">
        <v>46058.7361111111</v>
      </c>
      <c r="G317" s="59" t="n">
        <f aca="false">F317-E317</f>
        <v>0.029861111099537</v>
      </c>
      <c r="H317" s="57" t="s">
        <v>252</v>
      </c>
      <c r="I317" s="57"/>
      <c r="J317" s="57" t="s">
        <v>253</v>
      </c>
      <c r="K317" s="57" t="s">
        <v>266</v>
      </c>
      <c r="L317" s="57" t="s">
        <v>1085</v>
      </c>
      <c r="M317" s="57" t="s">
        <v>255</v>
      </c>
      <c r="N317" s="57" t="s">
        <v>256</v>
      </c>
      <c r="O317" s="57" t="s">
        <v>1086</v>
      </c>
      <c r="P317" s="57" t="s">
        <v>1089</v>
      </c>
      <c r="Q317" s="57" t="s">
        <v>706</v>
      </c>
    </row>
    <row r="318" s="50" customFormat="true" ht="14.25" hidden="false" customHeight="true" outlineLevel="0" collapsed="false">
      <c r="A318" s="50" t="s">
        <v>474</v>
      </c>
      <c r="B318" s="57" t="s">
        <v>474</v>
      </c>
      <c r="C318" s="57" t="s">
        <v>326</v>
      </c>
      <c r="D318" s="58" t="n">
        <v>46058.70625</v>
      </c>
      <c r="E318" s="58" t="n">
        <v>46058.70625</v>
      </c>
      <c r="F318" s="58" t="n">
        <v>46058.7361111111</v>
      </c>
      <c r="G318" s="59" t="n">
        <f aca="false">F318-E318</f>
        <v>0.029861111099537</v>
      </c>
      <c r="H318" s="57" t="s">
        <v>252</v>
      </c>
      <c r="I318" s="57"/>
      <c r="J318" s="57" t="s">
        <v>253</v>
      </c>
      <c r="K318" s="57" t="s">
        <v>266</v>
      </c>
      <c r="L318" s="57" t="s">
        <v>1085</v>
      </c>
      <c r="M318" s="57" t="s">
        <v>255</v>
      </c>
      <c r="N318" s="57" t="s">
        <v>256</v>
      </c>
      <c r="O318" s="57" t="s">
        <v>1086</v>
      </c>
      <c r="P318" s="57" t="s">
        <v>1090</v>
      </c>
      <c r="Q318" s="57" t="s">
        <v>706</v>
      </c>
    </row>
    <row r="319" s="50" customFormat="true" ht="14.25" hidden="false" customHeight="true" outlineLevel="0" collapsed="false">
      <c r="A319" s="50" t="s">
        <v>476</v>
      </c>
      <c r="B319" s="57" t="s">
        <v>476</v>
      </c>
      <c r="C319" s="57" t="s">
        <v>327</v>
      </c>
      <c r="D319" s="58" t="n">
        <v>46058.70625</v>
      </c>
      <c r="E319" s="58" t="n">
        <v>46058.70625</v>
      </c>
      <c r="F319" s="58" t="n">
        <v>46058.7361111111</v>
      </c>
      <c r="G319" s="59" t="n">
        <f aca="false">F319-E319</f>
        <v>0.029861111099537</v>
      </c>
      <c r="H319" s="57" t="s">
        <v>252</v>
      </c>
      <c r="I319" s="57"/>
      <c r="J319" s="57" t="s">
        <v>253</v>
      </c>
      <c r="K319" s="57" t="s">
        <v>266</v>
      </c>
      <c r="L319" s="57" t="s">
        <v>1085</v>
      </c>
      <c r="M319" s="57" t="s">
        <v>255</v>
      </c>
      <c r="N319" s="57" t="s">
        <v>256</v>
      </c>
      <c r="O319" s="57" t="s">
        <v>1086</v>
      </c>
      <c r="P319" s="57" t="s">
        <v>1091</v>
      </c>
      <c r="Q319" s="57" t="s">
        <v>706</v>
      </c>
    </row>
    <row r="320" s="50" customFormat="true" ht="14.25" hidden="false" customHeight="true" outlineLevel="0" collapsed="false">
      <c r="A320" s="50" t="s">
        <v>476</v>
      </c>
      <c r="B320" s="57" t="s">
        <v>476</v>
      </c>
      <c r="C320" s="57" t="s">
        <v>326</v>
      </c>
      <c r="D320" s="58" t="n">
        <v>46058.70625</v>
      </c>
      <c r="E320" s="58" t="n">
        <v>46058.70625</v>
      </c>
      <c r="F320" s="58" t="n">
        <v>46058.7361111111</v>
      </c>
      <c r="G320" s="59" t="n">
        <f aca="false">F320-E320</f>
        <v>0.029861111099537</v>
      </c>
      <c r="H320" s="57" t="s">
        <v>252</v>
      </c>
      <c r="I320" s="57"/>
      <c r="J320" s="57" t="s">
        <v>253</v>
      </c>
      <c r="K320" s="57" t="s">
        <v>266</v>
      </c>
      <c r="L320" s="57" t="s">
        <v>1085</v>
      </c>
      <c r="M320" s="57" t="s">
        <v>255</v>
      </c>
      <c r="N320" s="57" t="s">
        <v>256</v>
      </c>
      <c r="O320" s="57" t="s">
        <v>1086</v>
      </c>
      <c r="P320" s="57" t="s">
        <v>1092</v>
      </c>
      <c r="Q320" s="57" t="s">
        <v>706</v>
      </c>
    </row>
    <row r="321" s="50" customFormat="true" ht="14.25" hidden="false" customHeight="true" outlineLevel="0" collapsed="false">
      <c r="A321" s="50" t="s">
        <v>476</v>
      </c>
      <c r="B321" s="57" t="s">
        <v>476</v>
      </c>
      <c r="C321" s="57" t="s">
        <v>324</v>
      </c>
      <c r="D321" s="58" t="n">
        <v>46058.70625</v>
      </c>
      <c r="E321" s="58" t="n">
        <v>46058.70625</v>
      </c>
      <c r="F321" s="58" t="n">
        <v>46058.7361111111</v>
      </c>
      <c r="G321" s="59" t="n">
        <f aca="false">F321-E321</f>
        <v>0.029861111099537</v>
      </c>
      <c r="H321" s="57" t="s">
        <v>252</v>
      </c>
      <c r="I321" s="57"/>
      <c r="J321" s="57" t="s">
        <v>253</v>
      </c>
      <c r="K321" s="57" t="s">
        <v>266</v>
      </c>
      <c r="L321" s="57" t="s">
        <v>1085</v>
      </c>
      <c r="M321" s="57" t="s">
        <v>255</v>
      </c>
      <c r="N321" s="57" t="s">
        <v>256</v>
      </c>
      <c r="O321" s="57" t="s">
        <v>1086</v>
      </c>
      <c r="P321" s="57" t="s">
        <v>1093</v>
      </c>
      <c r="Q321" s="57" t="s">
        <v>706</v>
      </c>
    </row>
    <row r="322" s="50" customFormat="true" ht="14.25" hidden="false" customHeight="true" outlineLevel="0" collapsed="false">
      <c r="A322" s="50" t="s">
        <v>476</v>
      </c>
      <c r="B322" s="57" t="s">
        <v>476</v>
      </c>
      <c r="C322" s="57" t="s">
        <v>328</v>
      </c>
      <c r="D322" s="58" t="n">
        <v>46058.70625</v>
      </c>
      <c r="E322" s="58" t="n">
        <v>46058.70625</v>
      </c>
      <c r="F322" s="58" t="n">
        <v>46058.7361111111</v>
      </c>
      <c r="G322" s="59" t="n">
        <f aca="false">F322-E322</f>
        <v>0.029861111099537</v>
      </c>
      <c r="H322" s="57" t="s">
        <v>252</v>
      </c>
      <c r="I322" s="57"/>
      <c r="J322" s="57" t="s">
        <v>253</v>
      </c>
      <c r="K322" s="57" t="s">
        <v>266</v>
      </c>
      <c r="L322" s="57" t="s">
        <v>1085</v>
      </c>
      <c r="M322" s="57" t="s">
        <v>255</v>
      </c>
      <c r="N322" s="57" t="s">
        <v>256</v>
      </c>
      <c r="O322" s="57" t="s">
        <v>1086</v>
      </c>
      <c r="P322" s="57" t="s">
        <v>1094</v>
      </c>
      <c r="Q322" s="57" t="s">
        <v>706</v>
      </c>
    </row>
    <row r="323" s="50" customFormat="true" ht="14.25" hidden="false" customHeight="true" outlineLevel="0" collapsed="false">
      <c r="A323" s="50" t="s">
        <v>477</v>
      </c>
      <c r="B323" s="57" t="s">
        <v>477</v>
      </c>
      <c r="C323" s="57" t="s">
        <v>326</v>
      </c>
      <c r="D323" s="58" t="n">
        <v>46058.70625</v>
      </c>
      <c r="E323" s="58" t="n">
        <v>46058.70625</v>
      </c>
      <c r="F323" s="58" t="n">
        <v>46058.7361111111</v>
      </c>
      <c r="G323" s="59" t="n">
        <f aca="false">F323-E323</f>
        <v>0.029861111099537</v>
      </c>
      <c r="H323" s="57" t="s">
        <v>252</v>
      </c>
      <c r="I323" s="57"/>
      <c r="J323" s="57" t="s">
        <v>253</v>
      </c>
      <c r="K323" s="57" t="s">
        <v>266</v>
      </c>
      <c r="L323" s="57" t="s">
        <v>1085</v>
      </c>
      <c r="M323" s="57" t="s">
        <v>255</v>
      </c>
      <c r="N323" s="57" t="s">
        <v>256</v>
      </c>
      <c r="O323" s="57" t="s">
        <v>1086</v>
      </c>
      <c r="P323" s="57" t="s">
        <v>1095</v>
      </c>
      <c r="Q323" s="57" t="s">
        <v>706</v>
      </c>
    </row>
    <row r="324" s="50" customFormat="true" ht="14.25" hidden="false" customHeight="true" outlineLevel="0" collapsed="false">
      <c r="A324" s="50" t="s">
        <v>477</v>
      </c>
      <c r="B324" s="57" t="s">
        <v>477</v>
      </c>
      <c r="C324" s="57" t="s">
        <v>327</v>
      </c>
      <c r="D324" s="58" t="n">
        <v>46058.70625</v>
      </c>
      <c r="E324" s="58" t="n">
        <v>46058.70625</v>
      </c>
      <c r="F324" s="58" t="n">
        <v>46058.7361111111</v>
      </c>
      <c r="G324" s="59" t="n">
        <f aca="false">F324-E324</f>
        <v>0.029861111099537</v>
      </c>
      <c r="H324" s="57" t="s">
        <v>252</v>
      </c>
      <c r="I324" s="57"/>
      <c r="J324" s="57" t="s">
        <v>253</v>
      </c>
      <c r="K324" s="57" t="s">
        <v>266</v>
      </c>
      <c r="L324" s="57" t="s">
        <v>1085</v>
      </c>
      <c r="M324" s="57" t="s">
        <v>255</v>
      </c>
      <c r="N324" s="57" t="s">
        <v>256</v>
      </c>
      <c r="O324" s="57" t="s">
        <v>1086</v>
      </c>
      <c r="P324" s="57" t="s">
        <v>1096</v>
      </c>
      <c r="Q324" s="57" t="s">
        <v>706</v>
      </c>
    </row>
    <row r="325" s="50" customFormat="true" ht="14.25" hidden="false" customHeight="true" outlineLevel="0" collapsed="false">
      <c r="A325" s="50" t="s">
        <v>477</v>
      </c>
      <c r="B325" s="57" t="s">
        <v>477</v>
      </c>
      <c r="C325" s="57" t="s">
        <v>328</v>
      </c>
      <c r="D325" s="58" t="n">
        <v>46058.70625</v>
      </c>
      <c r="E325" s="58" t="n">
        <v>46058.70625</v>
      </c>
      <c r="F325" s="58" t="n">
        <v>46058.7361111111</v>
      </c>
      <c r="G325" s="59" t="n">
        <f aca="false">F325-E325</f>
        <v>0.029861111099537</v>
      </c>
      <c r="H325" s="57" t="s">
        <v>252</v>
      </c>
      <c r="I325" s="57"/>
      <c r="J325" s="57" t="s">
        <v>253</v>
      </c>
      <c r="K325" s="57" t="s">
        <v>266</v>
      </c>
      <c r="L325" s="57" t="s">
        <v>1085</v>
      </c>
      <c r="M325" s="57" t="s">
        <v>255</v>
      </c>
      <c r="N325" s="57" t="s">
        <v>256</v>
      </c>
      <c r="O325" s="57" t="s">
        <v>1086</v>
      </c>
      <c r="P325" s="57" t="s">
        <v>1097</v>
      </c>
      <c r="Q325" s="57" t="s">
        <v>706</v>
      </c>
    </row>
    <row r="326" s="50" customFormat="true" ht="14.25" hidden="false" customHeight="true" outlineLevel="0" collapsed="false">
      <c r="A326" s="50" t="s">
        <v>477</v>
      </c>
      <c r="B326" s="57" t="s">
        <v>477</v>
      </c>
      <c r="C326" s="57" t="s">
        <v>265</v>
      </c>
      <c r="D326" s="58" t="n">
        <v>46058.70625</v>
      </c>
      <c r="E326" s="58" t="n">
        <v>46058.70625</v>
      </c>
      <c r="F326" s="58" t="n">
        <v>46058.7361111111</v>
      </c>
      <c r="G326" s="59" t="n">
        <f aca="false">F326-E326</f>
        <v>0.029861111099537</v>
      </c>
      <c r="H326" s="57" t="s">
        <v>252</v>
      </c>
      <c r="I326" s="57"/>
      <c r="J326" s="57" t="s">
        <v>253</v>
      </c>
      <c r="K326" s="57" t="s">
        <v>266</v>
      </c>
      <c r="L326" s="57" t="s">
        <v>1085</v>
      </c>
      <c r="M326" s="57" t="s">
        <v>255</v>
      </c>
      <c r="N326" s="57" t="s">
        <v>256</v>
      </c>
      <c r="O326" s="57" t="s">
        <v>1086</v>
      </c>
      <c r="P326" s="57" t="s">
        <v>1098</v>
      </c>
      <c r="Q326" s="57" t="s">
        <v>706</v>
      </c>
    </row>
    <row r="327" s="50" customFormat="true" ht="14.25" hidden="false" customHeight="true" outlineLevel="0" collapsed="false">
      <c r="A327" s="50" t="s">
        <v>478</v>
      </c>
      <c r="B327" s="57" t="s">
        <v>478</v>
      </c>
      <c r="C327" s="57" t="s">
        <v>327</v>
      </c>
      <c r="D327" s="58" t="n">
        <v>46058.70625</v>
      </c>
      <c r="E327" s="58" t="n">
        <v>46058.70625</v>
      </c>
      <c r="F327" s="58" t="n">
        <v>46058.7361111111</v>
      </c>
      <c r="G327" s="59" t="n">
        <f aca="false">F327-E327</f>
        <v>0.029861111099537</v>
      </c>
      <c r="H327" s="57" t="s">
        <v>252</v>
      </c>
      <c r="I327" s="57"/>
      <c r="J327" s="57" t="s">
        <v>253</v>
      </c>
      <c r="K327" s="57" t="s">
        <v>266</v>
      </c>
      <c r="L327" s="57" t="s">
        <v>1085</v>
      </c>
      <c r="M327" s="57" t="s">
        <v>255</v>
      </c>
      <c r="N327" s="57" t="s">
        <v>256</v>
      </c>
      <c r="O327" s="57" t="s">
        <v>1086</v>
      </c>
      <c r="P327" s="57" t="s">
        <v>1099</v>
      </c>
      <c r="Q327" s="57" t="s">
        <v>706</v>
      </c>
    </row>
    <row r="328" s="50" customFormat="true" ht="14.25" hidden="false" customHeight="true" outlineLevel="0" collapsed="false">
      <c r="A328" s="50" t="s">
        <v>478</v>
      </c>
      <c r="B328" s="57" t="s">
        <v>478</v>
      </c>
      <c r="C328" s="57" t="s">
        <v>328</v>
      </c>
      <c r="D328" s="58" t="n">
        <v>46058.70625</v>
      </c>
      <c r="E328" s="58" t="n">
        <v>46058.70625</v>
      </c>
      <c r="F328" s="58" t="n">
        <v>46058.7361111111</v>
      </c>
      <c r="G328" s="59" t="n">
        <f aca="false">F328-E328</f>
        <v>0.029861111099537</v>
      </c>
      <c r="H328" s="57" t="s">
        <v>252</v>
      </c>
      <c r="I328" s="57"/>
      <c r="J328" s="57" t="s">
        <v>253</v>
      </c>
      <c r="K328" s="57" t="s">
        <v>266</v>
      </c>
      <c r="L328" s="57" t="s">
        <v>1085</v>
      </c>
      <c r="M328" s="57" t="s">
        <v>255</v>
      </c>
      <c r="N328" s="57" t="s">
        <v>256</v>
      </c>
      <c r="O328" s="57" t="s">
        <v>1086</v>
      </c>
      <c r="P328" s="57" t="s">
        <v>1100</v>
      </c>
      <c r="Q328" s="57" t="s">
        <v>706</v>
      </c>
    </row>
    <row r="329" s="50" customFormat="true" ht="14.25" hidden="false" customHeight="true" outlineLevel="0" collapsed="false">
      <c r="A329" s="50" t="s">
        <v>478</v>
      </c>
      <c r="B329" s="57" t="s">
        <v>478</v>
      </c>
      <c r="C329" s="57" t="s">
        <v>326</v>
      </c>
      <c r="D329" s="58" t="n">
        <v>46058.70625</v>
      </c>
      <c r="E329" s="58" t="n">
        <v>46058.70625</v>
      </c>
      <c r="F329" s="58" t="n">
        <v>46058.7361111111</v>
      </c>
      <c r="G329" s="59" t="n">
        <f aca="false">F329-E329</f>
        <v>0.029861111099537</v>
      </c>
      <c r="H329" s="57" t="s">
        <v>252</v>
      </c>
      <c r="I329" s="57"/>
      <c r="J329" s="57" t="s">
        <v>253</v>
      </c>
      <c r="K329" s="57" t="s">
        <v>266</v>
      </c>
      <c r="L329" s="57" t="s">
        <v>1085</v>
      </c>
      <c r="M329" s="57" t="s">
        <v>255</v>
      </c>
      <c r="N329" s="57" t="s">
        <v>256</v>
      </c>
      <c r="O329" s="57" t="s">
        <v>1086</v>
      </c>
      <c r="P329" s="57" t="s">
        <v>1101</v>
      </c>
      <c r="Q329" s="57" t="s">
        <v>706</v>
      </c>
    </row>
    <row r="330" s="50" customFormat="true" ht="14.25" hidden="false" customHeight="true" outlineLevel="0" collapsed="false">
      <c r="A330" s="50" t="s">
        <v>478</v>
      </c>
      <c r="B330" s="57" t="s">
        <v>478</v>
      </c>
      <c r="C330" s="57" t="s">
        <v>324</v>
      </c>
      <c r="D330" s="58" t="n">
        <v>46058.70625</v>
      </c>
      <c r="E330" s="58" t="n">
        <v>46058.70625</v>
      </c>
      <c r="F330" s="58" t="n">
        <v>46058.7361111111</v>
      </c>
      <c r="G330" s="59" t="n">
        <f aca="false">F330-E330</f>
        <v>0.029861111099537</v>
      </c>
      <c r="H330" s="57" t="s">
        <v>252</v>
      </c>
      <c r="I330" s="57"/>
      <c r="J330" s="57" t="s">
        <v>253</v>
      </c>
      <c r="K330" s="57" t="s">
        <v>266</v>
      </c>
      <c r="L330" s="57" t="s">
        <v>1085</v>
      </c>
      <c r="M330" s="57" t="s">
        <v>255</v>
      </c>
      <c r="N330" s="57" t="s">
        <v>256</v>
      </c>
      <c r="O330" s="57" t="s">
        <v>1086</v>
      </c>
      <c r="P330" s="57" t="s">
        <v>1102</v>
      </c>
      <c r="Q330" s="57" t="s">
        <v>706</v>
      </c>
    </row>
    <row r="331" s="50" customFormat="true" ht="14.25" hidden="false" customHeight="true" outlineLevel="0" collapsed="false">
      <c r="A331" s="50" t="s">
        <v>479</v>
      </c>
      <c r="B331" s="57" t="s">
        <v>479</v>
      </c>
      <c r="C331" s="57" t="s">
        <v>326</v>
      </c>
      <c r="D331" s="58" t="n">
        <v>46058.70625</v>
      </c>
      <c r="E331" s="58" t="n">
        <v>46058.70625</v>
      </c>
      <c r="F331" s="58" t="n">
        <v>46058.7361111111</v>
      </c>
      <c r="G331" s="59" t="n">
        <f aca="false">F331-E331</f>
        <v>0.029861111099537</v>
      </c>
      <c r="H331" s="57" t="s">
        <v>252</v>
      </c>
      <c r="I331" s="57"/>
      <c r="J331" s="57" t="s">
        <v>253</v>
      </c>
      <c r="K331" s="57" t="s">
        <v>266</v>
      </c>
      <c r="L331" s="57" t="s">
        <v>1085</v>
      </c>
      <c r="M331" s="57" t="s">
        <v>255</v>
      </c>
      <c r="N331" s="57" t="s">
        <v>256</v>
      </c>
      <c r="O331" s="57" t="s">
        <v>1086</v>
      </c>
      <c r="P331" s="57" t="s">
        <v>1103</v>
      </c>
      <c r="Q331" s="57" t="s">
        <v>706</v>
      </c>
    </row>
    <row r="332" s="50" customFormat="true" ht="14.25" hidden="false" customHeight="true" outlineLevel="0" collapsed="false">
      <c r="A332" s="50" t="s">
        <v>479</v>
      </c>
      <c r="B332" s="57" t="s">
        <v>479</v>
      </c>
      <c r="C332" s="57" t="s">
        <v>324</v>
      </c>
      <c r="D332" s="58" t="n">
        <v>46058.70625</v>
      </c>
      <c r="E332" s="58" t="n">
        <v>46058.70625</v>
      </c>
      <c r="F332" s="58" t="n">
        <v>46058.7361111111</v>
      </c>
      <c r="G332" s="59" t="n">
        <f aca="false">F332-E332</f>
        <v>0.029861111099537</v>
      </c>
      <c r="H332" s="57" t="s">
        <v>252</v>
      </c>
      <c r="I332" s="57"/>
      <c r="J332" s="57" t="s">
        <v>253</v>
      </c>
      <c r="K332" s="57" t="s">
        <v>266</v>
      </c>
      <c r="L332" s="57" t="s">
        <v>1085</v>
      </c>
      <c r="M332" s="57" t="s">
        <v>255</v>
      </c>
      <c r="N332" s="57" t="s">
        <v>256</v>
      </c>
      <c r="O332" s="57" t="s">
        <v>1086</v>
      </c>
      <c r="P332" s="57" t="s">
        <v>1104</v>
      </c>
      <c r="Q332" s="57" t="s">
        <v>706</v>
      </c>
    </row>
    <row r="333" s="50" customFormat="true" ht="14.25" hidden="false" customHeight="true" outlineLevel="0" collapsed="false">
      <c r="A333" s="50" t="s">
        <v>479</v>
      </c>
      <c r="B333" s="57" t="s">
        <v>479</v>
      </c>
      <c r="C333" s="57" t="s">
        <v>327</v>
      </c>
      <c r="D333" s="58" t="n">
        <v>46058.70625</v>
      </c>
      <c r="E333" s="58" t="n">
        <v>46058.70625</v>
      </c>
      <c r="F333" s="58" t="n">
        <v>46058.7361111111</v>
      </c>
      <c r="G333" s="59" t="n">
        <f aca="false">F333-E333</f>
        <v>0.029861111099537</v>
      </c>
      <c r="H333" s="57" t="s">
        <v>252</v>
      </c>
      <c r="I333" s="57"/>
      <c r="J333" s="57" t="s">
        <v>253</v>
      </c>
      <c r="K333" s="57" t="s">
        <v>266</v>
      </c>
      <c r="L333" s="57" t="s">
        <v>1085</v>
      </c>
      <c r="M333" s="57" t="s">
        <v>255</v>
      </c>
      <c r="N333" s="57" t="s">
        <v>256</v>
      </c>
      <c r="O333" s="57" t="s">
        <v>1086</v>
      </c>
      <c r="P333" s="57" t="s">
        <v>1105</v>
      </c>
      <c r="Q333" s="57" t="s">
        <v>706</v>
      </c>
    </row>
    <row r="334" s="50" customFormat="true" ht="14.25" hidden="false" customHeight="true" outlineLevel="0" collapsed="false">
      <c r="A334" s="50" t="s">
        <v>479</v>
      </c>
      <c r="B334" s="57" t="s">
        <v>479</v>
      </c>
      <c r="C334" s="57" t="s">
        <v>265</v>
      </c>
      <c r="D334" s="58" t="n">
        <v>46058.70625</v>
      </c>
      <c r="E334" s="58" t="n">
        <v>46058.70625</v>
      </c>
      <c r="F334" s="58" t="n">
        <v>46058.7361111111</v>
      </c>
      <c r="G334" s="59" t="n">
        <f aca="false">F334-E334</f>
        <v>0.029861111099537</v>
      </c>
      <c r="H334" s="57" t="s">
        <v>252</v>
      </c>
      <c r="I334" s="57"/>
      <c r="J334" s="57" t="s">
        <v>253</v>
      </c>
      <c r="K334" s="57" t="s">
        <v>266</v>
      </c>
      <c r="L334" s="57" t="s">
        <v>1085</v>
      </c>
      <c r="M334" s="57" t="s">
        <v>255</v>
      </c>
      <c r="N334" s="57" t="s">
        <v>256</v>
      </c>
      <c r="O334" s="57" t="s">
        <v>1086</v>
      </c>
      <c r="P334" s="57" t="s">
        <v>1106</v>
      </c>
      <c r="Q334" s="57" t="s">
        <v>706</v>
      </c>
    </row>
    <row r="335" s="50" customFormat="true" ht="14.25" hidden="false" customHeight="true" outlineLevel="0" collapsed="false">
      <c r="A335" s="50" t="s">
        <v>474</v>
      </c>
      <c r="B335" s="57" t="s">
        <v>474</v>
      </c>
      <c r="C335" s="57" t="s">
        <v>327</v>
      </c>
      <c r="D335" s="58" t="n">
        <v>46058.7166666667</v>
      </c>
      <c r="E335" s="58" t="n">
        <v>46058.7166666667</v>
      </c>
      <c r="F335" s="58" t="n">
        <v>46058.7395833333</v>
      </c>
      <c r="G335" s="59" t="n">
        <f aca="false">F335-E335</f>
        <v>0.0229166665972222</v>
      </c>
      <c r="H335" s="57" t="s">
        <v>252</v>
      </c>
      <c r="I335" s="57"/>
      <c r="J335" s="57" t="s">
        <v>253</v>
      </c>
      <c r="K335" s="57" t="s">
        <v>266</v>
      </c>
      <c r="L335" s="57" t="s">
        <v>432</v>
      </c>
      <c r="M335" s="57" t="s">
        <v>255</v>
      </c>
      <c r="N335" s="57" t="s">
        <v>268</v>
      </c>
      <c r="O335" s="57" t="s">
        <v>1086</v>
      </c>
      <c r="P335" s="57" t="s">
        <v>1107</v>
      </c>
      <c r="Q335" s="57" t="s">
        <v>706</v>
      </c>
    </row>
    <row r="336" s="50" customFormat="true" ht="14.25" hidden="false" customHeight="true" outlineLevel="0" collapsed="false">
      <c r="A336" s="50" t="s">
        <v>474</v>
      </c>
      <c r="B336" s="57" t="s">
        <v>474</v>
      </c>
      <c r="C336" s="57" t="s">
        <v>328</v>
      </c>
      <c r="D336" s="58" t="n">
        <v>46058.7166666667</v>
      </c>
      <c r="E336" s="58" t="n">
        <v>46058.7166666667</v>
      </c>
      <c r="F336" s="58" t="n">
        <v>46058.7395833333</v>
      </c>
      <c r="G336" s="59" t="n">
        <f aca="false">F336-E336</f>
        <v>0.0229166665972222</v>
      </c>
      <c r="H336" s="57" t="s">
        <v>252</v>
      </c>
      <c r="I336" s="57"/>
      <c r="J336" s="57" t="s">
        <v>253</v>
      </c>
      <c r="K336" s="57" t="s">
        <v>266</v>
      </c>
      <c r="L336" s="57" t="s">
        <v>432</v>
      </c>
      <c r="M336" s="57" t="s">
        <v>255</v>
      </c>
      <c r="N336" s="57" t="s">
        <v>268</v>
      </c>
      <c r="O336" s="57" t="s">
        <v>1086</v>
      </c>
      <c r="P336" s="57" t="s">
        <v>1108</v>
      </c>
      <c r="Q336" s="57" t="s">
        <v>706</v>
      </c>
    </row>
    <row r="337" s="50" customFormat="true" ht="14.25" hidden="false" customHeight="true" outlineLevel="0" collapsed="false">
      <c r="A337" s="50" t="s">
        <v>474</v>
      </c>
      <c r="B337" s="57" t="s">
        <v>474</v>
      </c>
      <c r="C337" s="57" t="s">
        <v>324</v>
      </c>
      <c r="D337" s="58" t="n">
        <v>46058.7166666667</v>
      </c>
      <c r="E337" s="58" t="n">
        <v>46058.7166666667</v>
      </c>
      <c r="F337" s="58" t="n">
        <v>46058.7395833333</v>
      </c>
      <c r="G337" s="59" t="n">
        <f aca="false">F337-E337</f>
        <v>0.0229166665972222</v>
      </c>
      <c r="H337" s="57" t="s">
        <v>252</v>
      </c>
      <c r="I337" s="57"/>
      <c r="J337" s="57" t="s">
        <v>253</v>
      </c>
      <c r="K337" s="57" t="s">
        <v>266</v>
      </c>
      <c r="L337" s="57" t="s">
        <v>432</v>
      </c>
      <c r="M337" s="57" t="s">
        <v>255</v>
      </c>
      <c r="N337" s="57" t="s">
        <v>268</v>
      </c>
      <c r="O337" s="57" t="s">
        <v>1086</v>
      </c>
      <c r="P337" s="57" t="s">
        <v>1109</v>
      </c>
      <c r="Q337" s="57" t="s">
        <v>706</v>
      </c>
    </row>
    <row r="338" s="50" customFormat="true" ht="14.25" hidden="false" customHeight="true" outlineLevel="0" collapsed="false">
      <c r="A338" s="50" t="s">
        <v>474</v>
      </c>
      <c r="B338" s="57" t="s">
        <v>474</v>
      </c>
      <c r="C338" s="57" t="s">
        <v>326</v>
      </c>
      <c r="D338" s="58" t="n">
        <v>46058.7166666667</v>
      </c>
      <c r="E338" s="58" t="n">
        <v>46058.7166666667</v>
      </c>
      <c r="F338" s="58" t="n">
        <v>46058.7395833333</v>
      </c>
      <c r="G338" s="59" t="n">
        <f aca="false">F338-E338</f>
        <v>0.0229166665972222</v>
      </c>
      <c r="H338" s="57" t="s">
        <v>252</v>
      </c>
      <c r="I338" s="57"/>
      <c r="J338" s="57" t="s">
        <v>253</v>
      </c>
      <c r="K338" s="57" t="s">
        <v>266</v>
      </c>
      <c r="L338" s="57" t="s">
        <v>432</v>
      </c>
      <c r="M338" s="57" t="s">
        <v>255</v>
      </c>
      <c r="N338" s="57" t="s">
        <v>268</v>
      </c>
      <c r="O338" s="57" t="s">
        <v>1086</v>
      </c>
      <c r="P338" s="57" t="s">
        <v>1110</v>
      </c>
      <c r="Q338" s="57" t="s">
        <v>706</v>
      </c>
    </row>
    <row r="339" s="50" customFormat="true" ht="14.25" hidden="false" customHeight="true" outlineLevel="0" collapsed="false">
      <c r="A339" s="50" t="s">
        <v>476</v>
      </c>
      <c r="B339" s="57" t="s">
        <v>476</v>
      </c>
      <c r="C339" s="57" t="s">
        <v>327</v>
      </c>
      <c r="D339" s="58" t="n">
        <v>46058.7166666667</v>
      </c>
      <c r="E339" s="58" t="n">
        <v>46058.7166666667</v>
      </c>
      <c r="F339" s="58" t="n">
        <v>46058.7395833333</v>
      </c>
      <c r="G339" s="59" t="n">
        <f aca="false">F339-E339</f>
        <v>0.0229166665972222</v>
      </c>
      <c r="H339" s="57" t="s">
        <v>252</v>
      </c>
      <c r="I339" s="57"/>
      <c r="J339" s="57" t="s">
        <v>253</v>
      </c>
      <c r="K339" s="57" t="s">
        <v>266</v>
      </c>
      <c r="L339" s="57" t="s">
        <v>432</v>
      </c>
      <c r="M339" s="57" t="s">
        <v>255</v>
      </c>
      <c r="N339" s="57" t="s">
        <v>268</v>
      </c>
      <c r="O339" s="57" t="s">
        <v>1086</v>
      </c>
      <c r="P339" s="57" t="s">
        <v>1111</v>
      </c>
      <c r="Q339" s="57" t="s">
        <v>706</v>
      </c>
    </row>
    <row r="340" s="50" customFormat="true" ht="14.25" hidden="false" customHeight="true" outlineLevel="0" collapsed="false">
      <c r="A340" s="50" t="s">
        <v>476</v>
      </c>
      <c r="B340" s="57" t="s">
        <v>476</v>
      </c>
      <c r="C340" s="57" t="s">
        <v>326</v>
      </c>
      <c r="D340" s="58" t="n">
        <v>46058.7166666667</v>
      </c>
      <c r="E340" s="58" t="n">
        <v>46058.7166666667</v>
      </c>
      <c r="F340" s="58" t="n">
        <v>46058.7395833333</v>
      </c>
      <c r="G340" s="59" t="n">
        <f aca="false">F340-E340</f>
        <v>0.0229166665972222</v>
      </c>
      <c r="H340" s="57" t="s">
        <v>252</v>
      </c>
      <c r="I340" s="57"/>
      <c r="J340" s="57" t="s">
        <v>253</v>
      </c>
      <c r="K340" s="57" t="s">
        <v>266</v>
      </c>
      <c r="L340" s="57" t="s">
        <v>432</v>
      </c>
      <c r="M340" s="57" t="s">
        <v>255</v>
      </c>
      <c r="N340" s="57" t="s">
        <v>268</v>
      </c>
      <c r="O340" s="57" t="s">
        <v>1086</v>
      </c>
      <c r="P340" s="57" t="s">
        <v>1112</v>
      </c>
      <c r="Q340" s="57" t="s">
        <v>706</v>
      </c>
    </row>
    <row r="341" s="50" customFormat="true" ht="14.25" hidden="false" customHeight="true" outlineLevel="0" collapsed="false">
      <c r="A341" s="50" t="s">
        <v>476</v>
      </c>
      <c r="B341" s="57" t="s">
        <v>476</v>
      </c>
      <c r="C341" s="57" t="s">
        <v>324</v>
      </c>
      <c r="D341" s="58" t="n">
        <v>46058.7166666667</v>
      </c>
      <c r="E341" s="58" t="n">
        <v>46058.7166666667</v>
      </c>
      <c r="F341" s="58" t="n">
        <v>46058.7395833333</v>
      </c>
      <c r="G341" s="59" t="n">
        <f aca="false">F341-E341</f>
        <v>0.0229166665972222</v>
      </c>
      <c r="H341" s="57" t="s">
        <v>252</v>
      </c>
      <c r="I341" s="57"/>
      <c r="J341" s="57" t="s">
        <v>253</v>
      </c>
      <c r="K341" s="57" t="s">
        <v>266</v>
      </c>
      <c r="L341" s="57" t="s">
        <v>432</v>
      </c>
      <c r="M341" s="57" t="s">
        <v>255</v>
      </c>
      <c r="N341" s="57" t="s">
        <v>268</v>
      </c>
      <c r="O341" s="57" t="s">
        <v>1086</v>
      </c>
      <c r="P341" s="57" t="s">
        <v>1113</v>
      </c>
      <c r="Q341" s="57" t="s">
        <v>706</v>
      </c>
    </row>
    <row r="342" s="50" customFormat="true" ht="14.25" hidden="false" customHeight="true" outlineLevel="0" collapsed="false">
      <c r="A342" s="50" t="s">
        <v>476</v>
      </c>
      <c r="B342" s="57" t="s">
        <v>476</v>
      </c>
      <c r="C342" s="57" t="s">
        <v>328</v>
      </c>
      <c r="D342" s="58" t="n">
        <v>46058.7166666667</v>
      </c>
      <c r="E342" s="58" t="n">
        <v>46058.7166666667</v>
      </c>
      <c r="F342" s="58" t="n">
        <v>46058.7395833333</v>
      </c>
      <c r="G342" s="59" t="n">
        <f aca="false">F342-E342</f>
        <v>0.0229166665972222</v>
      </c>
      <c r="H342" s="57" t="s">
        <v>252</v>
      </c>
      <c r="I342" s="57"/>
      <c r="J342" s="57" t="s">
        <v>253</v>
      </c>
      <c r="K342" s="57" t="s">
        <v>266</v>
      </c>
      <c r="L342" s="57" t="s">
        <v>432</v>
      </c>
      <c r="M342" s="57" t="s">
        <v>255</v>
      </c>
      <c r="N342" s="57" t="s">
        <v>268</v>
      </c>
      <c r="O342" s="57" t="s">
        <v>1086</v>
      </c>
      <c r="P342" s="57" t="s">
        <v>1114</v>
      </c>
      <c r="Q342" s="57" t="s">
        <v>706</v>
      </c>
    </row>
    <row r="343" s="50" customFormat="true" ht="14.25" hidden="false" customHeight="true" outlineLevel="0" collapsed="false">
      <c r="A343" s="50" t="s">
        <v>477</v>
      </c>
      <c r="B343" s="57" t="s">
        <v>477</v>
      </c>
      <c r="C343" s="57" t="s">
        <v>326</v>
      </c>
      <c r="D343" s="58" t="n">
        <v>46058.7166666667</v>
      </c>
      <c r="E343" s="58" t="n">
        <v>46058.7166666667</v>
      </c>
      <c r="F343" s="58" t="n">
        <v>46058.7395833333</v>
      </c>
      <c r="G343" s="59" t="n">
        <f aca="false">F343-E343</f>
        <v>0.0229166665972222</v>
      </c>
      <c r="H343" s="57" t="s">
        <v>252</v>
      </c>
      <c r="I343" s="57"/>
      <c r="J343" s="57" t="s">
        <v>253</v>
      </c>
      <c r="K343" s="57" t="s">
        <v>266</v>
      </c>
      <c r="L343" s="57" t="s">
        <v>432</v>
      </c>
      <c r="M343" s="57" t="s">
        <v>255</v>
      </c>
      <c r="N343" s="57" t="s">
        <v>268</v>
      </c>
      <c r="O343" s="57" t="s">
        <v>1086</v>
      </c>
      <c r="P343" s="57" t="s">
        <v>1115</v>
      </c>
      <c r="Q343" s="57" t="s">
        <v>706</v>
      </c>
    </row>
    <row r="344" s="50" customFormat="true" ht="14.25" hidden="false" customHeight="true" outlineLevel="0" collapsed="false">
      <c r="A344" s="50" t="s">
        <v>477</v>
      </c>
      <c r="B344" s="57" t="s">
        <v>477</v>
      </c>
      <c r="C344" s="57" t="s">
        <v>327</v>
      </c>
      <c r="D344" s="58" t="n">
        <v>46058.7166666667</v>
      </c>
      <c r="E344" s="58" t="n">
        <v>46058.7166666667</v>
      </c>
      <c r="F344" s="58" t="n">
        <v>46058.7395833333</v>
      </c>
      <c r="G344" s="59" t="n">
        <f aca="false">F344-E344</f>
        <v>0.0229166665972222</v>
      </c>
      <c r="H344" s="57" t="s">
        <v>252</v>
      </c>
      <c r="I344" s="57"/>
      <c r="J344" s="57" t="s">
        <v>253</v>
      </c>
      <c r="K344" s="57" t="s">
        <v>266</v>
      </c>
      <c r="L344" s="57" t="s">
        <v>432</v>
      </c>
      <c r="M344" s="57" t="s">
        <v>255</v>
      </c>
      <c r="N344" s="57" t="s">
        <v>268</v>
      </c>
      <c r="O344" s="57" t="s">
        <v>1086</v>
      </c>
      <c r="P344" s="57" t="s">
        <v>1116</v>
      </c>
      <c r="Q344" s="57" t="s">
        <v>706</v>
      </c>
    </row>
    <row r="345" s="50" customFormat="true" ht="14.25" hidden="false" customHeight="true" outlineLevel="0" collapsed="false">
      <c r="A345" s="50" t="s">
        <v>477</v>
      </c>
      <c r="B345" s="57" t="s">
        <v>477</v>
      </c>
      <c r="C345" s="57" t="s">
        <v>328</v>
      </c>
      <c r="D345" s="58" t="n">
        <v>46058.7166666667</v>
      </c>
      <c r="E345" s="58" t="n">
        <v>46058.7166666667</v>
      </c>
      <c r="F345" s="58" t="n">
        <v>46058.7395833333</v>
      </c>
      <c r="G345" s="59" t="n">
        <f aca="false">F345-E345</f>
        <v>0.0229166665972222</v>
      </c>
      <c r="H345" s="57" t="s">
        <v>252</v>
      </c>
      <c r="I345" s="57"/>
      <c r="J345" s="57" t="s">
        <v>253</v>
      </c>
      <c r="K345" s="57" t="s">
        <v>266</v>
      </c>
      <c r="L345" s="57" t="s">
        <v>432</v>
      </c>
      <c r="M345" s="57" t="s">
        <v>255</v>
      </c>
      <c r="N345" s="57" t="s">
        <v>268</v>
      </c>
      <c r="O345" s="57" t="s">
        <v>1086</v>
      </c>
      <c r="P345" s="57" t="s">
        <v>1117</v>
      </c>
      <c r="Q345" s="57" t="s">
        <v>706</v>
      </c>
    </row>
    <row r="346" s="50" customFormat="true" ht="14.25" hidden="false" customHeight="true" outlineLevel="0" collapsed="false">
      <c r="A346" s="50" t="s">
        <v>477</v>
      </c>
      <c r="B346" s="57" t="s">
        <v>477</v>
      </c>
      <c r="C346" s="57" t="s">
        <v>265</v>
      </c>
      <c r="D346" s="58" t="n">
        <v>46058.7166666667</v>
      </c>
      <c r="E346" s="58" t="n">
        <v>46058.7166666667</v>
      </c>
      <c r="F346" s="58" t="n">
        <v>46058.7395833333</v>
      </c>
      <c r="G346" s="59" t="n">
        <f aca="false">F346-E346</f>
        <v>0.0229166665972222</v>
      </c>
      <c r="H346" s="57" t="s">
        <v>252</v>
      </c>
      <c r="I346" s="57"/>
      <c r="J346" s="57" t="s">
        <v>253</v>
      </c>
      <c r="K346" s="57" t="s">
        <v>266</v>
      </c>
      <c r="L346" s="57" t="s">
        <v>432</v>
      </c>
      <c r="M346" s="57" t="s">
        <v>255</v>
      </c>
      <c r="N346" s="57" t="s">
        <v>268</v>
      </c>
      <c r="O346" s="57" t="s">
        <v>1086</v>
      </c>
      <c r="P346" s="57" t="s">
        <v>1118</v>
      </c>
      <c r="Q346" s="57" t="s">
        <v>706</v>
      </c>
    </row>
    <row r="347" s="50" customFormat="true" ht="14.25" hidden="false" customHeight="true" outlineLevel="0" collapsed="false">
      <c r="A347" s="50" t="s">
        <v>478</v>
      </c>
      <c r="B347" s="57" t="s">
        <v>478</v>
      </c>
      <c r="C347" s="57" t="s">
        <v>327</v>
      </c>
      <c r="D347" s="58" t="n">
        <v>46058.7166666667</v>
      </c>
      <c r="E347" s="58" t="n">
        <v>46058.7166666667</v>
      </c>
      <c r="F347" s="58" t="n">
        <v>46058.7395833333</v>
      </c>
      <c r="G347" s="59" t="n">
        <f aca="false">F347-E347</f>
        <v>0.0229166665972222</v>
      </c>
      <c r="H347" s="57" t="s">
        <v>252</v>
      </c>
      <c r="I347" s="57"/>
      <c r="J347" s="57" t="s">
        <v>253</v>
      </c>
      <c r="K347" s="57" t="s">
        <v>266</v>
      </c>
      <c r="L347" s="57" t="s">
        <v>432</v>
      </c>
      <c r="M347" s="57" t="s">
        <v>255</v>
      </c>
      <c r="N347" s="57" t="s">
        <v>268</v>
      </c>
      <c r="O347" s="57" t="s">
        <v>1086</v>
      </c>
      <c r="P347" s="57" t="s">
        <v>1119</v>
      </c>
      <c r="Q347" s="57" t="s">
        <v>706</v>
      </c>
    </row>
    <row r="348" s="50" customFormat="true" ht="14.25" hidden="false" customHeight="true" outlineLevel="0" collapsed="false">
      <c r="A348" s="50" t="s">
        <v>478</v>
      </c>
      <c r="B348" s="57" t="s">
        <v>478</v>
      </c>
      <c r="C348" s="57" t="s">
        <v>328</v>
      </c>
      <c r="D348" s="58" t="n">
        <v>46058.7166666667</v>
      </c>
      <c r="E348" s="58" t="n">
        <v>46058.7166666667</v>
      </c>
      <c r="F348" s="58" t="n">
        <v>46058.7395833333</v>
      </c>
      <c r="G348" s="59" t="n">
        <f aca="false">F348-E348</f>
        <v>0.0229166665972222</v>
      </c>
      <c r="H348" s="57" t="s">
        <v>252</v>
      </c>
      <c r="I348" s="57"/>
      <c r="J348" s="57" t="s">
        <v>253</v>
      </c>
      <c r="K348" s="57" t="s">
        <v>266</v>
      </c>
      <c r="L348" s="57" t="s">
        <v>432</v>
      </c>
      <c r="M348" s="57" t="s">
        <v>255</v>
      </c>
      <c r="N348" s="57" t="s">
        <v>268</v>
      </c>
      <c r="O348" s="57" t="s">
        <v>1086</v>
      </c>
      <c r="P348" s="57" t="s">
        <v>1120</v>
      </c>
      <c r="Q348" s="57" t="s">
        <v>706</v>
      </c>
    </row>
    <row r="349" s="50" customFormat="true" ht="14.25" hidden="false" customHeight="true" outlineLevel="0" collapsed="false">
      <c r="A349" s="50" t="s">
        <v>478</v>
      </c>
      <c r="B349" s="57" t="s">
        <v>478</v>
      </c>
      <c r="C349" s="57" t="s">
        <v>326</v>
      </c>
      <c r="D349" s="58" t="n">
        <v>46058.7166666667</v>
      </c>
      <c r="E349" s="58" t="n">
        <v>46058.7166666667</v>
      </c>
      <c r="F349" s="58" t="n">
        <v>46058.7395833333</v>
      </c>
      <c r="G349" s="59" t="n">
        <f aca="false">F349-E349</f>
        <v>0.0229166665972222</v>
      </c>
      <c r="H349" s="57" t="s">
        <v>252</v>
      </c>
      <c r="I349" s="57"/>
      <c r="J349" s="57" t="s">
        <v>253</v>
      </c>
      <c r="K349" s="57" t="s">
        <v>266</v>
      </c>
      <c r="L349" s="57" t="s">
        <v>432</v>
      </c>
      <c r="M349" s="57" t="s">
        <v>255</v>
      </c>
      <c r="N349" s="57" t="s">
        <v>268</v>
      </c>
      <c r="O349" s="57" t="s">
        <v>1086</v>
      </c>
      <c r="P349" s="57" t="s">
        <v>1121</v>
      </c>
      <c r="Q349" s="57" t="s">
        <v>706</v>
      </c>
    </row>
    <row r="350" s="50" customFormat="true" ht="14.25" hidden="false" customHeight="true" outlineLevel="0" collapsed="false">
      <c r="A350" s="50" t="s">
        <v>478</v>
      </c>
      <c r="B350" s="57" t="s">
        <v>478</v>
      </c>
      <c r="C350" s="57" t="s">
        <v>324</v>
      </c>
      <c r="D350" s="58" t="n">
        <v>46058.7166666667</v>
      </c>
      <c r="E350" s="58" t="n">
        <v>46058.7166666667</v>
      </c>
      <c r="F350" s="58" t="n">
        <v>46058.7395833333</v>
      </c>
      <c r="G350" s="59" t="n">
        <f aca="false">F350-E350</f>
        <v>0.0229166665972222</v>
      </c>
      <c r="H350" s="57" t="s">
        <v>252</v>
      </c>
      <c r="I350" s="57"/>
      <c r="J350" s="57" t="s">
        <v>253</v>
      </c>
      <c r="K350" s="57" t="s">
        <v>266</v>
      </c>
      <c r="L350" s="57" t="s">
        <v>432</v>
      </c>
      <c r="M350" s="57" t="s">
        <v>255</v>
      </c>
      <c r="N350" s="57" t="s">
        <v>268</v>
      </c>
      <c r="O350" s="57" t="s">
        <v>1086</v>
      </c>
      <c r="P350" s="57" t="s">
        <v>1122</v>
      </c>
      <c r="Q350" s="57" t="s">
        <v>706</v>
      </c>
    </row>
    <row r="351" s="50" customFormat="true" ht="14.25" hidden="false" customHeight="true" outlineLevel="0" collapsed="false">
      <c r="A351" s="50" t="s">
        <v>479</v>
      </c>
      <c r="B351" s="57" t="s">
        <v>479</v>
      </c>
      <c r="C351" s="57" t="s">
        <v>326</v>
      </c>
      <c r="D351" s="58" t="n">
        <v>46058.7166666667</v>
      </c>
      <c r="E351" s="58" t="n">
        <v>46058.7166666667</v>
      </c>
      <c r="F351" s="58" t="n">
        <v>46058.7395833333</v>
      </c>
      <c r="G351" s="59" t="n">
        <f aca="false">F351-E351</f>
        <v>0.0229166665972222</v>
      </c>
      <c r="H351" s="57" t="s">
        <v>252</v>
      </c>
      <c r="I351" s="57"/>
      <c r="J351" s="57" t="s">
        <v>253</v>
      </c>
      <c r="K351" s="57" t="s">
        <v>266</v>
      </c>
      <c r="L351" s="57" t="s">
        <v>432</v>
      </c>
      <c r="M351" s="57" t="s">
        <v>255</v>
      </c>
      <c r="N351" s="57" t="s">
        <v>268</v>
      </c>
      <c r="O351" s="57" t="s">
        <v>1086</v>
      </c>
      <c r="P351" s="57" t="s">
        <v>1123</v>
      </c>
      <c r="Q351" s="57" t="s">
        <v>706</v>
      </c>
    </row>
    <row r="352" s="50" customFormat="true" ht="14.25" hidden="false" customHeight="true" outlineLevel="0" collapsed="false">
      <c r="A352" s="50" t="s">
        <v>479</v>
      </c>
      <c r="B352" s="57" t="s">
        <v>479</v>
      </c>
      <c r="C352" s="57" t="s">
        <v>324</v>
      </c>
      <c r="D352" s="58" t="n">
        <v>46058.7166666667</v>
      </c>
      <c r="E352" s="58" t="n">
        <v>46058.7166666667</v>
      </c>
      <c r="F352" s="58" t="n">
        <v>46058.7395833333</v>
      </c>
      <c r="G352" s="59" t="n">
        <f aca="false">F352-E352</f>
        <v>0.0229166665972222</v>
      </c>
      <c r="H352" s="57" t="s">
        <v>252</v>
      </c>
      <c r="I352" s="57"/>
      <c r="J352" s="57" t="s">
        <v>253</v>
      </c>
      <c r="K352" s="57" t="s">
        <v>266</v>
      </c>
      <c r="L352" s="57" t="s">
        <v>432</v>
      </c>
      <c r="M352" s="57" t="s">
        <v>255</v>
      </c>
      <c r="N352" s="57" t="s">
        <v>268</v>
      </c>
      <c r="O352" s="57" t="s">
        <v>1086</v>
      </c>
      <c r="P352" s="57" t="s">
        <v>1124</v>
      </c>
      <c r="Q352" s="57" t="s">
        <v>706</v>
      </c>
    </row>
    <row r="353" s="50" customFormat="true" ht="14.25" hidden="false" customHeight="true" outlineLevel="0" collapsed="false">
      <c r="A353" s="50" t="s">
        <v>479</v>
      </c>
      <c r="B353" s="57" t="s">
        <v>479</v>
      </c>
      <c r="C353" s="57" t="s">
        <v>327</v>
      </c>
      <c r="D353" s="58" t="n">
        <v>46058.7166666667</v>
      </c>
      <c r="E353" s="58" t="n">
        <v>46058.7166666667</v>
      </c>
      <c r="F353" s="58" t="n">
        <v>46058.7395833333</v>
      </c>
      <c r="G353" s="59" t="n">
        <f aca="false">F353-E353</f>
        <v>0.0229166665972222</v>
      </c>
      <c r="H353" s="57" t="s">
        <v>252</v>
      </c>
      <c r="I353" s="57"/>
      <c r="J353" s="57" t="s">
        <v>253</v>
      </c>
      <c r="K353" s="57" t="s">
        <v>266</v>
      </c>
      <c r="L353" s="57" t="s">
        <v>432</v>
      </c>
      <c r="M353" s="57" t="s">
        <v>255</v>
      </c>
      <c r="N353" s="57" t="s">
        <v>268</v>
      </c>
      <c r="O353" s="57" t="s">
        <v>1086</v>
      </c>
      <c r="P353" s="57" t="s">
        <v>1125</v>
      </c>
      <c r="Q353" s="57" t="s">
        <v>706</v>
      </c>
    </row>
    <row r="354" s="50" customFormat="true" ht="14.25" hidden="false" customHeight="true" outlineLevel="0" collapsed="false">
      <c r="A354" s="50" t="s">
        <v>479</v>
      </c>
      <c r="B354" s="57" t="s">
        <v>479</v>
      </c>
      <c r="C354" s="57" t="s">
        <v>265</v>
      </c>
      <c r="D354" s="58" t="n">
        <v>46058.7166666667</v>
      </c>
      <c r="E354" s="58" t="n">
        <v>46058.7166666667</v>
      </c>
      <c r="F354" s="58" t="n">
        <v>46058.7395833333</v>
      </c>
      <c r="G354" s="59" t="n">
        <f aca="false">F354-E354</f>
        <v>0.0229166665972222</v>
      </c>
      <c r="H354" s="57" t="s">
        <v>252</v>
      </c>
      <c r="I354" s="57"/>
      <c r="J354" s="57" t="s">
        <v>253</v>
      </c>
      <c r="K354" s="57" t="s">
        <v>266</v>
      </c>
      <c r="L354" s="57" t="s">
        <v>432</v>
      </c>
      <c r="M354" s="57" t="s">
        <v>255</v>
      </c>
      <c r="N354" s="57" t="s">
        <v>268</v>
      </c>
      <c r="O354" s="57" t="s">
        <v>1086</v>
      </c>
      <c r="P354" s="57" t="s">
        <v>1126</v>
      </c>
      <c r="Q354" s="57" t="s">
        <v>706</v>
      </c>
    </row>
    <row r="355" s="50" customFormat="true" ht="14.25" hidden="false" customHeight="true" outlineLevel="0" collapsed="false">
      <c r="A355" s="50" t="s">
        <v>358</v>
      </c>
      <c r="B355" s="57" t="s">
        <v>358</v>
      </c>
      <c r="C355" s="57" t="s">
        <v>324</v>
      </c>
      <c r="D355" s="58" t="n">
        <v>46058.7166666667</v>
      </c>
      <c r="E355" s="58" t="n">
        <v>46058.7166666667</v>
      </c>
      <c r="F355" s="58" t="n">
        <v>46058.7395833333</v>
      </c>
      <c r="G355" s="59" t="n">
        <f aca="false">F355-E355</f>
        <v>0.0229166665972222</v>
      </c>
      <c r="H355" s="57" t="s">
        <v>252</v>
      </c>
      <c r="I355" s="57"/>
      <c r="J355" s="57" t="s">
        <v>253</v>
      </c>
      <c r="K355" s="57" t="s">
        <v>266</v>
      </c>
      <c r="L355" s="57" t="s">
        <v>1127</v>
      </c>
      <c r="M355" s="57" t="s">
        <v>255</v>
      </c>
      <c r="N355" s="57" t="s">
        <v>268</v>
      </c>
      <c r="O355" s="57" t="s">
        <v>1086</v>
      </c>
      <c r="P355" s="57" t="s">
        <v>1128</v>
      </c>
      <c r="Q355" s="57" t="s">
        <v>706</v>
      </c>
    </row>
    <row r="356" s="50" customFormat="true" ht="14.25" hidden="false" customHeight="true" outlineLevel="0" collapsed="false">
      <c r="A356" s="50" t="s">
        <v>358</v>
      </c>
      <c r="B356" s="57" t="s">
        <v>358</v>
      </c>
      <c r="C356" s="57" t="s">
        <v>326</v>
      </c>
      <c r="D356" s="58" t="n">
        <v>46058.7166666667</v>
      </c>
      <c r="E356" s="58" t="n">
        <v>46058.7166666667</v>
      </c>
      <c r="F356" s="58" t="n">
        <v>46058.7395833333</v>
      </c>
      <c r="G356" s="59" t="n">
        <f aca="false">F356-E356</f>
        <v>0.0229166665972222</v>
      </c>
      <c r="H356" s="57" t="s">
        <v>252</v>
      </c>
      <c r="I356" s="57"/>
      <c r="J356" s="57" t="s">
        <v>253</v>
      </c>
      <c r="K356" s="57" t="s">
        <v>266</v>
      </c>
      <c r="L356" s="57" t="s">
        <v>1127</v>
      </c>
      <c r="M356" s="57" t="s">
        <v>255</v>
      </c>
      <c r="N356" s="57" t="s">
        <v>268</v>
      </c>
      <c r="O356" s="57" t="s">
        <v>1086</v>
      </c>
      <c r="P356" s="57" t="s">
        <v>1129</v>
      </c>
      <c r="Q356" s="57" t="s">
        <v>706</v>
      </c>
    </row>
    <row r="357" s="50" customFormat="true" ht="14.25" hidden="false" customHeight="true" outlineLevel="0" collapsed="false">
      <c r="A357" s="50" t="s">
        <v>358</v>
      </c>
      <c r="B357" s="57" t="s">
        <v>358</v>
      </c>
      <c r="C357" s="57" t="s">
        <v>327</v>
      </c>
      <c r="D357" s="58" t="n">
        <v>46058.7166666667</v>
      </c>
      <c r="E357" s="58" t="n">
        <v>46058.7166666667</v>
      </c>
      <c r="F357" s="58" t="n">
        <v>46058.7395833333</v>
      </c>
      <c r="G357" s="59" t="n">
        <f aca="false">F357-E357</f>
        <v>0.0229166665972222</v>
      </c>
      <c r="H357" s="57" t="s">
        <v>252</v>
      </c>
      <c r="I357" s="57"/>
      <c r="J357" s="57" t="s">
        <v>253</v>
      </c>
      <c r="K357" s="57" t="s">
        <v>266</v>
      </c>
      <c r="L357" s="57" t="s">
        <v>1127</v>
      </c>
      <c r="M357" s="57" t="s">
        <v>255</v>
      </c>
      <c r="N357" s="57" t="s">
        <v>268</v>
      </c>
      <c r="O357" s="57" t="s">
        <v>1086</v>
      </c>
      <c r="P357" s="57" t="s">
        <v>1130</v>
      </c>
      <c r="Q357" s="57" t="s">
        <v>706</v>
      </c>
    </row>
    <row r="358" s="50" customFormat="true" ht="14.25" hidden="false" customHeight="true" outlineLevel="0" collapsed="false">
      <c r="A358" s="50" t="s">
        <v>358</v>
      </c>
      <c r="B358" s="57" t="s">
        <v>358</v>
      </c>
      <c r="C358" s="57" t="s">
        <v>328</v>
      </c>
      <c r="D358" s="58" t="n">
        <v>46058.7166666667</v>
      </c>
      <c r="E358" s="58" t="n">
        <v>46058.7166666667</v>
      </c>
      <c r="F358" s="58" t="n">
        <v>46058.7395833333</v>
      </c>
      <c r="G358" s="59" t="n">
        <f aca="false">F358-E358</f>
        <v>0.0229166665972222</v>
      </c>
      <c r="H358" s="57" t="s">
        <v>252</v>
      </c>
      <c r="I358" s="57"/>
      <c r="J358" s="57" t="s">
        <v>253</v>
      </c>
      <c r="K358" s="57" t="s">
        <v>266</v>
      </c>
      <c r="L358" s="57" t="s">
        <v>1127</v>
      </c>
      <c r="M358" s="57" t="s">
        <v>255</v>
      </c>
      <c r="N358" s="57" t="s">
        <v>268</v>
      </c>
      <c r="O358" s="57" t="s">
        <v>1086</v>
      </c>
      <c r="P358" s="57" t="s">
        <v>1131</v>
      </c>
      <c r="Q358" s="57" t="s">
        <v>706</v>
      </c>
    </row>
    <row r="359" s="50" customFormat="true" ht="14.25" hidden="false" customHeight="true" outlineLevel="0" collapsed="false">
      <c r="A359" s="50" t="s">
        <v>361</v>
      </c>
      <c r="B359" s="57" t="s">
        <v>361</v>
      </c>
      <c r="C359" s="57" t="s">
        <v>324</v>
      </c>
      <c r="D359" s="58" t="n">
        <v>46058.7166666667</v>
      </c>
      <c r="E359" s="58" t="n">
        <v>46058.7166666667</v>
      </c>
      <c r="F359" s="58" t="n">
        <v>46058.7395833333</v>
      </c>
      <c r="G359" s="59" t="n">
        <f aca="false">F359-E359</f>
        <v>0.0229166665972222</v>
      </c>
      <c r="H359" s="57" t="s">
        <v>252</v>
      </c>
      <c r="I359" s="57"/>
      <c r="J359" s="57" t="s">
        <v>253</v>
      </c>
      <c r="K359" s="57" t="s">
        <v>266</v>
      </c>
      <c r="L359" s="57" t="s">
        <v>1127</v>
      </c>
      <c r="M359" s="57" t="s">
        <v>255</v>
      </c>
      <c r="N359" s="57" t="s">
        <v>268</v>
      </c>
      <c r="O359" s="57" t="s">
        <v>1086</v>
      </c>
      <c r="P359" s="57" t="s">
        <v>1132</v>
      </c>
      <c r="Q359" s="57" t="s">
        <v>706</v>
      </c>
    </row>
    <row r="360" s="50" customFormat="true" ht="14.25" hidden="false" customHeight="true" outlineLevel="0" collapsed="false">
      <c r="A360" s="50" t="s">
        <v>361</v>
      </c>
      <c r="B360" s="57" t="s">
        <v>361</v>
      </c>
      <c r="C360" s="57" t="s">
        <v>326</v>
      </c>
      <c r="D360" s="58" t="n">
        <v>46058.7166666667</v>
      </c>
      <c r="E360" s="58" t="n">
        <v>46058.7166666667</v>
      </c>
      <c r="F360" s="58" t="n">
        <v>46058.7395833333</v>
      </c>
      <c r="G360" s="59" t="n">
        <f aca="false">F360-E360</f>
        <v>0.0229166665972222</v>
      </c>
      <c r="H360" s="57" t="s">
        <v>252</v>
      </c>
      <c r="I360" s="57"/>
      <c r="J360" s="57" t="s">
        <v>253</v>
      </c>
      <c r="K360" s="57" t="s">
        <v>266</v>
      </c>
      <c r="L360" s="57" t="s">
        <v>1127</v>
      </c>
      <c r="M360" s="57" t="s">
        <v>255</v>
      </c>
      <c r="N360" s="57" t="s">
        <v>268</v>
      </c>
      <c r="O360" s="57" t="s">
        <v>1086</v>
      </c>
      <c r="P360" s="57" t="s">
        <v>1133</v>
      </c>
      <c r="Q360" s="57" t="s">
        <v>706</v>
      </c>
    </row>
    <row r="361" s="50" customFormat="true" ht="14.25" hidden="false" customHeight="true" outlineLevel="0" collapsed="false">
      <c r="A361" s="50" t="s">
        <v>361</v>
      </c>
      <c r="B361" s="57" t="s">
        <v>361</v>
      </c>
      <c r="C361" s="57" t="s">
        <v>327</v>
      </c>
      <c r="D361" s="58" t="n">
        <v>46058.7166666667</v>
      </c>
      <c r="E361" s="58" t="n">
        <v>46058.7166666667</v>
      </c>
      <c r="F361" s="58" t="n">
        <v>46058.7395833333</v>
      </c>
      <c r="G361" s="59" t="n">
        <f aca="false">F361-E361</f>
        <v>0.0229166665972222</v>
      </c>
      <c r="H361" s="57" t="s">
        <v>252</v>
      </c>
      <c r="I361" s="57"/>
      <c r="J361" s="57" t="s">
        <v>253</v>
      </c>
      <c r="K361" s="57" t="s">
        <v>266</v>
      </c>
      <c r="L361" s="57" t="s">
        <v>1127</v>
      </c>
      <c r="M361" s="57" t="s">
        <v>255</v>
      </c>
      <c r="N361" s="57" t="s">
        <v>268</v>
      </c>
      <c r="O361" s="57" t="s">
        <v>1086</v>
      </c>
      <c r="P361" s="57" t="s">
        <v>1134</v>
      </c>
      <c r="Q361" s="57" t="s">
        <v>706</v>
      </c>
    </row>
    <row r="362" s="50" customFormat="true" ht="14.25" hidden="false" customHeight="true" outlineLevel="0" collapsed="false">
      <c r="A362" s="50" t="s">
        <v>361</v>
      </c>
      <c r="B362" s="57" t="s">
        <v>361</v>
      </c>
      <c r="C362" s="57" t="s">
        <v>328</v>
      </c>
      <c r="D362" s="58" t="n">
        <v>46058.7166666667</v>
      </c>
      <c r="E362" s="58" t="n">
        <v>46058.7166666667</v>
      </c>
      <c r="F362" s="58" t="n">
        <v>46058.7395833333</v>
      </c>
      <c r="G362" s="59" t="n">
        <f aca="false">F362-E362</f>
        <v>0.0229166665972222</v>
      </c>
      <c r="H362" s="57" t="s">
        <v>252</v>
      </c>
      <c r="I362" s="57"/>
      <c r="J362" s="57" t="s">
        <v>253</v>
      </c>
      <c r="K362" s="57" t="s">
        <v>266</v>
      </c>
      <c r="L362" s="57" t="s">
        <v>1127</v>
      </c>
      <c r="M362" s="57" t="s">
        <v>255</v>
      </c>
      <c r="N362" s="57" t="s">
        <v>268</v>
      </c>
      <c r="O362" s="57" t="s">
        <v>1086</v>
      </c>
      <c r="P362" s="57" t="s">
        <v>1135</v>
      </c>
      <c r="Q362" s="57" t="s">
        <v>706</v>
      </c>
    </row>
    <row r="363" s="50" customFormat="true" ht="14.25" hidden="false" customHeight="true" outlineLevel="0" collapsed="false">
      <c r="A363" s="50" t="s">
        <v>362</v>
      </c>
      <c r="B363" s="57" t="s">
        <v>362</v>
      </c>
      <c r="C363" s="57" t="s">
        <v>363</v>
      </c>
      <c r="D363" s="58" t="n">
        <v>46058.7166666667</v>
      </c>
      <c r="E363" s="58" t="n">
        <v>46058.7166666667</v>
      </c>
      <c r="F363" s="58" t="n">
        <v>46058.7395833333</v>
      </c>
      <c r="G363" s="59" t="n">
        <f aca="false">F363-E363</f>
        <v>0.0229166665972222</v>
      </c>
      <c r="H363" s="57" t="s">
        <v>252</v>
      </c>
      <c r="I363" s="57"/>
      <c r="J363" s="57" t="s">
        <v>253</v>
      </c>
      <c r="K363" s="57" t="s">
        <v>266</v>
      </c>
      <c r="L363" s="57" t="s">
        <v>1127</v>
      </c>
      <c r="M363" s="57" t="s">
        <v>255</v>
      </c>
      <c r="N363" s="57" t="s">
        <v>268</v>
      </c>
      <c r="O363" s="57" t="s">
        <v>1086</v>
      </c>
      <c r="P363" s="57" t="s">
        <v>1136</v>
      </c>
      <c r="Q363" s="57" t="s">
        <v>706</v>
      </c>
    </row>
    <row r="364" s="50" customFormat="true" ht="14.25" hidden="false" customHeight="true" outlineLevel="0" collapsed="false">
      <c r="A364" s="50" t="s">
        <v>362</v>
      </c>
      <c r="B364" s="57" t="s">
        <v>362</v>
      </c>
      <c r="C364" s="57" t="s">
        <v>265</v>
      </c>
      <c r="D364" s="58" t="n">
        <v>46058.7166666667</v>
      </c>
      <c r="E364" s="58" t="n">
        <v>46058.7166666667</v>
      </c>
      <c r="F364" s="58" t="n">
        <v>46058.7395833333</v>
      </c>
      <c r="G364" s="59" t="n">
        <f aca="false">F364-E364</f>
        <v>0.0229166665972222</v>
      </c>
      <c r="H364" s="57" t="s">
        <v>252</v>
      </c>
      <c r="I364" s="57"/>
      <c r="J364" s="57" t="s">
        <v>253</v>
      </c>
      <c r="K364" s="57" t="s">
        <v>266</v>
      </c>
      <c r="L364" s="57" t="s">
        <v>1127</v>
      </c>
      <c r="M364" s="57" t="s">
        <v>255</v>
      </c>
      <c r="N364" s="57" t="s">
        <v>268</v>
      </c>
      <c r="O364" s="57" t="s">
        <v>1086</v>
      </c>
      <c r="P364" s="57" t="s">
        <v>1137</v>
      </c>
      <c r="Q364" s="57" t="s">
        <v>706</v>
      </c>
    </row>
    <row r="365" s="50" customFormat="true" ht="14.25" hidden="false" customHeight="true" outlineLevel="0" collapsed="false">
      <c r="A365" s="50" t="s">
        <v>801</v>
      </c>
      <c r="B365" s="57" t="s">
        <v>112</v>
      </c>
      <c r="C365" s="57" t="s">
        <v>524</v>
      </c>
      <c r="D365" s="58" t="n">
        <v>46059.4756944444</v>
      </c>
      <c r="E365" s="58" t="n">
        <v>46059.4756944444</v>
      </c>
      <c r="F365" s="58" t="n">
        <v>46059.5277777778</v>
      </c>
      <c r="G365" s="59" t="n">
        <f aca="false">F365-E365</f>
        <v>0.0520833334027778</v>
      </c>
      <c r="H365" s="57" t="s">
        <v>384</v>
      </c>
      <c r="I365" s="57"/>
      <c r="J365" s="57" t="s">
        <v>234</v>
      </c>
      <c r="K365" s="57" t="s">
        <v>234</v>
      </c>
      <c r="L365" s="57" t="s">
        <v>1138</v>
      </c>
      <c r="M365" s="57" t="s">
        <v>386</v>
      </c>
      <c r="N365" s="57" t="s">
        <v>387</v>
      </c>
      <c r="O365" s="57" t="s">
        <v>1139</v>
      </c>
      <c r="P365" s="57" t="s">
        <v>1140</v>
      </c>
      <c r="Q365" s="57" t="s">
        <v>1141</v>
      </c>
    </row>
    <row r="366" s="50" customFormat="true" ht="14.25" hidden="false" customHeight="true" outlineLevel="0" collapsed="false">
      <c r="A366" s="50" t="s">
        <v>801</v>
      </c>
      <c r="B366" s="57" t="s">
        <v>112</v>
      </c>
      <c r="C366" s="57" t="s">
        <v>526</v>
      </c>
      <c r="D366" s="58" t="n">
        <v>46059.4756944444</v>
      </c>
      <c r="E366" s="58" t="n">
        <v>46059.4756944444</v>
      </c>
      <c r="F366" s="58" t="n">
        <v>46059.5277777778</v>
      </c>
      <c r="G366" s="59" t="n">
        <f aca="false">F366-E366</f>
        <v>0.0520833334027778</v>
      </c>
      <c r="H366" s="57" t="s">
        <v>384</v>
      </c>
      <c r="I366" s="57"/>
      <c r="J366" s="57" t="s">
        <v>234</v>
      </c>
      <c r="K366" s="57" t="s">
        <v>234</v>
      </c>
      <c r="L366" s="57" t="s">
        <v>1138</v>
      </c>
      <c r="M366" s="57" t="s">
        <v>386</v>
      </c>
      <c r="N366" s="57" t="s">
        <v>387</v>
      </c>
      <c r="O366" s="57" t="s">
        <v>1139</v>
      </c>
      <c r="P366" s="57" t="s">
        <v>1142</v>
      </c>
      <c r="Q366" s="57" t="s">
        <v>1141</v>
      </c>
    </row>
    <row r="367" s="50" customFormat="true" ht="14.25" hidden="false" customHeight="true" outlineLevel="0" collapsed="false">
      <c r="A367" s="50" t="s">
        <v>801</v>
      </c>
      <c r="B367" s="57" t="s">
        <v>112</v>
      </c>
      <c r="C367" s="57" t="s">
        <v>527</v>
      </c>
      <c r="D367" s="58" t="n">
        <v>46059.4756944444</v>
      </c>
      <c r="E367" s="58" t="n">
        <v>46059.4756944444</v>
      </c>
      <c r="F367" s="58" t="n">
        <v>46059.5277777778</v>
      </c>
      <c r="G367" s="59" t="n">
        <f aca="false">F367-E367</f>
        <v>0.0520833334027778</v>
      </c>
      <c r="H367" s="57" t="s">
        <v>384</v>
      </c>
      <c r="I367" s="57"/>
      <c r="J367" s="57" t="s">
        <v>234</v>
      </c>
      <c r="K367" s="57" t="s">
        <v>234</v>
      </c>
      <c r="L367" s="57" t="s">
        <v>1138</v>
      </c>
      <c r="M367" s="57" t="s">
        <v>386</v>
      </c>
      <c r="N367" s="57" t="s">
        <v>387</v>
      </c>
      <c r="O367" s="57" t="s">
        <v>1139</v>
      </c>
      <c r="P367" s="57" t="s">
        <v>1143</v>
      </c>
      <c r="Q367" s="57" t="s">
        <v>1141</v>
      </c>
    </row>
    <row r="368" s="50" customFormat="true" ht="14.25" hidden="false" customHeight="true" outlineLevel="0" collapsed="false">
      <c r="A368" s="50" t="s">
        <v>801</v>
      </c>
      <c r="B368" s="57" t="s">
        <v>112</v>
      </c>
      <c r="C368" s="57" t="s">
        <v>528</v>
      </c>
      <c r="D368" s="58" t="n">
        <v>46059.4756944444</v>
      </c>
      <c r="E368" s="58" t="n">
        <v>46059.4756944444</v>
      </c>
      <c r="F368" s="58" t="n">
        <v>46059.5277777778</v>
      </c>
      <c r="G368" s="59" t="n">
        <f aca="false">F368-E368</f>
        <v>0.0520833334027778</v>
      </c>
      <c r="H368" s="57" t="s">
        <v>384</v>
      </c>
      <c r="I368" s="57"/>
      <c r="J368" s="57" t="s">
        <v>234</v>
      </c>
      <c r="K368" s="57" t="s">
        <v>234</v>
      </c>
      <c r="L368" s="57" t="s">
        <v>1138</v>
      </c>
      <c r="M368" s="57" t="s">
        <v>386</v>
      </c>
      <c r="N368" s="57" t="s">
        <v>387</v>
      </c>
      <c r="O368" s="57" t="s">
        <v>1139</v>
      </c>
      <c r="P368" s="57" t="s">
        <v>1144</v>
      </c>
      <c r="Q368" s="57" t="s">
        <v>1141</v>
      </c>
    </row>
    <row r="369" s="50" customFormat="true" ht="14.25" hidden="false" customHeight="true" outlineLevel="0" collapsed="false">
      <c r="A369" s="50" t="s">
        <v>801</v>
      </c>
      <c r="B369" s="57" t="s">
        <v>112</v>
      </c>
      <c r="C369" s="57" t="s">
        <v>529</v>
      </c>
      <c r="D369" s="58" t="n">
        <v>46059.4756944444</v>
      </c>
      <c r="E369" s="58" t="n">
        <v>46059.4756944444</v>
      </c>
      <c r="F369" s="58" t="n">
        <v>46059.5277777778</v>
      </c>
      <c r="G369" s="59" t="n">
        <f aca="false">F369-E369</f>
        <v>0.0520833334027778</v>
      </c>
      <c r="H369" s="57" t="s">
        <v>384</v>
      </c>
      <c r="I369" s="57"/>
      <c r="J369" s="57" t="s">
        <v>234</v>
      </c>
      <c r="K369" s="57" t="s">
        <v>234</v>
      </c>
      <c r="L369" s="57" t="s">
        <v>1138</v>
      </c>
      <c r="M369" s="57" t="s">
        <v>386</v>
      </c>
      <c r="N369" s="57" t="s">
        <v>387</v>
      </c>
      <c r="O369" s="57" t="s">
        <v>1139</v>
      </c>
      <c r="P369" s="57" t="s">
        <v>1145</v>
      </c>
      <c r="Q369" s="57" t="s">
        <v>1141</v>
      </c>
    </row>
    <row r="370" s="50" customFormat="true" ht="14.25" hidden="false" customHeight="true" outlineLevel="0" collapsed="false">
      <c r="A370" s="50" t="s">
        <v>801</v>
      </c>
      <c r="B370" s="57" t="s">
        <v>112</v>
      </c>
      <c r="C370" s="57" t="s">
        <v>530</v>
      </c>
      <c r="D370" s="58" t="n">
        <v>46059.4756944444</v>
      </c>
      <c r="E370" s="58" t="n">
        <v>46059.4756944444</v>
      </c>
      <c r="F370" s="58" t="n">
        <v>46059.5277777778</v>
      </c>
      <c r="G370" s="59" t="n">
        <f aca="false">F370-E370</f>
        <v>0.0520833334027778</v>
      </c>
      <c r="H370" s="57" t="s">
        <v>384</v>
      </c>
      <c r="I370" s="57"/>
      <c r="J370" s="57" t="s">
        <v>234</v>
      </c>
      <c r="K370" s="57" t="s">
        <v>234</v>
      </c>
      <c r="L370" s="57" t="s">
        <v>1138</v>
      </c>
      <c r="M370" s="57" t="s">
        <v>386</v>
      </c>
      <c r="N370" s="57" t="s">
        <v>387</v>
      </c>
      <c r="O370" s="57" t="s">
        <v>1139</v>
      </c>
      <c r="P370" s="57" t="s">
        <v>1146</v>
      </c>
      <c r="Q370" s="57" t="s">
        <v>1141</v>
      </c>
    </row>
    <row r="371" s="50" customFormat="true" ht="14.25" hidden="false" customHeight="true" outlineLevel="0" collapsed="false">
      <c r="A371" s="50" t="s">
        <v>801</v>
      </c>
      <c r="B371" s="57" t="s">
        <v>112</v>
      </c>
      <c r="C371" s="57" t="s">
        <v>531</v>
      </c>
      <c r="D371" s="58" t="n">
        <v>46059.4756944444</v>
      </c>
      <c r="E371" s="58" t="n">
        <v>46059.4756944444</v>
      </c>
      <c r="F371" s="58" t="n">
        <v>46059.5277777778</v>
      </c>
      <c r="G371" s="59" t="n">
        <f aca="false">F371-E371</f>
        <v>0.0520833334027778</v>
      </c>
      <c r="H371" s="57" t="s">
        <v>384</v>
      </c>
      <c r="I371" s="57"/>
      <c r="J371" s="57" t="s">
        <v>234</v>
      </c>
      <c r="K371" s="57" t="s">
        <v>234</v>
      </c>
      <c r="L371" s="57" t="s">
        <v>1138</v>
      </c>
      <c r="M371" s="57" t="s">
        <v>386</v>
      </c>
      <c r="N371" s="57" t="s">
        <v>387</v>
      </c>
      <c r="O371" s="57" t="s">
        <v>1139</v>
      </c>
      <c r="P371" s="57" t="s">
        <v>1147</v>
      </c>
      <c r="Q371" s="57" t="s">
        <v>1141</v>
      </c>
    </row>
    <row r="372" s="50" customFormat="true" ht="14.25" hidden="false" customHeight="true" outlineLevel="0" collapsed="false">
      <c r="A372" s="50" t="s">
        <v>801</v>
      </c>
      <c r="B372" s="57" t="s">
        <v>112</v>
      </c>
      <c r="C372" s="57" t="s">
        <v>532</v>
      </c>
      <c r="D372" s="58" t="n">
        <v>46059.4756944444</v>
      </c>
      <c r="E372" s="58" t="n">
        <v>46059.4756944444</v>
      </c>
      <c r="F372" s="58" t="n">
        <v>46059.5277777778</v>
      </c>
      <c r="G372" s="59" t="n">
        <f aca="false">F372-E372</f>
        <v>0.0520833334027778</v>
      </c>
      <c r="H372" s="57" t="s">
        <v>384</v>
      </c>
      <c r="I372" s="57"/>
      <c r="J372" s="57" t="s">
        <v>234</v>
      </c>
      <c r="K372" s="57" t="s">
        <v>234</v>
      </c>
      <c r="L372" s="57" t="s">
        <v>1138</v>
      </c>
      <c r="M372" s="57" t="s">
        <v>386</v>
      </c>
      <c r="N372" s="57" t="s">
        <v>387</v>
      </c>
      <c r="O372" s="57" t="s">
        <v>1139</v>
      </c>
      <c r="P372" s="57" t="s">
        <v>1148</v>
      </c>
      <c r="Q372" s="57" t="s">
        <v>1141</v>
      </c>
    </row>
    <row r="373" s="50" customFormat="true" ht="14.25" hidden="false" customHeight="true" outlineLevel="0" collapsed="false">
      <c r="A373" s="50" t="s">
        <v>801</v>
      </c>
      <c r="B373" s="57" t="s">
        <v>112</v>
      </c>
      <c r="C373" s="57" t="s">
        <v>533</v>
      </c>
      <c r="D373" s="58" t="n">
        <v>46059.4756944444</v>
      </c>
      <c r="E373" s="58" t="n">
        <v>46059.4756944444</v>
      </c>
      <c r="F373" s="58" t="n">
        <v>46059.5277777778</v>
      </c>
      <c r="G373" s="59" t="n">
        <f aca="false">F373-E373</f>
        <v>0.0520833334027778</v>
      </c>
      <c r="H373" s="57" t="s">
        <v>384</v>
      </c>
      <c r="I373" s="57"/>
      <c r="J373" s="57" t="s">
        <v>234</v>
      </c>
      <c r="K373" s="57" t="s">
        <v>234</v>
      </c>
      <c r="L373" s="57" t="s">
        <v>1138</v>
      </c>
      <c r="M373" s="57" t="s">
        <v>386</v>
      </c>
      <c r="N373" s="57" t="s">
        <v>387</v>
      </c>
      <c r="O373" s="57" t="s">
        <v>1139</v>
      </c>
      <c r="P373" s="57" t="s">
        <v>1149</v>
      </c>
      <c r="Q373" s="57" t="s">
        <v>1141</v>
      </c>
    </row>
    <row r="374" s="50" customFormat="true" ht="14.25" hidden="false" customHeight="true" outlineLevel="0" collapsed="false">
      <c r="A374" s="50" t="s">
        <v>812</v>
      </c>
      <c r="B374" s="57" t="s">
        <v>112</v>
      </c>
      <c r="C374" s="57" t="s">
        <v>534</v>
      </c>
      <c r="D374" s="58" t="n">
        <v>46059.4756944444</v>
      </c>
      <c r="E374" s="58" t="n">
        <v>46059.4756944444</v>
      </c>
      <c r="F374" s="58" t="n">
        <v>46059.5277777778</v>
      </c>
      <c r="G374" s="59" t="n">
        <f aca="false">F374-E374</f>
        <v>0.0520833334027778</v>
      </c>
      <c r="H374" s="57" t="s">
        <v>384</v>
      </c>
      <c r="I374" s="57"/>
      <c r="J374" s="57" t="s">
        <v>234</v>
      </c>
      <c r="K374" s="57" t="s">
        <v>234</v>
      </c>
      <c r="L374" s="57" t="s">
        <v>1138</v>
      </c>
      <c r="M374" s="57" t="s">
        <v>386</v>
      </c>
      <c r="N374" s="57" t="s">
        <v>387</v>
      </c>
      <c r="O374" s="57" t="s">
        <v>1139</v>
      </c>
      <c r="P374" s="57" t="s">
        <v>1150</v>
      </c>
      <c r="Q374" s="57" t="s">
        <v>1141</v>
      </c>
    </row>
    <row r="375" s="50" customFormat="true" ht="14.25" hidden="false" customHeight="true" outlineLevel="0" collapsed="false">
      <c r="A375" s="50" t="s">
        <v>812</v>
      </c>
      <c r="B375" s="57" t="s">
        <v>112</v>
      </c>
      <c r="C375" s="57" t="s">
        <v>535</v>
      </c>
      <c r="D375" s="58" t="n">
        <v>46059.4756944444</v>
      </c>
      <c r="E375" s="58" t="n">
        <v>46059.4756944444</v>
      </c>
      <c r="F375" s="58" t="n">
        <v>46059.5277777778</v>
      </c>
      <c r="G375" s="59" t="n">
        <f aca="false">F375-E375</f>
        <v>0.0520833334027778</v>
      </c>
      <c r="H375" s="57" t="s">
        <v>384</v>
      </c>
      <c r="I375" s="57"/>
      <c r="J375" s="57" t="s">
        <v>234</v>
      </c>
      <c r="K375" s="57" t="s">
        <v>234</v>
      </c>
      <c r="L375" s="57" t="s">
        <v>1138</v>
      </c>
      <c r="M375" s="57" t="s">
        <v>386</v>
      </c>
      <c r="N375" s="57" t="s">
        <v>387</v>
      </c>
      <c r="O375" s="57" t="s">
        <v>1139</v>
      </c>
      <c r="P375" s="57" t="s">
        <v>1151</v>
      </c>
      <c r="Q375" s="57" t="s">
        <v>1141</v>
      </c>
    </row>
    <row r="376" s="50" customFormat="true" ht="14.25" hidden="false" customHeight="true" outlineLevel="0" collapsed="false">
      <c r="A376" s="50" t="s">
        <v>812</v>
      </c>
      <c r="B376" s="57" t="s">
        <v>112</v>
      </c>
      <c r="C376" s="57" t="s">
        <v>536</v>
      </c>
      <c r="D376" s="58" t="n">
        <v>46059.4756944444</v>
      </c>
      <c r="E376" s="58" t="n">
        <v>46059.4756944444</v>
      </c>
      <c r="F376" s="58" t="n">
        <v>46059.5277777778</v>
      </c>
      <c r="G376" s="59" t="n">
        <f aca="false">F376-E376</f>
        <v>0.0520833334027778</v>
      </c>
      <c r="H376" s="57" t="s">
        <v>384</v>
      </c>
      <c r="I376" s="57"/>
      <c r="J376" s="57" t="s">
        <v>234</v>
      </c>
      <c r="K376" s="57" t="s">
        <v>234</v>
      </c>
      <c r="L376" s="57" t="s">
        <v>1138</v>
      </c>
      <c r="M376" s="57" t="s">
        <v>386</v>
      </c>
      <c r="N376" s="57" t="s">
        <v>387</v>
      </c>
      <c r="O376" s="57" t="s">
        <v>1139</v>
      </c>
      <c r="P376" s="57" t="s">
        <v>1152</v>
      </c>
      <c r="Q376" s="57" t="s">
        <v>1141</v>
      </c>
    </row>
    <row r="377" s="50" customFormat="true" ht="14.25" hidden="false" customHeight="true" outlineLevel="0" collapsed="false">
      <c r="A377" s="50" t="s">
        <v>812</v>
      </c>
      <c r="B377" s="57" t="s">
        <v>112</v>
      </c>
      <c r="C377" s="57" t="s">
        <v>537</v>
      </c>
      <c r="D377" s="58" t="n">
        <v>46059.4756944444</v>
      </c>
      <c r="E377" s="58" t="n">
        <v>46059.4756944444</v>
      </c>
      <c r="F377" s="58" t="n">
        <v>46059.5277777778</v>
      </c>
      <c r="G377" s="59" t="n">
        <f aca="false">F377-E377</f>
        <v>0.0520833334027778</v>
      </c>
      <c r="H377" s="57" t="s">
        <v>384</v>
      </c>
      <c r="I377" s="57"/>
      <c r="J377" s="57" t="s">
        <v>234</v>
      </c>
      <c r="K377" s="57" t="s">
        <v>234</v>
      </c>
      <c r="L377" s="57" t="s">
        <v>1138</v>
      </c>
      <c r="M377" s="57" t="s">
        <v>386</v>
      </c>
      <c r="N377" s="57" t="s">
        <v>387</v>
      </c>
      <c r="O377" s="57" t="s">
        <v>1139</v>
      </c>
      <c r="P377" s="57" t="s">
        <v>1153</v>
      </c>
      <c r="Q377" s="57" t="s">
        <v>1141</v>
      </c>
    </row>
    <row r="378" s="50" customFormat="true" ht="14.25" hidden="false" customHeight="true" outlineLevel="0" collapsed="false">
      <c r="A378" s="50" t="s">
        <v>812</v>
      </c>
      <c r="B378" s="57" t="s">
        <v>112</v>
      </c>
      <c r="C378" s="57" t="s">
        <v>538</v>
      </c>
      <c r="D378" s="58" t="n">
        <v>46059.4756944444</v>
      </c>
      <c r="E378" s="58" t="n">
        <v>46059.4756944444</v>
      </c>
      <c r="F378" s="58" t="n">
        <v>46059.5277777778</v>
      </c>
      <c r="G378" s="59" t="n">
        <f aca="false">F378-E378</f>
        <v>0.0520833334027778</v>
      </c>
      <c r="H378" s="57" t="s">
        <v>384</v>
      </c>
      <c r="I378" s="57"/>
      <c r="J378" s="57" t="s">
        <v>234</v>
      </c>
      <c r="K378" s="57" t="s">
        <v>234</v>
      </c>
      <c r="L378" s="57" t="s">
        <v>1138</v>
      </c>
      <c r="M378" s="57" t="s">
        <v>386</v>
      </c>
      <c r="N378" s="57" t="s">
        <v>387</v>
      </c>
      <c r="O378" s="57" t="s">
        <v>1139</v>
      </c>
      <c r="P378" s="57" t="s">
        <v>1154</v>
      </c>
      <c r="Q378" s="57" t="s">
        <v>1141</v>
      </c>
    </row>
    <row r="379" s="50" customFormat="true" ht="14.25" hidden="false" customHeight="true" outlineLevel="0" collapsed="false">
      <c r="A379" s="50" t="s">
        <v>818</v>
      </c>
      <c r="B379" s="57" t="s">
        <v>112</v>
      </c>
      <c r="C379" s="57" t="s">
        <v>539</v>
      </c>
      <c r="D379" s="58" t="n">
        <v>46059.4756944444</v>
      </c>
      <c r="E379" s="58" t="n">
        <v>46059.4756944444</v>
      </c>
      <c r="F379" s="58" t="n">
        <v>46059.5277777778</v>
      </c>
      <c r="G379" s="59" t="n">
        <f aca="false">F379-E379</f>
        <v>0.0520833334027778</v>
      </c>
      <c r="H379" s="57" t="s">
        <v>384</v>
      </c>
      <c r="I379" s="57"/>
      <c r="J379" s="57" t="s">
        <v>234</v>
      </c>
      <c r="K379" s="57" t="s">
        <v>234</v>
      </c>
      <c r="L379" s="57" t="s">
        <v>1138</v>
      </c>
      <c r="M379" s="57" t="s">
        <v>386</v>
      </c>
      <c r="N379" s="57" t="s">
        <v>387</v>
      </c>
      <c r="O379" s="57" t="s">
        <v>1139</v>
      </c>
      <c r="P379" s="57" t="s">
        <v>1155</v>
      </c>
      <c r="Q379" s="57" t="s">
        <v>1141</v>
      </c>
    </row>
    <row r="380" s="50" customFormat="true" ht="14.25" hidden="false" customHeight="true" outlineLevel="0" collapsed="false">
      <c r="A380" s="50" t="s">
        <v>818</v>
      </c>
      <c r="B380" s="57" t="s">
        <v>112</v>
      </c>
      <c r="C380" s="57" t="s">
        <v>540</v>
      </c>
      <c r="D380" s="58" t="n">
        <v>46059.4756944444</v>
      </c>
      <c r="E380" s="58" t="n">
        <v>46059.4756944444</v>
      </c>
      <c r="F380" s="58" t="n">
        <v>46059.5277777778</v>
      </c>
      <c r="G380" s="59" t="n">
        <f aca="false">F380-E380</f>
        <v>0.0520833334027778</v>
      </c>
      <c r="H380" s="57" t="s">
        <v>384</v>
      </c>
      <c r="I380" s="57"/>
      <c r="J380" s="57" t="s">
        <v>234</v>
      </c>
      <c r="K380" s="57" t="s">
        <v>234</v>
      </c>
      <c r="L380" s="57" t="s">
        <v>1138</v>
      </c>
      <c r="M380" s="57" t="s">
        <v>386</v>
      </c>
      <c r="N380" s="57" t="s">
        <v>387</v>
      </c>
      <c r="O380" s="57" t="s">
        <v>1139</v>
      </c>
      <c r="P380" s="57" t="s">
        <v>1156</v>
      </c>
      <c r="Q380" s="57" t="s">
        <v>1141</v>
      </c>
    </row>
    <row r="381" s="50" customFormat="true" ht="14.25" hidden="false" customHeight="true" outlineLevel="0" collapsed="false">
      <c r="A381" s="50" t="s">
        <v>818</v>
      </c>
      <c r="B381" s="57" t="s">
        <v>112</v>
      </c>
      <c r="C381" s="57" t="s">
        <v>541</v>
      </c>
      <c r="D381" s="58" t="n">
        <v>46059.4756944444</v>
      </c>
      <c r="E381" s="58" t="n">
        <v>46059.4756944444</v>
      </c>
      <c r="F381" s="58" t="n">
        <v>46059.5277777778</v>
      </c>
      <c r="G381" s="59" t="n">
        <f aca="false">F381-E381</f>
        <v>0.0520833334027778</v>
      </c>
      <c r="H381" s="57" t="s">
        <v>384</v>
      </c>
      <c r="I381" s="57"/>
      <c r="J381" s="57" t="s">
        <v>234</v>
      </c>
      <c r="K381" s="57" t="s">
        <v>234</v>
      </c>
      <c r="L381" s="57" t="s">
        <v>1138</v>
      </c>
      <c r="M381" s="57" t="s">
        <v>386</v>
      </c>
      <c r="N381" s="57" t="s">
        <v>387</v>
      </c>
      <c r="O381" s="57" t="s">
        <v>1139</v>
      </c>
      <c r="P381" s="57" t="s">
        <v>1157</v>
      </c>
      <c r="Q381" s="57" t="s">
        <v>1141</v>
      </c>
    </row>
    <row r="382" s="50" customFormat="true" ht="14.25" hidden="false" customHeight="true" outlineLevel="0" collapsed="false">
      <c r="A382" s="50" t="s">
        <v>818</v>
      </c>
      <c r="B382" s="57" t="s">
        <v>112</v>
      </c>
      <c r="C382" s="57" t="s">
        <v>542</v>
      </c>
      <c r="D382" s="58" t="n">
        <v>46059.4756944444</v>
      </c>
      <c r="E382" s="58" t="n">
        <v>46059.4756944444</v>
      </c>
      <c r="F382" s="58" t="n">
        <v>46059.5277777778</v>
      </c>
      <c r="G382" s="59" t="n">
        <f aca="false">F382-E382</f>
        <v>0.0520833334027778</v>
      </c>
      <c r="H382" s="57" t="s">
        <v>384</v>
      </c>
      <c r="I382" s="57"/>
      <c r="J382" s="57" t="s">
        <v>234</v>
      </c>
      <c r="K382" s="57" t="s">
        <v>234</v>
      </c>
      <c r="L382" s="57" t="s">
        <v>1138</v>
      </c>
      <c r="M382" s="57" t="s">
        <v>386</v>
      </c>
      <c r="N382" s="57" t="s">
        <v>387</v>
      </c>
      <c r="O382" s="57" t="s">
        <v>1139</v>
      </c>
      <c r="P382" s="57" t="s">
        <v>1158</v>
      </c>
      <c r="Q382" s="57" t="s">
        <v>1141</v>
      </c>
    </row>
    <row r="383" s="50" customFormat="true" ht="14.25" hidden="false" customHeight="true" outlineLevel="0" collapsed="false">
      <c r="A383" s="50" t="s">
        <v>818</v>
      </c>
      <c r="B383" s="57" t="s">
        <v>112</v>
      </c>
      <c r="C383" s="57" t="s">
        <v>543</v>
      </c>
      <c r="D383" s="58" t="n">
        <v>46059.4756944444</v>
      </c>
      <c r="E383" s="58" t="n">
        <v>46059.4756944444</v>
      </c>
      <c r="F383" s="58" t="n">
        <v>46059.5277777778</v>
      </c>
      <c r="G383" s="59" t="n">
        <f aca="false">F383-E383</f>
        <v>0.0520833334027778</v>
      </c>
      <c r="H383" s="57" t="s">
        <v>384</v>
      </c>
      <c r="I383" s="57"/>
      <c r="J383" s="57" t="s">
        <v>234</v>
      </c>
      <c r="K383" s="57" t="s">
        <v>234</v>
      </c>
      <c r="L383" s="57" t="s">
        <v>1138</v>
      </c>
      <c r="M383" s="57" t="s">
        <v>386</v>
      </c>
      <c r="N383" s="57" t="s">
        <v>387</v>
      </c>
      <c r="O383" s="57" t="s">
        <v>1139</v>
      </c>
      <c r="P383" s="57" t="s">
        <v>1159</v>
      </c>
      <c r="Q383" s="57" t="s">
        <v>1141</v>
      </c>
    </row>
    <row r="384" s="50" customFormat="true" ht="14.25" hidden="false" customHeight="true" outlineLevel="0" collapsed="false">
      <c r="A384" s="50" t="s">
        <v>818</v>
      </c>
      <c r="B384" s="57" t="s">
        <v>112</v>
      </c>
      <c r="C384" s="57" t="s">
        <v>544</v>
      </c>
      <c r="D384" s="58" t="n">
        <v>46059.4756944444</v>
      </c>
      <c r="E384" s="58" t="n">
        <v>46059.4756944444</v>
      </c>
      <c r="F384" s="58" t="n">
        <v>46059.5277777778</v>
      </c>
      <c r="G384" s="59" t="n">
        <f aca="false">F384-E384</f>
        <v>0.0520833334027778</v>
      </c>
      <c r="H384" s="57" t="s">
        <v>384</v>
      </c>
      <c r="I384" s="57"/>
      <c r="J384" s="57" t="s">
        <v>234</v>
      </c>
      <c r="K384" s="57" t="s">
        <v>234</v>
      </c>
      <c r="L384" s="57" t="s">
        <v>1138</v>
      </c>
      <c r="M384" s="57" t="s">
        <v>386</v>
      </c>
      <c r="N384" s="57" t="s">
        <v>387</v>
      </c>
      <c r="O384" s="57" t="s">
        <v>1139</v>
      </c>
      <c r="P384" s="57" t="s">
        <v>1160</v>
      </c>
      <c r="Q384" s="57" t="s">
        <v>1141</v>
      </c>
    </row>
    <row r="385" s="50" customFormat="true" ht="14.25" hidden="false" customHeight="true" outlineLevel="0" collapsed="false">
      <c r="A385" s="50" t="s">
        <v>825</v>
      </c>
      <c r="B385" s="57" t="s">
        <v>112</v>
      </c>
      <c r="C385" s="57" t="s">
        <v>545</v>
      </c>
      <c r="D385" s="58" t="n">
        <v>46059.4756944444</v>
      </c>
      <c r="E385" s="58" t="n">
        <v>46059.4756944444</v>
      </c>
      <c r="F385" s="58" t="n">
        <v>46059.5277777778</v>
      </c>
      <c r="G385" s="59" t="n">
        <f aca="false">F385-E385</f>
        <v>0.0520833334027778</v>
      </c>
      <c r="H385" s="57" t="s">
        <v>384</v>
      </c>
      <c r="I385" s="57"/>
      <c r="J385" s="57" t="s">
        <v>234</v>
      </c>
      <c r="K385" s="57" t="s">
        <v>234</v>
      </c>
      <c r="L385" s="57" t="s">
        <v>1138</v>
      </c>
      <c r="M385" s="57" t="s">
        <v>386</v>
      </c>
      <c r="N385" s="57" t="s">
        <v>387</v>
      </c>
      <c r="O385" s="57" t="s">
        <v>1139</v>
      </c>
      <c r="P385" s="57" t="s">
        <v>1161</v>
      </c>
      <c r="Q385" s="57" t="s">
        <v>1141</v>
      </c>
    </row>
    <row r="386" s="50" customFormat="true" ht="14.25" hidden="false" customHeight="true" outlineLevel="0" collapsed="false">
      <c r="A386" s="50" t="s">
        <v>825</v>
      </c>
      <c r="B386" s="57" t="s">
        <v>112</v>
      </c>
      <c r="C386" s="57" t="s">
        <v>546</v>
      </c>
      <c r="D386" s="58" t="n">
        <v>46059.4756944444</v>
      </c>
      <c r="E386" s="58" t="n">
        <v>46059.4756944444</v>
      </c>
      <c r="F386" s="58" t="n">
        <v>46059.5277777778</v>
      </c>
      <c r="G386" s="59" t="n">
        <f aca="false">F386-E386</f>
        <v>0.0520833334027778</v>
      </c>
      <c r="H386" s="57" t="s">
        <v>384</v>
      </c>
      <c r="I386" s="57"/>
      <c r="J386" s="57" t="s">
        <v>234</v>
      </c>
      <c r="K386" s="57" t="s">
        <v>234</v>
      </c>
      <c r="L386" s="57" t="s">
        <v>1138</v>
      </c>
      <c r="M386" s="57" t="s">
        <v>386</v>
      </c>
      <c r="N386" s="57" t="s">
        <v>387</v>
      </c>
      <c r="O386" s="57" t="s">
        <v>1139</v>
      </c>
      <c r="P386" s="57" t="s">
        <v>1162</v>
      </c>
      <c r="Q386" s="57" t="s">
        <v>1141</v>
      </c>
    </row>
    <row r="387" s="50" customFormat="true" ht="14.25" hidden="false" customHeight="true" outlineLevel="0" collapsed="false">
      <c r="A387" s="50" t="s">
        <v>825</v>
      </c>
      <c r="B387" s="57" t="s">
        <v>112</v>
      </c>
      <c r="C387" s="57" t="s">
        <v>547</v>
      </c>
      <c r="D387" s="58" t="n">
        <v>46059.4756944444</v>
      </c>
      <c r="E387" s="58" t="n">
        <v>46059.4756944444</v>
      </c>
      <c r="F387" s="58" t="n">
        <v>46059.5277777778</v>
      </c>
      <c r="G387" s="59" t="n">
        <f aca="false">F387-E387</f>
        <v>0.0520833334027778</v>
      </c>
      <c r="H387" s="57" t="s">
        <v>384</v>
      </c>
      <c r="I387" s="57"/>
      <c r="J387" s="57" t="s">
        <v>234</v>
      </c>
      <c r="K387" s="57" t="s">
        <v>234</v>
      </c>
      <c r="L387" s="57" t="s">
        <v>1138</v>
      </c>
      <c r="M387" s="57" t="s">
        <v>386</v>
      </c>
      <c r="N387" s="57" t="s">
        <v>387</v>
      </c>
      <c r="O387" s="57" t="s">
        <v>1139</v>
      </c>
      <c r="P387" s="57" t="s">
        <v>1163</v>
      </c>
      <c r="Q387" s="57" t="s">
        <v>1141</v>
      </c>
    </row>
    <row r="388" s="50" customFormat="true" ht="14.25" hidden="false" customHeight="true" outlineLevel="0" collapsed="false">
      <c r="A388" s="50" t="s">
        <v>825</v>
      </c>
      <c r="B388" s="57" t="s">
        <v>112</v>
      </c>
      <c r="C388" s="57" t="s">
        <v>548</v>
      </c>
      <c r="D388" s="58" t="n">
        <v>46059.4756944444</v>
      </c>
      <c r="E388" s="58" t="n">
        <v>46059.4756944444</v>
      </c>
      <c r="F388" s="58" t="n">
        <v>46059.5277777778</v>
      </c>
      <c r="G388" s="59" t="n">
        <f aca="false">F388-E388</f>
        <v>0.0520833334027778</v>
      </c>
      <c r="H388" s="57" t="s">
        <v>384</v>
      </c>
      <c r="I388" s="57"/>
      <c r="J388" s="57" t="s">
        <v>234</v>
      </c>
      <c r="K388" s="57" t="s">
        <v>234</v>
      </c>
      <c r="L388" s="57" t="s">
        <v>1138</v>
      </c>
      <c r="M388" s="57" t="s">
        <v>386</v>
      </c>
      <c r="N388" s="57" t="s">
        <v>387</v>
      </c>
      <c r="O388" s="57" t="s">
        <v>1139</v>
      </c>
      <c r="P388" s="57" t="s">
        <v>1164</v>
      </c>
      <c r="Q388" s="57" t="s">
        <v>1141</v>
      </c>
    </row>
    <row r="389" s="50" customFormat="true" ht="14.25" hidden="false" customHeight="true" outlineLevel="0" collapsed="false">
      <c r="A389" s="50" t="s">
        <v>825</v>
      </c>
      <c r="B389" s="57" t="s">
        <v>112</v>
      </c>
      <c r="C389" s="57" t="s">
        <v>549</v>
      </c>
      <c r="D389" s="58" t="n">
        <v>46059.4756944444</v>
      </c>
      <c r="E389" s="58" t="n">
        <v>46059.4756944444</v>
      </c>
      <c r="F389" s="58" t="n">
        <v>46059.5277777778</v>
      </c>
      <c r="G389" s="59" t="n">
        <f aca="false">F389-E389</f>
        <v>0.0520833334027778</v>
      </c>
      <c r="H389" s="57" t="s">
        <v>384</v>
      </c>
      <c r="I389" s="57"/>
      <c r="J389" s="57" t="s">
        <v>234</v>
      </c>
      <c r="K389" s="57" t="s">
        <v>234</v>
      </c>
      <c r="L389" s="57" t="s">
        <v>1138</v>
      </c>
      <c r="M389" s="57" t="s">
        <v>386</v>
      </c>
      <c r="N389" s="57" t="s">
        <v>387</v>
      </c>
      <c r="O389" s="57" t="s">
        <v>1139</v>
      </c>
      <c r="P389" s="57" t="s">
        <v>1165</v>
      </c>
      <c r="Q389" s="57" t="s">
        <v>1141</v>
      </c>
    </row>
    <row r="390" s="50" customFormat="true" ht="14.25" hidden="false" customHeight="true" outlineLevel="0" collapsed="false">
      <c r="A390" s="50" t="s">
        <v>825</v>
      </c>
      <c r="B390" s="57" t="s">
        <v>112</v>
      </c>
      <c r="C390" s="57" t="s">
        <v>550</v>
      </c>
      <c r="D390" s="58" t="n">
        <v>46059.4756944444</v>
      </c>
      <c r="E390" s="58" t="n">
        <v>46059.4756944444</v>
      </c>
      <c r="F390" s="58" t="n">
        <v>46059.5277777778</v>
      </c>
      <c r="G390" s="59" t="n">
        <f aca="false">F390-E390</f>
        <v>0.0520833334027778</v>
      </c>
      <c r="H390" s="57" t="s">
        <v>384</v>
      </c>
      <c r="I390" s="57"/>
      <c r="J390" s="57" t="s">
        <v>234</v>
      </c>
      <c r="K390" s="57" t="s">
        <v>234</v>
      </c>
      <c r="L390" s="57" t="s">
        <v>1138</v>
      </c>
      <c r="M390" s="57" t="s">
        <v>386</v>
      </c>
      <c r="N390" s="57" t="s">
        <v>387</v>
      </c>
      <c r="O390" s="57" t="s">
        <v>1139</v>
      </c>
      <c r="P390" s="57" t="s">
        <v>1166</v>
      </c>
      <c r="Q390" s="57" t="s">
        <v>1141</v>
      </c>
    </row>
    <row r="391" s="50" customFormat="true" ht="14.25" hidden="false" customHeight="true" outlineLevel="0" collapsed="false">
      <c r="A391" s="50" t="s">
        <v>832</v>
      </c>
      <c r="B391" s="57" t="s">
        <v>112</v>
      </c>
      <c r="C391" s="57" t="s">
        <v>551</v>
      </c>
      <c r="D391" s="58" t="n">
        <v>46059.4756944444</v>
      </c>
      <c r="E391" s="58" t="n">
        <v>46059.4756944444</v>
      </c>
      <c r="F391" s="58" t="n">
        <v>46059.5277777778</v>
      </c>
      <c r="G391" s="59" t="n">
        <f aca="false">F391-E391</f>
        <v>0.0520833334027778</v>
      </c>
      <c r="H391" s="57" t="s">
        <v>384</v>
      </c>
      <c r="I391" s="57"/>
      <c r="J391" s="57" t="s">
        <v>234</v>
      </c>
      <c r="K391" s="57" t="s">
        <v>234</v>
      </c>
      <c r="L391" s="57" t="s">
        <v>1138</v>
      </c>
      <c r="M391" s="57" t="s">
        <v>386</v>
      </c>
      <c r="N391" s="57" t="s">
        <v>387</v>
      </c>
      <c r="O391" s="57" t="s">
        <v>1139</v>
      </c>
      <c r="P391" s="57" t="s">
        <v>1167</v>
      </c>
      <c r="Q391" s="57" t="s">
        <v>1141</v>
      </c>
    </row>
    <row r="392" s="50" customFormat="true" ht="14.25" hidden="false" customHeight="true" outlineLevel="0" collapsed="false">
      <c r="A392" s="50" t="s">
        <v>832</v>
      </c>
      <c r="B392" s="57" t="s">
        <v>112</v>
      </c>
      <c r="C392" s="57" t="s">
        <v>552</v>
      </c>
      <c r="D392" s="58" t="n">
        <v>46059.4756944444</v>
      </c>
      <c r="E392" s="58" t="n">
        <v>46059.4756944444</v>
      </c>
      <c r="F392" s="58" t="n">
        <v>46059.5277777778</v>
      </c>
      <c r="G392" s="59" t="n">
        <f aca="false">F392-E392</f>
        <v>0.0520833334027778</v>
      </c>
      <c r="H392" s="57" t="s">
        <v>384</v>
      </c>
      <c r="I392" s="57"/>
      <c r="J392" s="57" t="s">
        <v>234</v>
      </c>
      <c r="K392" s="57" t="s">
        <v>234</v>
      </c>
      <c r="L392" s="57" t="s">
        <v>1138</v>
      </c>
      <c r="M392" s="57" t="s">
        <v>386</v>
      </c>
      <c r="N392" s="57" t="s">
        <v>387</v>
      </c>
      <c r="O392" s="57" t="s">
        <v>1139</v>
      </c>
      <c r="P392" s="57" t="s">
        <v>1168</v>
      </c>
      <c r="Q392" s="57" t="s">
        <v>1141</v>
      </c>
    </row>
    <row r="393" s="50" customFormat="true" ht="14.25" hidden="false" customHeight="true" outlineLevel="0" collapsed="false">
      <c r="A393" s="50" t="s">
        <v>832</v>
      </c>
      <c r="B393" s="57" t="s">
        <v>112</v>
      </c>
      <c r="C393" s="57" t="s">
        <v>553</v>
      </c>
      <c r="D393" s="58" t="n">
        <v>46059.4756944444</v>
      </c>
      <c r="E393" s="58" t="n">
        <v>46059.4756944444</v>
      </c>
      <c r="F393" s="58" t="n">
        <v>46059.5277777778</v>
      </c>
      <c r="G393" s="59" t="n">
        <f aca="false">F393-E393</f>
        <v>0.0520833334027778</v>
      </c>
      <c r="H393" s="57" t="s">
        <v>384</v>
      </c>
      <c r="I393" s="57"/>
      <c r="J393" s="57" t="s">
        <v>234</v>
      </c>
      <c r="K393" s="57" t="s">
        <v>234</v>
      </c>
      <c r="L393" s="57" t="s">
        <v>1138</v>
      </c>
      <c r="M393" s="57" t="s">
        <v>386</v>
      </c>
      <c r="N393" s="57" t="s">
        <v>387</v>
      </c>
      <c r="O393" s="57" t="s">
        <v>1139</v>
      </c>
      <c r="P393" s="57" t="s">
        <v>1169</v>
      </c>
      <c r="Q393" s="57" t="s">
        <v>1141</v>
      </c>
    </row>
    <row r="394" s="50" customFormat="true" ht="14.25" hidden="false" customHeight="true" outlineLevel="0" collapsed="false">
      <c r="A394" s="50" t="s">
        <v>836</v>
      </c>
      <c r="B394" s="57" t="s">
        <v>112</v>
      </c>
      <c r="C394" s="57" t="s">
        <v>554</v>
      </c>
      <c r="D394" s="58" t="n">
        <v>46059.4756944444</v>
      </c>
      <c r="E394" s="58" t="n">
        <v>46059.4756944444</v>
      </c>
      <c r="F394" s="58" t="n">
        <v>46059.5277777778</v>
      </c>
      <c r="G394" s="59" t="n">
        <f aca="false">F394-E394</f>
        <v>0.0520833334027778</v>
      </c>
      <c r="H394" s="57" t="s">
        <v>384</v>
      </c>
      <c r="I394" s="57"/>
      <c r="J394" s="57" t="s">
        <v>234</v>
      </c>
      <c r="K394" s="57" t="s">
        <v>234</v>
      </c>
      <c r="L394" s="57" t="s">
        <v>1138</v>
      </c>
      <c r="M394" s="57" t="s">
        <v>386</v>
      </c>
      <c r="N394" s="57" t="s">
        <v>387</v>
      </c>
      <c r="O394" s="57" t="s">
        <v>1139</v>
      </c>
      <c r="P394" s="57" t="s">
        <v>1170</v>
      </c>
      <c r="Q394" s="57" t="s">
        <v>1141</v>
      </c>
    </row>
    <row r="395" s="50" customFormat="true" ht="14.25" hidden="false" customHeight="true" outlineLevel="0" collapsed="false">
      <c r="A395" s="50" t="s">
        <v>836</v>
      </c>
      <c r="B395" s="57" t="s">
        <v>112</v>
      </c>
      <c r="C395" s="57" t="s">
        <v>555</v>
      </c>
      <c r="D395" s="58" t="n">
        <v>46059.4756944444</v>
      </c>
      <c r="E395" s="58" t="n">
        <v>46059.4756944444</v>
      </c>
      <c r="F395" s="58" t="n">
        <v>46059.5277777778</v>
      </c>
      <c r="G395" s="59" t="n">
        <f aca="false">F395-E395</f>
        <v>0.0520833334027778</v>
      </c>
      <c r="H395" s="57" t="s">
        <v>384</v>
      </c>
      <c r="I395" s="57"/>
      <c r="J395" s="57" t="s">
        <v>234</v>
      </c>
      <c r="K395" s="57" t="s">
        <v>234</v>
      </c>
      <c r="L395" s="57" t="s">
        <v>1138</v>
      </c>
      <c r="M395" s="57" t="s">
        <v>386</v>
      </c>
      <c r="N395" s="57" t="s">
        <v>387</v>
      </c>
      <c r="O395" s="57" t="s">
        <v>1139</v>
      </c>
      <c r="P395" s="57" t="s">
        <v>1171</v>
      </c>
      <c r="Q395" s="57" t="s">
        <v>1141</v>
      </c>
    </row>
    <row r="396" s="50" customFormat="true" ht="14.25" hidden="false" customHeight="true" outlineLevel="0" collapsed="false">
      <c r="A396" s="50" t="s">
        <v>836</v>
      </c>
      <c r="B396" s="57" t="s">
        <v>112</v>
      </c>
      <c r="C396" s="57" t="s">
        <v>556</v>
      </c>
      <c r="D396" s="58" t="n">
        <v>46059.4756944444</v>
      </c>
      <c r="E396" s="58" t="n">
        <v>46059.4756944444</v>
      </c>
      <c r="F396" s="58" t="n">
        <v>46059.5277777778</v>
      </c>
      <c r="G396" s="59" t="n">
        <f aca="false">F396-E396</f>
        <v>0.0520833334027778</v>
      </c>
      <c r="H396" s="57" t="s">
        <v>384</v>
      </c>
      <c r="I396" s="57"/>
      <c r="J396" s="57" t="s">
        <v>234</v>
      </c>
      <c r="K396" s="57" t="s">
        <v>234</v>
      </c>
      <c r="L396" s="57" t="s">
        <v>1138</v>
      </c>
      <c r="M396" s="57" t="s">
        <v>386</v>
      </c>
      <c r="N396" s="57" t="s">
        <v>387</v>
      </c>
      <c r="O396" s="57" t="s">
        <v>1139</v>
      </c>
      <c r="P396" s="57" t="s">
        <v>1172</v>
      </c>
      <c r="Q396" s="57" t="s">
        <v>1141</v>
      </c>
    </row>
    <row r="397" s="50" customFormat="true" ht="14.25" hidden="false" customHeight="true" outlineLevel="0" collapsed="false">
      <c r="A397" s="50" t="s">
        <v>840</v>
      </c>
      <c r="B397" s="57" t="s">
        <v>112</v>
      </c>
      <c r="C397" s="57" t="s">
        <v>557</v>
      </c>
      <c r="D397" s="58" t="n">
        <v>46059.4756944444</v>
      </c>
      <c r="E397" s="58" t="n">
        <v>46059.4756944444</v>
      </c>
      <c r="F397" s="58" t="n">
        <v>46059.5277777778</v>
      </c>
      <c r="G397" s="59" t="n">
        <f aca="false">F397-E397</f>
        <v>0.0520833334027778</v>
      </c>
      <c r="H397" s="57" t="s">
        <v>384</v>
      </c>
      <c r="I397" s="57"/>
      <c r="J397" s="57" t="s">
        <v>234</v>
      </c>
      <c r="K397" s="57" t="s">
        <v>234</v>
      </c>
      <c r="L397" s="57" t="s">
        <v>1138</v>
      </c>
      <c r="M397" s="57" t="s">
        <v>386</v>
      </c>
      <c r="N397" s="57" t="s">
        <v>387</v>
      </c>
      <c r="O397" s="57" t="s">
        <v>1139</v>
      </c>
      <c r="P397" s="57" t="s">
        <v>1173</v>
      </c>
      <c r="Q397" s="57" t="s">
        <v>1141</v>
      </c>
    </row>
    <row r="398" s="50" customFormat="true" ht="14.25" hidden="false" customHeight="true" outlineLevel="0" collapsed="false">
      <c r="A398" s="50" t="s">
        <v>840</v>
      </c>
      <c r="B398" s="57" t="s">
        <v>112</v>
      </c>
      <c r="C398" s="57" t="s">
        <v>558</v>
      </c>
      <c r="D398" s="58" t="n">
        <v>46059.4756944444</v>
      </c>
      <c r="E398" s="58" t="n">
        <v>46059.4756944444</v>
      </c>
      <c r="F398" s="58" t="n">
        <v>46059.5277777778</v>
      </c>
      <c r="G398" s="59" t="n">
        <f aca="false">F398-E398</f>
        <v>0.0520833334027778</v>
      </c>
      <c r="H398" s="57" t="s">
        <v>384</v>
      </c>
      <c r="I398" s="57"/>
      <c r="J398" s="57" t="s">
        <v>234</v>
      </c>
      <c r="K398" s="57" t="s">
        <v>234</v>
      </c>
      <c r="L398" s="57" t="s">
        <v>1138</v>
      </c>
      <c r="M398" s="57" t="s">
        <v>386</v>
      </c>
      <c r="N398" s="57" t="s">
        <v>387</v>
      </c>
      <c r="O398" s="57" t="s">
        <v>1139</v>
      </c>
      <c r="P398" s="57" t="s">
        <v>1174</v>
      </c>
      <c r="Q398" s="57" t="s">
        <v>1141</v>
      </c>
    </row>
    <row r="399" s="50" customFormat="true" ht="14.25" hidden="false" customHeight="true" outlineLevel="0" collapsed="false">
      <c r="A399" s="50" t="s">
        <v>840</v>
      </c>
      <c r="B399" s="57" t="s">
        <v>112</v>
      </c>
      <c r="C399" s="57" t="s">
        <v>559</v>
      </c>
      <c r="D399" s="58" t="n">
        <v>46059.4756944444</v>
      </c>
      <c r="E399" s="58" t="n">
        <v>46059.4756944444</v>
      </c>
      <c r="F399" s="58" t="n">
        <v>46059.5277777778</v>
      </c>
      <c r="G399" s="59" t="n">
        <f aca="false">F399-E399</f>
        <v>0.0520833334027778</v>
      </c>
      <c r="H399" s="57" t="s">
        <v>384</v>
      </c>
      <c r="I399" s="57"/>
      <c r="J399" s="57" t="s">
        <v>234</v>
      </c>
      <c r="K399" s="57" t="s">
        <v>234</v>
      </c>
      <c r="L399" s="57" t="s">
        <v>1138</v>
      </c>
      <c r="M399" s="57" t="s">
        <v>386</v>
      </c>
      <c r="N399" s="57" t="s">
        <v>387</v>
      </c>
      <c r="O399" s="57" t="s">
        <v>1139</v>
      </c>
      <c r="P399" s="57" t="s">
        <v>1175</v>
      </c>
      <c r="Q399" s="57" t="s">
        <v>1141</v>
      </c>
    </row>
    <row r="400" s="50" customFormat="true" ht="14.25" hidden="false" customHeight="true" outlineLevel="0" collapsed="false">
      <c r="A400" s="50" t="s">
        <v>840</v>
      </c>
      <c r="B400" s="57" t="s">
        <v>112</v>
      </c>
      <c r="C400" s="57" t="s">
        <v>560</v>
      </c>
      <c r="D400" s="58" t="n">
        <v>46059.4756944444</v>
      </c>
      <c r="E400" s="58" t="n">
        <v>46059.4756944444</v>
      </c>
      <c r="F400" s="58" t="n">
        <v>46059.5277777778</v>
      </c>
      <c r="G400" s="59" t="n">
        <f aca="false">F400-E400</f>
        <v>0.0520833334027778</v>
      </c>
      <c r="H400" s="57" t="s">
        <v>384</v>
      </c>
      <c r="I400" s="57"/>
      <c r="J400" s="57" t="s">
        <v>234</v>
      </c>
      <c r="K400" s="57" t="s">
        <v>234</v>
      </c>
      <c r="L400" s="57" t="s">
        <v>1138</v>
      </c>
      <c r="M400" s="57" t="s">
        <v>386</v>
      </c>
      <c r="N400" s="57" t="s">
        <v>387</v>
      </c>
      <c r="O400" s="57" t="s">
        <v>1139</v>
      </c>
      <c r="P400" s="57" t="s">
        <v>1176</v>
      </c>
      <c r="Q400" s="57" t="s">
        <v>1141</v>
      </c>
    </row>
    <row r="401" s="50" customFormat="true" ht="14.25" hidden="false" customHeight="true" outlineLevel="0" collapsed="false">
      <c r="A401" s="50" t="s">
        <v>840</v>
      </c>
      <c r="B401" s="57" t="s">
        <v>112</v>
      </c>
      <c r="C401" s="57" t="s">
        <v>561</v>
      </c>
      <c r="D401" s="58" t="n">
        <v>46059.4756944444</v>
      </c>
      <c r="E401" s="58" t="n">
        <v>46059.4756944444</v>
      </c>
      <c r="F401" s="58" t="n">
        <v>46059.5277777778</v>
      </c>
      <c r="G401" s="59" t="n">
        <f aca="false">F401-E401</f>
        <v>0.0520833334027778</v>
      </c>
      <c r="H401" s="57" t="s">
        <v>384</v>
      </c>
      <c r="I401" s="57"/>
      <c r="J401" s="57" t="s">
        <v>234</v>
      </c>
      <c r="K401" s="57" t="s">
        <v>234</v>
      </c>
      <c r="L401" s="57" t="s">
        <v>1138</v>
      </c>
      <c r="M401" s="57" t="s">
        <v>386</v>
      </c>
      <c r="N401" s="57" t="s">
        <v>387</v>
      </c>
      <c r="O401" s="57" t="s">
        <v>1139</v>
      </c>
      <c r="P401" s="57" t="s">
        <v>1177</v>
      </c>
      <c r="Q401" s="57" t="s">
        <v>1141</v>
      </c>
    </row>
    <row r="402" s="50" customFormat="true" ht="14.25" hidden="false" customHeight="true" outlineLevel="0" collapsed="false">
      <c r="A402" s="50" t="s">
        <v>840</v>
      </c>
      <c r="B402" s="57" t="s">
        <v>112</v>
      </c>
      <c r="C402" s="57" t="s">
        <v>562</v>
      </c>
      <c r="D402" s="58" t="n">
        <v>46059.4756944444</v>
      </c>
      <c r="E402" s="58" t="n">
        <v>46059.4756944444</v>
      </c>
      <c r="F402" s="58" t="n">
        <v>46059.5277777778</v>
      </c>
      <c r="G402" s="59" t="n">
        <f aca="false">F402-E402</f>
        <v>0.0520833334027778</v>
      </c>
      <c r="H402" s="57" t="s">
        <v>384</v>
      </c>
      <c r="I402" s="57"/>
      <c r="J402" s="57" t="s">
        <v>234</v>
      </c>
      <c r="K402" s="57" t="s">
        <v>234</v>
      </c>
      <c r="L402" s="57" t="s">
        <v>1138</v>
      </c>
      <c r="M402" s="57" t="s">
        <v>386</v>
      </c>
      <c r="N402" s="57" t="s">
        <v>387</v>
      </c>
      <c r="O402" s="57" t="s">
        <v>1139</v>
      </c>
      <c r="P402" s="57" t="s">
        <v>1178</v>
      </c>
      <c r="Q402" s="57" t="s">
        <v>1141</v>
      </c>
    </row>
    <row r="403" s="50" customFormat="true" ht="14.25" hidden="false" customHeight="true" outlineLevel="0" collapsed="false">
      <c r="A403" s="50" t="s">
        <v>847</v>
      </c>
      <c r="B403" s="57" t="s">
        <v>112</v>
      </c>
      <c r="C403" s="57" t="s">
        <v>563</v>
      </c>
      <c r="D403" s="58" t="n">
        <v>46059.4756944444</v>
      </c>
      <c r="E403" s="58" t="n">
        <v>46059.4756944444</v>
      </c>
      <c r="F403" s="58" t="n">
        <v>46059.5277777778</v>
      </c>
      <c r="G403" s="59" t="n">
        <f aca="false">F403-E403</f>
        <v>0.0520833334027778</v>
      </c>
      <c r="H403" s="57" t="s">
        <v>384</v>
      </c>
      <c r="I403" s="57"/>
      <c r="J403" s="57" t="s">
        <v>234</v>
      </c>
      <c r="K403" s="57" t="s">
        <v>234</v>
      </c>
      <c r="L403" s="57" t="s">
        <v>1138</v>
      </c>
      <c r="M403" s="57" t="s">
        <v>386</v>
      </c>
      <c r="N403" s="57" t="s">
        <v>387</v>
      </c>
      <c r="O403" s="57" t="s">
        <v>1139</v>
      </c>
      <c r="P403" s="57" t="s">
        <v>1179</v>
      </c>
      <c r="Q403" s="57" t="s">
        <v>1141</v>
      </c>
    </row>
    <row r="404" s="50" customFormat="true" ht="14.25" hidden="false" customHeight="true" outlineLevel="0" collapsed="false">
      <c r="A404" s="50" t="s">
        <v>847</v>
      </c>
      <c r="B404" s="57" t="s">
        <v>112</v>
      </c>
      <c r="C404" s="57" t="s">
        <v>564</v>
      </c>
      <c r="D404" s="58" t="n">
        <v>46059.4756944444</v>
      </c>
      <c r="E404" s="58" t="n">
        <v>46059.4756944444</v>
      </c>
      <c r="F404" s="58" t="n">
        <v>46059.5277777778</v>
      </c>
      <c r="G404" s="59" t="n">
        <f aca="false">F404-E404</f>
        <v>0.0520833334027778</v>
      </c>
      <c r="H404" s="57" t="s">
        <v>384</v>
      </c>
      <c r="I404" s="57"/>
      <c r="J404" s="57" t="s">
        <v>234</v>
      </c>
      <c r="K404" s="57" t="s">
        <v>234</v>
      </c>
      <c r="L404" s="57" t="s">
        <v>1138</v>
      </c>
      <c r="M404" s="57" t="s">
        <v>386</v>
      </c>
      <c r="N404" s="57" t="s">
        <v>387</v>
      </c>
      <c r="O404" s="57" t="s">
        <v>1139</v>
      </c>
      <c r="P404" s="57" t="s">
        <v>1180</v>
      </c>
      <c r="Q404" s="57" t="s">
        <v>1141</v>
      </c>
    </row>
    <row r="405" s="50" customFormat="true" ht="14.25" hidden="false" customHeight="true" outlineLevel="0" collapsed="false">
      <c r="A405" s="50" t="s">
        <v>847</v>
      </c>
      <c r="B405" s="57" t="s">
        <v>112</v>
      </c>
      <c r="C405" s="57" t="s">
        <v>565</v>
      </c>
      <c r="D405" s="58" t="n">
        <v>46059.4756944444</v>
      </c>
      <c r="E405" s="58" t="n">
        <v>46059.4756944444</v>
      </c>
      <c r="F405" s="58" t="n">
        <v>46059.5277777778</v>
      </c>
      <c r="G405" s="59" t="n">
        <f aca="false">F405-E405</f>
        <v>0.0520833334027778</v>
      </c>
      <c r="H405" s="57" t="s">
        <v>384</v>
      </c>
      <c r="I405" s="57"/>
      <c r="J405" s="57" t="s">
        <v>234</v>
      </c>
      <c r="K405" s="57" t="s">
        <v>234</v>
      </c>
      <c r="L405" s="57" t="s">
        <v>1138</v>
      </c>
      <c r="M405" s="57" t="s">
        <v>386</v>
      </c>
      <c r="N405" s="57" t="s">
        <v>387</v>
      </c>
      <c r="O405" s="57" t="s">
        <v>1139</v>
      </c>
      <c r="P405" s="57" t="s">
        <v>1181</v>
      </c>
      <c r="Q405" s="57" t="s">
        <v>1141</v>
      </c>
    </row>
    <row r="406" s="50" customFormat="true" ht="14.25" hidden="false" customHeight="true" outlineLevel="0" collapsed="false">
      <c r="A406" s="50" t="s">
        <v>1182</v>
      </c>
      <c r="B406" s="57" t="s">
        <v>142</v>
      </c>
      <c r="C406" s="57" t="s">
        <v>274</v>
      </c>
      <c r="D406" s="58" t="n">
        <v>46059.5402777778</v>
      </c>
      <c r="E406" s="58" t="n">
        <v>46059.5402777778</v>
      </c>
      <c r="F406" s="58" t="n">
        <v>46059.6527777778</v>
      </c>
      <c r="G406" s="59" t="n">
        <f aca="false">F406-E406</f>
        <v>0.1125</v>
      </c>
      <c r="H406" s="57" t="s">
        <v>252</v>
      </c>
      <c r="I406" s="57"/>
      <c r="J406" s="57" t="s">
        <v>253</v>
      </c>
      <c r="K406" s="57" t="s">
        <v>266</v>
      </c>
      <c r="L406" s="57" t="s">
        <v>1183</v>
      </c>
      <c r="M406" s="57" t="s">
        <v>255</v>
      </c>
      <c r="N406" s="57" t="s">
        <v>268</v>
      </c>
      <c r="O406" s="57" t="s">
        <v>1184</v>
      </c>
      <c r="P406" s="57" t="s">
        <v>1185</v>
      </c>
      <c r="Q406" s="57" t="s">
        <v>706</v>
      </c>
    </row>
    <row r="407" s="50" customFormat="true" ht="14.25" hidden="false" customHeight="true" outlineLevel="0" collapsed="false">
      <c r="A407" s="50" t="s">
        <v>1186</v>
      </c>
      <c r="B407" s="57" t="s">
        <v>142</v>
      </c>
      <c r="C407" s="57" t="s">
        <v>276</v>
      </c>
      <c r="D407" s="58" t="n">
        <v>46059.5402777778</v>
      </c>
      <c r="E407" s="58" t="n">
        <v>46059.5402777778</v>
      </c>
      <c r="F407" s="58" t="n">
        <v>46059.6527777778</v>
      </c>
      <c r="G407" s="59" t="n">
        <f aca="false">F407-E407</f>
        <v>0.1125</v>
      </c>
      <c r="H407" s="57" t="s">
        <v>252</v>
      </c>
      <c r="I407" s="57"/>
      <c r="J407" s="57" t="s">
        <v>253</v>
      </c>
      <c r="K407" s="57" t="s">
        <v>266</v>
      </c>
      <c r="L407" s="57" t="s">
        <v>1183</v>
      </c>
      <c r="M407" s="57" t="s">
        <v>255</v>
      </c>
      <c r="N407" s="57" t="s">
        <v>268</v>
      </c>
      <c r="O407" s="57" t="s">
        <v>1184</v>
      </c>
      <c r="P407" s="57" t="s">
        <v>1187</v>
      </c>
      <c r="Q407" s="57" t="s">
        <v>706</v>
      </c>
    </row>
    <row r="408" s="50" customFormat="true" ht="14.25" hidden="false" customHeight="true" outlineLevel="0" collapsed="false">
      <c r="A408" s="50" t="s">
        <v>1186</v>
      </c>
      <c r="B408" s="57" t="s">
        <v>142</v>
      </c>
      <c r="C408" s="57" t="s">
        <v>277</v>
      </c>
      <c r="D408" s="58" t="n">
        <v>46059.5402777778</v>
      </c>
      <c r="E408" s="58" t="n">
        <v>46059.5402777778</v>
      </c>
      <c r="F408" s="58" t="n">
        <v>46059.6527777778</v>
      </c>
      <c r="G408" s="59" t="n">
        <f aca="false">F408-E408</f>
        <v>0.1125</v>
      </c>
      <c r="H408" s="57" t="s">
        <v>252</v>
      </c>
      <c r="I408" s="57"/>
      <c r="J408" s="57" t="s">
        <v>253</v>
      </c>
      <c r="K408" s="57" t="s">
        <v>266</v>
      </c>
      <c r="L408" s="57" t="s">
        <v>1183</v>
      </c>
      <c r="M408" s="57" t="s">
        <v>255</v>
      </c>
      <c r="N408" s="57" t="s">
        <v>268</v>
      </c>
      <c r="O408" s="57" t="s">
        <v>1184</v>
      </c>
      <c r="P408" s="57" t="s">
        <v>1188</v>
      </c>
      <c r="Q408" s="57" t="s">
        <v>706</v>
      </c>
    </row>
    <row r="409" s="50" customFormat="true" ht="14.25" hidden="false" customHeight="true" outlineLevel="0" collapsed="false">
      <c r="A409" s="50" t="s">
        <v>1186</v>
      </c>
      <c r="B409" s="57" t="s">
        <v>142</v>
      </c>
      <c r="C409" s="57" t="s">
        <v>278</v>
      </c>
      <c r="D409" s="58" t="n">
        <v>46059.5402777778</v>
      </c>
      <c r="E409" s="58" t="n">
        <v>46059.5402777778</v>
      </c>
      <c r="F409" s="58" t="n">
        <v>46059.6527777778</v>
      </c>
      <c r="G409" s="59" t="n">
        <f aca="false">F409-E409</f>
        <v>0.1125</v>
      </c>
      <c r="H409" s="57" t="s">
        <v>252</v>
      </c>
      <c r="I409" s="57"/>
      <c r="J409" s="57" t="s">
        <v>253</v>
      </c>
      <c r="K409" s="57" t="s">
        <v>266</v>
      </c>
      <c r="L409" s="57" t="s">
        <v>1183</v>
      </c>
      <c r="M409" s="57" t="s">
        <v>255</v>
      </c>
      <c r="N409" s="57" t="s">
        <v>268</v>
      </c>
      <c r="O409" s="57" t="s">
        <v>1184</v>
      </c>
      <c r="P409" s="57" t="s">
        <v>1189</v>
      </c>
      <c r="Q409" s="57" t="s">
        <v>706</v>
      </c>
    </row>
    <row r="410" s="50" customFormat="true" ht="14.25" hidden="false" customHeight="true" outlineLevel="0" collapsed="false">
      <c r="A410" s="50" t="s">
        <v>1186</v>
      </c>
      <c r="B410" s="57" t="s">
        <v>142</v>
      </c>
      <c r="C410" s="57" t="s">
        <v>279</v>
      </c>
      <c r="D410" s="58" t="n">
        <v>46059.5402777778</v>
      </c>
      <c r="E410" s="58" t="n">
        <v>46059.5402777778</v>
      </c>
      <c r="F410" s="58" t="n">
        <v>46059.6527777778</v>
      </c>
      <c r="G410" s="59" t="n">
        <f aca="false">F410-E410</f>
        <v>0.1125</v>
      </c>
      <c r="H410" s="57" t="s">
        <v>252</v>
      </c>
      <c r="I410" s="57"/>
      <c r="J410" s="57" t="s">
        <v>253</v>
      </c>
      <c r="K410" s="57" t="s">
        <v>266</v>
      </c>
      <c r="L410" s="57" t="s">
        <v>1183</v>
      </c>
      <c r="M410" s="57" t="s">
        <v>255</v>
      </c>
      <c r="N410" s="57" t="s">
        <v>268</v>
      </c>
      <c r="O410" s="57" t="s">
        <v>1184</v>
      </c>
      <c r="P410" s="57" t="s">
        <v>1190</v>
      </c>
      <c r="Q410" s="57" t="s">
        <v>706</v>
      </c>
    </row>
    <row r="411" s="50" customFormat="true" ht="14.25" hidden="false" customHeight="true" outlineLevel="0" collapsed="false">
      <c r="A411" s="50" t="s">
        <v>1186</v>
      </c>
      <c r="B411" s="57" t="s">
        <v>142</v>
      </c>
      <c r="C411" s="57" t="s">
        <v>280</v>
      </c>
      <c r="D411" s="58" t="n">
        <v>46059.5402777778</v>
      </c>
      <c r="E411" s="58" t="n">
        <v>46059.5402777778</v>
      </c>
      <c r="F411" s="58" t="n">
        <v>46059.6527777778</v>
      </c>
      <c r="G411" s="59" t="n">
        <f aca="false">F411-E411</f>
        <v>0.1125</v>
      </c>
      <c r="H411" s="57" t="s">
        <v>252</v>
      </c>
      <c r="I411" s="57"/>
      <c r="J411" s="57" t="s">
        <v>253</v>
      </c>
      <c r="K411" s="57" t="s">
        <v>266</v>
      </c>
      <c r="L411" s="57" t="s">
        <v>1183</v>
      </c>
      <c r="M411" s="57" t="s">
        <v>255</v>
      </c>
      <c r="N411" s="57" t="s">
        <v>268</v>
      </c>
      <c r="O411" s="57" t="s">
        <v>1184</v>
      </c>
      <c r="P411" s="57" t="s">
        <v>1191</v>
      </c>
      <c r="Q411" s="57" t="s">
        <v>706</v>
      </c>
    </row>
    <row r="412" s="50" customFormat="true" ht="14.25" hidden="false" customHeight="true" outlineLevel="0" collapsed="false">
      <c r="A412" s="50" t="s">
        <v>1186</v>
      </c>
      <c r="B412" s="57" t="s">
        <v>142</v>
      </c>
      <c r="C412" s="57" t="s">
        <v>281</v>
      </c>
      <c r="D412" s="58" t="n">
        <v>46059.5402777778</v>
      </c>
      <c r="E412" s="58" t="n">
        <v>46059.5402777778</v>
      </c>
      <c r="F412" s="58" t="n">
        <v>46059.6527777778</v>
      </c>
      <c r="G412" s="59" t="n">
        <f aca="false">F412-E412</f>
        <v>0.1125</v>
      </c>
      <c r="H412" s="57" t="s">
        <v>252</v>
      </c>
      <c r="I412" s="57"/>
      <c r="J412" s="57" t="s">
        <v>253</v>
      </c>
      <c r="K412" s="57" t="s">
        <v>266</v>
      </c>
      <c r="L412" s="57" t="s">
        <v>1183</v>
      </c>
      <c r="M412" s="57" t="s">
        <v>255</v>
      </c>
      <c r="N412" s="57" t="s">
        <v>268</v>
      </c>
      <c r="O412" s="57" t="s">
        <v>1184</v>
      </c>
      <c r="P412" s="57" t="s">
        <v>1192</v>
      </c>
      <c r="Q412" s="57" t="s">
        <v>706</v>
      </c>
    </row>
    <row r="413" s="50" customFormat="true" ht="14.25" hidden="false" customHeight="true" outlineLevel="0" collapsed="false">
      <c r="A413" s="50" t="s">
        <v>992</v>
      </c>
      <c r="B413" s="57" t="s">
        <v>142</v>
      </c>
      <c r="C413" s="57" t="s">
        <v>633</v>
      </c>
      <c r="D413" s="58" t="n">
        <v>46059.5402777778</v>
      </c>
      <c r="E413" s="58" t="n">
        <v>46059.5402777778</v>
      </c>
      <c r="F413" s="58" t="n">
        <v>46059.6527777778</v>
      </c>
      <c r="G413" s="59" t="n">
        <f aca="false">F413-E413</f>
        <v>0.1125</v>
      </c>
      <c r="H413" s="57" t="s">
        <v>252</v>
      </c>
      <c r="I413" s="57"/>
      <c r="J413" s="57" t="s">
        <v>253</v>
      </c>
      <c r="K413" s="57" t="s">
        <v>266</v>
      </c>
      <c r="L413" s="57" t="s">
        <v>1183</v>
      </c>
      <c r="M413" s="57" t="s">
        <v>255</v>
      </c>
      <c r="N413" s="57" t="s">
        <v>268</v>
      </c>
      <c r="O413" s="57" t="s">
        <v>1184</v>
      </c>
      <c r="P413" s="57" t="s">
        <v>1193</v>
      </c>
      <c r="Q413" s="57" t="s">
        <v>706</v>
      </c>
    </row>
    <row r="414" s="50" customFormat="true" ht="14.25" hidden="false" customHeight="true" outlineLevel="0" collapsed="false">
      <c r="A414" s="50" t="s">
        <v>992</v>
      </c>
      <c r="B414" s="57" t="s">
        <v>142</v>
      </c>
      <c r="C414" s="57" t="s">
        <v>634</v>
      </c>
      <c r="D414" s="58" t="n">
        <v>46059.5402777778</v>
      </c>
      <c r="E414" s="58" t="n">
        <v>46059.5402777778</v>
      </c>
      <c r="F414" s="58" t="n">
        <v>46059.6527777778</v>
      </c>
      <c r="G414" s="59" t="n">
        <f aca="false">F414-E414</f>
        <v>0.1125</v>
      </c>
      <c r="H414" s="57" t="s">
        <v>252</v>
      </c>
      <c r="I414" s="57"/>
      <c r="J414" s="57" t="s">
        <v>253</v>
      </c>
      <c r="K414" s="57" t="s">
        <v>266</v>
      </c>
      <c r="L414" s="57" t="s">
        <v>1183</v>
      </c>
      <c r="M414" s="57" t="s">
        <v>255</v>
      </c>
      <c r="N414" s="57" t="s">
        <v>268</v>
      </c>
      <c r="O414" s="57" t="s">
        <v>1184</v>
      </c>
      <c r="P414" s="57" t="s">
        <v>1194</v>
      </c>
      <c r="Q414" s="57" t="s">
        <v>706</v>
      </c>
    </row>
    <row r="415" s="50" customFormat="true" ht="14.25" hidden="false" customHeight="true" outlineLevel="0" collapsed="false">
      <c r="A415" s="50" t="s">
        <v>992</v>
      </c>
      <c r="B415" s="57" t="s">
        <v>142</v>
      </c>
      <c r="C415" s="57" t="s">
        <v>635</v>
      </c>
      <c r="D415" s="58" t="n">
        <v>46059.5402777778</v>
      </c>
      <c r="E415" s="58" t="n">
        <v>46059.5402777778</v>
      </c>
      <c r="F415" s="58" t="n">
        <v>46059.6527777778</v>
      </c>
      <c r="G415" s="59" t="n">
        <f aca="false">F415-E415</f>
        <v>0.1125</v>
      </c>
      <c r="H415" s="57" t="s">
        <v>252</v>
      </c>
      <c r="I415" s="57"/>
      <c r="J415" s="57" t="s">
        <v>253</v>
      </c>
      <c r="K415" s="57" t="s">
        <v>266</v>
      </c>
      <c r="L415" s="57" t="s">
        <v>1183</v>
      </c>
      <c r="M415" s="57" t="s">
        <v>255</v>
      </c>
      <c r="N415" s="57" t="s">
        <v>268</v>
      </c>
      <c r="O415" s="57" t="s">
        <v>1184</v>
      </c>
      <c r="P415" s="57" t="s">
        <v>1195</v>
      </c>
      <c r="Q415" s="57" t="s">
        <v>706</v>
      </c>
    </row>
    <row r="416" s="50" customFormat="true" ht="14.25" hidden="false" customHeight="true" outlineLevel="0" collapsed="false">
      <c r="A416" s="50" t="s">
        <v>992</v>
      </c>
      <c r="B416" s="57" t="s">
        <v>142</v>
      </c>
      <c r="C416" s="57" t="s">
        <v>636</v>
      </c>
      <c r="D416" s="58" t="n">
        <v>46059.5402777778</v>
      </c>
      <c r="E416" s="58" t="n">
        <v>46059.5402777778</v>
      </c>
      <c r="F416" s="58" t="n">
        <v>46059.6527777778</v>
      </c>
      <c r="G416" s="59" t="n">
        <f aca="false">F416-E416</f>
        <v>0.1125</v>
      </c>
      <c r="H416" s="57" t="s">
        <v>252</v>
      </c>
      <c r="I416" s="57"/>
      <c r="J416" s="57" t="s">
        <v>253</v>
      </c>
      <c r="K416" s="57" t="s">
        <v>266</v>
      </c>
      <c r="L416" s="57" t="s">
        <v>1183</v>
      </c>
      <c r="M416" s="57" t="s">
        <v>255</v>
      </c>
      <c r="N416" s="57" t="s">
        <v>268</v>
      </c>
      <c r="O416" s="57" t="s">
        <v>1184</v>
      </c>
      <c r="P416" s="57" t="s">
        <v>1196</v>
      </c>
      <c r="Q416" s="57" t="s">
        <v>706</v>
      </c>
    </row>
    <row r="417" s="50" customFormat="true" ht="14.25" hidden="false" customHeight="true" outlineLevel="0" collapsed="false">
      <c r="A417" s="50" t="s">
        <v>992</v>
      </c>
      <c r="B417" s="57" t="s">
        <v>142</v>
      </c>
      <c r="C417" s="57" t="s">
        <v>506</v>
      </c>
      <c r="D417" s="58" t="n">
        <v>46059.5402777778</v>
      </c>
      <c r="E417" s="58" t="n">
        <v>46059.5402777778</v>
      </c>
      <c r="F417" s="58" t="n">
        <v>46059.6527777778</v>
      </c>
      <c r="G417" s="59" t="n">
        <f aca="false">F417-E417</f>
        <v>0.1125</v>
      </c>
      <c r="H417" s="57" t="s">
        <v>252</v>
      </c>
      <c r="I417" s="57"/>
      <c r="J417" s="57" t="s">
        <v>253</v>
      </c>
      <c r="K417" s="57" t="s">
        <v>266</v>
      </c>
      <c r="L417" s="57" t="s">
        <v>1183</v>
      </c>
      <c r="M417" s="57" t="s">
        <v>255</v>
      </c>
      <c r="N417" s="57" t="s">
        <v>268</v>
      </c>
      <c r="O417" s="57" t="s">
        <v>1184</v>
      </c>
      <c r="P417" s="57" t="s">
        <v>1197</v>
      </c>
      <c r="Q417" s="57" t="s">
        <v>706</v>
      </c>
    </row>
    <row r="418" s="50" customFormat="true" ht="14.25" hidden="false" customHeight="true" outlineLevel="0" collapsed="false">
      <c r="A418" s="50" t="s">
        <v>992</v>
      </c>
      <c r="B418" s="57" t="s">
        <v>142</v>
      </c>
      <c r="C418" s="57" t="s">
        <v>637</v>
      </c>
      <c r="D418" s="58" t="n">
        <v>46059.5402777778</v>
      </c>
      <c r="E418" s="58" t="n">
        <v>46059.5402777778</v>
      </c>
      <c r="F418" s="58" t="n">
        <v>46059.6527777778</v>
      </c>
      <c r="G418" s="59" t="n">
        <f aca="false">F418-E418</f>
        <v>0.1125</v>
      </c>
      <c r="H418" s="57" t="s">
        <v>252</v>
      </c>
      <c r="I418" s="57"/>
      <c r="J418" s="57" t="s">
        <v>253</v>
      </c>
      <c r="K418" s="57" t="s">
        <v>266</v>
      </c>
      <c r="L418" s="57" t="s">
        <v>1183</v>
      </c>
      <c r="M418" s="57" t="s">
        <v>255</v>
      </c>
      <c r="N418" s="57" t="s">
        <v>268</v>
      </c>
      <c r="O418" s="57" t="s">
        <v>1184</v>
      </c>
      <c r="P418" s="57" t="s">
        <v>1198</v>
      </c>
      <c r="Q418" s="57" t="s">
        <v>706</v>
      </c>
    </row>
    <row r="419" s="50" customFormat="true" ht="14.25" hidden="false" customHeight="true" outlineLevel="0" collapsed="false">
      <c r="A419" s="50" t="s">
        <v>992</v>
      </c>
      <c r="B419" s="57" t="s">
        <v>142</v>
      </c>
      <c r="C419" s="57" t="s">
        <v>638</v>
      </c>
      <c r="D419" s="58" t="n">
        <v>46059.5402777778</v>
      </c>
      <c r="E419" s="58" t="n">
        <v>46059.5402777778</v>
      </c>
      <c r="F419" s="58" t="n">
        <v>46059.6527777778</v>
      </c>
      <c r="G419" s="59" t="n">
        <f aca="false">F419-E419</f>
        <v>0.1125</v>
      </c>
      <c r="H419" s="57" t="s">
        <v>252</v>
      </c>
      <c r="I419" s="57"/>
      <c r="J419" s="57" t="s">
        <v>253</v>
      </c>
      <c r="K419" s="57" t="s">
        <v>266</v>
      </c>
      <c r="L419" s="57" t="s">
        <v>1183</v>
      </c>
      <c r="M419" s="57" t="s">
        <v>255</v>
      </c>
      <c r="N419" s="57" t="s">
        <v>268</v>
      </c>
      <c r="O419" s="57" t="s">
        <v>1184</v>
      </c>
      <c r="P419" s="57" t="s">
        <v>1199</v>
      </c>
      <c r="Q419" s="57" t="s">
        <v>706</v>
      </c>
    </row>
    <row r="420" s="50" customFormat="true" ht="14.25" hidden="false" customHeight="true" outlineLevel="0" collapsed="false">
      <c r="A420" s="50" t="s">
        <v>992</v>
      </c>
      <c r="B420" s="57" t="s">
        <v>142</v>
      </c>
      <c r="C420" s="57" t="s">
        <v>639</v>
      </c>
      <c r="D420" s="58" t="n">
        <v>46059.5402777778</v>
      </c>
      <c r="E420" s="58" t="n">
        <v>46059.5402777778</v>
      </c>
      <c r="F420" s="58" t="n">
        <v>46059.6527777778</v>
      </c>
      <c r="G420" s="59" t="n">
        <f aca="false">F420-E420</f>
        <v>0.1125</v>
      </c>
      <c r="H420" s="57" t="s">
        <v>252</v>
      </c>
      <c r="I420" s="57"/>
      <c r="J420" s="57" t="s">
        <v>253</v>
      </c>
      <c r="K420" s="57" t="s">
        <v>266</v>
      </c>
      <c r="L420" s="57" t="s">
        <v>1183</v>
      </c>
      <c r="M420" s="57" t="s">
        <v>255</v>
      </c>
      <c r="N420" s="57" t="s">
        <v>268</v>
      </c>
      <c r="O420" s="57" t="s">
        <v>1184</v>
      </c>
      <c r="P420" s="57" t="s">
        <v>1200</v>
      </c>
      <c r="Q420" s="57" t="s">
        <v>706</v>
      </c>
    </row>
    <row r="421" s="50" customFormat="true" ht="14.25" hidden="false" customHeight="true" outlineLevel="0" collapsed="false">
      <c r="A421" s="50" t="s">
        <v>992</v>
      </c>
      <c r="B421" s="57" t="s">
        <v>142</v>
      </c>
      <c r="C421" s="57" t="s">
        <v>640</v>
      </c>
      <c r="D421" s="58" t="n">
        <v>46059.5402777778</v>
      </c>
      <c r="E421" s="58" t="n">
        <v>46059.5402777778</v>
      </c>
      <c r="F421" s="58" t="n">
        <v>46059.6527777778</v>
      </c>
      <c r="G421" s="59" t="n">
        <f aca="false">F421-E421</f>
        <v>0.1125</v>
      </c>
      <c r="H421" s="57" t="s">
        <v>252</v>
      </c>
      <c r="I421" s="57"/>
      <c r="J421" s="57" t="s">
        <v>253</v>
      </c>
      <c r="K421" s="57" t="s">
        <v>266</v>
      </c>
      <c r="L421" s="57" t="s">
        <v>1183</v>
      </c>
      <c r="M421" s="57" t="s">
        <v>255</v>
      </c>
      <c r="N421" s="57" t="s">
        <v>268</v>
      </c>
      <c r="O421" s="57" t="s">
        <v>1184</v>
      </c>
      <c r="P421" s="57" t="s">
        <v>1201</v>
      </c>
      <c r="Q421" s="57" t="s">
        <v>706</v>
      </c>
    </row>
    <row r="422" s="50" customFormat="true" ht="14.25" hidden="false" customHeight="true" outlineLevel="0" collapsed="false">
      <c r="A422" s="50" t="s">
        <v>992</v>
      </c>
      <c r="B422" s="57" t="s">
        <v>142</v>
      </c>
      <c r="C422" s="57" t="s">
        <v>641</v>
      </c>
      <c r="D422" s="58" t="n">
        <v>46059.5402777778</v>
      </c>
      <c r="E422" s="58" t="n">
        <v>46059.5402777778</v>
      </c>
      <c r="F422" s="58" t="n">
        <v>46059.6527777778</v>
      </c>
      <c r="G422" s="59" t="n">
        <f aca="false">F422-E422</f>
        <v>0.1125</v>
      </c>
      <c r="H422" s="57" t="s">
        <v>252</v>
      </c>
      <c r="I422" s="57"/>
      <c r="J422" s="57" t="s">
        <v>253</v>
      </c>
      <c r="K422" s="57" t="s">
        <v>266</v>
      </c>
      <c r="L422" s="57" t="s">
        <v>1183</v>
      </c>
      <c r="M422" s="57" t="s">
        <v>255</v>
      </c>
      <c r="N422" s="57" t="s">
        <v>268</v>
      </c>
      <c r="O422" s="57" t="s">
        <v>1184</v>
      </c>
      <c r="P422" s="57" t="s">
        <v>1202</v>
      </c>
      <c r="Q422" s="57" t="s">
        <v>706</v>
      </c>
    </row>
    <row r="423" s="50" customFormat="true" ht="14.25" hidden="false" customHeight="true" outlineLevel="0" collapsed="false">
      <c r="A423" s="50" t="s">
        <v>339</v>
      </c>
      <c r="B423" s="57" t="s">
        <v>339</v>
      </c>
      <c r="C423" s="57" t="s">
        <v>324</v>
      </c>
      <c r="D423" s="58" t="n">
        <v>46059.6388888889</v>
      </c>
      <c r="E423" s="58" t="n">
        <v>46059.6388888889</v>
      </c>
      <c r="F423" s="58" t="n">
        <v>46059.65625</v>
      </c>
      <c r="G423" s="59" t="n">
        <f aca="false">F423-E423</f>
        <v>0.0173611111111111</v>
      </c>
      <c r="H423" s="57" t="s">
        <v>252</v>
      </c>
      <c r="I423" s="57"/>
      <c r="J423" s="57" t="s">
        <v>253</v>
      </c>
      <c r="K423" s="57" t="s">
        <v>266</v>
      </c>
      <c r="L423" s="57" t="s">
        <v>1203</v>
      </c>
      <c r="M423" s="57" t="s">
        <v>255</v>
      </c>
      <c r="N423" s="57" t="s">
        <v>268</v>
      </c>
      <c r="O423" s="57" t="s">
        <v>1204</v>
      </c>
      <c r="P423" s="57" t="s">
        <v>1205</v>
      </c>
      <c r="Q423" s="57" t="s">
        <v>706</v>
      </c>
    </row>
    <row r="424" s="50" customFormat="true" ht="14.25" hidden="false" customHeight="true" outlineLevel="0" collapsed="false">
      <c r="A424" s="50" t="s">
        <v>339</v>
      </c>
      <c r="B424" s="57" t="s">
        <v>339</v>
      </c>
      <c r="C424" s="57" t="s">
        <v>327</v>
      </c>
      <c r="D424" s="58" t="n">
        <v>46059.6388888889</v>
      </c>
      <c r="E424" s="58" t="n">
        <v>46059.6388888889</v>
      </c>
      <c r="F424" s="58" t="n">
        <v>46059.65625</v>
      </c>
      <c r="G424" s="59" t="n">
        <f aca="false">F424-E424</f>
        <v>0.0173611111111111</v>
      </c>
      <c r="H424" s="57" t="s">
        <v>252</v>
      </c>
      <c r="I424" s="57"/>
      <c r="J424" s="57" t="s">
        <v>253</v>
      </c>
      <c r="K424" s="57" t="s">
        <v>266</v>
      </c>
      <c r="L424" s="57" t="s">
        <v>1203</v>
      </c>
      <c r="M424" s="57" t="s">
        <v>255</v>
      </c>
      <c r="N424" s="57" t="s">
        <v>268</v>
      </c>
      <c r="O424" s="57" t="s">
        <v>1204</v>
      </c>
      <c r="P424" s="57" t="s">
        <v>1206</v>
      </c>
      <c r="Q424" s="57" t="s">
        <v>706</v>
      </c>
    </row>
    <row r="425" s="50" customFormat="true" ht="14.25" hidden="false" customHeight="true" outlineLevel="0" collapsed="false">
      <c r="A425" s="50" t="s">
        <v>339</v>
      </c>
      <c r="B425" s="57" t="s">
        <v>339</v>
      </c>
      <c r="C425" s="57" t="s">
        <v>326</v>
      </c>
      <c r="D425" s="58" t="n">
        <v>46059.6388888889</v>
      </c>
      <c r="E425" s="58" t="n">
        <v>46059.6388888889</v>
      </c>
      <c r="F425" s="58" t="n">
        <v>46059.65625</v>
      </c>
      <c r="G425" s="59" t="n">
        <f aca="false">F425-E425</f>
        <v>0.0173611111111111</v>
      </c>
      <c r="H425" s="57" t="s">
        <v>252</v>
      </c>
      <c r="I425" s="57"/>
      <c r="J425" s="57" t="s">
        <v>253</v>
      </c>
      <c r="K425" s="57" t="s">
        <v>266</v>
      </c>
      <c r="L425" s="57" t="s">
        <v>1203</v>
      </c>
      <c r="M425" s="57" t="s">
        <v>255</v>
      </c>
      <c r="N425" s="57" t="s">
        <v>268</v>
      </c>
      <c r="O425" s="57" t="s">
        <v>1204</v>
      </c>
      <c r="P425" s="57" t="s">
        <v>1207</v>
      </c>
      <c r="Q425" s="57" t="s">
        <v>706</v>
      </c>
    </row>
    <row r="426" s="50" customFormat="true" ht="14.25" hidden="false" customHeight="true" outlineLevel="0" collapsed="false">
      <c r="A426" s="50" t="s">
        <v>339</v>
      </c>
      <c r="B426" s="57" t="s">
        <v>339</v>
      </c>
      <c r="C426" s="57" t="s">
        <v>265</v>
      </c>
      <c r="D426" s="58" t="n">
        <v>46059.6388888889</v>
      </c>
      <c r="E426" s="58" t="n">
        <v>46059.6388888889</v>
      </c>
      <c r="F426" s="58" t="n">
        <v>46059.65625</v>
      </c>
      <c r="G426" s="59" t="n">
        <f aca="false">F426-E426</f>
        <v>0.0173611111111111</v>
      </c>
      <c r="H426" s="57" t="s">
        <v>252</v>
      </c>
      <c r="I426" s="57"/>
      <c r="J426" s="57" t="s">
        <v>253</v>
      </c>
      <c r="K426" s="57" t="s">
        <v>266</v>
      </c>
      <c r="L426" s="57" t="s">
        <v>1203</v>
      </c>
      <c r="M426" s="57" t="s">
        <v>255</v>
      </c>
      <c r="N426" s="57" t="s">
        <v>268</v>
      </c>
      <c r="O426" s="57" t="s">
        <v>1204</v>
      </c>
      <c r="P426" s="57" t="s">
        <v>1208</v>
      </c>
      <c r="Q426" s="57" t="s">
        <v>706</v>
      </c>
    </row>
    <row r="427" s="50" customFormat="true" ht="14.25" hidden="false" customHeight="true" outlineLevel="0" collapsed="false">
      <c r="A427" s="50" t="s">
        <v>264</v>
      </c>
      <c r="B427" s="57" t="s">
        <v>264</v>
      </c>
      <c r="C427" s="57" t="s">
        <v>265</v>
      </c>
      <c r="D427" s="58" t="n">
        <v>46059.7027777778</v>
      </c>
      <c r="E427" s="58" t="n">
        <v>46059.7027777778</v>
      </c>
      <c r="F427" s="58" t="n">
        <v>46060.2840277778</v>
      </c>
      <c r="G427" s="59" t="n">
        <f aca="false">F427-E427</f>
        <v>0.58125</v>
      </c>
      <c r="H427" s="57" t="s">
        <v>252</v>
      </c>
      <c r="I427" s="57"/>
      <c r="J427" s="57" t="s">
        <v>253</v>
      </c>
      <c r="K427" s="57" t="s">
        <v>266</v>
      </c>
      <c r="L427" s="57" t="s">
        <v>1209</v>
      </c>
      <c r="M427" s="57" t="s">
        <v>255</v>
      </c>
      <c r="N427" s="57" t="s">
        <v>268</v>
      </c>
      <c r="O427" s="57" t="s">
        <v>1204</v>
      </c>
      <c r="P427" s="57" t="s">
        <v>1210</v>
      </c>
      <c r="Q427" s="57" t="s">
        <v>706</v>
      </c>
    </row>
    <row r="428" s="50" customFormat="true" ht="14.25" hidden="false" customHeight="true" outlineLevel="0" collapsed="false">
      <c r="A428" s="50" t="s">
        <v>271</v>
      </c>
      <c r="B428" s="57" t="s">
        <v>271</v>
      </c>
      <c r="C428" s="57" t="s">
        <v>265</v>
      </c>
      <c r="D428" s="58" t="n">
        <v>46059.7027777778</v>
      </c>
      <c r="E428" s="58" t="n">
        <v>46059.7027777778</v>
      </c>
      <c r="F428" s="58" t="n">
        <v>46060.2840277778</v>
      </c>
      <c r="G428" s="59" t="n">
        <f aca="false">F428-E428</f>
        <v>0.58125</v>
      </c>
      <c r="H428" s="57" t="s">
        <v>252</v>
      </c>
      <c r="I428" s="57"/>
      <c r="J428" s="57" t="s">
        <v>253</v>
      </c>
      <c r="K428" s="57" t="s">
        <v>266</v>
      </c>
      <c r="L428" s="57" t="s">
        <v>1209</v>
      </c>
      <c r="M428" s="57" t="s">
        <v>255</v>
      </c>
      <c r="N428" s="57" t="s">
        <v>268</v>
      </c>
      <c r="O428" s="57" t="s">
        <v>1204</v>
      </c>
      <c r="P428" s="57" t="s">
        <v>1211</v>
      </c>
      <c r="Q428" s="57" t="s">
        <v>706</v>
      </c>
    </row>
    <row r="429" s="50" customFormat="true" ht="14.25" hidden="false" customHeight="true" outlineLevel="0" collapsed="false">
      <c r="A429" s="50" t="s">
        <v>272</v>
      </c>
      <c r="B429" s="57" t="s">
        <v>272</v>
      </c>
      <c r="C429" s="57" t="s">
        <v>265</v>
      </c>
      <c r="D429" s="58" t="n">
        <v>46059.7027777778</v>
      </c>
      <c r="E429" s="58" t="n">
        <v>46059.7027777778</v>
      </c>
      <c r="F429" s="58" t="n">
        <v>46060.2840277778</v>
      </c>
      <c r="G429" s="59" t="n">
        <f aca="false">F429-E429</f>
        <v>0.58125</v>
      </c>
      <c r="H429" s="57" t="s">
        <v>252</v>
      </c>
      <c r="I429" s="57"/>
      <c r="J429" s="57" t="s">
        <v>253</v>
      </c>
      <c r="K429" s="57" t="s">
        <v>266</v>
      </c>
      <c r="L429" s="57" t="s">
        <v>1209</v>
      </c>
      <c r="M429" s="57" t="s">
        <v>255</v>
      </c>
      <c r="N429" s="57" t="s">
        <v>268</v>
      </c>
      <c r="O429" s="57" t="s">
        <v>1204</v>
      </c>
      <c r="P429" s="57" t="s">
        <v>1212</v>
      </c>
      <c r="Q429" s="57" t="s">
        <v>706</v>
      </c>
    </row>
    <row r="430" s="50" customFormat="true" ht="14.25" hidden="false" customHeight="true" outlineLevel="0" collapsed="false">
      <c r="A430" s="50" t="s">
        <v>273</v>
      </c>
      <c r="B430" s="57" t="s">
        <v>273</v>
      </c>
      <c r="C430" s="57" t="s">
        <v>265</v>
      </c>
      <c r="D430" s="58" t="n">
        <v>46059.7027777778</v>
      </c>
      <c r="E430" s="58" t="n">
        <v>46059.7027777778</v>
      </c>
      <c r="F430" s="58" t="n">
        <v>46060.2840277778</v>
      </c>
      <c r="G430" s="59" t="n">
        <f aca="false">F430-E430</f>
        <v>0.58125</v>
      </c>
      <c r="H430" s="57" t="s">
        <v>252</v>
      </c>
      <c r="I430" s="57"/>
      <c r="J430" s="57" t="s">
        <v>253</v>
      </c>
      <c r="K430" s="57" t="s">
        <v>266</v>
      </c>
      <c r="L430" s="57" t="s">
        <v>1209</v>
      </c>
      <c r="M430" s="57" t="s">
        <v>255</v>
      </c>
      <c r="N430" s="57" t="s">
        <v>268</v>
      </c>
      <c r="O430" s="57" t="s">
        <v>1204</v>
      </c>
      <c r="P430" s="57" t="s">
        <v>1213</v>
      </c>
      <c r="Q430" s="57" t="s">
        <v>706</v>
      </c>
    </row>
    <row r="431" s="50" customFormat="true" ht="14.25" hidden="false" customHeight="true" outlineLevel="0" collapsed="false">
      <c r="A431" s="50" t="s">
        <v>358</v>
      </c>
      <c r="B431" s="57" t="s">
        <v>358</v>
      </c>
      <c r="C431" s="57" t="s">
        <v>324</v>
      </c>
      <c r="D431" s="58" t="n">
        <v>46059.7506944445</v>
      </c>
      <c r="E431" s="58" t="n">
        <v>46059.7506944445</v>
      </c>
      <c r="F431" s="58" t="n">
        <v>46059.8680555556</v>
      </c>
      <c r="G431" s="59" t="n">
        <f aca="false">F431-E431</f>
        <v>0.117361111111111</v>
      </c>
      <c r="H431" s="57" t="s">
        <v>252</v>
      </c>
      <c r="I431" s="57"/>
      <c r="J431" s="57" t="s">
        <v>253</v>
      </c>
      <c r="K431" s="57" t="s">
        <v>266</v>
      </c>
      <c r="L431" s="57" t="s">
        <v>1214</v>
      </c>
      <c r="M431" s="57" t="s">
        <v>255</v>
      </c>
      <c r="N431" s="57" t="s">
        <v>268</v>
      </c>
      <c r="O431" s="57" t="s">
        <v>1204</v>
      </c>
      <c r="P431" s="57" t="s">
        <v>1215</v>
      </c>
      <c r="Q431" s="57" t="s">
        <v>706</v>
      </c>
    </row>
    <row r="432" s="50" customFormat="true" ht="14.25" hidden="false" customHeight="true" outlineLevel="0" collapsed="false">
      <c r="A432" s="50" t="s">
        <v>358</v>
      </c>
      <c r="B432" s="57" t="s">
        <v>358</v>
      </c>
      <c r="C432" s="57" t="s">
        <v>326</v>
      </c>
      <c r="D432" s="58" t="n">
        <v>46059.7506944445</v>
      </c>
      <c r="E432" s="58" t="n">
        <v>46059.7506944445</v>
      </c>
      <c r="F432" s="58" t="n">
        <v>46059.8680555556</v>
      </c>
      <c r="G432" s="59" t="n">
        <f aca="false">F432-E432</f>
        <v>0.117361111111111</v>
      </c>
      <c r="H432" s="57" t="s">
        <v>252</v>
      </c>
      <c r="I432" s="57"/>
      <c r="J432" s="57" t="s">
        <v>253</v>
      </c>
      <c r="K432" s="57" t="s">
        <v>266</v>
      </c>
      <c r="L432" s="57" t="s">
        <v>1214</v>
      </c>
      <c r="M432" s="57" t="s">
        <v>255</v>
      </c>
      <c r="N432" s="57" t="s">
        <v>268</v>
      </c>
      <c r="O432" s="57" t="s">
        <v>1204</v>
      </c>
      <c r="P432" s="57" t="s">
        <v>1216</v>
      </c>
      <c r="Q432" s="57" t="s">
        <v>706</v>
      </c>
    </row>
    <row r="433" s="50" customFormat="true" ht="14.25" hidden="false" customHeight="true" outlineLevel="0" collapsed="false">
      <c r="A433" s="50" t="s">
        <v>358</v>
      </c>
      <c r="B433" s="57" t="s">
        <v>358</v>
      </c>
      <c r="C433" s="57" t="s">
        <v>327</v>
      </c>
      <c r="D433" s="58" t="n">
        <v>46059.7506944445</v>
      </c>
      <c r="E433" s="58" t="n">
        <v>46059.7506944445</v>
      </c>
      <c r="F433" s="58" t="n">
        <v>46059.8680555556</v>
      </c>
      <c r="G433" s="59" t="n">
        <f aca="false">F433-E433</f>
        <v>0.117361111111111</v>
      </c>
      <c r="H433" s="57" t="s">
        <v>252</v>
      </c>
      <c r="I433" s="57"/>
      <c r="J433" s="57" t="s">
        <v>253</v>
      </c>
      <c r="K433" s="57" t="s">
        <v>266</v>
      </c>
      <c r="L433" s="57" t="s">
        <v>1214</v>
      </c>
      <c r="M433" s="57" t="s">
        <v>255</v>
      </c>
      <c r="N433" s="57" t="s">
        <v>268</v>
      </c>
      <c r="O433" s="57" t="s">
        <v>1204</v>
      </c>
      <c r="P433" s="57" t="s">
        <v>1217</v>
      </c>
      <c r="Q433" s="57" t="s">
        <v>706</v>
      </c>
    </row>
    <row r="434" s="50" customFormat="true" ht="14.25" hidden="false" customHeight="true" outlineLevel="0" collapsed="false">
      <c r="A434" s="50" t="s">
        <v>358</v>
      </c>
      <c r="B434" s="57" t="s">
        <v>358</v>
      </c>
      <c r="C434" s="57" t="s">
        <v>328</v>
      </c>
      <c r="D434" s="58" t="n">
        <v>46059.7506944445</v>
      </c>
      <c r="E434" s="58" t="n">
        <v>46059.7506944445</v>
      </c>
      <c r="F434" s="58" t="n">
        <v>46059.8680555556</v>
      </c>
      <c r="G434" s="59" t="n">
        <f aca="false">F434-E434</f>
        <v>0.117361111111111</v>
      </c>
      <c r="H434" s="57" t="s">
        <v>252</v>
      </c>
      <c r="I434" s="57"/>
      <c r="J434" s="57" t="s">
        <v>253</v>
      </c>
      <c r="K434" s="57" t="s">
        <v>266</v>
      </c>
      <c r="L434" s="57" t="s">
        <v>1214</v>
      </c>
      <c r="M434" s="57" t="s">
        <v>255</v>
      </c>
      <c r="N434" s="57" t="s">
        <v>268</v>
      </c>
      <c r="O434" s="57" t="s">
        <v>1204</v>
      </c>
      <c r="P434" s="57" t="s">
        <v>1218</v>
      </c>
      <c r="Q434" s="57" t="s">
        <v>706</v>
      </c>
    </row>
    <row r="435" s="50" customFormat="true" ht="14.25" hidden="false" customHeight="true" outlineLevel="0" collapsed="false">
      <c r="A435" s="50" t="s">
        <v>361</v>
      </c>
      <c r="B435" s="57" t="s">
        <v>361</v>
      </c>
      <c r="C435" s="57" t="s">
        <v>324</v>
      </c>
      <c r="D435" s="58" t="n">
        <v>46059.7506944445</v>
      </c>
      <c r="E435" s="58" t="n">
        <v>46059.7506944445</v>
      </c>
      <c r="F435" s="58" t="n">
        <v>46059.8680555556</v>
      </c>
      <c r="G435" s="59" t="n">
        <f aca="false">F435-E435</f>
        <v>0.117361111111111</v>
      </c>
      <c r="H435" s="57" t="s">
        <v>252</v>
      </c>
      <c r="I435" s="57"/>
      <c r="J435" s="57" t="s">
        <v>253</v>
      </c>
      <c r="K435" s="57" t="s">
        <v>266</v>
      </c>
      <c r="L435" s="57" t="s">
        <v>1214</v>
      </c>
      <c r="M435" s="57" t="s">
        <v>255</v>
      </c>
      <c r="N435" s="57" t="s">
        <v>268</v>
      </c>
      <c r="O435" s="57" t="s">
        <v>1204</v>
      </c>
      <c r="P435" s="57" t="s">
        <v>1219</v>
      </c>
      <c r="Q435" s="57" t="s">
        <v>706</v>
      </c>
    </row>
    <row r="436" s="50" customFormat="true" ht="14.25" hidden="false" customHeight="true" outlineLevel="0" collapsed="false">
      <c r="A436" s="50" t="s">
        <v>361</v>
      </c>
      <c r="B436" s="57" t="s">
        <v>361</v>
      </c>
      <c r="C436" s="57" t="s">
        <v>326</v>
      </c>
      <c r="D436" s="58" t="n">
        <v>46059.7506944445</v>
      </c>
      <c r="E436" s="58" t="n">
        <v>46059.7506944445</v>
      </c>
      <c r="F436" s="58" t="n">
        <v>46059.8680555556</v>
      </c>
      <c r="G436" s="59" t="n">
        <f aca="false">F436-E436</f>
        <v>0.117361111111111</v>
      </c>
      <c r="H436" s="57" t="s">
        <v>252</v>
      </c>
      <c r="I436" s="57"/>
      <c r="J436" s="57" t="s">
        <v>253</v>
      </c>
      <c r="K436" s="57" t="s">
        <v>266</v>
      </c>
      <c r="L436" s="57" t="s">
        <v>1214</v>
      </c>
      <c r="M436" s="57" t="s">
        <v>255</v>
      </c>
      <c r="N436" s="57" t="s">
        <v>268</v>
      </c>
      <c r="O436" s="57" t="s">
        <v>1204</v>
      </c>
      <c r="P436" s="57" t="s">
        <v>1220</v>
      </c>
      <c r="Q436" s="57" t="s">
        <v>706</v>
      </c>
    </row>
    <row r="437" s="50" customFormat="true" ht="14.25" hidden="false" customHeight="true" outlineLevel="0" collapsed="false">
      <c r="A437" s="50" t="s">
        <v>361</v>
      </c>
      <c r="B437" s="57" t="s">
        <v>361</v>
      </c>
      <c r="C437" s="57" t="s">
        <v>327</v>
      </c>
      <c r="D437" s="58" t="n">
        <v>46059.7506944445</v>
      </c>
      <c r="E437" s="58" t="n">
        <v>46059.7506944445</v>
      </c>
      <c r="F437" s="58" t="n">
        <v>46059.8680555556</v>
      </c>
      <c r="G437" s="59" t="n">
        <f aca="false">F437-E437</f>
        <v>0.117361111111111</v>
      </c>
      <c r="H437" s="57" t="s">
        <v>252</v>
      </c>
      <c r="I437" s="57"/>
      <c r="J437" s="57" t="s">
        <v>253</v>
      </c>
      <c r="K437" s="57" t="s">
        <v>266</v>
      </c>
      <c r="L437" s="57" t="s">
        <v>1214</v>
      </c>
      <c r="M437" s="57" t="s">
        <v>255</v>
      </c>
      <c r="N437" s="57" t="s">
        <v>268</v>
      </c>
      <c r="O437" s="57" t="s">
        <v>1204</v>
      </c>
      <c r="P437" s="57" t="s">
        <v>1221</v>
      </c>
      <c r="Q437" s="57" t="s">
        <v>706</v>
      </c>
    </row>
    <row r="438" s="50" customFormat="true" ht="14.25" hidden="false" customHeight="true" outlineLevel="0" collapsed="false">
      <c r="A438" s="50" t="s">
        <v>361</v>
      </c>
      <c r="B438" s="57" t="s">
        <v>361</v>
      </c>
      <c r="C438" s="57" t="s">
        <v>328</v>
      </c>
      <c r="D438" s="58" t="n">
        <v>46059.7506944445</v>
      </c>
      <c r="E438" s="58" t="n">
        <v>46059.7506944445</v>
      </c>
      <c r="F438" s="58" t="n">
        <v>46059.8680555556</v>
      </c>
      <c r="G438" s="59" t="n">
        <f aca="false">F438-E438</f>
        <v>0.117361111111111</v>
      </c>
      <c r="H438" s="57" t="s">
        <v>252</v>
      </c>
      <c r="I438" s="57"/>
      <c r="J438" s="57" t="s">
        <v>253</v>
      </c>
      <c r="K438" s="57" t="s">
        <v>266</v>
      </c>
      <c r="L438" s="57" t="s">
        <v>1214</v>
      </c>
      <c r="M438" s="57" t="s">
        <v>255</v>
      </c>
      <c r="N438" s="57" t="s">
        <v>268</v>
      </c>
      <c r="O438" s="57" t="s">
        <v>1204</v>
      </c>
      <c r="P438" s="57" t="s">
        <v>1222</v>
      </c>
      <c r="Q438" s="57" t="s">
        <v>706</v>
      </c>
    </row>
    <row r="439" s="50" customFormat="true" ht="14.25" hidden="false" customHeight="true" outlineLevel="0" collapsed="false">
      <c r="A439" s="50" t="s">
        <v>362</v>
      </c>
      <c r="B439" s="57" t="s">
        <v>362</v>
      </c>
      <c r="C439" s="57" t="s">
        <v>363</v>
      </c>
      <c r="D439" s="58" t="n">
        <v>46059.7506944445</v>
      </c>
      <c r="E439" s="58" t="n">
        <v>46059.7506944445</v>
      </c>
      <c r="F439" s="58" t="n">
        <v>46059.8680555556</v>
      </c>
      <c r="G439" s="59" t="n">
        <f aca="false">F439-E439</f>
        <v>0.117361111111111</v>
      </c>
      <c r="H439" s="57" t="s">
        <v>252</v>
      </c>
      <c r="I439" s="57"/>
      <c r="J439" s="57" t="s">
        <v>253</v>
      </c>
      <c r="K439" s="57" t="s">
        <v>266</v>
      </c>
      <c r="L439" s="57" t="s">
        <v>1214</v>
      </c>
      <c r="M439" s="57" t="s">
        <v>255</v>
      </c>
      <c r="N439" s="57" t="s">
        <v>268</v>
      </c>
      <c r="O439" s="57" t="s">
        <v>1204</v>
      </c>
      <c r="P439" s="57" t="s">
        <v>1223</v>
      </c>
      <c r="Q439" s="57" t="s">
        <v>706</v>
      </c>
    </row>
    <row r="440" s="50" customFormat="true" ht="14.25" hidden="false" customHeight="true" outlineLevel="0" collapsed="false">
      <c r="A440" s="50" t="s">
        <v>362</v>
      </c>
      <c r="B440" s="57" t="s">
        <v>362</v>
      </c>
      <c r="C440" s="57" t="s">
        <v>265</v>
      </c>
      <c r="D440" s="58" t="n">
        <v>46059.7506944445</v>
      </c>
      <c r="E440" s="58" t="n">
        <v>46059.7506944445</v>
      </c>
      <c r="F440" s="58" t="n">
        <v>46059.8680555556</v>
      </c>
      <c r="G440" s="59" t="n">
        <f aca="false">F440-E440</f>
        <v>0.117361111111111</v>
      </c>
      <c r="H440" s="57" t="s">
        <v>252</v>
      </c>
      <c r="I440" s="57"/>
      <c r="J440" s="57" t="s">
        <v>253</v>
      </c>
      <c r="K440" s="57" t="s">
        <v>266</v>
      </c>
      <c r="L440" s="57" t="s">
        <v>1214</v>
      </c>
      <c r="M440" s="57" t="s">
        <v>255</v>
      </c>
      <c r="N440" s="57" t="s">
        <v>268</v>
      </c>
      <c r="O440" s="57" t="s">
        <v>1204</v>
      </c>
      <c r="P440" s="57" t="s">
        <v>1224</v>
      </c>
      <c r="Q440" s="57" t="s">
        <v>706</v>
      </c>
    </row>
    <row r="441" s="50" customFormat="true" ht="14.25" hidden="false" customHeight="true" outlineLevel="0" collapsed="false">
      <c r="A441" s="50" t="s">
        <v>367</v>
      </c>
      <c r="B441" s="57" t="s">
        <v>367</v>
      </c>
      <c r="C441" s="57" t="s">
        <v>324</v>
      </c>
      <c r="D441" s="58" t="n">
        <v>46059.7506944445</v>
      </c>
      <c r="E441" s="58" t="n">
        <v>46059.7506944445</v>
      </c>
      <c r="F441" s="58" t="n">
        <v>46059.8680555556</v>
      </c>
      <c r="G441" s="59" t="n">
        <f aca="false">F441-E441</f>
        <v>0.117361111111111</v>
      </c>
      <c r="H441" s="57" t="s">
        <v>283</v>
      </c>
      <c r="I441" s="57" t="s">
        <v>284</v>
      </c>
      <c r="J441" s="57" t="s">
        <v>369</v>
      </c>
      <c r="K441" s="57" t="s">
        <v>754</v>
      </c>
      <c r="L441" s="57" t="s">
        <v>449</v>
      </c>
      <c r="M441" s="57" t="s">
        <v>288</v>
      </c>
      <c r="N441" s="57" t="s">
        <v>289</v>
      </c>
      <c r="O441" s="57" t="s">
        <v>1225</v>
      </c>
      <c r="P441" s="57" t="s">
        <v>1226</v>
      </c>
      <c r="Q441" s="57" t="s">
        <v>1227</v>
      </c>
    </row>
    <row r="442" s="50" customFormat="true" ht="14.25" hidden="false" customHeight="true" outlineLevel="0" collapsed="false">
      <c r="A442" s="50" t="s">
        <v>367</v>
      </c>
      <c r="B442" s="57" t="s">
        <v>367</v>
      </c>
      <c r="C442" s="57" t="s">
        <v>327</v>
      </c>
      <c r="D442" s="58" t="n">
        <v>46059.7506944445</v>
      </c>
      <c r="E442" s="58" t="n">
        <v>46059.7506944445</v>
      </c>
      <c r="F442" s="58" t="n">
        <v>46059.8680555556</v>
      </c>
      <c r="G442" s="59" t="n">
        <f aca="false">F442-E442</f>
        <v>0.117361111111111</v>
      </c>
      <c r="H442" s="57" t="s">
        <v>283</v>
      </c>
      <c r="I442" s="57" t="s">
        <v>284</v>
      </c>
      <c r="J442" s="57" t="s">
        <v>369</v>
      </c>
      <c r="K442" s="57" t="s">
        <v>754</v>
      </c>
      <c r="L442" s="57" t="s">
        <v>449</v>
      </c>
      <c r="M442" s="57" t="s">
        <v>288</v>
      </c>
      <c r="N442" s="57" t="s">
        <v>289</v>
      </c>
      <c r="O442" s="57" t="s">
        <v>1225</v>
      </c>
      <c r="P442" s="57" t="s">
        <v>1228</v>
      </c>
      <c r="Q442" s="57" t="s">
        <v>1227</v>
      </c>
    </row>
    <row r="443" s="50" customFormat="true" ht="14.25" hidden="false" customHeight="true" outlineLevel="0" collapsed="false">
      <c r="A443" s="50" t="s">
        <v>367</v>
      </c>
      <c r="B443" s="57" t="s">
        <v>367</v>
      </c>
      <c r="C443" s="57" t="s">
        <v>265</v>
      </c>
      <c r="D443" s="58" t="n">
        <v>46059.7506944445</v>
      </c>
      <c r="E443" s="58" t="n">
        <v>46059.7506944445</v>
      </c>
      <c r="F443" s="58" t="n">
        <v>46059.8680555556</v>
      </c>
      <c r="G443" s="59" t="n">
        <f aca="false">F443-E443</f>
        <v>0.117361111111111</v>
      </c>
      <c r="H443" s="57" t="s">
        <v>283</v>
      </c>
      <c r="I443" s="57" t="s">
        <v>284</v>
      </c>
      <c r="J443" s="57" t="s">
        <v>369</v>
      </c>
      <c r="K443" s="57" t="s">
        <v>754</v>
      </c>
      <c r="L443" s="57" t="s">
        <v>449</v>
      </c>
      <c r="M443" s="57" t="s">
        <v>288</v>
      </c>
      <c r="N443" s="57" t="s">
        <v>289</v>
      </c>
      <c r="O443" s="57" t="s">
        <v>1225</v>
      </c>
      <c r="P443" s="57" t="s">
        <v>1229</v>
      </c>
      <c r="Q443" s="57" t="s">
        <v>1227</v>
      </c>
    </row>
    <row r="444" s="50" customFormat="true" ht="14.25" hidden="false" customHeight="true" outlineLevel="0" collapsed="false">
      <c r="A444" s="50" t="s">
        <v>367</v>
      </c>
      <c r="B444" s="57" t="s">
        <v>367</v>
      </c>
      <c r="C444" s="57" t="s">
        <v>623</v>
      </c>
      <c r="D444" s="58" t="n">
        <v>46059.7506944445</v>
      </c>
      <c r="E444" s="58" t="n">
        <v>46059.7506944445</v>
      </c>
      <c r="F444" s="58" t="n">
        <v>46059.8680555556</v>
      </c>
      <c r="G444" s="59" t="n">
        <f aca="false">F444-E444</f>
        <v>0.117361111111111</v>
      </c>
      <c r="H444" s="57" t="s">
        <v>283</v>
      </c>
      <c r="I444" s="57" t="s">
        <v>284</v>
      </c>
      <c r="J444" s="57" t="s">
        <v>369</v>
      </c>
      <c r="K444" s="57" t="s">
        <v>754</v>
      </c>
      <c r="L444" s="57" t="s">
        <v>449</v>
      </c>
      <c r="M444" s="57" t="s">
        <v>288</v>
      </c>
      <c r="N444" s="57" t="s">
        <v>289</v>
      </c>
      <c r="O444" s="57" t="s">
        <v>1225</v>
      </c>
      <c r="P444" s="57" t="s">
        <v>1230</v>
      </c>
      <c r="Q444" s="57" t="s">
        <v>1227</v>
      </c>
    </row>
    <row r="445" s="50" customFormat="true" ht="14.25" hidden="false" customHeight="true" outlineLevel="0" collapsed="false">
      <c r="A445" s="50" t="s">
        <v>367</v>
      </c>
      <c r="B445" s="57" t="s">
        <v>367</v>
      </c>
      <c r="C445" s="57" t="s">
        <v>324</v>
      </c>
      <c r="D445" s="58" t="n">
        <v>46060.25625</v>
      </c>
      <c r="E445" s="58" t="n">
        <v>46060.25625</v>
      </c>
      <c r="F445" s="58" t="n">
        <v>46064.7048611111</v>
      </c>
      <c r="G445" s="59" t="n">
        <f aca="false">F445-E445</f>
        <v>4.44861111111111</v>
      </c>
      <c r="H445" s="57" t="s">
        <v>252</v>
      </c>
      <c r="I445" s="57"/>
      <c r="J445" s="57" t="s">
        <v>333</v>
      </c>
      <c r="K445" s="57" t="s">
        <v>334</v>
      </c>
      <c r="L445" s="57" t="s">
        <v>1231</v>
      </c>
      <c r="M445" s="57" t="s">
        <v>336</v>
      </c>
      <c r="N445" s="57" t="s">
        <v>289</v>
      </c>
      <c r="O445" s="57" t="s">
        <v>1232</v>
      </c>
      <c r="P445" s="57" t="s">
        <v>1233</v>
      </c>
      <c r="Q445" s="57" t="s">
        <v>698</v>
      </c>
    </row>
    <row r="446" s="50" customFormat="true" ht="14.25" hidden="false" customHeight="true" outlineLevel="0" collapsed="false">
      <c r="A446" s="50" t="s">
        <v>367</v>
      </c>
      <c r="B446" s="57" t="s">
        <v>367</v>
      </c>
      <c r="C446" s="57" t="s">
        <v>327</v>
      </c>
      <c r="D446" s="58" t="n">
        <v>46060.25625</v>
      </c>
      <c r="E446" s="58" t="n">
        <v>46060.25625</v>
      </c>
      <c r="F446" s="58" t="n">
        <v>46064.4826388889</v>
      </c>
      <c r="G446" s="59" t="n">
        <f aca="false">F446-E446</f>
        <v>4.22638888888889</v>
      </c>
      <c r="H446" s="57" t="s">
        <v>252</v>
      </c>
      <c r="I446" s="57"/>
      <c r="J446" s="57" t="s">
        <v>333</v>
      </c>
      <c r="K446" s="57" t="s">
        <v>334</v>
      </c>
      <c r="L446" s="57" t="s">
        <v>1231</v>
      </c>
      <c r="M446" s="57" t="s">
        <v>336</v>
      </c>
      <c r="N446" s="57" t="s">
        <v>289</v>
      </c>
      <c r="O446" s="57" t="s">
        <v>1232</v>
      </c>
      <c r="P446" s="57" t="s">
        <v>1234</v>
      </c>
      <c r="Q446" s="57" t="s">
        <v>698</v>
      </c>
    </row>
    <row r="447" s="50" customFormat="true" ht="14.25" hidden="false" customHeight="true" outlineLevel="0" collapsed="false">
      <c r="A447" s="50" t="s">
        <v>264</v>
      </c>
      <c r="B447" s="57" t="s">
        <v>264</v>
      </c>
      <c r="C447" s="57" t="s">
        <v>265</v>
      </c>
      <c r="D447" s="58" t="n">
        <v>46060.5097222222</v>
      </c>
      <c r="E447" s="58" t="n">
        <v>46060.5097222222</v>
      </c>
      <c r="F447" s="58" t="n">
        <v>46060.5208333333</v>
      </c>
      <c r="G447" s="59" t="n">
        <f aca="false">F447-E447</f>
        <v>0.011111111099537</v>
      </c>
      <c r="H447" s="57" t="s">
        <v>252</v>
      </c>
      <c r="I447" s="57"/>
      <c r="J447" s="57" t="s">
        <v>253</v>
      </c>
      <c r="K447" s="57" t="s">
        <v>266</v>
      </c>
      <c r="L447" s="57" t="s">
        <v>1209</v>
      </c>
      <c r="M447" s="57" t="s">
        <v>255</v>
      </c>
      <c r="N447" s="57" t="s">
        <v>268</v>
      </c>
      <c r="O447" s="57" t="s">
        <v>1235</v>
      </c>
      <c r="P447" s="57" t="s">
        <v>1236</v>
      </c>
      <c r="Q447" s="57" t="s">
        <v>706</v>
      </c>
    </row>
    <row r="448" s="50" customFormat="true" ht="14.25" hidden="false" customHeight="true" outlineLevel="0" collapsed="false">
      <c r="A448" s="50" t="s">
        <v>271</v>
      </c>
      <c r="B448" s="57" t="s">
        <v>271</v>
      </c>
      <c r="C448" s="57" t="s">
        <v>265</v>
      </c>
      <c r="D448" s="58" t="n">
        <v>46060.5097222222</v>
      </c>
      <c r="E448" s="58" t="n">
        <v>46060.5097222222</v>
      </c>
      <c r="F448" s="58" t="n">
        <v>46060.5208333333</v>
      </c>
      <c r="G448" s="59" t="n">
        <f aca="false">F448-E448</f>
        <v>0.011111111099537</v>
      </c>
      <c r="H448" s="57" t="s">
        <v>252</v>
      </c>
      <c r="I448" s="57"/>
      <c r="J448" s="57" t="s">
        <v>253</v>
      </c>
      <c r="K448" s="57" t="s">
        <v>266</v>
      </c>
      <c r="L448" s="57" t="s">
        <v>1209</v>
      </c>
      <c r="M448" s="57" t="s">
        <v>255</v>
      </c>
      <c r="N448" s="57" t="s">
        <v>268</v>
      </c>
      <c r="O448" s="57" t="s">
        <v>1235</v>
      </c>
      <c r="P448" s="57" t="s">
        <v>1237</v>
      </c>
      <c r="Q448" s="57" t="s">
        <v>706</v>
      </c>
    </row>
    <row r="449" s="50" customFormat="true" ht="14.25" hidden="false" customHeight="true" outlineLevel="0" collapsed="false">
      <c r="A449" s="50" t="s">
        <v>272</v>
      </c>
      <c r="B449" s="57" t="s">
        <v>272</v>
      </c>
      <c r="C449" s="57" t="s">
        <v>265</v>
      </c>
      <c r="D449" s="58" t="n">
        <v>46060.5097222222</v>
      </c>
      <c r="E449" s="58" t="n">
        <v>46060.5097222222</v>
      </c>
      <c r="F449" s="58" t="n">
        <v>46060.5208333333</v>
      </c>
      <c r="G449" s="59" t="n">
        <f aca="false">F449-E449</f>
        <v>0.011111111099537</v>
      </c>
      <c r="H449" s="57" t="s">
        <v>252</v>
      </c>
      <c r="I449" s="57"/>
      <c r="J449" s="57" t="s">
        <v>253</v>
      </c>
      <c r="K449" s="57" t="s">
        <v>266</v>
      </c>
      <c r="L449" s="57" t="s">
        <v>1209</v>
      </c>
      <c r="M449" s="57" t="s">
        <v>255</v>
      </c>
      <c r="N449" s="57" t="s">
        <v>268</v>
      </c>
      <c r="O449" s="57" t="s">
        <v>1235</v>
      </c>
      <c r="P449" s="57" t="s">
        <v>1238</v>
      </c>
      <c r="Q449" s="57" t="s">
        <v>706</v>
      </c>
    </row>
    <row r="450" s="50" customFormat="true" ht="14.25" hidden="false" customHeight="true" outlineLevel="0" collapsed="false">
      <c r="A450" s="50" t="s">
        <v>273</v>
      </c>
      <c r="B450" s="57" t="s">
        <v>273</v>
      </c>
      <c r="C450" s="57" t="s">
        <v>265</v>
      </c>
      <c r="D450" s="58" t="n">
        <v>46060.5097222222</v>
      </c>
      <c r="E450" s="58" t="n">
        <v>46060.5097222222</v>
      </c>
      <c r="F450" s="58" t="n">
        <v>46060.5208333333</v>
      </c>
      <c r="G450" s="59" t="n">
        <f aca="false">F450-E450</f>
        <v>0.011111111099537</v>
      </c>
      <c r="H450" s="57" t="s">
        <v>252</v>
      </c>
      <c r="I450" s="57"/>
      <c r="J450" s="57" t="s">
        <v>253</v>
      </c>
      <c r="K450" s="57" t="s">
        <v>266</v>
      </c>
      <c r="L450" s="57" t="s">
        <v>1209</v>
      </c>
      <c r="M450" s="57" t="s">
        <v>255</v>
      </c>
      <c r="N450" s="57" t="s">
        <v>268</v>
      </c>
      <c r="O450" s="57" t="s">
        <v>1235</v>
      </c>
      <c r="P450" s="57" t="s">
        <v>1239</v>
      </c>
      <c r="Q450" s="57" t="s">
        <v>706</v>
      </c>
    </row>
    <row r="451" s="50" customFormat="true" ht="14.25" hidden="false" customHeight="true" outlineLevel="0" collapsed="false">
      <c r="A451" s="50" t="s">
        <v>801</v>
      </c>
      <c r="B451" s="57" t="s">
        <v>112</v>
      </c>
      <c r="C451" s="57" t="s">
        <v>524</v>
      </c>
      <c r="D451" s="58" t="n">
        <v>46060.5923611111</v>
      </c>
      <c r="E451" s="58" t="n">
        <v>46060.5923611111</v>
      </c>
      <c r="F451" s="58" t="n">
        <v>46060.68125</v>
      </c>
      <c r="G451" s="59" t="n">
        <f aca="false">F451-E451</f>
        <v>0.088888888900463</v>
      </c>
      <c r="H451" s="57" t="s">
        <v>384</v>
      </c>
      <c r="I451" s="57"/>
      <c r="J451" s="57" t="s">
        <v>234</v>
      </c>
      <c r="K451" s="57" t="s">
        <v>234</v>
      </c>
      <c r="L451" s="57" t="s">
        <v>1240</v>
      </c>
      <c r="M451" s="57" t="s">
        <v>386</v>
      </c>
      <c r="N451" s="57" t="s">
        <v>1241</v>
      </c>
      <c r="O451" s="57" t="s">
        <v>1242</v>
      </c>
      <c r="P451" s="57" t="s">
        <v>1243</v>
      </c>
      <c r="Q451" s="57" t="s">
        <v>1141</v>
      </c>
    </row>
    <row r="452" s="50" customFormat="true" ht="14.25" hidden="false" customHeight="true" outlineLevel="0" collapsed="false">
      <c r="A452" s="50" t="s">
        <v>801</v>
      </c>
      <c r="B452" s="57" t="s">
        <v>112</v>
      </c>
      <c r="C452" s="57" t="s">
        <v>526</v>
      </c>
      <c r="D452" s="58" t="n">
        <v>46060.5923611111</v>
      </c>
      <c r="E452" s="58" t="n">
        <v>46060.5923611111</v>
      </c>
      <c r="F452" s="58" t="n">
        <v>46060.68125</v>
      </c>
      <c r="G452" s="59" t="n">
        <f aca="false">F452-E452</f>
        <v>0.088888888900463</v>
      </c>
      <c r="H452" s="57" t="s">
        <v>384</v>
      </c>
      <c r="I452" s="57"/>
      <c r="J452" s="57" t="s">
        <v>234</v>
      </c>
      <c r="K452" s="57" t="s">
        <v>234</v>
      </c>
      <c r="L452" s="57" t="s">
        <v>1240</v>
      </c>
      <c r="M452" s="57" t="s">
        <v>386</v>
      </c>
      <c r="N452" s="57" t="s">
        <v>1241</v>
      </c>
      <c r="O452" s="57" t="s">
        <v>1242</v>
      </c>
      <c r="P452" s="57" t="s">
        <v>1244</v>
      </c>
      <c r="Q452" s="57" t="s">
        <v>1141</v>
      </c>
    </row>
    <row r="453" s="50" customFormat="true" ht="14.25" hidden="false" customHeight="true" outlineLevel="0" collapsed="false">
      <c r="A453" s="50" t="s">
        <v>801</v>
      </c>
      <c r="B453" s="57" t="s">
        <v>112</v>
      </c>
      <c r="C453" s="57" t="s">
        <v>527</v>
      </c>
      <c r="D453" s="58" t="n">
        <v>46060.5923611111</v>
      </c>
      <c r="E453" s="58" t="n">
        <v>46060.5923611111</v>
      </c>
      <c r="F453" s="58" t="n">
        <v>46060.68125</v>
      </c>
      <c r="G453" s="59" t="n">
        <f aca="false">F453-E453</f>
        <v>0.088888888900463</v>
      </c>
      <c r="H453" s="57" t="s">
        <v>384</v>
      </c>
      <c r="I453" s="57"/>
      <c r="J453" s="57" t="s">
        <v>234</v>
      </c>
      <c r="K453" s="57" t="s">
        <v>234</v>
      </c>
      <c r="L453" s="57" t="s">
        <v>1240</v>
      </c>
      <c r="M453" s="57" t="s">
        <v>386</v>
      </c>
      <c r="N453" s="57" t="s">
        <v>1241</v>
      </c>
      <c r="O453" s="57" t="s">
        <v>1242</v>
      </c>
      <c r="P453" s="57" t="s">
        <v>1245</v>
      </c>
      <c r="Q453" s="57" t="s">
        <v>1141</v>
      </c>
    </row>
    <row r="454" s="50" customFormat="true" ht="14.25" hidden="false" customHeight="true" outlineLevel="0" collapsed="false">
      <c r="A454" s="50" t="s">
        <v>801</v>
      </c>
      <c r="B454" s="57" t="s">
        <v>112</v>
      </c>
      <c r="C454" s="57" t="s">
        <v>528</v>
      </c>
      <c r="D454" s="58" t="n">
        <v>46060.5923611111</v>
      </c>
      <c r="E454" s="58" t="n">
        <v>46060.5923611111</v>
      </c>
      <c r="F454" s="58" t="n">
        <v>46060.68125</v>
      </c>
      <c r="G454" s="59" t="n">
        <f aca="false">F454-E454</f>
        <v>0.088888888900463</v>
      </c>
      <c r="H454" s="57" t="s">
        <v>384</v>
      </c>
      <c r="I454" s="57"/>
      <c r="J454" s="57" t="s">
        <v>234</v>
      </c>
      <c r="K454" s="57" t="s">
        <v>234</v>
      </c>
      <c r="L454" s="57" t="s">
        <v>1240</v>
      </c>
      <c r="M454" s="57" t="s">
        <v>386</v>
      </c>
      <c r="N454" s="57" t="s">
        <v>1241</v>
      </c>
      <c r="O454" s="57" t="s">
        <v>1242</v>
      </c>
      <c r="P454" s="57" t="s">
        <v>1246</v>
      </c>
      <c r="Q454" s="57" t="s">
        <v>1141</v>
      </c>
    </row>
    <row r="455" s="50" customFormat="true" ht="14.25" hidden="false" customHeight="true" outlineLevel="0" collapsed="false">
      <c r="A455" s="50" t="s">
        <v>801</v>
      </c>
      <c r="B455" s="57" t="s">
        <v>112</v>
      </c>
      <c r="C455" s="57" t="s">
        <v>529</v>
      </c>
      <c r="D455" s="58" t="n">
        <v>46060.5923611111</v>
      </c>
      <c r="E455" s="58" t="n">
        <v>46060.5923611111</v>
      </c>
      <c r="F455" s="58" t="n">
        <v>46060.68125</v>
      </c>
      <c r="G455" s="59" t="n">
        <f aca="false">F455-E455</f>
        <v>0.088888888900463</v>
      </c>
      <c r="H455" s="57" t="s">
        <v>384</v>
      </c>
      <c r="I455" s="57"/>
      <c r="J455" s="57" t="s">
        <v>234</v>
      </c>
      <c r="K455" s="57" t="s">
        <v>234</v>
      </c>
      <c r="L455" s="57" t="s">
        <v>1240</v>
      </c>
      <c r="M455" s="57" t="s">
        <v>386</v>
      </c>
      <c r="N455" s="57" t="s">
        <v>1241</v>
      </c>
      <c r="O455" s="57" t="s">
        <v>1242</v>
      </c>
      <c r="P455" s="57" t="s">
        <v>1247</v>
      </c>
      <c r="Q455" s="57" t="s">
        <v>1141</v>
      </c>
    </row>
    <row r="456" s="50" customFormat="true" ht="14.25" hidden="false" customHeight="true" outlineLevel="0" collapsed="false">
      <c r="A456" s="50" t="s">
        <v>801</v>
      </c>
      <c r="B456" s="57" t="s">
        <v>112</v>
      </c>
      <c r="C456" s="57" t="s">
        <v>530</v>
      </c>
      <c r="D456" s="58" t="n">
        <v>46060.5923611111</v>
      </c>
      <c r="E456" s="58" t="n">
        <v>46060.5923611111</v>
      </c>
      <c r="F456" s="58" t="n">
        <v>46060.68125</v>
      </c>
      <c r="G456" s="59" t="n">
        <f aca="false">F456-E456</f>
        <v>0.088888888900463</v>
      </c>
      <c r="H456" s="57" t="s">
        <v>384</v>
      </c>
      <c r="I456" s="57"/>
      <c r="J456" s="57" t="s">
        <v>234</v>
      </c>
      <c r="K456" s="57" t="s">
        <v>234</v>
      </c>
      <c r="L456" s="57" t="s">
        <v>1240</v>
      </c>
      <c r="M456" s="57" t="s">
        <v>386</v>
      </c>
      <c r="N456" s="57" t="s">
        <v>1241</v>
      </c>
      <c r="O456" s="57" t="s">
        <v>1242</v>
      </c>
      <c r="P456" s="57" t="s">
        <v>1248</v>
      </c>
      <c r="Q456" s="57" t="s">
        <v>1141</v>
      </c>
    </row>
    <row r="457" s="50" customFormat="true" ht="14.25" hidden="false" customHeight="true" outlineLevel="0" collapsed="false">
      <c r="A457" s="50" t="s">
        <v>801</v>
      </c>
      <c r="B457" s="57" t="s">
        <v>112</v>
      </c>
      <c r="C457" s="57" t="s">
        <v>531</v>
      </c>
      <c r="D457" s="58" t="n">
        <v>46060.5923611111</v>
      </c>
      <c r="E457" s="58" t="n">
        <v>46060.5923611111</v>
      </c>
      <c r="F457" s="58" t="n">
        <v>46060.68125</v>
      </c>
      <c r="G457" s="59" t="n">
        <f aca="false">F457-E457</f>
        <v>0.088888888900463</v>
      </c>
      <c r="H457" s="57" t="s">
        <v>384</v>
      </c>
      <c r="I457" s="57"/>
      <c r="J457" s="57" t="s">
        <v>234</v>
      </c>
      <c r="K457" s="57" t="s">
        <v>234</v>
      </c>
      <c r="L457" s="57" t="s">
        <v>1240</v>
      </c>
      <c r="M457" s="57" t="s">
        <v>386</v>
      </c>
      <c r="N457" s="57" t="s">
        <v>1241</v>
      </c>
      <c r="O457" s="57" t="s">
        <v>1242</v>
      </c>
      <c r="P457" s="57" t="s">
        <v>1249</v>
      </c>
      <c r="Q457" s="57" t="s">
        <v>1141</v>
      </c>
    </row>
    <row r="458" s="50" customFormat="true" ht="14.25" hidden="false" customHeight="true" outlineLevel="0" collapsed="false">
      <c r="A458" s="50" t="s">
        <v>801</v>
      </c>
      <c r="B458" s="57" t="s">
        <v>112</v>
      </c>
      <c r="C458" s="57" t="s">
        <v>532</v>
      </c>
      <c r="D458" s="58" t="n">
        <v>46060.5923611111</v>
      </c>
      <c r="E458" s="58" t="n">
        <v>46060.5923611111</v>
      </c>
      <c r="F458" s="58" t="n">
        <v>46060.68125</v>
      </c>
      <c r="G458" s="59" t="n">
        <f aca="false">F458-E458</f>
        <v>0.088888888900463</v>
      </c>
      <c r="H458" s="57" t="s">
        <v>384</v>
      </c>
      <c r="I458" s="57"/>
      <c r="J458" s="57" t="s">
        <v>234</v>
      </c>
      <c r="K458" s="57" t="s">
        <v>234</v>
      </c>
      <c r="L458" s="57" t="s">
        <v>1240</v>
      </c>
      <c r="M458" s="57" t="s">
        <v>386</v>
      </c>
      <c r="N458" s="57" t="s">
        <v>1241</v>
      </c>
      <c r="O458" s="57" t="s">
        <v>1242</v>
      </c>
      <c r="P458" s="57" t="s">
        <v>1250</v>
      </c>
      <c r="Q458" s="57" t="s">
        <v>1141</v>
      </c>
    </row>
    <row r="459" s="50" customFormat="true" ht="14.25" hidden="false" customHeight="true" outlineLevel="0" collapsed="false">
      <c r="A459" s="50" t="s">
        <v>801</v>
      </c>
      <c r="B459" s="57" t="s">
        <v>112</v>
      </c>
      <c r="C459" s="57" t="s">
        <v>533</v>
      </c>
      <c r="D459" s="58" t="n">
        <v>46060.5923611111</v>
      </c>
      <c r="E459" s="58" t="n">
        <v>46060.5923611111</v>
      </c>
      <c r="F459" s="58" t="n">
        <v>46060.68125</v>
      </c>
      <c r="G459" s="59" t="n">
        <f aca="false">F459-E459</f>
        <v>0.088888888900463</v>
      </c>
      <c r="H459" s="57" t="s">
        <v>384</v>
      </c>
      <c r="I459" s="57"/>
      <c r="J459" s="57" t="s">
        <v>234</v>
      </c>
      <c r="K459" s="57" t="s">
        <v>234</v>
      </c>
      <c r="L459" s="57" t="s">
        <v>1240</v>
      </c>
      <c r="M459" s="57" t="s">
        <v>386</v>
      </c>
      <c r="N459" s="57" t="s">
        <v>1241</v>
      </c>
      <c r="O459" s="57" t="s">
        <v>1242</v>
      </c>
      <c r="P459" s="57" t="s">
        <v>1251</v>
      </c>
      <c r="Q459" s="57" t="s">
        <v>1141</v>
      </c>
    </row>
    <row r="460" s="50" customFormat="true" ht="14.25" hidden="false" customHeight="true" outlineLevel="0" collapsed="false">
      <c r="A460" s="50" t="s">
        <v>812</v>
      </c>
      <c r="B460" s="57" t="s">
        <v>112</v>
      </c>
      <c r="C460" s="57" t="s">
        <v>534</v>
      </c>
      <c r="D460" s="58" t="n">
        <v>46060.5923611111</v>
      </c>
      <c r="E460" s="58" t="n">
        <v>46060.5923611111</v>
      </c>
      <c r="F460" s="58" t="n">
        <v>46060.68125</v>
      </c>
      <c r="G460" s="59" t="n">
        <f aca="false">F460-E460</f>
        <v>0.088888888900463</v>
      </c>
      <c r="H460" s="57" t="s">
        <v>384</v>
      </c>
      <c r="I460" s="57"/>
      <c r="J460" s="57" t="s">
        <v>234</v>
      </c>
      <c r="K460" s="57" t="s">
        <v>234</v>
      </c>
      <c r="L460" s="57" t="s">
        <v>1240</v>
      </c>
      <c r="M460" s="57" t="s">
        <v>386</v>
      </c>
      <c r="N460" s="57" t="s">
        <v>1241</v>
      </c>
      <c r="O460" s="57" t="s">
        <v>1242</v>
      </c>
      <c r="P460" s="57" t="s">
        <v>1252</v>
      </c>
      <c r="Q460" s="57" t="s">
        <v>1141</v>
      </c>
    </row>
    <row r="461" s="50" customFormat="true" ht="14.25" hidden="false" customHeight="true" outlineLevel="0" collapsed="false">
      <c r="A461" s="50" t="s">
        <v>812</v>
      </c>
      <c r="B461" s="57" t="s">
        <v>112</v>
      </c>
      <c r="C461" s="57" t="s">
        <v>535</v>
      </c>
      <c r="D461" s="58" t="n">
        <v>46060.5923611111</v>
      </c>
      <c r="E461" s="58" t="n">
        <v>46060.5923611111</v>
      </c>
      <c r="F461" s="58" t="n">
        <v>46060.68125</v>
      </c>
      <c r="G461" s="59" t="n">
        <f aca="false">F461-E461</f>
        <v>0.088888888900463</v>
      </c>
      <c r="H461" s="57" t="s">
        <v>384</v>
      </c>
      <c r="I461" s="57"/>
      <c r="J461" s="57" t="s">
        <v>234</v>
      </c>
      <c r="K461" s="57" t="s">
        <v>234</v>
      </c>
      <c r="L461" s="57" t="s">
        <v>1240</v>
      </c>
      <c r="M461" s="57" t="s">
        <v>386</v>
      </c>
      <c r="N461" s="57" t="s">
        <v>1241</v>
      </c>
      <c r="O461" s="57" t="s">
        <v>1242</v>
      </c>
      <c r="P461" s="57" t="s">
        <v>1253</v>
      </c>
      <c r="Q461" s="57" t="s">
        <v>1141</v>
      </c>
    </row>
    <row r="462" s="50" customFormat="true" ht="14.25" hidden="false" customHeight="true" outlineLevel="0" collapsed="false">
      <c r="A462" s="50" t="s">
        <v>812</v>
      </c>
      <c r="B462" s="57" t="s">
        <v>112</v>
      </c>
      <c r="C462" s="57" t="s">
        <v>536</v>
      </c>
      <c r="D462" s="58" t="n">
        <v>46060.5923611111</v>
      </c>
      <c r="E462" s="58" t="n">
        <v>46060.5923611111</v>
      </c>
      <c r="F462" s="58" t="n">
        <v>46060.68125</v>
      </c>
      <c r="G462" s="59" t="n">
        <f aca="false">F462-E462</f>
        <v>0.088888888900463</v>
      </c>
      <c r="H462" s="57" t="s">
        <v>384</v>
      </c>
      <c r="I462" s="57"/>
      <c r="J462" s="57" t="s">
        <v>234</v>
      </c>
      <c r="K462" s="57" t="s">
        <v>234</v>
      </c>
      <c r="L462" s="57" t="s">
        <v>1240</v>
      </c>
      <c r="M462" s="57" t="s">
        <v>386</v>
      </c>
      <c r="N462" s="57" t="s">
        <v>1241</v>
      </c>
      <c r="O462" s="57" t="s">
        <v>1242</v>
      </c>
      <c r="P462" s="57" t="s">
        <v>1254</v>
      </c>
      <c r="Q462" s="57" t="s">
        <v>1141</v>
      </c>
    </row>
    <row r="463" s="50" customFormat="true" ht="14.25" hidden="false" customHeight="true" outlineLevel="0" collapsed="false">
      <c r="A463" s="50" t="s">
        <v>812</v>
      </c>
      <c r="B463" s="57" t="s">
        <v>112</v>
      </c>
      <c r="C463" s="57" t="s">
        <v>537</v>
      </c>
      <c r="D463" s="58" t="n">
        <v>46060.5923611111</v>
      </c>
      <c r="E463" s="58" t="n">
        <v>46060.5923611111</v>
      </c>
      <c r="F463" s="58" t="n">
        <v>46060.68125</v>
      </c>
      <c r="G463" s="59" t="n">
        <f aca="false">F463-E463</f>
        <v>0.088888888900463</v>
      </c>
      <c r="H463" s="57" t="s">
        <v>384</v>
      </c>
      <c r="I463" s="57"/>
      <c r="J463" s="57" t="s">
        <v>234</v>
      </c>
      <c r="K463" s="57" t="s">
        <v>234</v>
      </c>
      <c r="L463" s="57" t="s">
        <v>1240</v>
      </c>
      <c r="M463" s="57" t="s">
        <v>386</v>
      </c>
      <c r="N463" s="57" t="s">
        <v>1241</v>
      </c>
      <c r="O463" s="57" t="s">
        <v>1242</v>
      </c>
      <c r="P463" s="57" t="s">
        <v>1255</v>
      </c>
      <c r="Q463" s="57" t="s">
        <v>1141</v>
      </c>
    </row>
    <row r="464" s="50" customFormat="true" ht="14.25" hidden="false" customHeight="true" outlineLevel="0" collapsed="false">
      <c r="A464" s="50" t="s">
        <v>812</v>
      </c>
      <c r="B464" s="57" t="s">
        <v>112</v>
      </c>
      <c r="C464" s="57" t="s">
        <v>538</v>
      </c>
      <c r="D464" s="58" t="n">
        <v>46060.5923611111</v>
      </c>
      <c r="E464" s="58" t="n">
        <v>46060.5923611111</v>
      </c>
      <c r="F464" s="58" t="n">
        <v>46060.68125</v>
      </c>
      <c r="G464" s="59" t="n">
        <f aca="false">F464-E464</f>
        <v>0.088888888900463</v>
      </c>
      <c r="H464" s="57" t="s">
        <v>384</v>
      </c>
      <c r="I464" s="57"/>
      <c r="J464" s="57" t="s">
        <v>234</v>
      </c>
      <c r="K464" s="57" t="s">
        <v>234</v>
      </c>
      <c r="L464" s="57" t="s">
        <v>1240</v>
      </c>
      <c r="M464" s="57" t="s">
        <v>386</v>
      </c>
      <c r="N464" s="57" t="s">
        <v>1241</v>
      </c>
      <c r="O464" s="57" t="s">
        <v>1242</v>
      </c>
      <c r="P464" s="57" t="s">
        <v>1256</v>
      </c>
      <c r="Q464" s="57" t="s">
        <v>1141</v>
      </c>
    </row>
    <row r="465" s="50" customFormat="true" ht="14.25" hidden="false" customHeight="true" outlineLevel="0" collapsed="false">
      <c r="A465" s="50" t="s">
        <v>818</v>
      </c>
      <c r="B465" s="57" t="s">
        <v>112</v>
      </c>
      <c r="C465" s="57" t="s">
        <v>539</v>
      </c>
      <c r="D465" s="58" t="n">
        <v>46060.5923611111</v>
      </c>
      <c r="E465" s="58" t="n">
        <v>46060.5923611111</v>
      </c>
      <c r="F465" s="58" t="n">
        <v>46060.68125</v>
      </c>
      <c r="G465" s="59" t="n">
        <f aca="false">F465-E465</f>
        <v>0.088888888900463</v>
      </c>
      <c r="H465" s="57" t="s">
        <v>384</v>
      </c>
      <c r="I465" s="57"/>
      <c r="J465" s="57" t="s">
        <v>234</v>
      </c>
      <c r="K465" s="57" t="s">
        <v>234</v>
      </c>
      <c r="L465" s="57" t="s">
        <v>1240</v>
      </c>
      <c r="M465" s="57" t="s">
        <v>386</v>
      </c>
      <c r="N465" s="57" t="s">
        <v>1241</v>
      </c>
      <c r="O465" s="57" t="s">
        <v>1242</v>
      </c>
      <c r="P465" s="57" t="s">
        <v>1257</v>
      </c>
      <c r="Q465" s="57" t="s">
        <v>1141</v>
      </c>
    </row>
    <row r="466" s="50" customFormat="true" ht="14.25" hidden="false" customHeight="true" outlineLevel="0" collapsed="false">
      <c r="A466" s="50" t="s">
        <v>818</v>
      </c>
      <c r="B466" s="57" t="s">
        <v>112</v>
      </c>
      <c r="C466" s="57" t="s">
        <v>540</v>
      </c>
      <c r="D466" s="58" t="n">
        <v>46060.5923611111</v>
      </c>
      <c r="E466" s="58" t="n">
        <v>46060.5923611111</v>
      </c>
      <c r="F466" s="58" t="n">
        <v>46060.68125</v>
      </c>
      <c r="G466" s="59" t="n">
        <f aca="false">F466-E466</f>
        <v>0.088888888900463</v>
      </c>
      <c r="H466" s="57" t="s">
        <v>384</v>
      </c>
      <c r="I466" s="57"/>
      <c r="J466" s="57" t="s">
        <v>234</v>
      </c>
      <c r="K466" s="57" t="s">
        <v>234</v>
      </c>
      <c r="L466" s="57" t="s">
        <v>1240</v>
      </c>
      <c r="M466" s="57" t="s">
        <v>386</v>
      </c>
      <c r="N466" s="57" t="s">
        <v>1241</v>
      </c>
      <c r="O466" s="57" t="s">
        <v>1242</v>
      </c>
      <c r="P466" s="57" t="s">
        <v>1258</v>
      </c>
      <c r="Q466" s="57" t="s">
        <v>1141</v>
      </c>
    </row>
    <row r="467" s="50" customFormat="true" ht="14.25" hidden="false" customHeight="true" outlineLevel="0" collapsed="false">
      <c r="A467" s="50" t="s">
        <v>818</v>
      </c>
      <c r="B467" s="57" t="s">
        <v>112</v>
      </c>
      <c r="C467" s="57" t="s">
        <v>541</v>
      </c>
      <c r="D467" s="58" t="n">
        <v>46060.5923611111</v>
      </c>
      <c r="E467" s="58" t="n">
        <v>46060.5923611111</v>
      </c>
      <c r="F467" s="58" t="n">
        <v>46060.68125</v>
      </c>
      <c r="G467" s="59" t="n">
        <f aca="false">F467-E467</f>
        <v>0.088888888900463</v>
      </c>
      <c r="H467" s="57" t="s">
        <v>384</v>
      </c>
      <c r="I467" s="57"/>
      <c r="J467" s="57" t="s">
        <v>234</v>
      </c>
      <c r="K467" s="57" t="s">
        <v>234</v>
      </c>
      <c r="L467" s="57" t="s">
        <v>1240</v>
      </c>
      <c r="M467" s="57" t="s">
        <v>386</v>
      </c>
      <c r="N467" s="57" t="s">
        <v>1241</v>
      </c>
      <c r="O467" s="57" t="s">
        <v>1242</v>
      </c>
      <c r="P467" s="57" t="s">
        <v>1259</v>
      </c>
      <c r="Q467" s="57" t="s">
        <v>1141</v>
      </c>
    </row>
    <row r="468" s="50" customFormat="true" ht="14.25" hidden="false" customHeight="true" outlineLevel="0" collapsed="false">
      <c r="A468" s="50" t="s">
        <v>818</v>
      </c>
      <c r="B468" s="57" t="s">
        <v>112</v>
      </c>
      <c r="C468" s="57" t="s">
        <v>542</v>
      </c>
      <c r="D468" s="58" t="n">
        <v>46060.5923611111</v>
      </c>
      <c r="E468" s="58" t="n">
        <v>46060.5923611111</v>
      </c>
      <c r="F468" s="58" t="n">
        <v>46060.68125</v>
      </c>
      <c r="G468" s="59" t="n">
        <f aca="false">F468-E468</f>
        <v>0.088888888900463</v>
      </c>
      <c r="H468" s="57" t="s">
        <v>384</v>
      </c>
      <c r="I468" s="57"/>
      <c r="J468" s="57" t="s">
        <v>234</v>
      </c>
      <c r="K468" s="57" t="s">
        <v>234</v>
      </c>
      <c r="L468" s="57" t="s">
        <v>1240</v>
      </c>
      <c r="M468" s="57" t="s">
        <v>386</v>
      </c>
      <c r="N468" s="57" t="s">
        <v>1241</v>
      </c>
      <c r="O468" s="57" t="s">
        <v>1242</v>
      </c>
      <c r="P468" s="57" t="s">
        <v>1260</v>
      </c>
      <c r="Q468" s="57" t="s">
        <v>1141</v>
      </c>
    </row>
    <row r="469" s="50" customFormat="true" ht="14.25" hidden="false" customHeight="true" outlineLevel="0" collapsed="false">
      <c r="A469" s="50" t="s">
        <v>818</v>
      </c>
      <c r="B469" s="57" t="s">
        <v>112</v>
      </c>
      <c r="C469" s="57" t="s">
        <v>543</v>
      </c>
      <c r="D469" s="58" t="n">
        <v>46060.5923611111</v>
      </c>
      <c r="E469" s="58" t="n">
        <v>46060.5923611111</v>
      </c>
      <c r="F469" s="58" t="n">
        <v>46060.68125</v>
      </c>
      <c r="G469" s="59" t="n">
        <f aca="false">F469-E469</f>
        <v>0.088888888900463</v>
      </c>
      <c r="H469" s="57" t="s">
        <v>384</v>
      </c>
      <c r="I469" s="57"/>
      <c r="J469" s="57" t="s">
        <v>234</v>
      </c>
      <c r="K469" s="57" t="s">
        <v>234</v>
      </c>
      <c r="L469" s="57" t="s">
        <v>1240</v>
      </c>
      <c r="M469" s="57" t="s">
        <v>386</v>
      </c>
      <c r="N469" s="57" t="s">
        <v>1241</v>
      </c>
      <c r="O469" s="57" t="s">
        <v>1242</v>
      </c>
      <c r="P469" s="57" t="s">
        <v>1261</v>
      </c>
      <c r="Q469" s="57" t="s">
        <v>1141</v>
      </c>
    </row>
    <row r="470" s="50" customFormat="true" ht="14.25" hidden="false" customHeight="true" outlineLevel="0" collapsed="false">
      <c r="A470" s="50" t="s">
        <v>818</v>
      </c>
      <c r="B470" s="57" t="s">
        <v>112</v>
      </c>
      <c r="C470" s="57" t="s">
        <v>544</v>
      </c>
      <c r="D470" s="58" t="n">
        <v>46060.5923611111</v>
      </c>
      <c r="E470" s="58" t="n">
        <v>46060.5923611111</v>
      </c>
      <c r="F470" s="58" t="n">
        <v>46060.68125</v>
      </c>
      <c r="G470" s="59" t="n">
        <f aca="false">F470-E470</f>
        <v>0.088888888900463</v>
      </c>
      <c r="H470" s="57" t="s">
        <v>384</v>
      </c>
      <c r="I470" s="57"/>
      <c r="J470" s="57" t="s">
        <v>234</v>
      </c>
      <c r="K470" s="57" t="s">
        <v>234</v>
      </c>
      <c r="L470" s="57" t="s">
        <v>1240</v>
      </c>
      <c r="M470" s="57" t="s">
        <v>386</v>
      </c>
      <c r="N470" s="57" t="s">
        <v>1241</v>
      </c>
      <c r="O470" s="57" t="s">
        <v>1242</v>
      </c>
      <c r="P470" s="57" t="s">
        <v>1262</v>
      </c>
      <c r="Q470" s="57" t="s">
        <v>1141</v>
      </c>
    </row>
    <row r="471" s="50" customFormat="true" ht="14.25" hidden="false" customHeight="true" outlineLevel="0" collapsed="false">
      <c r="A471" s="50" t="s">
        <v>825</v>
      </c>
      <c r="B471" s="57" t="s">
        <v>112</v>
      </c>
      <c r="C471" s="57" t="s">
        <v>545</v>
      </c>
      <c r="D471" s="58" t="n">
        <v>46060.5923611111</v>
      </c>
      <c r="E471" s="58" t="n">
        <v>46060.5923611111</v>
      </c>
      <c r="F471" s="58" t="n">
        <v>46060.68125</v>
      </c>
      <c r="G471" s="59" t="n">
        <f aca="false">F471-E471</f>
        <v>0.088888888900463</v>
      </c>
      <c r="H471" s="57" t="s">
        <v>384</v>
      </c>
      <c r="I471" s="57"/>
      <c r="J471" s="57" t="s">
        <v>234</v>
      </c>
      <c r="K471" s="57" t="s">
        <v>234</v>
      </c>
      <c r="L471" s="57" t="s">
        <v>1240</v>
      </c>
      <c r="M471" s="57" t="s">
        <v>386</v>
      </c>
      <c r="N471" s="57" t="s">
        <v>1241</v>
      </c>
      <c r="O471" s="57" t="s">
        <v>1242</v>
      </c>
      <c r="P471" s="57" t="s">
        <v>1263</v>
      </c>
      <c r="Q471" s="57" t="s">
        <v>1141</v>
      </c>
    </row>
    <row r="472" s="50" customFormat="true" ht="14.25" hidden="false" customHeight="true" outlineLevel="0" collapsed="false">
      <c r="A472" s="50" t="s">
        <v>825</v>
      </c>
      <c r="B472" s="57" t="s">
        <v>112</v>
      </c>
      <c r="C472" s="57" t="s">
        <v>546</v>
      </c>
      <c r="D472" s="58" t="n">
        <v>46060.5923611111</v>
      </c>
      <c r="E472" s="58" t="n">
        <v>46060.5923611111</v>
      </c>
      <c r="F472" s="58" t="n">
        <v>46060.68125</v>
      </c>
      <c r="G472" s="59" t="n">
        <f aca="false">F472-E472</f>
        <v>0.088888888900463</v>
      </c>
      <c r="H472" s="57" t="s">
        <v>384</v>
      </c>
      <c r="I472" s="57"/>
      <c r="J472" s="57" t="s">
        <v>234</v>
      </c>
      <c r="K472" s="57" t="s">
        <v>234</v>
      </c>
      <c r="L472" s="57" t="s">
        <v>1240</v>
      </c>
      <c r="M472" s="57" t="s">
        <v>386</v>
      </c>
      <c r="N472" s="57" t="s">
        <v>1241</v>
      </c>
      <c r="O472" s="57" t="s">
        <v>1242</v>
      </c>
      <c r="P472" s="57" t="s">
        <v>1264</v>
      </c>
      <c r="Q472" s="57" t="s">
        <v>1141</v>
      </c>
    </row>
    <row r="473" s="50" customFormat="true" ht="14.25" hidden="false" customHeight="true" outlineLevel="0" collapsed="false">
      <c r="A473" s="50" t="s">
        <v>825</v>
      </c>
      <c r="B473" s="57" t="s">
        <v>112</v>
      </c>
      <c r="C473" s="57" t="s">
        <v>547</v>
      </c>
      <c r="D473" s="58" t="n">
        <v>46060.5923611111</v>
      </c>
      <c r="E473" s="58" t="n">
        <v>46060.5923611111</v>
      </c>
      <c r="F473" s="58" t="n">
        <v>46060.68125</v>
      </c>
      <c r="G473" s="59" t="n">
        <f aca="false">F473-E473</f>
        <v>0.088888888900463</v>
      </c>
      <c r="H473" s="57" t="s">
        <v>384</v>
      </c>
      <c r="I473" s="57"/>
      <c r="J473" s="57" t="s">
        <v>234</v>
      </c>
      <c r="K473" s="57" t="s">
        <v>234</v>
      </c>
      <c r="L473" s="57" t="s">
        <v>1240</v>
      </c>
      <c r="M473" s="57" t="s">
        <v>386</v>
      </c>
      <c r="N473" s="57" t="s">
        <v>1241</v>
      </c>
      <c r="O473" s="57" t="s">
        <v>1242</v>
      </c>
      <c r="P473" s="57" t="s">
        <v>1265</v>
      </c>
      <c r="Q473" s="57" t="s">
        <v>1141</v>
      </c>
    </row>
    <row r="474" s="50" customFormat="true" ht="14.25" hidden="false" customHeight="true" outlineLevel="0" collapsed="false">
      <c r="A474" s="50" t="s">
        <v>825</v>
      </c>
      <c r="B474" s="57" t="s">
        <v>112</v>
      </c>
      <c r="C474" s="57" t="s">
        <v>548</v>
      </c>
      <c r="D474" s="58" t="n">
        <v>46060.5923611111</v>
      </c>
      <c r="E474" s="58" t="n">
        <v>46060.5923611111</v>
      </c>
      <c r="F474" s="58" t="n">
        <v>46060.68125</v>
      </c>
      <c r="G474" s="59" t="n">
        <f aca="false">F474-E474</f>
        <v>0.088888888900463</v>
      </c>
      <c r="H474" s="57" t="s">
        <v>384</v>
      </c>
      <c r="I474" s="57"/>
      <c r="J474" s="57" t="s">
        <v>234</v>
      </c>
      <c r="K474" s="57" t="s">
        <v>234</v>
      </c>
      <c r="L474" s="57" t="s">
        <v>1240</v>
      </c>
      <c r="M474" s="57" t="s">
        <v>386</v>
      </c>
      <c r="N474" s="57" t="s">
        <v>1241</v>
      </c>
      <c r="O474" s="57" t="s">
        <v>1242</v>
      </c>
      <c r="P474" s="57" t="s">
        <v>1266</v>
      </c>
      <c r="Q474" s="57" t="s">
        <v>1141</v>
      </c>
    </row>
    <row r="475" s="50" customFormat="true" ht="14.25" hidden="false" customHeight="true" outlineLevel="0" collapsed="false">
      <c r="A475" s="50" t="s">
        <v>825</v>
      </c>
      <c r="B475" s="57" t="s">
        <v>112</v>
      </c>
      <c r="C475" s="57" t="s">
        <v>549</v>
      </c>
      <c r="D475" s="58" t="n">
        <v>46060.5923611111</v>
      </c>
      <c r="E475" s="58" t="n">
        <v>46060.5923611111</v>
      </c>
      <c r="F475" s="58" t="n">
        <v>46060.68125</v>
      </c>
      <c r="G475" s="59" t="n">
        <f aca="false">F475-E475</f>
        <v>0.088888888900463</v>
      </c>
      <c r="H475" s="57" t="s">
        <v>384</v>
      </c>
      <c r="I475" s="57"/>
      <c r="J475" s="57" t="s">
        <v>234</v>
      </c>
      <c r="K475" s="57" t="s">
        <v>234</v>
      </c>
      <c r="L475" s="57" t="s">
        <v>1240</v>
      </c>
      <c r="M475" s="57" t="s">
        <v>386</v>
      </c>
      <c r="N475" s="57" t="s">
        <v>1241</v>
      </c>
      <c r="O475" s="57" t="s">
        <v>1242</v>
      </c>
      <c r="P475" s="57" t="s">
        <v>1267</v>
      </c>
      <c r="Q475" s="57" t="s">
        <v>1141</v>
      </c>
    </row>
    <row r="476" s="50" customFormat="true" ht="14.25" hidden="false" customHeight="true" outlineLevel="0" collapsed="false">
      <c r="A476" s="50" t="s">
        <v>825</v>
      </c>
      <c r="B476" s="57" t="s">
        <v>112</v>
      </c>
      <c r="C476" s="57" t="s">
        <v>550</v>
      </c>
      <c r="D476" s="58" t="n">
        <v>46060.5923611111</v>
      </c>
      <c r="E476" s="58" t="n">
        <v>46060.5923611111</v>
      </c>
      <c r="F476" s="58" t="n">
        <v>46060.68125</v>
      </c>
      <c r="G476" s="59" t="n">
        <f aca="false">F476-E476</f>
        <v>0.088888888900463</v>
      </c>
      <c r="H476" s="57" t="s">
        <v>384</v>
      </c>
      <c r="I476" s="57"/>
      <c r="J476" s="57" t="s">
        <v>234</v>
      </c>
      <c r="K476" s="57" t="s">
        <v>234</v>
      </c>
      <c r="L476" s="57" t="s">
        <v>1240</v>
      </c>
      <c r="M476" s="57" t="s">
        <v>386</v>
      </c>
      <c r="N476" s="57" t="s">
        <v>1241</v>
      </c>
      <c r="O476" s="57" t="s">
        <v>1242</v>
      </c>
      <c r="P476" s="57" t="s">
        <v>1268</v>
      </c>
      <c r="Q476" s="57" t="s">
        <v>1141</v>
      </c>
    </row>
    <row r="477" s="50" customFormat="true" ht="14.25" hidden="false" customHeight="true" outlineLevel="0" collapsed="false">
      <c r="A477" s="50" t="s">
        <v>832</v>
      </c>
      <c r="B477" s="57" t="s">
        <v>112</v>
      </c>
      <c r="C477" s="57" t="s">
        <v>551</v>
      </c>
      <c r="D477" s="58" t="n">
        <v>46060.5923611111</v>
      </c>
      <c r="E477" s="58" t="n">
        <v>46060.5923611111</v>
      </c>
      <c r="F477" s="58" t="n">
        <v>46060.68125</v>
      </c>
      <c r="G477" s="59" t="n">
        <f aca="false">F477-E477</f>
        <v>0.088888888900463</v>
      </c>
      <c r="H477" s="57" t="s">
        <v>384</v>
      </c>
      <c r="I477" s="57"/>
      <c r="J477" s="57" t="s">
        <v>234</v>
      </c>
      <c r="K477" s="57" t="s">
        <v>234</v>
      </c>
      <c r="L477" s="57" t="s">
        <v>1240</v>
      </c>
      <c r="M477" s="57" t="s">
        <v>386</v>
      </c>
      <c r="N477" s="57" t="s">
        <v>1241</v>
      </c>
      <c r="O477" s="57" t="s">
        <v>1242</v>
      </c>
      <c r="P477" s="57" t="s">
        <v>1269</v>
      </c>
      <c r="Q477" s="57" t="s">
        <v>1141</v>
      </c>
    </row>
    <row r="478" s="50" customFormat="true" ht="14.25" hidden="false" customHeight="true" outlineLevel="0" collapsed="false">
      <c r="A478" s="50" t="s">
        <v>832</v>
      </c>
      <c r="B478" s="57" t="s">
        <v>112</v>
      </c>
      <c r="C478" s="57" t="s">
        <v>552</v>
      </c>
      <c r="D478" s="58" t="n">
        <v>46060.5923611111</v>
      </c>
      <c r="E478" s="58" t="n">
        <v>46060.5923611111</v>
      </c>
      <c r="F478" s="58" t="n">
        <v>46060.68125</v>
      </c>
      <c r="G478" s="59" t="n">
        <f aca="false">F478-E478</f>
        <v>0.088888888900463</v>
      </c>
      <c r="H478" s="57" t="s">
        <v>384</v>
      </c>
      <c r="I478" s="57"/>
      <c r="J478" s="57" t="s">
        <v>234</v>
      </c>
      <c r="K478" s="57" t="s">
        <v>234</v>
      </c>
      <c r="L478" s="57" t="s">
        <v>1240</v>
      </c>
      <c r="M478" s="57" t="s">
        <v>386</v>
      </c>
      <c r="N478" s="57" t="s">
        <v>1241</v>
      </c>
      <c r="O478" s="57" t="s">
        <v>1242</v>
      </c>
      <c r="P478" s="57" t="s">
        <v>1270</v>
      </c>
      <c r="Q478" s="57" t="s">
        <v>1141</v>
      </c>
    </row>
    <row r="479" s="50" customFormat="true" ht="14.25" hidden="false" customHeight="true" outlineLevel="0" collapsed="false">
      <c r="A479" s="50" t="s">
        <v>832</v>
      </c>
      <c r="B479" s="57" t="s">
        <v>112</v>
      </c>
      <c r="C479" s="57" t="s">
        <v>553</v>
      </c>
      <c r="D479" s="58" t="n">
        <v>46060.5923611111</v>
      </c>
      <c r="E479" s="58" t="n">
        <v>46060.5923611111</v>
      </c>
      <c r="F479" s="58" t="n">
        <v>46060.68125</v>
      </c>
      <c r="G479" s="59" t="n">
        <f aca="false">F479-E479</f>
        <v>0.088888888900463</v>
      </c>
      <c r="H479" s="57" t="s">
        <v>384</v>
      </c>
      <c r="I479" s="57"/>
      <c r="J479" s="57" t="s">
        <v>234</v>
      </c>
      <c r="K479" s="57" t="s">
        <v>234</v>
      </c>
      <c r="L479" s="57" t="s">
        <v>1240</v>
      </c>
      <c r="M479" s="57" t="s">
        <v>386</v>
      </c>
      <c r="N479" s="57" t="s">
        <v>1241</v>
      </c>
      <c r="O479" s="57" t="s">
        <v>1242</v>
      </c>
      <c r="P479" s="57" t="s">
        <v>1271</v>
      </c>
      <c r="Q479" s="57" t="s">
        <v>1141</v>
      </c>
    </row>
    <row r="480" s="50" customFormat="true" ht="14.25" hidden="false" customHeight="true" outlineLevel="0" collapsed="false">
      <c r="A480" s="50" t="s">
        <v>836</v>
      </c>
      <c r="B480" s="57" t="s">
        <v>112</v>
      </c>
      <c r="C480" s="57" t="s">
        <v>554</v>
      </c>
      <c r="D480" s="58" t="n">
        <v>46060.5923611111</v>
      </c>
      <c r="E480" s="58" t="n">
        <v>46060.5923611111</v>
      </c>
      <c r="F480" s="58" t="n">
        <v>46060.68125</v>
      </c>
      <c r="G480" s="59" t="n">
        <f aca="false">F480-E480</f>
        <v>0.088888888900463</v>
      </c>
      <c r="H480" s="57" t="s">
        <v>384</v>
      </c>
      <c r="I480" s="57"/>
      <c r="J480" s="57" t="s">
        <v>234</v>
      </c>
      <c r="K480" s="57" t="s">
        <v>234</v>
      </c>
      <c r="L480" s="57" t="s">
        <v>1240</v>
      </c>
      <c r="M480" s="57" t="s">
        <v>386</v>
      </c>
      <c r="N480" s="57" t="s">
        <v>1241</v>
      </c>
      <c r="O480" s="57" t="s">
        <v>1242</v>
      </c>
      <c r="P480" s="57" t="s">
        <v>1272</v>
      </c>
      <c r="Q480" s="57" t="s">
        <v>1141</v>
      </c>
    </row>
    <row r="481" s="50" customFormat="true" ht="14.25" hidden="false" customHeight="true" outlineLevel="0" collapsed="false">
      <c r="A481" s="50" t="s">
        <v>836</v>
      </c>
      <c r="B481" s="57" t="s">
        <v>112</v>
      </c>
      <c r="C481" s="57" t="s">
        <v>555</v>
      </c>
      <c r="D481" s="58" t="n">
        <v>46060.5923611111</v>
      </c>
      <c r="E481" s="58" t="n">
        <v>46060.5923611111</v>
      </c>
      <c r="F481" s="58" t="n">
        <v>46060.68125</v>
      </c>
      <c r="G481" s="59" t="n">
        <f aca="false">F481-E481</f>
        <v>0.088888888900463</v>
      </c>
      <c r="H481" s="57" t="s">
        <v>384</v>
      </c>
      <c r="I481" s="57"/>
      <c r="J481" s="57" t="s">
        <v>234</v>
      </c>
      <c r="K481" s="57" t="s">
        <v>234</v>
      </c>
      <c r="L481" s="57" t="s">
        <v>1240</v>
      </c>
      <c r="M481" s="57" t="s">
        <v>386</v>
      </c>
      <c r="N481" s="57" t="s">
        <v>1241</v>
      </c>
      <c r="O481" s="57" t="s">
        <v>1242</v>
      </c>
      <c r="P481" s="57" t="s">
        <v>1273</v>
      </c>
      <c r="Q481" s="57" t="s">
        <v>1141</v>
      </c>
    </row>
    <row r="482" s="50" customFormat="true" ht="14.25" hidden="false" customHeight="true" outlineLevel="0" collapsed="false">
      <c r="A482" s="50" t="s">
        <v>836</v>
      </c>
      <c r="B482" s="57" t="s">
        <v>112</v>
      </c>
      <c r="C482" s="57" t="s">
        <v>556</v>
      </c>
      <c r="D482" s="58" t="n">
        <v>46060.5923611111</v>
      </c>
      <c r="E482" s="58" t="n">
        <v>46060.5923611111</v>
      </c>
      <c r="F482" s="58" t="n">
        <v>46060.68125</v>
      </c>
      <c r="G482" s="59" t="n">
        <f aca="false">F482-E482</f>
        <v>0.088888888900463</v>
      </c>
      <c r="H482" s="57" t="s">
        <v>384</v>
      </c>
      <c r="I482" s="57"/>
      <c r="J482" s="57" t="s">
        <v>234</v>
      </c>
      <c r="K482" s="57" t="s">
        <v>234</v>
      </c>
      <c r="L482" s="57" t="s">
        <v>1240</v>
      </c>
      <c r="M482" s="57" t="s">
        <v>386</v>
      </c>
      <c r="N482" s="57" t="s">
        <v>1241</v>
      </c>
      <c r="O482" s="57" t="s">
        <v>1242</v>
      </c>
      <c r="P482" s="57" t="s">
        <v>1274</v>
      </c>
      <c r="Q482" s="57" t="s">
        <v>1141</v>
      </c>
    </row>
    <row r="483" s="50" customFormat="true" ht="14.25" hidden="false" customHeight="true" outlineLevel="0" collapsed="false">
      <c r="A483" s="50" t="s">
        <v>840</v>
      </c>
      <c r="B483" s="57" t="s">
        <v>112</v>
      </c>
      <c r="C483" s="57" t="s">
        <v>557</v>
      </c>
      <c r="D483" s="58" t="n">
        <v>46060.5923611111</v>
      </c>
      <c r="E483" s="58" t="n">
        <v>46060.5923611111</v>
      </c>
      <c r="F483" s="58" t="n">
        <v>46060.68125</v>
      </c>
      <c r="G483" s="59" t="n">
        <f aca="false">F483-E483</f>
        <v>0.088888888900463</v>
      </c>
      <c r="H483" s="57" t="s">
        <v>384</v>
      </c>
      <c r="I483" s="57"/>
      <c r="J483" s="57" t="s">
        <v>234</v>
      </c>
      <c r="K483" s="57" t="s">
        <v>234</v>
      </c>
      <c r="L483" s="57" t="s">
        <v>1240</v>
      </c>
      <c r="M483" s="57" t="s">
        <v>386</v>
      </c>
      <c r="N483" s="57" t="s">
        <v>1241</v>
      </c>
      <c r="O483" s="57" t="s">
        <v>1242</v>
      </c>
      <c r="P483" s="57" t="s">
        <v>1275</v>
      </c>
      <c r="Q483" s="57" t="s">
        <v>1141</v>
      </c>
    </row>
    <row r="484" s="50" customFormat="true" ht="14.25" hidden="false" customHeight="true" outlineLevel="0" collapsed="false">
      <c r="A484" s="50" t="s">
        <v>840</v>
      </c>
      <c r="B484" s="57" t="s">
        <v>112</v>
      </c>
      <c r="C484" s="57" t="s">
        <v>558</v>
      </c>
      <c r="D484" s="58" t="n">
        <v>46060.5923611111</v>
      </c>
      <c r="E484" s="58" t="n">
        <v>46060.5923611111</v>
      </c>
      <c r="F484" s="58" t="n">
        <v>46060.68125</v>
      </c>
      <c r="G484" s="59" t="n">
        <f aca="false">F484-E484</f>
        <v>0.088888888900463</v>
      </c>
      <c r="H484" s="57" t="s">
        <v>384</v>
      </c>
      <c r="I484" s="57"/>
      <c r="J484" s="57" t="s">
        <v>234</v>
      </c>
      <c r="K484" s="57" t="s">
        <v>234</v>
      </c>
      <c r="L484" s="57" t="s">
        <v>1240</v>
      </c>
      <c r="M484" s="57" t="s">
        <v>386</v>
      </c>
      <c r="N484" s="57" t="s">
        <v>1241</v>
      </c>
      <c r="O484" s="57" t="s">
        <v>1242</v>
      </c>
      <c r="P484" s="57" t="s">
        <v>1276</v>
      </c>
      <c r="Q484" s="57" t="s">
        <v>1141</v>
      </c>
    </row>
    <row r="485" s="50" customFormat="true" ht="14.25" hidden="false" customHeight="true" outlineLevel="0" collapsed="false">
      <c r="A485" s="50" t="s">
        <v>840</v>
      </c>
      <c r="B485" s="57" t="s">
        <v>112</v>
      </c>
      <c r="C485" s="57" t="s">
        <v>559</v>
      </c>
      <c r="D485" s="58" t="n">
        <v>46060.5923611111</v>
      </c>
      <c r="E485" s="58" t="n">
        <v>46060.5923611111</v>
      </c>
      <c r="F485" s="58" t="n">
        <v>46060.68125</v>
      </c>
      <c r="G485" s="59" t="n">
        <f aca="false">F485-E485</f>
        <v>0.088888888900463</v>
      </c>
      <c r="H485" s="57" t="s">
        <v>384</v>
      </c>
      <c r="I485" s="57"/>
      <c r="J485" s="57" t="s">
        <v>234</v>
      </c>
      <c r="K485" s="57" t="s">
        <v>234</v>
      </c>
      <c r="L485" s="57" t="s">
        <v>1240</v>
      </c>
      <c r="M485" s="57" t="s">
        <v>386</v>
      </c>
      <c r="N485" s="57" t="s">
        <v>1241</v>
      </c>
      <c r="O485" s="57" t="s">
        <v>1242</v>
      </c>
      <c r="P485" s="57" t="s">
        <v>1277</v>
      </c>
      <c r="Q485" s="57" t="s">
        <v>1141</v>
      </c>
    </row>
    <row r="486" s="50" customFormat="true" ht="14.25" hidden="false" customHeight="true" outlineLevel="0" collapsed="false">
      <c r="A486" s="50" t="s">
        <v>840</v>
      </c>
      <c r="B486" s="57" t="s">
        <v>112</v>
      </c>
      <c r="C486" s="57" t="s">
        <v>560</v>
      </c>
      <c r="D486" s="58" t="n">
        <v>46060.5923611111</v>
      </c>
      <c r="E486" s="58" t="n">
        <v>46060.5923611111</v>
      </c>
      <c r="F486" s="58" t="n">
        <v>46060.68125</v>
      </c>
      <c r="G486" s="59" t="n">
        <f aca="false">F486-E486</f>
        <v>0.088888888900463</v>
      </c>
      <c r="H486" s="57" t="s">
        <v>384</v>
      </c>
      <c r="I486" s="57"/>
      <c r="J486" s="57" t="s">
        <v>234</v>
      </c>
      <c r="K486" s="57" t="s">
        <v>234</v>
      </c>
      <c r="L486" s="57" t="s">
        <v>1240</v>
      </c>
      <c r="M486" s="57" t="s">
        <v>386</v>
      </c>
      <c r="N486" s="57" t="s">
        <v>1241</v>
      </c>
      <c r="O486" s="57" t="s">
        <v>1242</v>
      </c>
      <c r="P486" s="57" t="s">
        <v>1278</v>
      </c>
      <c r="Q486" s="57" t="s">
        <v>1141</v>
      </c>
    </row>
    <row r="487" s="50" customFormat="true" ht="14.25" hidden="false" customHeight="true" outlineLevel="0" collapsed="false">
      <c r="A487" s="50" t="s">
        <v>840</v>
      </c>
      <c r="B487" s="57" t="s">
        <v>112</v>
      </c>
      <c r="C487" s="57" t="s">
        <v>561</v>
      </c>
      <c r="D487" s="58" t="n">
        <v>46060.5923611111</v>
      </c>
      <c r="E487" s="58" t="n">
        <v>46060.5923611111</v>
      </c>
      <c r="F487" s="58" t="n">
        <v>46060.68125</v>
      </c>
      <c r="G487" s="59" t="n">
        <f aca="false">F487-E487</f>
        <v>0.088888888900463</v>
      </c>
      <c r="H487" s="57" t="s">
        <v>384</v>
      </c>
      <c r="I487" s="57"/>
      <c r="J487" s="57" t="s">
        <v>234</v>
      </c>
      <c r="K487" s="57" t="s">
        <v>234</v>
      </c>
      <c r="L487" s="57" t="s">
        <v>1240</v>
      </c>
      <c r="M487" s="57" t="s">
        <v>386</v>
      </c>
      <c r="N487" s="57" t="s">
        <v>1241</v>
      </c>
      <c r="O487" s="57" t="s">
        <v>1242</v>
      </c>
      <c r="P487" s="57" t="s">
        <v>1279</v>
      </c>
      <c r="Q487" s="57" t="s">
        <v>1141</v>
      </c>
    </row>
    <row r="488" s="50" customFormat="true" ht="14.25" hidden="false" customHeight="true" outlineLevel="0" collapsed="false">
      <c r="A488" s="50" t="s">
        <v>840</v>
      </c>
      <c r="B488" s="57" t="s">
        <v>112</v>
      </c>
      <c r="C488" s="57" t="s">
        <v>562</v>
      </c>
      <c r="D488" s="58" t="n">
        <v>46060.5923611111</v>
      </c>
      <c r="E488" s="58" t="n">
        <v>46060.5923611111</v>
      </c>
      <c r="F488" s="58" t="n">
        <v>46060.68125</v>
      </c>
      <c r="G488" s="59" t="n">
        <f aca="false">F488-E488</f>
        <v>0.088888888900463</v>
      </c>
      <c r="H488" s="57" t="s">
        <v>384</v>
      </c>
      <c r="I488" s="57"/>
      <c r="J488" s="57" t="s">
        <v>234</v>
      </c>
      <c r="K488" s="57" t="s">
        <v>234</v>
      </c>
      <c r="L488" s="57" t="s">
        <v>1240</v>
      </c>
      <c r="M488" s="57" t="s">
        <v>386</v>
      </c>
      <c r="N488" s="57" t="s">
        <v>1241</v>
      </c>
      <c r="O488" s="57" t="s">
        <v>1242</v>
      </c>
      <c r="P488" s="57" t="s">
        <v>1280</v>
      </c>
      <c r="Q488" s="57" t="s">
        <v>1141</v>
      </c>
    </row>
    <row r="489" s="50" customFormat="true" ht="14.25" hidden="false" customHeight="true" outlineLevel="0" collapsed="false">
      <c r="A489" s="50" t="s">
        <v>847</v>
      </c>
      <c r="B489" s="57" t="s">
        <v>112</v>
      </c>
      <c r="C489" s="57" t="s">
        <v>563</v>
      </c>
      <c r="D489" s="58" t="n">
        <v>46060.5923611111</v>
      </c>
      <c r="E489" s="58" t="n">
        <v>46060.5923611111</v>
      </c>
      <c r="F489" s="58" t="n">
        <v>46060.68125</v>
      </c>
      <c r="G489" s="59" t="n">
        <f aca="false">F489-E489</f>
        <v>0.088888888900463</v>
      </c>
      <c r="H489" s="57" t="s">
        <v>384</v>
      </c>
      <c r="I489" s="57"/>
      <c r="J489" s="57" t="s">
        <v>234</v>
      </c>
      <c r="K489" s="57" t="s">
        <v>234</v>
      </c>
      <c r="L489" s="57" t="s">
        <v>1240</v>
      </c>
      <c r="M489" s="57" t="s">
        <v>386</v>
      </c>
      <c r="N489" s="57" t="s">
        <v>1241</v>
      </c>
      <c r="O489" s="57" t="s">
        <v>1242</v>
      </c>
      <c r="P489" s="57" t="s">
        <v>1281</v>
      </c>
      <c r="Q489" s="57" t="s">
        <v>1141</v>
      </c>
    </row>
    <row r="490" s="50" customFormat="true" ht="14.25" hidden="false" customHeight="true" outlineLevel="0" collapsed="false">
      <c r="A490" s="50" t="s">
        <v>847</v>
      </c>
      <c r="B490" s="57" t="s">
        <v>112</v>
      </c>
      <c r="C490" s="57" t="s">
        <v>564</v>
      </c>
      <c r="D490" s="58" t="n">
        <v>46060.5923611111</v>
      </c>
      <c r="E490" s="58" t="n">
        <v>46060.5923611111</v>
      </c>
      <c r="F490" s="58" t="n">
        <v>46060.68125</v>
      </c>
      <c r="G490" s="59" t="n">
        <f aca="false">F490-E490</f>
        <v>0.088888888900463</v>
      </c>
      <c r="H490" s="57" t="s">
        <v>384</v>
      </c>
      <c r="I490" s="57"/>
      <c r="J490" s="57" t="s">
        <v>234</v>
      </c>
      <c r="K490" s="57" t="s">
        <v>234</v>
      </c>
      <c r="L490" s="57" t="s">
        <v>1240</v>
      </c>
      <c r="M490" s="57" t="s">
        <v>386</v>
      </c>
      <c r="N490" s="57" t="s">
        <v>1241</v>
      </c>
      <c r="O490" s="57" t="s">
        <v>1242</v>
      </c>
      <c r="P490" s="57" t="s">
        <v>1282</v>
      </c>
      <c r="Q490" s="57" t="s">
        <v>1141</v>
      </c>
    </row>
    <row r="491" s="50" customFormat="true" ht="14.25" hidden="false" customHeight="true" outlineLevel="0" collapsed="false">
      <c r="A491" s="50" t="s">
        <v>847</v>
      </c>
      <c r="B491" s="57" t="s">
        <v>112</v>
      </c>
      <c r="C491" s="57" t="s">
        <v>565</v>
      </c>
      <c r="D491" s="58" t="n">
        <v>46060.5923611111</v>
      </c>
      <c r="E491" s="58" t="n">
        <v>46060.5923611111</v>
      </c>
      <c r="F491" s="58" t="n">
        <v>46060.68125</v>
      </c>
      <c r="G491" s="59" t="n">
        <f aca="false">F491-E491</f>
        <v>0.088888888900463</v>
      </c>
      <c r="H491" s="57" t="s">
        <v>384</v>
      </c>
      <c r="I491" s="57"/>
      <c r="J491" s="57" t="s">
        <v>234</v>
      </c>
      <c r="K491" s="57" t="s">
        <v>234</v>
      </c>
      <c r="L491" s="57" t="s">
        <v>1240</v>
      </c>
      <c r="M491" s="57" t="s">
        <v>386</v>
      </c>
      <c r="N491" s="57" t="s">
        <v>1241</v>
      </c>
      <c r="O491" s="57" t="s">
        <v>1242</v>
      </c>
      <c r="P491" s="57" t="s">
        <v>1283</v>
      </c>
      <c r="Q491" s="57" t="s">
        <v>1141</v>
      </c>
    </row>
    <row r="492" s="50" customFormat="true" ht="14.25" hidden="false" customHeight="true" outlineLevel="0" collapsed="false">
      <c r="A492" s="50" t="s">
        <v>177</v>
      </c>
      <c r="B492" s="57" t="s">
        <v>177</v>
      </c>
      <c r="C492" s="57" t="s">
        <v>326</v>
      </c>
      <c r="D492" s="58" t="n">
        <v>46060.6111111111</v>
      </c>
      <c r="E492" s="58" t="n">
        <v>46060.6111111111</v>
      </c>
      <c r="F492" s="58" t="n">
        <v>46060.6979166667</v>
      </c>
      <c r="G492" s="59" t="n">
        <f aca="false">F492-E492</f>
        <v>0.0868055556018519</v>
      </c>
      <c r="H492" s="57" t="s">
        <v>252</v>
      </c>
      <c r="I492" s="57"/>
      <c r="J492" s="57" t="s">
        <v>253</v>
      </c>
      <c r="K492" s="57" t="s">
        <v>266</v>
      </c>
      <c r="L492" s="57" t="s">
        <v>1284</v>
      </c>
      <c r="M492" s="57" t="s">
        <v>255</v>
      </c>
      <c r="N492" s="57" t="s">
        <v>268</v>
      </c>
      <c r="O492" s="57" t="s">
        <v>1285</v>
      </c>
      <c r="P492" s="57" t="s">
        <v>1286</v>
      </c>
      <c r="Q492" s="57" t="s">
        <v>706</v>
      </c>
    </row>
    <row r="493" s="50" customFormat="true" ht="14.25" hidden="false" customHeight="true" outlineLevel="0" collapsed="false">
      <c r="A493" s="50" t="s">
        <v>177</v>
      </c>
      <c r="B493" s="57" t="s">
        <v>177</v>
      </c>
      <c r="C493" s="57" t="s">
        <v>327</v>
      </c>
      <c r="D493" s="58" t="n">
        <v>46060.6111111111</v>
      </c>
      <c r="E493" s="58" t="n">
        <v>46060.6111111111</v>
      </c>
      <c r="F493" s="58" t="n">
        <v>46060.6979166667</v>
      </c>
      <c r="G493" s="59" t="n">
        <f aca="false">F493-E493</f>
        <v>0.0868055556018519</v>
      </c>
      <c r="H493" s="57" t="s">
        <v>252</v>
      </c>
      <c r="I493" s="57"/>
      <c r="J493" s="57" t="s">
        <v>253</v>
      </c>
      <c r="K493" s="57" t="s">
        <v>266</v>
      </c>
      <c r="L493" s="57" t="s">
        <v>1284</v>
      </c>
      <c r="M493" s="57" t="s">
        <v>255</v>
      </c>
      <c r="N493" s="57" t="s">
        <v>268</v>
      </c>
      <c r="O493" s="57" t="s">
        <v>1285</v>
      </c>
      <c r="P493" s="57" t="s">
        <v>1287</v>
      </c>
      <c r="Q493" s="57" t="s">
        <v>706</v>
      </c>
    </row>
    <row r="494" s="50" customFormat="true" ht="14.25" hidden="false" customHeight="true" outlineLevel="0" collapsed="false">
      <c r="A494" s="50" t="s">
        <v>177</v>
      </c>
      <c r="B494" s="57" t="s">
        <v>177</v>
      </c>
      <c r="C494" s="57" t="s">
        <v>324</v>
      </c>
      <c r="D494" s="58" t="n">
        <v>46060.6111111111</v>
      </c>
      <c r="E494" s="58" t="n">
        <v>46060.6111111111</v>
      </c>
      <c r="F494" s="58" t="n">
        <v>46060.6979166667</v>
      </c>
      <c r="G494" s="59" t="n">
        <f aca="false">F494-E494</f>
        <v>0.0868055556018519</v>
      </c>
      <c r="H494" s="57" t="s">
        <v>252</v>
      </c>
      <c r="I494" s="57"/>
      <c r="J494" s="57" t="s">
        <v>253</v>
      </c>
      <c r="K494" s="57" t="s">
        <v>266</v>
      </c>
      <c r="L494" s="57" t="s">
        <v>1284</v>
      </c>
      <c r="M494" s="57" t="s">
        <v>255</v>
      </c>
      <c r="N494" s="57" t="s">
        <v>268</v>
      </c>
      <c r="O494" s="57" t="s">
        <v>1285</v>
      </c>
      <c r="P494" s="57" t="s">
        <v>1288</v>
      </c>
      <c r="Q494" s="57" t="s">
        <v>706</v>
      </c>
    </row>
    <row r="495" s="50" customFormat="true" ht="14.25" hidden="false" customHeight="true" outlineLevel="0" collapsed="false">
      <c r="A495" s="50" t="s">
        <v>177</v>
      </c>
      <c r="B495" s="57" t="s">
        <v>177</v>
      </c>
      <c r="C495" s="57" t="s">
        <v>328</v>
      </c>
      <c r="D495" s="58" t="n">
        <v>46060.6111111111</v>
      </c>
      <c r="E495" s="58" t="n">
        <v>46060.6111111111</v>
      </c>
      <c r="F495" s="58" t="n">
        <v>46060.6979166667</v>
      </c>
      <c r="G495" s="59" t="n">
        <f aca="false">F495-E495</f>
        <v>0.0868055556018519</v>
      </c>
      <c r="H495" s="57" t="s">
        <v>252</v>
      </c>
      <c r="I495" s="57"/>
      <c r="J495" s="57" t="s">
        <v>253</v>
      </c>
      <c r="K495" s="57" t="s">
        <v>266</v>
      </c>
      <c r="L495" s="57" t="s">
        <v>1284</v>
      </c>
      <c r="M495" s="57" t="s">
        <v>255</v>
      </c>
      <c r="N495" s="57" t="s">
        <v>268</v>
      </c>
      <c r="O495" s="57" t="s">
        <v>1285</v>
      </c>
      <c r="P495" s="57" t="s">
        <v>1289</v>
      </c>
      <c r="Q495" s="57" t="s">
        <v>706</v>
      </c>
    </row>
    <row r="496" s="50" customFormat="true" ht="14.25" hidden="false" customHeight="true" outlineLevel="0" collapsed="false">
      <c r="A496" s="50" t="s">
        <v>264</v>
      </c>
      <c r="B496" s="57" t="s">
        <v>264</v>
      </c>
      <c r="C496" s="57" t="s">
        <v>265</v>
      </c>
      <c r="D496" s="58" t="n">
        <v>46061.0215277778</v>
      </c>
      <c r="E496" s="58" t="n">
        <v>46061.0215277778</v>
      </c>
      <c r="F496" s="58" t="n">
        <v>46061.3756944445</v>
      </c>
      <c r="G496" s="59" t="n">
        <f aca="false">F496-E496</f>
        <v>0.354166666701389</v>
      </c>
      <c r="H496" s="57" t="s">
        <v>252</v>
      </c>
      <c r="I496" s="57"/>
      <c r="J496" s="57" t="s">
        <v>253</v>
      </c>
      <c r="K496" s="57" t="s">
        <v>266</v>
      </c>
      <c r="L496" s="57" t="s">
        <v>1209</v>
      </c>
      <c r="M496" s="57" t="s">
        <v>255</v>
      </c>
      <c r="N496" s="57" t="s">
        <v>268</v>
      </c>
      <c r="O496" s="57" t="s">
        <v>1285</v>
      </c>
      <c r="P496" s="57" t="s">
        <v>1290</v>
      </c>
      <c r="Q496" s="57" t="s">
        <v>706</v>
      </c>
    </row>
    <row r="497" s="50" customFormat="true" ht="14.25" hidden="false" customHeight="true" outlineLevel="0" collapsed="false">
      <c r="A497" s="50" t="s">
        <v>271</v>
      </c>
      <c r="B497" s="57" t="s">
        <v>271</v>
      </c>
      <c r="C497" s="57" t="s">
        <v>265</v>
      </c>
      <c r="D497" s="58" t="n">
        <v>46061.0215277778</v>
      </c>
      <c r="E497" s="58" t="n">
        <v>46061.0215277778</v>
      </c>
      <c r="F497" s="58" t="n">
        <v>46061.3756944445</v>
      </c>
      <c r="G497" s="59" t="n">
        <f aca="false">F497-E497</f>
        <v>0.354166666701389</v>
      </c>
      <c r="H497" s="57" t="s">
        <v>252</v>
      </c>
      <c r="I497" s="57"/>
      <c r="J497" s="57" t="s">
        <v>253</v>
      </c>
      <c r="K497" s="57" t="s">
        <v>266</v>
      </c>
      <c r="L497" s="57" t="s">
        <v>1209</v>
      </c>
      <c r="M497" s="57" t="s">
        <v>255</v>
      </c>
      <c r="N497" s="57" t="s">
        <v>268</v>
      </c>
      <c r="O497" s="57" t="s">
        <v>1285</v>
      </c>
      <c r="P497" s="57" t="s">
        <v>1291</v>
      </c>
      <c r="Q497" s="57" t="s">
        <v>706</v>
      </c>
    </row>
    <row r="498" s="50" customFormat="true" ht="14.25" hidden="false" customHeight="true" outlineLevel="0" collapsed="false">
      <c r="A498" s="50" t="s">
        <v>272</v>
      </c>
      <c r="B498" s="57" t="s">
        <v>272</v>
      </c>
      <c r="C498" s="57" t="s">
        <v>265</v>
      </c>
      <c r="D498" s="58" t="n">
        <v>46061.0215277778</v>
      </c>
      <c r="E498" s="58" t="n">
        <v>46061.0215277778</v>
      </c>
      <c r="F498" s="58" t="n">
        <v>46061.3756944445</v>
      </c>
      <c r="G498" s="59" t="n">
        <f aca="false">F498-E498</f>
        <v>0.354166666701389</v>
      </c>
      <c r="H498" s="57" t="s">
        <v>252</v>
      </c>
      <c r="I498" s="57"/>
      <c r="J498" s="57" t="s">
        <v>253</v>
      </c>
      <c r="K498" s="57" t="s">
        <v>266</v>
      </c>
      <c r="L498" s="57" t="s">
        <v>1209</v>
      </c>
      <c r="M498" s="57" t="s">
        <v>255</v>
      </c>
      <c r="N498" s="57" t="s">
        <v>268</v>
      </c>
      <c r="O498" s="57" t="s">
        <v>1285</v>
      </c>
      <c r="P498" s="57" t="s">
        <v>1292</v>
      </c>
      <c r="Q498" s="57" t="s">
        <v>706</v>
      </c>
    </row>
    <row r="499" s="50" customFormat="true" ht="14.25" hidden="false" customHeight="true" outlineLevel="0" collapsed="false">
      <c r="A499" s="50" t="s">
        <v>273</v>
      </c>
      <c r="B499" s="57" t="s">
        <v>273</v>
      </c>
      <c r="C499" s="57" t="s">
        <v>265</v>
      </c>
      <c r="D499" s="58" t="n">
        <v>46061.0215277778</v>
      </c>
      <c r="E499" s="58" t="n">
        <v>46061.0215277778</v>
      </c>
      <c r="F499" s="58" t="n">
        <v>46061.3756944445</v>
      </c>
      <c r="G499" s="59" t="n">
        <f aca="false">F499-E499</f>
        <v>0.354166666701389</v>
      </c>
      <c r="H499" s="57" t="s">
        <v>252</v>
      </c>
      <c r="I499" s="57"/>
      <c r="J499" s="57" t="s">
        <v>253</v>
      </c>
      <c r="K499" s="57" t="s">
        <v>266</v>
      </c>
      <c r="L499" s="57" t="s">
        <v>1209</v>
      </c>
      <c r="M499" s="57" t="s">
        <v>255</v>
      </c>
      <c r="N499" s="57" t="s">
        <v>268</v>
      </c>
      <c r="O499" s="57" t="s">
        <v>1285</v>
      </c>
      <c r="P499" s="57" t="s">
        <v>1293</v>
      </c>
      <c r="Q499" s="57" t="s">
        <v>706</v>
      </c>
    </row>
    <row r="500" s="50" customFormat="true" ht="14.25" hidden="false" customHeight="true" outlineLevel="0" collapsed="false">
      <c r="A500" s="50" t="s">
        <v>435</v>
      </c>
      <c r="B500" s="57" t="s">
        <v>435</v>
      </c>
      <c r="C500" s="57" t="s">
        <v>436</v>
      </c>
      <c r="D500" s="58" t="n">
        <v>46061.2548611111</v>
      </c>
      <c r="E500" s="58" t="n">
        <v>46061.2548611111</v>
      </c>
      <c r="F500" s="58" t="n">
        <v>46061.3194444444</v>
      </c>
      <c r="G500" s="59" t="n">
        <f aca="false">F500-E500</f>
        <v>0.0645833332986111</v>
      </c>
      <c r="H500" s="57" t="s">
        <v>252</v>
      </c>
      <c r="I500" s="57"/>
      <c r="J500" s="57" t="s">
        <v>253</v>
      </c>
      <c r="K500" s="57" t="s">
        <v>266</v>
      </c>
      <c r="L500" s="57" t="s">
        <v>434</v>
      </c>
      <c r="M500" s="57" t="s">
        <v>255</v>
      </c>
      <c r="N500" s="57" t="s">
        <v>268</v>
      </c>
      <c r="O500" s="57" t="s">
        <v>1294</v>
      </c>
      <c r="P500" s="57" t="s">
        <v>1295</v>
      </c>
      <c r="Q500" s="57" t="s">
        <v>706</v>
      </c>
    </row>
    <row r="501" s="50" customFormat="true" ht="14.25" hidden="false" customHeight="true" outlineLevel="0" collapsed="false">
      <c r="A501" s="50" t="s">
        <v>435</v>
      </c>
      <c r="B501" s="57" t="s">
        <v>435</v>
      </c>
      <c r="C501" s="57" t="s">
        <v>442</v>
      </c>
      <c r="D501" s="58" t="n">
        <v>46061.2548611111</v>
      </c>
      <c r="E501" s="58" t="n">
        <v>46061.2548611111</v>
      </c>
      <c r="F501" s="58" t="n">
        <v>46061.3194444444</v>
      </c>
      <c r="G501" s="59" t="n">
        <f aca="false">F501-E501</f>
        <v>0.0645833332986111</v>
      </c>
      <c r="H501" s="57" t="s">
        <v>252</v>
      </c>
      <c r="I501" s="57"/>
      <c r="J501" s="57" t="s">
        <v>253</v>
      </c>
      <c r="K501" s="57" t="s">
        <v>266</v>
      </c>
      <c r="L501" s="57" t="s">
        <v>434</v>
      </c>
      <c r="M501" s="57" t="s">
        <v>255</v>
      </c>
      <c r="N501" s="57" t="s">
        <v>268</v>
      </c>
      <c r="O501" s="57" t="s">
        <v>1294</v>
      </c>
      <c r="P501" s="57" t="s">
        <v>1296</v>
      </c>
      <c r="Q501" s="57" t="s">
        <v>706</v>
      </c>
    </row>
    <row r="502" s="50" customFormat="true" ht="14.25" hidden="false" customHeight="true" outlineLevel="0" collapsed="false">
      <c r="A502" s="50" t="s">
        <v>435</v>
      </c>
      <c r="B502" s="57" t="s">
        <v>435</v>
      </c>
      <c r="C502" s="57" t="s">
        <v>443</v>
      </c>
      <c r="D502" s="58" t="n">
        <v>46061.2548611111</v>
      </c>
      <c r="E502" s="58" t="n">
        <v>46061.2548611111</v>
      </c>
      <c r="F502" s="58" t="n">
        <v>46061.3194444444</v>
      </c>
      <c r="G502" s="59" t="n">
        <f aca="false">F502-E502</f>
        <v>0.0645833332986111</v>
      </c>
      <c r="H502" s="57" t="s">
        <v>252</v>
      </c>
      <c r="I502" s="57"/>
      <c r="J502" s="57" t="s">
        <v>253</v>
      </c>
      <c r="K502" s="57" t="s">
        <v>266</v>
      </c>
      <c r="L502" s="57" t="s">
        <v>434</v>
      </c>
      <c r="M502" s="57" t="s">
        <v>255</v>
      </c>
      <c r="N502" s="57" t="s">
        <v>268</v>
      </c>
      <c r="O502" s="57" t="s">
        <v>1294</v>
      </c>
      <c r="P502" s="57" t="s">
        <v>1297</v>
      </c>
      <c r="Q502" s="57" t="s">
        <v>706</v>
      </c>
    </row>
    <row r="503" s="50" customFormat="true" ht="14.25" hidden="false" customHeight="true" outlineLevel="0" collapsed="false">
      <c r="A503" s="50" t="s">
        <v>435</v>
      </c>
      <c r="B503" s="57" t="s">
        <v>435</v>
      </c>
      <c r="C503" s="57" t="s">
        <v>444</v>
      </c>
      <c r="D503" s="58" t="n">
        <v>46061.2548611111</v>
      </c>
      <c r="E503" s="58" t="n">
        <v>46061.2548611111</v>
      </c>
      <c r="F503" s="58" t="n">
        <v>46061.3194444444</v>
      </c>
      <c r="G503" s="59" t="n">
        <f aca="false">F503-E503</f>
        <v>0.0645833332986111</v>
      </c>
      <c r="H503" s="57" t="s">
        <v>252</v>
      </c>
      <c r="I503" s="57"/>
      <c r="J503" s="57" t="s">
        <v>253</v>
      </c>
      <c r="K503" s="57" t="s">
        <v>266</v>
      </c>
      <c r="L503" s="57" t="s">
        <v>434</v>
      </c>
      <c r="M503" s="57" t="s">
        <v>255</v>
      </c>
      <c r="N503" s="57" t="s">
        <v>268</v>
      </c>
      <c r="O503" s="57" t="s">
        <v>1294</v>
      </c>
      <c r="P503" s="57" t="s">
        <v>1298</v>
      </c>
      <c r="Q503" s="57" t="s">
        <v>706</v>
      </c>
    </row>
    <row r="504" s="50" customFormat="true" ht="14.25" hidden="false" customHeight="true" outlineLevel="0" collapsed="false">
      <c r="A504" s="50" t="s">
        <v>435</v>
      </c>
      <c r="B504" s="57" t="s">
        <v>435</v>
      </c>
      <c r="C504" s="57" t="s">
        <v>445</v>
      </c>
      <c r="D504" s="58" t="n">
        <v>46061.2548611111</v>
      </c>
      <c r="E504" s="58" t="n">
        <v>46061.2548611111</v>
      </c>
      <c r="F504" s="58" t="n">
        <v>46061.3194444444</v>
      </c>
      <c r="G504" s="59" t="n">
        <f aca="false">F504-E504</f>
        <v>0.0645833332986111</v>
      </c>
      <c r="H504" s="57" t="s">
        <v>252</v>
      </c>
      <c r="I504" s="57"/>
      <c r="J504" s="57" t="s">
        <v>253</v>
      </c>
      <c r="K504" s="57" t="s">
        <v>266</v>
      </c>
      <c r="L504" s="57" t="s">
        <v>434</v>
      </c>
      <c r="M504" s="57" t="s">
        <v>255</v>
      </c>
      <c r="N504" s="57" t="s">
        <v>268</v>
      </c>
      <c r="O504" s="57" t="s">
        <v>1294</v>
      </c>
      <c r="P504" s="57" t="s">
        <v>1299</v>
      </c>
      <c r="Q504" s="57" t="s">
        <v>706</v>
      </c>
    </row>
    <row r="505" s="50" customFormat="true" ht="14.25" hidden="false" customHeight="true" outlineLevel="0" collapsed="false">
      <c r="A505" s="50" t="s">
        <v>487</v>
      </c>
      <c r="B505" s="57" t="s">
        <v>487</v>
      </c>
      <c r="C505" s="57" t="s">
        <v>488</v>
      </c>
      <c r="D505" s="58" t="n">
        <v>46061.2548611111</v>
      </c>
      <c r="E505" s="58" t="n">
        <v>46061.2548611111</v>
      </c>
      <c r="F505" s="58" t="n">
        <v>46061.3194444444</v>
      </c>
      <c r="G505" s="59" t="n">
        <f aca="false">F505-E505</f>
        <v>0.0645833332986111</v>
      </c>
      <c r="H505" s="57" t="s">
        <v>252</v>
      </c>
      <c r="I505" s="57"/>
      <c r="J505" s="57" t="s">
        <v>253</v>
      </c>
      <c r="K505" s="57" t="s">
        <v>266</v>
      </c>
      <c r="L505" s="57" t="s">
        <v>434</v>
      </c>
      <c r="M505" s="57" t="s">
        <v>255</v>
      </c>
      <c r="N505" s="57" t="s">
        <v>268</v>
      </c>
      <c r="O505" s="57" t="s">
        <v>1294</v>
      </c>
      <c r="P505" s="57" t="s">
        <v>1300</v>
      </c>
      <c r="Q505" s="57" t="s">
        <v>706</v>
      </c>
    </row>
    <row r="506" s="50" customFormat="true" ht="14.25" hidden="false" customHeight="true" outlineLevel="0" collapsed="false">
      <c r="A506" s="50" t="s">
        <v>487</v>
      </c>
      <c r="B506" s="57" t="s">
        <v>487</v>
      </c>
      <c r="C506" s="57" t="s">
        <v>489</v>
      </c>
      <c r="D506" s="58" t="n">
        <v>46061.2548611111</v>
      </c>
      <c r="E506" s="58" t="n">
        <v>46061.2548611111</v>
      </c>
      <c r="F506" s="58" t="n">
        <v>46061.3194444444</v>
      </c>
      <c r="G506" s="59" t="n">
        <f aca="false">F506-E506</f>
        <v>0.0645833332986111</v>
      </c>
      <c r="H506" s="57" t="s">
        <v>252</v>
      </c>
      <c r="I506" s="57"/>
      <c r="J506" s="57" t="s">
        <v>253</v>
      </c>
      <c r="K506" s="57" t="s">
        <v>266</v>
      </c>
      <c r="L506" s="57" t="s">
        <v>434</v>
      </c>
      <c r="M506" s="57" t="s">
        <v>255</v>
      </c>
      <c r="N506" s="57" t="s">
        <v>268</v>
      </c>
      <c r="O506" s="57" t="s">
        <v>1294</v>
      </c>
      <c r="P506" s="57" t="s">
        <v>1301</v>
      </c>
      <c r="Q506" s="57" t="s">
        <v>706</v>
      </c>
    </row>
    <row r="507" s="50" customFormat="true" ht="14.25" hidden="false" customHeight="true" outlineLevel="0" collapsed="false">
      <c r="A507" s="50" t="s">
        <v>487</v>
      </c>
      <c r="B507" s="57" t="s">
        <v>487</v>
      </c>
      <c r="C507" s="57" t="s">
        <v>490</v>
      </c>
      <c r="D507" s="58" t="n">
        <v>46061.2548611111</v>
      </c>
      <c r="E507" s="58" t="n">
        <v>46061.2548611111</v>
      </c>
      <c r="F507" s="58" t="n">
        <v>46061.3194444444</v>
      </c>
      <c r="G507" s="59" t="n">
        <f aca="false">F507-E507</f>
        <v>0.0645833332986111</v>
      </c>
      <c r="H507" s="57" t="s">
        <v>252</v>
      </c>
      <c r="I507" s="57"/>
      <c r="J507" s="57" t="s">
        <v>253</v>
      </c>
      <c r="K507" s="57" t="s">
        <v>266</v>
      </c>
      <c r="L507" s="57" t="s">
        <v>434</v>
      </c>
      <c r="M507" s="57" t="s">
        <v>255</v>
      </c>
      <c r="N507" s="57" t="s">
        <v>268</v>
      </c>
      <c r="O507" s="57" t="s">
        <v>1294</v>
      </c>
      <c r="P507" s="57" t="s">
        <v>1302</v>
      </c>
      <c r="Q507" s="57" t="s">
        <v>706</v>
      </c>
    </row>
    <row r="508" s="50" customFormat="true" ht="14.25" hidden="false" customHeight="true" outlineLevel="0" collapsed="false">
      <c r="A508" s="50" t="s">
        <v>487</v>
      </c>
      <c r="B508" s="57" t="s">
        <v>487</v>
      </c>
      <c r="C508" s="57" t="s">
        <v>491</v>
      </c>
      <c r="D508" s="58" t="n">
        <v>46061.2548611111</v>
      </c>
      <c r="E508" s="58" t="n">
        <v>46061.2548611111</v>
      </c>
      <c r="F508" s="58" t="n">
        <v>46061.3194444444</v>
      </c>
      <c r="G508" s="59" t="n">
        <f aca="false">F508-E508</f>
        <v>0.0645833332986111</v>
      </c>
      <c r="H508" s="57" t="s">
        <v>252</v>
      </c>
      <c r="I508" s="57"/>
      <c r="J508" s="57" t="s">
        <v>253</v>
      </c>
      <c r="K508" s="57" t="s">
        <v>266</v>
      </c>
      <c r="L508" s="57" t="s">
        <v>434</v>
      </c>
      <c r="M508" s="57" t="s">
        <v>255</v>
      </c>
      <c r="N508" s="57" t="s">
        <v>268</v>
      </c>
      <c r="O508" s="57" t="s">
        <v>1294</v>
      </c>
      <c r="P508" s="57" t="s">
        <v>1303</v>
      </c>
      <c r="Q508" s="57" t="s">
        <v>706</v>
      </c>
    </row>
    <row r="509" s="50" customFormat="true" ht="14.25" hidden="false" customHeight="true" outlineLevel="0" collapsed="false">
      <c r="A509" s="50" t="s">
        <v>487</v>
      </c>
      <c r="B509" s="57" t="s">
        <v>487</v>
      </c>
      <c r="C509" s="57" t="s">
        <v>492</v>
      </c>
      <c r="D509" s="58" t="n">
        <v>46061.2548611111</v>
      </c>
      <c r="E509" s="58" t="n">
        <v>46061.2548611111</v>
      </c>
      <c r="F509" s="58" t="n">
        <v>46061.3194444444</v>
      </c>
      <c r="G509" s="59" t="n">
        <f aca="false">F509-E509</f>
        <v>0.0645833332986111</v>
      </c>
      <c r="H509" s="57" t="s">
        <v>252</v>
      </c>
      <c r="I509" s="57"/>
      <c r="J509" s="57" t="s">
        <v>253</v>
      </c>
      <c r="K509" s="57" t="s">
        <v>266</v>
      </c>
      <c r="L509" s="57" t="s">
        <v>434</v>
      </c>
      <c r="M509" s="57" t="s">
        <v>255</v>
      </c>
      <c r="N509" s="57" t="s">
        <v>268</v>
      </c>
      <c r="O509" s="57" t="s">
        <v>1294</v>
      </c>
      <c r="P509" s="57" t="s">
        <v>1304</v>
      </c>
      <c r="Q509" s="57" t="s">
        <v>706</v>
      </c>
    </row>
    <row r="510" s="50" customFormat="true" ht="14.25" hidden="false" customHeight="true" outlineLevel="0" collapsed="false">
      <c r="A510" s="50" t="s">
        <v>493</v>
      </c>
      <c r="B510" s="57" t="s">
        <v>493</v>
      </c>
      <c r="C510" s="57" t="s">
        <v>494</v>
      </c>
      <c r="D510" s="58" t="n">
        <v>46061.2548611111</v>
      </c>
      <c r="E510" s="58" t="n">
        <v>46061.2548611111</v>
      </c>
      <c r="F510" s="58" t="n">
        <v>46061.3194444444</v>
      </c>
      <c r="G510" s="59" t="n">
        <f aca="false">F510-E510</f>
        <v>0.0645833332986111</v>
      </c>
      <c r="H510" s="57" t="s">
        <v>252</v>
      </c>
      <c r="I510" s="57"/>
      <c r="J510" s="57" t="s">
        <v>253</v>
      </c>
      <c r="K510" s="57" t="s">
        <v>266</v>
      </c>
      <c r="L510" s="57" t="s">
        <v>434</v>
      </c>
      <c r="M510" s="57" t="s">
        <v>255</v>
      </c>
      <c r="N510" s="57" t="s">
        <v>268</v>
      </c>
      <c r="O510" s="57" t="s">
        <v>1294</v>
      </c>
      <c r="P510" s="57" t="s">
        <v>1305</v>
      </c>
      <c r="Q510" s="57" t="s">
        <v>706</v>
      </c>
    </row>
    <row r="511" s="50" customFormat="true" ht="14.25" hidden="false" customHeight="true" outlineLevel="0" collapsed="false">
      <c r="A511" s="50" t="s">
        <v>493</v>
      </c>
      <c r="B511" s="57" t="s">
        <v>493</v>
      </c>
      <c r="C511" s="57" t="s">
        <v>495</v>
      </c>
      <c r="D511" s="58" t="n">
        <v>46061.2548611111</v>
      </c>
      <c r="E511" s="58" t="n">
        <v>46061.2548611111</v>
      </c>
      <c r="F511" s="58" t="n">
        <v>46061.3194444444</v>
      </c>
      <c r="G511" s="59" t="n">
        <f aca="false">F511-E511</f>
        <v>0.0645833332986111</v>
      </c>
      <c r="H511" s="57" t="s">
        <v>252</v>
      </c>
      <c r="I511" s="57"/>
      <c r="J511" s="57" t="s">
        <v>253</v>
      </c>
      <c r="K511" s="57" t="s">
        <v>266</v>
      </c>
      <c r="L511" s="57" t="s">
        <v>434</v>
      </c>
      <c r="M511" s="57" t="s">
        <v>255</v>
      </c>
      <c r="N511" s="57" t="s">
        <v>268</v>
      </c>
      <c r="O511" s="57" t="s">
        <v>1294</v>
      </c>
      <c r="P511" s="57" t="s">
        <v>1306</v>
      </c>
      <c r="Q511" s="57" t="s">
        <v>706</v>
      </c>
    </row>
    <row r="512" s="50" customFormat="true" ht="14.25" hidden="false" customHeight="true" outlineLevel="0" collapsed="false">
      <c r="A512" s="50" t="s">
        <v>493</v>
      </c>
      <c r="B512" s="57" t="s">
        <v>493</v>
      </c>
      <c r="C512" s="57" t="s">
        <v>496</v>
      </c>
      <c r="D512" s="58" t="n">
        <v>46061.2548611111</v>
      </c>
      <c r="E512" s="58" t="n">
        <v>46061.2548611111</v>
      </c>
      <c r="F512" s="58" t="n">
        <v>46061.3194444444</v>
      </c>
      <c r="G512" s="59" t="n">
        <f aca="false">F512-E512</f>
        <v>0.0645833332986111</v>
      </c>
      <c r="H512" s="57" t="s">
        <v>252</v>
      </c>
      <c r="I512" s="57"/>
      <c r="J512" s="57" t="s">
        <v>253</v>
      </c>
      <c r="K512" s="57" t="s">
        <v>266</v>
      </c>
      <c r="L512" s="57" t="s">
        <v>434</v>
      </c>
      <c r="M512" s="57" t="s">
        <v>255</v>
      </c>
      <c r="N512" s="57" t="s">
        <v>268</v>
      </c>
      <c r="O512" s="57" t="s">
        <v>1294</v>
      </c>
      <c r="P512" s="57" t="s">
        <v>1307</v>
      </c>
      <c r="Q512" s="57" t="s">
        <v>706</v>
      </c>
    </row>
    <row r="513" s="50" customFormat="true" ht="14.25" hidden="false" customHeight="true" outlineLevel="0" collapsed="false">
      <c r="A513" s="50" t="s">
        <v>497</v>
      </c>
      <c r="B513" s="57" t="s">
        <v>497</v>
      </c>
      <c r="C513" s="57" t="s">
        <v>327</v>
      </c>
      <c r="D513" s="58" t="n">
        <v>46061.2548611111</v>
      </c>
      <c r="E513" s="58" t="n">
        <v>46061.2548611111</v>
      </c>
      <c r="F513" s="58" t="n">
        <v>46061.3194444444</v>
      </c>
      <c r="G513" s="59" t="n">
        <f aca="false">F513-E513</f>
        <v>0.0645833332986111</v>
      </c>
      <c r="H513" s="57" t="s">
        <v>252</v>
      </c>
      <c r="I513" s="57"/>
      <c r="J513" s="57" t="s">
        <v>253</v>
      </c>
      <c r="K513" s="57" t="s">
        <v>266</v>
      </c>
      <c r="L513" s="57" t="s">
        <v>434</v>
      </c>
      <c r="M513" s="57" t="s">
        <v>255</v>
      </c>
      <c r="N513" s="57" t="s">
        <v>268</v>
      </c>
      <c r="O513" s="57" t="s">
        <v>1294</v>
      </c>
      <c r="P513" s="57" t="s">
        <v>1308</v>
      </c>
      <c r="Q513" s="57" t="s">
        <v>706</v>
      </c>
    </row>
    <row r="514" s="50" customFormat="true" ht="14.25" hidden="false" customHeight="true" outlineLevel="0" collapsed="false">
      <c r="A514" s="50" t="s">
        <v>497</v>
      </c>
      <c r="B514" s="57" t="s">
        <v>497</v>
      </c>
      <c r="C514" s="57" t="s">
        <v>328</v>
      </c>
      <c r="D514" s="58" t="n">
        <v>46061.2548611111</v>
      </c>
      <c r="E514" s="58" t="n">
        <v>46061.2548611111</v>
      </c>
      <c r="F514" s="58" t="n">
        <v>46061.3194444444</v>
      </c>
      <c r="G514" s="59" t="n">
        <f aca="false">F514-E514</f>
        <v>0.0645833332986111</v>
      </c>
      <c r="H514" s="57" t="s">
        <v>252</v>
      </c>
      <c r="I514" s="57"/>
      <c r="J514" s="57" t="s">
        <v>253</v>
      </c>
      <c r="K514" s="57" t="s">
        <v>266</v>
      </c>
      <c r="L514" s="57" t="s">
        <v>434</v>
      </c>
      <c r="M514" s="57" t="s">
        <v>255</v>
      </c>
      <c r="N514" s="57" t="s">
        <v>268</v>
      </c>
      <c r="O514" s="57" t="s">
        <v>1294</v>
      </c>
      <c r="P514" s="57" t="s">
        <v>1309</v>
      </c>
      <c r="Q514" s="57" t="s">
        <v>706</v>
      </c>
    </row>
    <row r="515" s="50" customFormat="true" ht="14.25" hidden="false" customHeight="true" outlineLevel="0" collapsed="false">
      <c r="A515" s="50" t="s">
        <v>497</v>
      </c>
      <c r="B515" s="57" t="s">
        <v>497</v>
      </c>
      <c r="C515" s="57" t="s">
        <v>428</v>
      </c>
      <c r="D515" s="58" t="n">
        <v>46061.2548611111</v>
      </c>
      <c r="E515" s="58" t="n">
        <v>46061.2548611111</v>
      </c>
      <c r="F515" s="58" t="n">
        <v>46061.3194444444</v>
      </c>
      <c r="G515" s="59" t="n">
        <f aca="false">F515-E515</f>
        <v>0.0645833332986111</v>
      </c>
      <c r="H515" s="57" t="s">
        <v>252</v>
      </c>
      <c r="I515" s="57"/>
      <c r="J515" s="57" t="s">
        <v>253</v>
      </c>
      <c r="K515" s="57" t="s">
        <v>266</v>
      </c>
      <c r="L515" s="57" t="s">
        <v>434</v>
      </c>
      <c r="M515" s="57" t="s">
        <v>255</v>
      </c>
      <c r="N515" s="57" t="s">
        <v>268</v>
      </c>
      <c r="O515" s="57" t="s">
        <v>1294</v>
      </c>
      <c r="P515" s="57" t="s">
        <v>1310</v>
      </c>
      <c r="Q515" s="57" t="s">
        <v>706</v>
      </c>
    </row>
    <row r="516" s="50" customFormat="true" ht="14.25" hidden="false" customHeight="true" outlineLevel="0" collapsed="false">
      <c r="A516" s="50" t="s">
        <v>497</v>
      </c>
      <c r="B516" s="57" t="s">
        <v>497</v>
      </c>
      <c r="C516" s="57" t="s">
        <v>498</v>
      </c>
      <c r="D516" s="58" t="n">
        <v>46061.2548611111</v>
      </c>
      <c r="E516" s="58" t="n">
        <v>46061.2548611111</v>
      </c>
      <c r="F516" s="58" t="n">
        <v>46061.3194444444</v>
      </c>
      <c r="G516" s="59" t="n">
        <f aca="false">F516-E516</f>
        <v>0.0645833332986111</v>
      </c>
      <c r="H516" s="57" t="s">
        <v>252</v>
      </c>
      <c r="I516" s="57"/>
      <c r="J516" s="57" t="s">
        <v>253</v>
      </c>
      <c r="K516" s="57" t="s">
        <v>266</v>
      </c>
      <c r="L516" s="57" t="s">
        <v>434</v>
      </c>
      <c r="M516" s="57" t="s">
        <v>255</v>
      </c>
      <c r="N516" s="57" t="s">
        <v>268</v>
      </c>
      <c r="O516" s="57" t="s">
        <v>1294</v>
      </c>
      <c r="P516" s="57" t="s">
        <v>1311</v>
      </c>
      <c r="Q516" s="57" t="s">
        <v>706</v>
      </c>
    </row>
    <row r="517" s="50" customFormat="true" ht="14.25" hidden="false" customHeight="true" outlineLevel="0" collapsed="false">
      <c r="A517" s="50" t="s">
        <v>497</v>
      </c>
      <c r="B517" s="57" t="s">
        <v>497</v>
      </c>
      <c r="C517" s="57" t="s">
        <v>499</v>
      </c>
      <c r="D517" s="58" t="n">
        <v>46061.2548611111</v>
      </c>
      <c r="E517" s="58" t="n">
        <v>46061.2548611111</v>
      </c>
      <c r="F517" s="58" t="n">
        <v>46061.3194444444</v>
      </c>
      <c r="G517" s="59" t="n">
        <f aca="false">F517-E517</f>
        <v>0.0645833332986111</v>
      </c>
      <c r="H517" s="57" t="s">
        <v>252</v>
      </c>
      <c r="I517" s="57"/>
      <c r="J517" s="57" t="s">
        <v>253</v>
      </c>
      <c r="K517" s="57" t="s">
        <v>266</v>
      </c>
      <c r="L517" s="57" t="s">
        <v>434</v>
      </c>
      <c r="M517" s="57" t="s">
        <v>255</v>
      </c>
      <c r="N517" s="57" t="s">
        <v>268</v>
      </c>
      <c r="O517" s="57" t="s">
        <v>1294</v>
      </c>
      <c r="P517" s="57" t="s">
        <v>1312</v>
      </c>
      <c r="Q517" s="57" t="s">
        <v>706</v>
      </c>
    </row>
    <row r="518" s="50" customFormat="true" ht="14.25" hidden="false" customHeight="true" outlineLevel="0" collapsed="false">
      <c r="A518" s="50" t="s">
        <v>500</v>
      </c>
      <c r="B518" s="57" t="s">
        <v>500</v>
      </c>
      <c r="C518" s="57" t="s">
        <v>488</v>
      </c>
      <c r="D518" s="58" t="n">
        <v>46061.2548611111</v>
      </c>
      <c r="E518" s="58" t="n">
        <v>46061.2548611111</v>
      </c>
      <c r="F518" s="58" t="n">
        <v>46061.3194444444</v>
      </c>
      <c r="G518" s="59" t="n">
        <f aca="false">F518-E518</f>
        <v>0.0645833332986111</v>
      </c>
      <c r="H518" s="57" t="s">
        <v>252</v>
      </c>
      <c r="I518" s="57"/>
      <c r="J518" s="57" t="s">
        <v>253</v>
      </c>
      <c r="K518" s="57" t="s">
        <v>266</v>
      </c>
      <c r="L518" s="57" t="s">
        <v>434</v>
      </c>
      <c r="M518" s="57" t="s">
        <v>255</v>
      </c>
      <c r="N518" s="57" t="s">
        <v>268</v>
      </c>
      <c r="O518" s="57" t="s">
        <v>1294</v>
      </c>
      <c r="P518" s="57" t="s">
        <v>1313</v>
      </c>
      <c r="Q518" s="57" t="s">
        <v>706</v>
      </c>
    </row>
    <row r="519" s="50" customFormat="true" ht="14.25" hidden="false" customHeight="true" outlineLevel="0" collapsed="false">
      <c r="A519" s="50" t="s">
        <v>500</v>
      </c>
      <c r="B519" s="57" t="s">
        <v>500</v>
      </c>
      <c r="C519" s="57" t="s">
        <v>489</v>
      </c>
      <c r="D519" s="58" t="n">
        <v>46061.2548611111</v>
      </c>
      <c r="E519" s="58" t="n">
        <v>46061.2548611111</v>
      </c>
      <c r="F519" s="58" t="n">
        <v>46061.3194444444</v>
      </c>
      <c r="G519" s="59" t="n">
        <f aca="false">F519-E519</f>
        <v>0.0645833332986111</v>
      </c>
      <c r="H519" s="57" t="s">
        <v>252</v>
      </c>
      <c r="I519" s="57"/>
      <c r="J519" s="57" t="s">
        <v>253</v>
      </c>
      <c r="K519" s="57" t="s">
        <v>266</v>
      </c>
      <c r="L519" s="57" t="s">
        <v>434</v>
      </c>
      <c r="M519" s="57" t="s">
        <v>255</v>
      </c>
      <c r="N519" s="57" t="s">
        <v>268</v>
      </c>
      <c r="O519" s="57" t="s">
        <v>1294</v>
      </c>
      <c r="P519" s="57" t="s">
        <v>1314</v>
      </c>
      <c r="Q519" s="57" t="s">
        <v>706</v>
      </c>
    </row>
    <row r="520" s="50" customFormat="true" ht="14.25" hidden="false" customHeight="true" outlineLevel="0" collapsed="false">
      <c r="A520" s="50" t="s">
        <v>500</v>
      </c>
      <c r="B520" s="57" t="s">
        <v>500</v>
      </c>
      <c r="C520" s="57" t="s">
        <v>490</v>
      </c>
      <c r="D520" s="58" t="n">
        <v>46061.2548611111</v>
      </c>
      <c r="E520" s="58" t="n">
        <v>46061.2548611111</v>
      </c>
      <c r="F520" s="58" t="n">
        <v>46061.3194444444</v>
      </c>
      <c r="G520" s="59" t="n">
        <f aca="false">F520-E520</f>
        <v>0.0645833332986111</v>
      </c>
      <c r="H520" s="57" t="s">
        <v>252</v>
      </c>
      <c r="I520" s="57"/>
      <c r="J520" s="57" t="s">
        <v>253</v>
      </c>
      <c r="K520" s="57" t="s">
        <v>266</v>
      </c>
      <c r="L520" s="57" t="s">
        <v>434</v>
      </c>
      <c r="M520" s="57" t="s">
        <v>255</v>
      </c>
      <c r="N520" s="57" t="s">
        <v>268</v>
      </c>
      <c r="O520" s="57" t="s">
        <v>1294</v>
      </c>
      <c r="P520" s="57" t="s">
        <v>1315</v>
      </c>
      <c r="Q520" s="57" t="s">
        <v>706</v>
      </c>
    </row>
    <row r="521" s="50" customFormat="true" ht="14.25" hidden="false" customHeight="true" outlineLevel="0" collapsed="false">
      <c r="A521" s="50" t="s">
        <v>500</v>
      </c>
      <c r="B521" s="57" t="s">
        <v>500</v>
      </c>
      <c r="C521" s="57" t="s">
        <v>491</v>
      </c>
      <c r="D521" s="58" t="n">
        <v>46061.2548611111</v>
      </c>
      <c r="E521" s="58" t="n">
        <v>46061.2548611111</v>
      </c>
      <c r="F521" s="58" t="n">
        <v>46061.3194444444</v>
      </c>
      <c r="G521" s="59" t="n">
        <f aca="false">F521-E521</f>
        <v>0.0645833332986111</v>
      </c>
      <c r="H521" s="57" t="s">
        <v>252</v>
      </c>
      <c r="I521" s="57"/>
      <c r="J521" s="57" t="s">
        <v>253</v>
      </c>
      <c r="K521" s="57" t="s">
        <v>266</v>
      </c>
      <c r="L521" s="57" t="s">
        <v>434</v>
      </c>
      <c r="M521" s="57" t="s">
        <v>255</v>
      </c>
      <c r="N521" s="57" t="s">
        <v>268</v>
      </c>
      <c r="O521" s="57" t="s">
        <v>1294</v>
      </c>
      <c r="P521" s="57" t="s">
        <v>1316</v>
      </c>
      <c r="Q521" s="57" t="s">
        <v>706</v>
      </c>
    </row>
    <row r="522" s="50" customFormat="true" ht="14.25" hidden="false" customHeight="true" outlineLevel="0" collapsed="false">
      <c r="A522" s="50" t="s">
        <v>500</v>
      </c>
      <c r="B522" s="57" t="s">
        <v>500</v>
      </c>
      <c r="C522" s="57" t="s">
        <v>492</v>
      </c>
      <c r="D522" s="58" t="n">
        <v>46061.2548611111</v>
      </c>
      <c r="E522" s="58" t="n">
        <v>46061.2548611111</v>
      </c>
      <c r="F522" s="58" t="n">
        <v>46061.3194444444</v>
      </c>
      <c r="G522" s="59" t="n">
        <f aca="false">F522-E522</f>
        <v>0.0645833332986111</v>
      </c>
      <c r="H522" s="57" t="s">
        <v>252</v>
      </c>
      <c r="I522" s="57"/>
      <c r="J522" s="57" t="s">
        <v>253</v>
      </c>
      <c r="K522" s="57" t="s">
        <v>266</v>
      </c>
      <c r="L522" s="57" t="s">
        <v>434</v>
      </c>
      <c r="M522" s="57" t="s">
        <v>255</v>
      </c>
      <c r="N522" s="57" t="s">
        <v>268</v>
      </c>
      <c r="O522" s="57" t="s">
        <v>1294</v>
      </c>
      <c r="P522" s="57" t="s">
        <v>1317</v>
      </c>
      <c r="Q522" s="57" t="s">
        <v>706</v>
      </c>
    </row>
    <row r="523" s="50" customFormat="true" ht="14.25" hidden="false" customHeight="true" outlineLevel="0" collapsed="false">
      <c r="A523" s="50" t="s">
        <v>718</v>
      </c>
      <c r="B523" s="57" t="s">
        <v>331</v>
      </c>
      <c r="C523" s="57" t="s">
        <v>654</v>
      </c>
      <c r="D523" s="58" t="n">
        <v>46061.5208333333</v>
      </c>
      <c r="E523" s="58" t="n">
        <v>46061.5208333333</v>
      </c>
      <c r="F523" s="58" t="n">
        <v>46061.6215277778</v>
      </c>
      <c r="G523" s="59" t="n">
        <f aca="false">F523-E523</f>
        <v>0.100694444502315</v>
      </c>
      <c r="H523" s="57" t="s">
        <v>252</v>
      </c>
      <c r="I523" s="57"/>
      <c r="J523" s="57" t="s">
        <v>333</v>
      </c>
      <c r="K523" s="57" t="s">
        <v>334</v>
      </c>
      <c r="L523" s="57" t="s">
        <v>335</v>
      </c>
      <c r="M523" s="57" t="s">
        <v>336</v>
      </c>
      <c r="N523" s="57" t="s">
        <v>289</v>
      </c>
      <c r="O523" s="57" t="s">
        <v>719</v>
      </c>
      <c r="P523" s="57" t="s">
        <v>1318</v>
      </c>
      <c r="Q523" s="57" t="s">
        <v>698</v>
      </c>
    </row>
    <row r="524" s="50" customFormat="true" ht="14.25" hidden="false" customHeight="true" outlineLevel="0" collapsed="false">
      <c r="A524" s="50" t="s">
        <v>177</v>
      </c>
      <c r="B524" s="57" t="s">
        <v>177</v>
      </c>
      <c r="C524" s="57" t="s">
        <v>326</v>
      </c>
      <c r="D524" s="58" t="n">
        <v>46061.8402777778</v>
      </c>
      <c r="E524" s="58" t="n">
        <v>46061.8402777778</v>
      </c>
      <c r="F524" s="58" t="n">
        <v>46061.9513888889</v>
      </c>
      <c r="G524" s="59" t="n">
        <f aca="false">F524-E524</f>
        <v>0.111111111099537</v>
      </c>
      <c r="H524" s="57" t="s">
        <v>252</v>
      </c>
      <c r="I524" s="57"/>
      <c r="J524" s="57" t="s">
        <v>253</v>
      </c>
      <c r="K524" s="57" t="s">
        <v>266</v>
      </c>
      <c r="L524" s="57" t="s">
        <v>1319</v>
      </c>
      <c r="M524" s="57" t="s">
        <v>255</v>
      </c>
      <c r="N524" s="57" t="s">
        <v>268</v>
      </c>
      <c r="O524" s="57" t="s">
        <v>1320</v>
      </c>
      <c r="P524" s="57" t="s">
        <v>1321</v>
      </c>
      <c r="Q524" s="57" t="s">
        <v>706</v>
      </c>
    </row>
    <row r="525" s="50" customFormat="true" ht="14.25" hidden="false" customHeight="true" outlineLevel="0" collapsed="false">
      <c r="A525" s="50" t="s">
        <v>177</v>
      </c>
      <c r="B525" s="57" t="s">
        <v>177</v>
      </c>
      <c r="C525" s="57" t="s">
        <v>327</v>
      </c>
      <c r="D525" s="58" t="n">
        <v>46061.8402777778</v>
      </c>
      <c r="E525" s="58" t="n">
        <v>46061.8402777778</v>
      </c>
      <c r="F525" s="58" t="n">
        <v>46061.9513888889</v>
      </c>
      <c r="G525" s="59" t="n">
        <f aca="false">F525-E525</f>
        <v>0.111111111099537</v>
      </c>
      <c r="H525" s="57" t="s">
        <v>252</v>
      </c>
      <c r="I525" s="57"/>
      <c r="J525" s="57" t="s">
        <v>253</v>
      </c>
      <c r="K525" s="57" t="s">
        <v>266</v>
      </c>
      <c r="L525" s="57" t="s">
        <v>1319</v>
      </c>
      <c r="M525" s="57" t="s">
        <v>255</v>
      </c>
      <c r="N525" s="57" t="s">
        <v>268</v>
      </c>
      <c r="O525" s="57" t="s">
        <v>1320</v>
      </c>
      <c r="P525" s="57" t="s">
        <v>1322</v>
      </c>
      <c r="Q525" s="57" t="s">
        <v>706</v>
      </c>
    </row>
    <row r="526" s="50" customFormat="true" ht="14.25" hidden="false" customHeight="true" outlineLevel="0" collapsed="false">
      <c r="A526" s="50" t="s">
        <v>177</v>
      </c>
      <c r="B526" s="57" t="s">
        <v>177</v>
      </c>
      <c r="C526" s="57" t="s">
        <v>324</v>
      </c>
      <c r="D526" s="58" t="n">
        <v>46061.8402777778</v>
      </c>
      <c r="E526" s="58" t="n">
        <v>46061.8402777778</v>
      </c>
      <c r="F526" s="58" t="n">
        <v>46061.9513888889</v>
      </c>
      <c r="G526" s="59" t="n">
        <f aca="false">F526-E526</f>
        <v>0.111111111099537</v>
      </c>
      <c r="H526" s="57" t="s">
        <v>252</v>
      </c>
      <c r="I526" s="57"/>
      <c r="J526" s="57" t="s">
        <v>253</v>
      </c>
      <c r="K526" s="57" t="s">
        <v>266</v>
      </c>
      <c r="L526" s="57" t="s">
        <v>1319</v>
      </c>
      <c r="M526" s="57" t="s">
        <v>255</v>
      </c>
      <c r="N526" s="57" t="s">
        <v>268</v>
      </c>
      <c r="O526" s="57" t="s">
        <v>1320</v>
      </c>
      <c r="P526" s="57" t="s">
        <v>1323</v>
      </c>
      <c r="Q526" s="57" t="s">
        <v>706</v>
      </c>
    </row>
    <row r="527" s="50" customFormat="true" ht="14.25" hidden="false" customHeight="true" outlineLevel="0" collapsed="false">
      <c r="A527" s="50" t="s">
        <v>177</v>
      </c>
      <c r="B527" s="57" t="s">
        <v>177</v>
      </c>
      <c r="C527" s="57" t="s">
        <v>328</v>
      </c>
      <c r="D527" s="58" t="n">
        <v>46061.8402777778</v>
      </c>
      <c r="E527" s="58" t="n">
        <v>46061.8402777778</v>
      </c>
      <c r="F527" s="58" t="n">
        <v>46061.9513888889</v>
      </c>
      <c r="G527" s="59" t="n">
        <f aca="false">F527-E527</f>
        <v>0.111111111099537</v>
      </c>
      <c r="H527" s="57" t="s">
        <v>252</v>
      </c>
      <c r="I527" s="57"/>
      <c r="J527" s="57" t="s">
        <v>253</v>
      </c>
      <c r="K527" s="57" t="s">
        <v>266</v>
      </c>
      <c r="L527" s="57" t="s">
        <v>1319</v>
      </c>
      <c r="M527" s="57" t="s">
        <v>255</v>
      </c>
      <c r="N527" s="57" t="s">
        <v>268</v>
      </c>
      <c r="O527" s="57" t="s">
        <v>1320</v>
      </c>
      <c r="P527" s="57" t="s">
        <v>1324</v>
      </c>
      <c r="Q527" s="57" t="s">
        <v>706</v>
      </c>
    </row>
    <row r="528" s="50" customFormat="true" ht="14.25" hidden="false" customHeight="true" outlineLevel="0" collapsed="false">
      <c r="A528" s="50" t="s">
        <v>467</v>
      </c>
      <c r="B528" s="57" t="s">
        <v>467</v>
      </c>
      <c r="C528" s="57" t="s">
        <v>468</v>
      </c>
      <c r="D528" s="58" t="n">
        <v>46062.0069444444</v>
      </c>
      <c r="E528" s="58" t="n">
        <v>46062.0069444444</v>
      </c>
      <c r="F528" s="58" t="n">
        <v>46062.4513888889</v>
      </c>
      <c r="G528" s="59" t="n">
        <f aca="false">F528-E528</f>
        <v>0.444444444490741</v>
      </c>
      <c r="H528" s="57" t="s">
        <v>283</v>
      </c>
      <c r="I528" s="57" t="s">
        <v>284</v>
      </c>
      <c r="J528" s="57" t="s">
        <v>285</v>
      </c>
      <c r="K528" s="57" t="s">
        <v>286</v>
      </c>
      <c r="L528" s="57" t="s">
        <v>1325</v>
      </c>
      <c r="M528" s="57" t="s">
        <v>371</v>
      </c>
      <c r="N528" s="57" t="s">
        <v>502</v>
      </c>
      <c r="O528" s="57" t="s">
        <v>1326</v>
      </c>
      <c r="P528" s="57" t="s">
        <v>1327</v>
      </c>
      <c r="Q528" s="57" t="s">
        <v>694</v>
      </c>
    </row>
    <row r="529" s="50" customFormat="true" ht="14.25" hidden="false" customHeight="true" outlineLevel="0" collapsed="false">
      <c r="A529" s="50" t="s">
        <v>467</v>
      </c>
      <c r="B529" s="57" t="s">
        <v>467</v>
      </c>
      <c r="C529" s="57" t="s">
        <v>470</v>
      </c>
      <c r="D529" s="58" t="n">
        <v>46062.0069444444</v>
      </c>
      <c r="E529" s="58" t="n">
        <v>46062.0069444444</v>
      </c>
      <c r="F529" s="58" t="n">
        <v>46062.4513888889</v>
      </c>
      <c r="G529" s="59" t="n">
        <f aca="false">F529-E529</f>
        <v>0.444444444490741</v>
      </c>
      <c r="H529" s="57" t="s">
        <v>283</v>
      </c>
      <c r="I529" s="57" t="s">
        <v>284</v>
      </c>
      <c r="J529" s="57" t="s">
        <v>285</v>
      </c>
      <c r="K529" s="57" t="s">
        <v>286</v>
      </c>
      <c r="L529" s="57" t="s">
        <v>1325</v>
      </c>
      <c r="M529" s="57" t="s">
        <v>371</v>
      </c>
      <c r="N529" s="57" t="s">
        <v>502</v>
      </c>
      <c r="O529" s="57" t="s">
        <v>1326</v>
      </c>
      <c r="P529" s="57" t="s">
        <v>1328</v>
      </c>
      <c r="Q529" s="57" t="s">
        <v>694</v>
      </c>
    </row>
    <row r="530" s="50" customFormat="true" ht="14.25" hidden="false" customHeight="true" outlineLevel="0" collapsed="false">
      <c r="A530" s="50" t="s">
        <v>467</v>
      </c>
      <c r="B530" s="57" t="s">
        <v>467</v>
      </c>
      <c r="C530" s="57" t="s">
        <v>471</v>
      </c>
      <c r="D530" s="58" t="n">
        <v>46062.0069444444</v>
      </c>
      <c r="E530" s="58" t="n">
        <v>46062.0069444444</v>
      </c>
      <c r="F530" s="58" t="n">
        <v>46062.4513888889</v>
      </c>
      <c r="G530" s="59" t="n">
        <f aca="false">F530-E530</f>
        <v>0.444444444490741</v>
      </c>
      <c r="H530" s="57" t="s">
        <v>283</v>
      </c>
      <c r="I530" s="57" t="s">
        <v>284</v>
      </c>
      <c r="J530" s="57" t="s">
        <v>285</v>
      </c>
      <c r="K530" s="57" t="s">
        <v>286</v>
      </c>
      <c r="L530" s="57" t="s">
        <v>1325</v>
      </c>
      <c r="M530" s="57" t="s">
        <v>371</v>
      </c>
      <c r="N530" s="57" t="s">
        <v>502</v>
      </c>
      <c r="O530" s="57" t="s">
        <v>1326</v>
      </c>
      <c r="P530" s="57" t="s">
        <v>1329</v>
      </c>
      <c r="Q530" s="57" t="s">
        <v>694</v>
      </c>
    </row>
    <row r="531" s="50" customFormat="true" ht="14.25" hidden="false" customHeight="true" outlineLevel="0" collapsed="false">
      <c r="A531" s="50" t="s">
        <v>467</v>
      </c>
      <c r="B531" s="57" t="s">
        <v>467</v>
      </c>
      <c r="C531" s="57" t="s">
        <v>472</v>
      </c>
      <c r="D531" s="58" t="n">
        <v>46062.0069444444</v>
      </c>
      <c r="E531" s="58" t="n">
        <v>46062.0069444444</v>
      </c>
      <c r="F531" s="58" t="n">
        <v>46062.4513888889</v>
      </c>
      <c r="G531" s="59" t="n">
        <f aca="false">F531-E531</f>
        <v>0.444444444490741</v>
      </c>
      <c r="H531" s="57" t="s">
        <v>283</v>
      </c>
      <c r="I531" s="57" t="s">
        <v>284</v>
      </c>
      <c r="J531" s="57" t="s">
        <v>285</v>
      </c>
      <c r="K531" s="57" t="s">
        <v>286</v>
      </c>
      <c r="L531" s="57" t="s">
        <v>1325</v>
      </c>
      <c r="M531" s="57" t="s">
        <v>371</v>
      </c>
      <c r="N531" s="57" t="s">
        <v>502</v>
      </c>
      <c r="O531" s="57" t="s">
        <v>1326</v>
      </c>
      <c r="P531" s="57" t="s">
        <v>1330</v>
      </c>
      <c r="Q531" s="57" t="s">
        <v>694</v>
      </c>
    </row>
    <row r="532" s="50" customFormat="true" ht="14.25" hidden="false" customHeight="true" outlineLevel="0" collapsed="false">
      <c r="A532" s="50" t="s">
        <v>467</v>
      </c>
      <c r="B532" s="57" t="s">
        <v>467</v>
      </c>
      <c r="C532" s="57" t="s">
        <v>473</v>
      </c>
      <c r="D532" s="58" t="n">
        <v>46062.0069444444</v>
      </c>
      <c r="E532" s="58" t="n">
        <v>46062.0069444444</v>
      </c>
      <c r="F532" s="58" t="n">
        <v>46062.4513888889</v>
      </c>
      <c r="G532" s="59" t="n">
        <f aca="false">F532-E532</f>
        <v>0.444444444490741</v>
      </c>
      <c r="H532" s="57" t="s">
        <v>283</v>
      </c>
      <c r="I532" s="57" t="s">
        <v>284</v>
      </c>
      <c r="J532" s="57" t="s">
        <v>285</v>
      </c>
      <c r="K532" s="57" t="s">
        <v>286</v>
      </c>
      <c r="L532" s="57" t="s">
        <v>1325</v>
      </c>
      <c r="M532" s="57" t="s">
        <v>371</v>
      </c>
      <c r="N532" s="57" t="s">
        <v>502</v>
      </c>
      <c r="O532" s="57" t="s">
        <v>1326</v>
      </c>
      <c r="P532" s="57" t="s">
        <v>1331</v>
      </c>
      <c r="Q532" s="57" t="s">
        <v>694</v>
      </c>
    </row>
    <row r="533" s="50" customFormat="true" ht="14.25" hidden="false" customHeight="true" outlineLevel="0" collapsed="false">
      <c r="A533" s="50" t="s">
        <v>519</v>
      </c>
      <c r="B533" s="57" t="s">
        <v>519</v>
      </c>
      <c r="C533" s="57" t="s">
        <v>411</v>
      </c>
      <c r="D533" s="58" t="n">
        <v>46062.0069444444</v>
      </c>
      <c r="E533" s="58" t="n">
        <v>46062.0069444444</v>
      </c>
      <c r="F533" s="58" t="n">
        <v>46062.4513888889</v>
      </c>
      <c r="G533" s="59" t="n">
        <f aca="false">F533-E533</f>
        <v>0.444444444490741</v>
      </c>
      <c r="H533" s="57" t="s">
        <v>283</v>
      </c>
      <c r="I533" s="57" t="s">
        <v>284</v>
      </c>
      <c r="J533" s="57" t="s">
        <v>285</v>
      </c>
      <c r="K533" s="57" t="s">
        <v>286</v>
      </c>
      <c r="L533" s="57" t="s">
        <v>1325</v>
      </c>
      <c r="M533" s="57" t="s">
        <v>371</v>
      </c>
      <c r="N533" s="57" t="s">
        <v>502</v>
      </c>
      <c r="O533" s="57" t="s">
        <v>1326</v>
      </c>
      <c r="P533" s="57" t="s">
        <v>1332</v>
      </c>
      <c r="Q533" s="57" t="s">
        <v>694</v>
      </c>
    </row>
    <row r="534" s="50" customFormat="true" ht="14.25" hidden="false" customHeight="true" outlineLevel="0" collapsed="false">
      <c r="A534" s="50" t="s">
        <v>519</v>
      </c>
      <c r="B534" s="57" t="s">
        <v>519</v>
      </c>
      <c r="C534" s="57" t="s">
        <v>414</v>
      </c>
      <c r="D534" s="58" t="n">
        <v>46062.0069444444</v>
      </c>
      <c r="E534" s="58" t="n">
        <v>46062.0069444444</v>
      </c>
      <c r="F534" s="58" t="n">
        <v>46062.4513888889</v>
      </c>
      <c r="G534" s="59" t="n">
        <f aca="false">F534-E534</f>
        <v>0.444444444490741</v>
      </c>
      <c r="H534" s="57" t="s">
        <v>283</v>
      </c>
      <c r="I534" s="57" t="s">
        <v>284</v>
      </c>
      <c r="J534" s="57" t="s">
        <v>285</v>
      </c>
      <c r="K534" s="57" t="s">
        <v>286</v>
      </c>
      <c r="L534" s="57" t="s">
        <v>1325</v>
      </c>
      <c r="M534" s="57" t="s">
        <v>371</v>
      </c>
      <c r="N534" s="57" t="s">
        <v>502</v>
      </c>
      <c r="O534" s="57" t="s">
        <v>1326</v>
      </c>
      <c r="P534" s="57" t="s">
        <v>1333</v>
      </c>
      <c r="Q534" s="57" t="s">
        <v>694</v>
      </c>
    </row>
    <row r="535" s="50" customFormat="true" ht="14.25" hidden="false" customHeight="true" outlineLevel="0" collapsed="false">
      <c r="A535" s="50" t="s">
        <v>519</v>
      </c>
      <c r="B535" s="57" t="s">
        <v>519</v>
      </c>
      <c r="C535" s="57" t="s">
        <v>415</v>
      </c>
      <c r="D535" s="58" t="n">
        <v>46062.0069444444</v>
      </c>
      <c r="E535" s="58" t="n">
        <v>46062.0069444444</v>
      </c>
      <c r="F535" s="58" t="n">
        <v>46062.4513888889</v>
      </c>
      <c r="G535" s="59" t="n">
        <f aca="false">F535-E535</f>
        <v>0.444444444490741</v>
      </c>
      <c r="H535" s="57" t="s">
        <v>283</v>
      </c>
      <c r="I535" s="57" t="s">
        <v>284</v>
      </c>
      <c r="J535" s="57" t="s">
        <v>285</v>
      </c>
      <c r="K535" s="57" t="s">
        <v>286</v>
      </c>
      <c r="L535" s="57" t="s">
        <v>1325</v>
      </c>
      <c r="M535" s="57" t="s">
        <v>371</v>
      </c>
      <c r="N535" s="57" t="s">
        <v>502</v>
      </c>
      <c r="O535" s="57" t="s">
        <v>1326</v>
      </c>
      <c r="P535" s="57" t="s">
        <v>1334</v>
      </c>
      <c r="Q535" s="57" t="s">
        <v>694</v>
      </c>
    </row>
    <row r="536" s="50" customFormat="true" ht="14.25" hidden="false" customHeight="true" outlineLevel="0" collapsed="false">
      <c r="A536" s="50" t="s">
        <v>519</v>
      </c>
      <c r="B536" s="57" t="s">
        <v>519</v>
      </c>
      <c r="C536" s="57" t="s">
        <v>416</v>
      </c>
      <c r="D536" s="58" t="n">
        <v>46062.0069444444</v>
      </c>
      <c r="E536" s="58" t="n">
        <v>46062.0069444444</v>
      </c>
      <c r="F536" s="58" t="n">
        <v>46062.4513888889</v>
      </c>
      <c r="G536" s="59" t="n">
        <f aca="false">F536-E536</f>
        <v>0.444444444490741</v>
      </c>
      <c r="H536" s="57" t="s">
        <v>283</v>
      </c>
      <c r="I536" s="57" t="s">
        <v>284</v>
      </c>
      <c r="J536" s="57" t="s">
        <v>285</v>
      </c>
      <c r="K536" s="57" t="s">
        <v>286</v>
      </c>
      <c r="L536" s="57" t="s">
        <v>1325</v>
      </c>
      <c r="M536" s="57" t="s">
        <v>371</v>
      </c>
      <c r="N536" s="57" t="s">
        <v>502</v>
      </c>
      <c r="O536" s="57" t="s">
        <v>1326</v>
      </c>
      <c r="P536" s="57" t="s">
        <v>1335</v>
      </c>
      <c r="Q536" s="57" t="s">
        <v>694</v>
      </c>
    </row>
    <row r="537" s="50" customFormat="true" ht="14.25" hidden="false" customHeight="true" outlineLevel="0" collapsed="false">
      <c r="A537" s="50" t="s">
        <v>519</v>
      </c>
      <c r="B537" s="57" t="s">
        <v>519</v>
      </c>
      <c r="C537" s="57" t="s">
        <v>417</v>
      </c>
      <c r="D537" s="58" t="n">
        <v>46062.0069444444</v>
      </c>
      <c r="E537" s="58" t="n">
        <v>46062.0069444444</v>
      </c>
      <c r="F537" s="58" t="n">
        <v>46062.4513888889</v>
      </c>
      <c r="G537" s="59" t="n">
        <f aca="false">F537-E537</f>
        <v>0.444444444490741</v>
      </c>
      <c r="H537" s="57" t="s">
        <v>283</v>
      </c>
      <c r="I537" s="57" t="s">
        <v>284</v>
      </c>
      <c r="J537" s="57" t="s">
        <v>285</v>
      </c>
      <c r="K537" s="57" t="s">
        <v>286</v>
      </c>
      <c r="L537" s="57" t="s">
        <v>1325</v>
      </c>
      <c r="M537" s="57" t="s">
        <v>371</v>
      </c>
      <c r="N537" s="57" t="s">
        <v>502</v>
      </c>
      <c r="O537" s="57" t="s">
        <v>1326</v>
      </c>
      <c r="P537" s="57" t="s">
        <v>1336</v>
      </c>
      <c r="Q537" s="57" t="s">
        <v>694</v>
      </c>
    </row>
    <row r="538" s="50" customFormat="true" ht="14.25" hidden="false" customHeight="true" outlineLevel="0" collapsed="false">
      <c r="A538" s="50" t="s">
        <v>727</v>
      </c>
      <c r="B538" s="57" t="s">
        <v>727</v>
      </c>
      <c r="C538" s="57" t="s">
        <v>265</v>
      </c>
      <c r="D538" s="58" t="n">
        <v>46062.0069444444</v>
      </c>
      <c r="E538" s="58" t="n">
        <v>46062.0069444444</v>
      </c>
      <c r="F538" s="58" t="n">
        <v>46062.4513888889</v>
      </c>
      <c r="G538" s="59" t="n">
        <f aca="false">F538-E538</f>
        <v>0.444444444490741</v>
      </c>
      <c r="H538" s="57" t="s">
        <v>283</v>
      </c>
      <c r="I538" s="57" t="s">
        <v>284</v>
      </c>
      <c r="J538" s="57" t="s">
        <v>285</v>
      </c>
      <c r="K538" s="57" t="s">
        <v>286</v>
      </c>
      <c r="L538" s="57" t="s">
        <v>1325</v>
      </c>
      <c r="M538" s="57" t="s">
        <v>371</v>
      </c>
      <c r="N538" s="57" t="s">
        <v>502</v>
      </c>
      <c r="O538" s="57" t="s">
        <v>1326</v>
      </c>
      <c r="P538" s="57" t="s">
        <v>1337</v>
      </c>
      <c r="Q538" s="57" t="s">
        <v>694</v>
      </c>
    </row>
    <row r="539" s="50" customFormat="true" ht="14.25" hidden="false" customHeight="true" outlineLevel="0" collapsed="false">
      <c r="A539" s="50" t="s">
        <v>727</v>
      </c>
      <c r="B539" s="57" t="s">
        <v>727</v>
      </c>
      <c r="C539" s="57" t="s">
        <v>1338</v>
      </c>
      <c r="D539" s="58" t="n">
        <v>46062.0069444444</v>
      </c>
      <c r="E539" s="58" t="n">
        <v>46062.0069444444</v>
      </c>
      <c r="F539" s="58" t="n">
        <v>46062.4513888889</v>
      </c>
      <c r="G539" s="59" t="n">
        <f aca="false">F539-E539</f>
        <v>0.444444444490741</v>
      </c>
      <c r="H539" s="57" t="s">
        <v>283</v>
      </c>
      <c r="I539" s="57" t="s">
        <v>284</v>
      </c>
      <c r="J539" s="57" t="s">
        <v>285</v>
      </c>
      <c r="K539" s="57" t="s">
        <v>286</v>
      </c>
      <c r="L539" s="57" t="s">
        <v>1325</v>
      </c>
      <c r="M539" s="57" t="s">
        <v>371</v>
      </c>
      <c r="N539" s="57" t="s">
        <v>502</v>
      </c>
      <c r="O539" s="57" t="s">
        <v>1326</v>
      </c>
      <c r="P539" s="57" t="s">
        <v>1339</v>
      </c>
      <c r="Q539" s="57" t="s">
        <v>694</v>
      </c>
    </row>
    <row r="540" s="50" customFormat="true" ht="14.25" hidden="false" customHeight="true" outlineLevel="0" collapsed="false">
      <c r="A540" s="50" t="s">
        <v>727</v>
      </c>
      <c r="B540" s="57" t="s">
        <v>727</v>
      </c>
      <c r="C540" s="57" t="s">
        <v>415</v>
      </c>
      <c r="D540" s="58" t="n">
        <v>46062.0069444444</v>
      </c>
      <c r="E540" s="58" t="n">
        <v>46062.0069444444</v>
      </c>
      <c r="F540" s="58" t="n">
        <v>46062.4513888889</v>
      </c>
      <c r="G540" s="59" t="n">
        <f aca="false">F540-E540</f>
        <v>0.444444444490741</v>
      </c>
      <c r="H540" s="57" t="s">
        <v>283</v>
      </c>
      <c r="I540" s="57" t="s">
        <v>284</v>
      </c>
      <c r="J540" s="57" t="s">
        <v>285</v>
      </c>
      <c r="K540" s="57" t="s">
        <v>286</v>
      </c>
      <c r="L540" s="57" t="s">
        <v>1325</v>
      </c>
      <c r="M540" s="57" t="s">
        <v>371</v>
      </c>
      <c r="N540" s="57" t="s">
        <v>502</v>
      </c>
      <c r="O540" s="57" t="s">
        <v>1326</v>
      </c>
      <c r="P540" s="57" t="s">
        <v>1340</v>
      </c>
      <c r="Q540" s="57" t="s">
        <v>694</v>
      </c>
    </row>
    <row r="541" s="50" customFormat="true" ht="14.25" hidden="false" customHeight="true" outlineLevel="0" collapsed="false">
      <c r="A541" s="50" t="s">
        <v>410</v>
      </c>
      <c r="B541" s="57" t="s">
        <v>410</v>
      </c>
      <c r="C541" s="57" t="s">
        <v>411</v>
      </c>
      <c r="D541" s="58" t="n">
        <v>46062.0069444444</v>
      </c>
      <c r="E541" s="58" t="n">
        <v>46062.0069444444</v>
      </c>
      <c r="F541" s="58" t="n">
        <v>46062.4513888889</v>
      </c>
      <c r="G541" s="59" t="n">
        <f aca="false">F541-E541</f>
        <v>0.444444444490741</v>
      </c>
      <c r="H541" s="57" t="s">
        <v>283</v>
      </c>
      <c r="I541" s="57" t="s">
        <v>284</v>
      </c>
      <c r="J541" s="57" t="s">
        <v>285</v>
      </c>
      <c r="K541" s="57" t="s">
        <v>286</v>
      </c>
      <c r="L541" s="57" t="s">
        <v>1325</v>
      </c>
      <c r="M541" s="57" t="s">
        <v>371</v>
      </c>
      <c r="N541" s="57" t="s">
        <v>502</v>
      </c>
      <c r="O541" s="57" t="s">
        <v>1326</v>
      </c>
      <c r="P541" s="57" t="s">
        <v>1341</v>
      </c>
      <c r="Q541" s="57" t="s">
        <v>694</v>
      </c>
    </row>
    <row r="542" s="50" customFormat="true" ht="14.25" hidden="false" customHeight="true" outlineLevel="0" collapsed="false">
      <c r="A542" s="50" t="s">
        <v>410</v>
      </c>
      <c r="B542" s="57" t="s">
        <v>410</v>
      </c>
      <c r="C542" s="57" t="s">
        <v>414</v>
      </c>
      <c r="D542" s="58" t="n">
        <v>46062.0069444444</v>
      </c>
      <c r="E542" s="58" t="n">
        <v>46062.0069444444</v>
      </c>
      <c r="F542" s="58" t="n">
        <v>46062.4513888889</v>
      </c>
      <c r="G542" s="59" t="n">
        <f aca="false">F542-E542</f>
        <v>0.444444444490741</v>
      </c>
      <c r="H542" s="57" t="s">
        <v>283</v>
      </c>
      <c r="I542" s="57" t="s">
        <v>284</v>
      </c>
      <c r="J542" s="57" t="s">
        <v>285</v>
      </c>
      <c r="K542" s="57" t="s">
        <v>286</v>
      </c>
      <c r="L542" s="57" t="s">
        <v>1325</v>
      </c>
      <c r="M542" s="57" t="s">
        <v>371</v>
      </c>
      <c r="N542" s="57" t="s">
        <v>502</v>
      </c>
      <c r="O542" s="57" t="s">
        <v>1326</v>
      </c>
      <c r="P542" s="57" t="s">
        <v>1342</v>
      </c>
      <c r="Q542" s="57" t="s">
        <v>694</v>
      </c>
    </row>
    <row r="543" s="50" customFormat="true" ht="14.25" hidden="false" customHeight="true" outlineLevel="0" collapsed="false">
      <c r="A543" s="50" t="s">
        <v>410</v>
      </c>
      <c r="B543" s="57" t="s">
        <v>410</v>
      </c>
      <c r="C543" s="57" t="s">
        <v>415</v>
      </c>
      <c r="D543" s="58" t="n">
        <v>46062.0069444444</v>
      </c>
      <c r="E543" s="58" t="n">
        <v>46062.0069444444</v>
      </c>
      <c r="F543" s="58" t="n">
        <v>46062.4513888889</v>
      </c>
      <c r="G543" s="59" t="n">
        <f aca="false">F543-E543</f>
        <v>0.444444444490741</v>
      </c>
      <c r="H543" s="57" t="s">
        <v>283</v>
      </c>
      <c r="I543" s="57" t="s">
        <v>284</v>
      </c>
      <c r="J543" s="57" t="s">
        <v>285</v>
      </c>
      <c r="K543" s="57" t="s">
        <v>286</v>
      </c>
      <c r="L543" s="57" t="s">
        <v>1325</v>
      </c>
      <c r="M543" s="57" t="s">
        <v>371</v>
      </c>
      <c r="N543" s="57" t="s">
        <v>502</v>
      </c>
      <c r="O543" s="57" t="s">
        <v>1326</v>
      </c>
      <c r="P543" s="57" t="s">
        <v>1343</v>
      </c>
      <c r="Q543" s="57" t="s">
        <v>694</v>
      </c>
    </row>
    <row r="544" s="50" customFormat="true" ht="14.25" hidden="false" customHeight="true" outlineLevel="0" collapsed="false">
      <c r="A544" s="50" t="s">
        <v>410</v>
      </c>
      <c r="B544" s="57" t="s">
        <v>410</v>
      </c>
      <c r="C544" s="57" t="s">
        <v>416</v>
      </c>
      <c r="D544" s="58" t="n">
        <v>46062.0069444444</v>
      </c>
      <c r="E544" s="58" t="n">
        <v>46062.0069444444</v>
      </c>
      <c r="F544" s="58" t="n">
        <v>46062.4513888889</v>
      </c>
      <c r="G544" s="59" t="n">
        <f aca="false">F544-E544</f>
        <v>0.444444444490741</v>
      </c>
      <c r="H544" s="57" t="s">
        <v>283</v>
      </c>
      <c r="I544" s="57" t="s">
        <v>284</v>
      </c>
      <c r="J544" s="57" t="s">
        <v>285</v>
      </c>
      <c r="K544" s="57" t="s">
        <v>286</v>
      </c>
      <c r="L544" s="57" t="s">
        <v>1325</v>
      </c>
      <c r="M544" s="57" t="s">
        <v>371</v>
      </c>
      <c r="N544" s="57" t="s">
        <v>502</v>
      </c>
      <c r="O544" s="57" t="s">
        <v>1326</v>
      </c>
      <c r="P544" s="57" t="s">
        <v>1344</v>
      </c>
      <c r="Q544" s="57" t="s">
        <v>694</v>
      </c>
    </row>
    <row r="545" s="50" customFormat="true" ht="14.25" hidden="false" customHeight="true" outlineLevel="0" collapsed="false">
      <c r="A545" s="50" t="s">
        <v>410</v>
      </c>
      <c r="B545" s="57" t="s">
        <v>410</v>
      </c>
      <c r="C545" s="57" t="s">
        <v>417</v>
      </c>
      <c r="D545" s="58" t="n">
        <v>46062.0069444444</v>
      </c>
      <c r="E545" s="58" t="n">
        <v>46062.0069444444</v>
      </c>
      <c r="F545" s="58" t="n">
        <v>46062.4513888889</v>
      </c>
      <c r="G545" s="59" t="n">
        <f aca="false">F545-E545</f>
        <v>0.444444444490741</v>
      </c>
      <c r="H545" s="57" t="s">
        <v>283</v>
      </c>
      <c r="I545" s="57" t="s">
        <v>284</v>
      </c>
      <c r="J545" s="57" t="s">
        <v>285</v>
      </c>
      <c r="K545" s="57" t="s">
        <v>286</v>
      </c>
      <c r="L545" s="57" t="s">
        <v>1325</v>
      </c>
      <c r="M545" s="57" t="s">
        <v>371</v>
      </c>
      <c r="N545" s="57" t="s">
        <v>502</v>
      </c>
      <c r="O545" s="57" t="s">
        <v>1326</v>
      </c>
      <c r="P545" s="57" t="s">
        <v>1345</v>
      </c>
      <c r="Q545" s="57" t="s">
        <v>694</v>
      </c>
    </row>
    <row r="546" s="50" customFormat="true" ht="14.25" hidden="false" customHeight="true" outlineLevel="0" collapsed="false">
      <c r="A546" s="50" t="s">
        <v>418</v>
      </c>
      <c r="B546" s="57" t="s">
        <v>418</v>
      </c>
      <c r="C546" s="57" t="s">
        <v>414</v>
      </c>
      <c r="D546" s="58" t="n">
        <v>46062.0069444444</v>
      </c>
      <c r="E546" s="58" t="n">
        <v>46062.0069444444</v>
      </c>
      <c r="F546" s="58" t="n">
        <v>46062.4513888889</v>
      </c>
      <c r="G546" s="59" t="n">
        <f aca="false">F546-E546</f>
        <v>0.444444444490741</v>
      </c>
      <c r="H546" s="57" t="s">
        <v>283</v>
      </c>
      <c r="I546" s="57" t="s">
        <v>284</v>
      </c>
      <c r="J546" s="57" t="s">
        <v>285</v>
      </c>
      <c r="K546" s="57" t="s">
        <v>286</v>
      </c>
      <c r="L546" s="57" t="s">
        <v>1325</v>
      </c>
      <c r="M546" s="57" t="s">
        <v>371</v>
      </c>
      <c r="N546" s="57" t="s">
        <v>502</v>
      </c>
      <c r="O546" s="57" t="s">
        <v>1326</v>
      </c>
      <c r="P546" s="57" t="s">
        <v>1346</v>
      </c>
      <c r="Q546" s="57" t="s">
        <v>694</v>
      </c>
    </row>
    <row r="547" s="50" customFormat="true" ht="14.25" hidden="false" customHeight="true" outlineLevel="0" collapsed="false">
      <c r="A547" s="50" t="s">
        <v>418</v>
      </c>
      <c r="B547" s="57" t="s">
        <v>418</v>
      </c>
      <c r="C547" s="57" t="s">
        <v>415</v>
      </c>
      <c r="D547" s="58" t="n">
        <v>46062.0069444444</v>
      </c>
      <c r="E547" s="58" t="n">
        <v>46062.0069444444</v>
      </c>
      <c r="F547" s="58" t="n">
        <v>46062.4513888889</v>
      </c>
      <c r="G547" s="59" t="n">
        <f aca="false">F547-E547</f>
        <v>0.444444444490741</v>
      </c>
      <c r="H547" s="57" t="s">
        <v>283</v>
      </c>
      <c r="I547" s="57" t="s">
        <v>284</v>
      </c>
      <c r="J547" s="57" t="s">
        <v>285</v>
      </c>
      <c r="K547" s="57" t="s">
        <v>286</v>
      </c>
      <c r="L547" s="57" t="s">
        <v>1325</v>
      </c>
      <c r="M547" s="57" t="s">
        <v>371</v>
      </c>
      <c r="N547" s="57" t="s">
        <v>502</v>
      </c>
      <c r="O547" s="57" t="s">
        <v>1326</v>
      </c>
      <c r="P547" s="57" t="s">
        <v>1347</v>
      </c>
      <c r="Q547" s="57" t="s">
        <v>694</v>
      </c>
    </row>
    <row r="548" s="50" customFormat="true" ht="14.25" hidden="false" customHeight="true" outlineLevel="0" collapsed="false">
      <c r="A548" s="50" t="s">
        <v>418</v>
      </c>
      <c r="B548" s="57" t="s">
        <v>418</v>
      </c>
      <c r="C548" s="57" t="s">
        <v>416</v>
      </c>
      <c r="D548" s="58" t="n">
        <v>46062.0069444444</v>
      </c>
      <c r="E548" s="58" t="n">
        <v>46062.0069444444</v>
      </c>
      <c r="F548" s="58" t="n">
        <v>46062.4513888889</v>
      </c>
      <c r="G548" s="59" t="n">
        <f aca="false">F548-E548</f>
        <v>0.444444444490741</v>
      </c>
      <c r="H548" s="57" t="s">
        <v>283</v>
      </c>
      <c r="I548" s="57" t="s">
        <v>284</v>
      </c>
      <c r="J548" s="57" t="s">
        <v>285</v>
      </c>
      <c r="K548" s="57" t="s">
        <v>286</v>
      </c>
      <c r="L548" s="57" t="s">
        <v>1325</v>
      </c>
      <c r="M548" s="57" t="s">
        <v>371</v>
      </c>
      <c r="N548" s="57" t="s">
        <v>502</v>
      </c>
      <c r="O548" s="57" t="s">
        <v>1326</v>
      </c>
      <c r="P548" s="57" t="s">
        <v>1348</v>
      </c>
      <c r="Q548" s="57" t="s">
        <v>694</v>
      </c>
    </row>
    <row r="549" s="50" customFormat="true" ht="14.25" hidden="false" customHeight="true" outlineLevel="0" collapsed="false">
      <c r="A549" s="50" t="s">
        <v>418</v>
      </c>
      <c r="B549" s="57" t="s">
        <v>418</v>
      </c>
      <c r="C549" s="57" t="s">
        <v>417</v>
      </c>
      <c r="D549" s="58" t="n">
        <v>46062.0069444444</v>
      </c>
      <c r="E549" s="58" t="n">
        <v>46062.0069444444</v>
      </c>
      <c r="F549" s="58" t="n">
        <v>46062.4513888889</v>
      </c>
      <c r="G549" s="59" t="n">
        <f aca="false">F549-E549</f>
        <v>0.444444444490741</v>
      </c>
      <c r="H549" s="57" t="s">
        <v>283</v>
      </c>
      <c r="I549" s="57" t="s">
        <v>284</v>
      </c>
      <c r="J549" s="57" t="s">
        <v>285</v>
      </c>
      <c r="K549" s="57" t="s">
        <v>286</v>
      </c>
      <c r="L549" s="57" t="s">
        <v>1325</v>
      </c>
      <c r="M549" s="57" t="s">
        <v>371</v>
      </c>
      <c r="N549" s="57" t="s">
        <v>502</v>
      </c>
      <c r="O549" s="57" t="s">
        <v>1326</v>
      </c>
      <c r="P549" s="57" t="s">
        <v>1349</v>
      </c>
      <c r="Q549" s="57" t="s">
        <v>694</v>
      </c>
    </row>
    <row r="550" s="50" customFormat="true" ht="14.25" hidden="false" customHeight="true" outlineLevel="0" collapsed="false">
      <c r="A550" s="50" t="s">
        <v>418</v>
      </c>
      <c r="B550" s="57" t="s">
        <v>418</v>
      </c>
      <c r="C550" s="57" t="s">
        <v>411</v>
      </c>
      <c r="D550" s="58" t="n">
        <v>46062.0069444444</v>
      </c>
      <c r="E550" s="58" t="n">
        <v>46062.0069444444</v>
      </c>
      <c r="F550" s="58" t="n">
        <v>46062.4513888889</v>
      </c>
      <c r="G550" s="59" t="n">
        <f aca="false">F550-E550</f>
        <v>0.444444444490741</v>
      </c>
      <c r="H550" s="57" t="s">
        <v>283</v>
      </c>
      <c r="I550" s="57" t="s">
        <v>284</v>
      </c>
      <c r="J550" s="57" t="s">
        <v>285</v>
      </c>
      <c r="K550" s="57" t="s">
        <v>286</v>
      </c>
      <c r="L550" s="57" t="s">
        <v>1325</v>
      </c>
      <c r="M550" s="57" t="s">
        <v>371</v>
      </c>
      <c r="N550" s="57" t="s">
        <v>502</v>
      </c>
      <c r="O550" s="57" t="s">
        <v>1326</v>
      </c>
      <c r="P550" s="57" t="s">
        <v>1350</v>
      </c>
      <c r="Q550" s="57" t="s">
        <v>694</v>
      </c>
    </row>
    <row r="551" s="50" customFormat="true" ht="14.25" hidden="false" customHeight="true" outlineLevel="0" collapsed="false">
      <c r="A551" s="50" t="s">
        <v>419</v>
      </c>
      <c r="B551" s="57" t="s">
        <v>419</v>
      </c>
      <c r="C551" s="57" t="s">
        <v>420</v>
      </c>
      <c r="D551" s="58" t="n">
        <v>46062.0069444444</v>
      </c>
      <c r="E551" s="58" t="n">
        <v>46062.0069444444</v>
      </c>
      <c r="F551" s="58" t="n">
        <v>46062.4513888889</v>
      </c>
      <c r="G551" s="59" t="n">
        <f aca="false">F551-E551</f>
        <v>0.444444444490741</v>
      </c>
      <c r="H551" s="57" t="s">
        <v>283</v>
      </c>
      <c r="I551" s="57" t="s">
        <v>284</v>
      </c>
      <c r="J551" s="57" t="s">
        <v>285</v>
      </c>
      <c r="K551" s="57" t="s">
        <v>286</v>
      </c>
      <c r="L551" s="57" t="s">
        <v>1325</v>
      </c>
      <c r="M551" s="57" t="s">
        <v>371</v>
      </c>
      <c r="N551" s="57" t="s">
        <v>502</v>
      </c>
      <c r="O551" s="57" t="s">
        <v>1326</v>
      </c>
      <c r="P551" s="57" t="s">
        <v>1351</v>
      </c>
      <c r="Q551" s="57" t="s">
        <v>694</v>
      </c>
    </row>
    <row r="552" s="50" customFormat="true" ht="14.25" hidden="false" customHeight="true" outlineLevel="0" collapsed="false">
      <c r="A552" s="50" t="s">
        <v>419</v>
      </c>
      <c r="B552" s="57" t="s">
        <v>419</v>
      </c>
      <c r="C552" s="57" t="s">
        <v>414</v>
      </c>
      <c r="D552" s="58" t="n">
        <v>46062.0069444444</v>
      </c>
      <c r="E552" s="58" t="n">
        <v>46062.0069444444</v>
      </c>
      <c r="F552" s="58" t="n">
        <v>46062.4513888889</v>
      </c>
      <c r="G552" s="59" t="n">
        <f aca="false">F552-E552</f>
        <v>0.444444444490741</v>
      </c>
      <c r="H552" s="57" t="s">
        <v>283</v>
      </c>
      <c r="I552" s="57" t="s">
        <v>284</v>
      </c>
      <c r="J552" s="57" t="s">
        <v>285</v>
      </c>
      <c r="K552" s="57" t="s">
        <v>286</v>
      </c>
      <c r="L552" s="57" t="s">
        <v>1325</v>
      </c>
      <c r="M552" s="57" t="s">
        <v>371</v>
      </c>
      <c r="N552" s="57" t="s">
        <v>502</v>
      </c>
      <c r="O552" s="57" t="s">
        <v>1326</v>
      </c>
      <c r="P552" s="57" t="s">
        <v>1352</v>
      </c>
      <c r="Q552" s="57" t="s">
        <v>694</v>
      </c>
    </row>
    <row r="553" s="50" customFormat="true" ht="14.25" hidden="false" customHeight="true" outlineLevel="0" collapsed="false">
      <c r="A553" s="50" t="s">
        <v>419</v>
      </c>
      <c r="B553" s="57" t="s">
        <v>419</v>
      </c>
      <c r="C553" s="57" t="s">
        <v>411</v>
      </c>
      <c r="D553" s="58" t="n">
        <v>46062.0069444444</v>
      </c>
      <c r="E553" s="58" t="n">
        <v>46062.0069444444</v>
      </c>
      <c r="F553" s="58" t="n">
        <v>46062.4513888889</v>
      </c>
      <c r="G553" s="59" t="n">
        <f aca="false">F553-E553</f>
        <v>0.444444444490741</v>
      </c>
      <c r="H553" s="57" t="s">
        <v>283</v>
      </c>
      <c r="I553" s="57" t="s">
        <v>284</v>
      </c>
      <c r="J553" s="57" t="s">
        <v>285</v>
      </c>
      <c r="K553" s="57" t="s">
        <v>286</v>
      </c>
      <c r="L553" s="57" t="s">
        <v>1325</v>
      </c>
      <c r="M553" s="57" t="s">
        <v>371</v>
      </c>
      <c r="N553" s="57" t="s">
        <v>502</v>
      </c>
      <c r="O553" s="57" t="s">
        <v>1326</v>
      </c>
      <c r="P553" s="57" t="s">
        <v>1353</v>
      </c>
      <c r="Q553" s="57" t="s">
        <v>694</v>
      </c>
    </row>
    <row r="554" s="50" customFormat="true" ht="14.25" hidden="false" customHeight="true" outlineLevel="0" collapsed="false">
      <c r="A554" s="50" t="s">
        <v>500</v>
      </c>
      <c r="B554" s="57" t="s">
        <v>500</v>
      </c>
      <c r="C554" s="57" t="s">
        <v>488</v>
      </c>
      <c r="D554" s="58" t="n">
        <v>46062.3680555556</v>
      </c>
      <c r="E554" s="58" t="n">
        <v>46062.3680555556</v>
      </c>
      <c r="F554" s="58" t="n">
        <v>46062.5</v>
      </c>
      <c r="G554" s="59" t="n">
        <f aca="false">F554-E554</f>
        <v>0.131944444398148</v>
      </c>
      <c r="H554" s="57" t="s">
        <v>283</v>
      </c>
      <c r="I554" s="57" t="s">
        <v>284</v>
      </c>
      <c r="J554" s="57" t="s">
        <v>285</v>
      </c>
      <c r="K554" s="57" t="s">
        <v>286</v>
      </c>
      <c r="L554" s="57" t="s">
        <v>1354</v>
      </c>
      <c r="M554" s="57" t="s">
        <v>288</v>
      </c>
      <c r="N554" s="57" t="s">
        <v>289</v>
      </c>
      <c r="O554" s="57" t="s">
        <v>1355</v>
      </c>
      <c r="P554" s="57" t="s">
        <v>1356</v>
      </c>
      <c r="Q554" s="57" t="s">
        <v>694</v>
      </c>
    </row>
    <row r="555" s="50" customFormat="true" ht="14.25" hidden="false" customHeight="true" outlineLevel="0" collapsed="false">
      <c r="A555" s="50" t="s">
        <v>500</v>
      </c>
      <c r="B555" s="57" t="s">
        <v>500</v>
      </c>
      <c r="C555" s="57" t="s">
        <v>489</v>
      </c>
      <c r="D555" s="58" t="n">
        <v>46062.3680555556</v>
      </c>
      <c r="E555" s="58" t="n">
        <v>46062.3680555556</v>
      </c>
      <c r="F555" s="58" t="n">
        <v>46062.5</v>
      </c>
      <c r="G555" s="59" t="n">
        <f aca="false">F555-E555</f>
        <v>0.131944444398148</v>
      </c>
      <c r="H555" s="57" t="s">
        <v>283</v>
      </c>
      <c r="I555" s="57" t="s">
        <v>284</v>
      </c>
      <c r="J555" s="57" t="s">
        <v>285</v>
      </c>
      <c r="K555" s="57" t="s">
        <v>286</v>
      </c>
      <c r="L555" s="57" t="s">
        <v>1354</v>
      </c>
      <c r="M555" s="57" t="s">
        <v>288</v>
      </c>
      <c r="N555" s="57" t="s">
        <v>289</v>
      </c>
      <c r="O555" s="57" t="s">
        <v>1355</v>
      </c>
      <c r="P555" s="57" t="s">
        <v>1357</v>
      </c>
      <c r="Q555" s="57" t="s">
        <v>694</v>
      </c>
    </row>
    <row r="556" s="50" customFormat="true" ht="14.25" hidden="false" customHeight="true" outlineLevel="0" collapsed="false">
      <c r="A556" s="50" t="s">
        <v>500</v>
      </c>
      <c r="B556" s="57" t="s">
        <v>500</v>
      </c>
      <c r="C556" s="57" t="s">
        <v>490</v>
      </c>
      <c r="D556" s="58" t="n">
        <v>46062.3680555556</v>
      </c>
      <c r="E556" s="58" t="n">
        <v>46062.3680555556</v>
      </c>
      <c r="F556" s="58" t="n">
        <v>46062.5</v>
      </c>
      <c r="G556" s="59" t="n">
        <f aca="false">F556-E556</f>
        <v>0.131944444398148</v>
      </c>
      <c r="H556" s="57" t="s">
        <v>283</v>
      </c>
      <c r="I556" s="57" t="s">
        <v>284</v>
      </c>
      <c r="J556" s="57" t="s">
        <v>285</v>
      </c>
      <c r="K556" s="57" t="s">
        <v>286</v>
      </c>
      <c r="L556" s="57" t="s">
        <v>1354</v>
      </c>
      <c r="M556" s="57" t="s">
        <v>288</v>
      </c>
      <c r="N556" s="57" t="s">
        <v>289</v>
      </c>
      <c r="O556" s="57" t="s">
        <v>1355</v>
      </c>
      <c r="P556" s="57" t="s">
        <v>1358</v>
      </c>
      <c r="Q556" s="57" t="s">
        <v>694</v>
      </c>
    </row>
    <row r="557" s="50" customFormat="true" ht="14.25" hidden="false" customHeight="true" outlineLevel="0" collapsed="false">
      <c r="A557" s="50" t="s">
        <v>500</v>
      </c>
      <c r="B557" s="57" t="s">
        <v>500</v>
      </c>
      <c r="C557" s="57" t="s">
        <v>491</v>
      </c>
      <c r="D557" s="58" t="n">
        <v>46062.3680555556</v>
      </c>
      <c r="E557" s="58" t="n">
        <v>46062.3680555556</v>
      </c>
      <c r="F557" s="58" t="n">
        <v>46062.5</v>
      </c>
      <c r="G557" s="59" t="n">
        <f aca="false">F557-E557</f>
        <v>0.131944444398148</v>
      </c>
      <c r="H557" s="57" t="s">
        <v>283</v>
      </c>
      <c r="I557" s="57" t="s">
        <v>284</v>
      </c>
      <c r="J557" s="57" t="s">
        <v>285</v>
      </c>
      <c r="K557" s="57" t="s">
        <v>286</v>
      </c>
      <c r="L557" s="57" t="s">
        <v>1354</v>
      </c>
      <c r="M557" s="57" t="s">
        <v>288</v>
      </c>
      <c r="N557" s="57" t="s">
        <v>289</v>
      </c>
      <c r="O557" s="57" t="s">
        <v>1355</v>
      </c>
      <c r="P557" s="57" t="s">
        <v>1359</v>
      </c>
      <c r="Q557" s="57" t="s">
        <v>694</v>
      </c>
    </row>
    <row r="558" s="50" customFormat="true" ht="14.25" hidden="false" customHeight="true" outlineLevel="0" collapsed="false">
      <c r="A558" s="50" t="s">
        <v>500</v>
      </c>
      <c r="B558" s="57" t="s">
        <v>500</v>
      </c>
      <c r="C558" s="57" t="s">
        <v>492</v>
      </c>
      <c r="D558" s="58" t="n">
        <v>46062.3680555556</v>
      </c>
      <c r="E558" s="58" t="n">
        <v>46062.3680555556</v>
      </c>
      <c r="F558" s="58" t="n">
        <v>46062.5</v>
      </c>
      <c r="G558" s="59" t="n">
        <f aca="false">F558-E558</f>
        <v>0.131944444398148</v>
      </c>
      <c r="H558" s="57" t="s">
        <v>283</v>
      </c>
      <c r="I558" s="57" t="s">
        <v>284</v>
      </c>
      <c r="J558" s="57" t="s">
        <v>285</v>
      </c>
      <c r="K558" s="57" t="s">
        <v>286</v>
      </c>
      <c r="L558" s="57" t="s">
        <v>1354</v>
      </c>
      <c r="M558" s="57" t="s">
        <v>288</v>
      </c>
      <c r="N558" s="57" t="s">
        <v>289</v>
      </c>
      <c r="O558" s="57" t="s">
        <v>1355</v>
      </c>
      <c r="P558" s="57" t="s">
        <v>1360</v>
      </c>
      <c r="Q558" s="57" t="s">
        <v>694</v>
      </c>
    </row>
    <row r="559" s="50" customFormat="true" ht="14.25" hidden="false" customHeight="true" outlineLevel="0" collapsed="false">
      <c r="A559" s="50" t="s">
        <v>474</v>
      </c>
      <c r="B559" s="57" t="s">
        <v>474</v>
      </c>
      <c r="C559" s="57" t="s">
        <v>327</v>
      </c>
      <c r="D559" s="58" t="n">
        <v>46062.4583333333</v>
      </c>
      <c r="E559" s="58" t="n">
        <v>46062.4583333333</v>
      </c>
      <c r="F559" s="58" t="n">
        <v>46062.4986111111</v>
      </c>
      <c r="G559" s="59" t="n">
        <f aca="false">F559-E559</f>
        <v>0.0402777778009259</v>
      </c>
      <c r="H559" s="57" t="s">
        <v>252</v>
      </c>
      <c r="I559" s="57"/>
      <c r="J559" s="57" t="s">
        <v>253</v>
      </c>
      <c r="K559" s="57" t="s">
        <v>266</v>
      </c>
      <c r="L559" s="57" t="s">
        <v>1361</v>
      </c>
      <c r="M559" s="57" t="s">
        <v>255</v>
      </c>
      <c r="N559" s="57" t="s">
        <v>268</v>
      </c>
      <c r="O559" s="57" t="s">
        <v>1362</v>
      </c>
      <c r="P559" s="57" t="s">
        <v>1363</v>
      </c>
      <c r="Q559" s="57" t="s">
        <v>706</v>
      </c>
    </row>
    <row r="560" s="50" customFormat="true" ht="14.25" hidden="false" customHeight="true" outlineLevel="0" collapsed="false">
      <c r="A560" s="50" t="s">
        <v>474</v>
      </c>
      <c r="B560" s="57" t="s">
        <v>474</v>
      </c>
      <c r="C560" s="57" t="s">
        <v>328</v>
      </c>
      <c r="D560" s="58" t="n">
        <v>46062.4583333333</v>
      </c>
      <c r="E560" s="58" t="n">
        <v>46062.4583333333</v>
      </c>
      <c r="F560" s="58" t="n">
        <v>46062.4986111111</v>
      </c>
      <c r="G560" s="59" t="n">
        <f aca="false">F560-E560</f>
        <v>0.0402777778009259</v>
      </c>
      <c r="H560" s="57" t="s">
        <v>252</v>
      </c>
      <c r="I560" s="57"/>
      <c r="J560" s="57" t="s">
        <v>253</v>
      </c>
      <c r="K560" s="57" t="s">
        <v>266</v>
      </c>
      <c r="L560" s="57" t="s">
        <v>1361</v>
      </c>
      <c r="M560" s="57" t="s">
        <v>255</v>
      </c>
      <c r="N560" s="57" t="s">
        <v>268</v>
      </c>
      <c r="O560" s="57" t="s">
        <v>1362</v>
      </c>
      <c r="P560" s="57" t="s">
        <v>1364</v>
      </c>
      <c r="Q560" s="57" t="s">
        <v>706</v>
      </c>
    </row>
    <row r="561" s="50" customFormat="true" ht="14.25" hidden="false" customHeight="true" outlineLevel="0" collapsed="false">
      <c r="A561" s="50" t="s">
        <v>474</v>
      </c>
      <c r="B561" s="57" t="s">
        <v>474</v>
      </c>
      <c r="C561" s="57" t="s">
        <v>324</v>
      </c>
      <c r="D561" s="58" t="n">
        <v>46062.4583333333</v>
      </c>
      <c r="E561" s="58" t="n">
        <v>46062.4583333333</v>
      </c>
      <c r="F561" s="58" t="n">
        <v>46062.4986111111</v>
      </c>
      <c r="G561" s="59" t="n">
        <f aca="false">F561-E561</f>
        <v>0.0402777778009259</v>
      </c>
      <c r="H561" s="57" t="s">
        <v>252</v>
      </c>
      <c r="I561" s="57"/>
      <c r="J561" s="57" t="s">
        <v>253</v>
      </c>
      <c r="K561" s="57" t="s">
        <v>266</v>
      </c>
      <c r="L561" s="57" t="s">
        <v>1361</v>
      </c>
      <c r="M561" s="57" t="s">
        <v>255</v>
      </c>
      <c r="N561" s="57" t="s">
        <v>268</v>
      </c>
      <c r="O561" s="57" t="s">
        <v>1362</v>
      </c>
      <c r="P561" s="57" t="s">
        <v>1365</v>
      </c>
      <c r="Q561" s="57" t="s">
        <v>706</v>
      </c>
    </row>
    <row r="562" s="50" customFormat="true" ht="14.25" hidden="false" customHeight="true" outlineLevel="0" collapsed="false">
      <c r="A562" s="50" t="s">
        <v>474</v>
      </c>
      <c r="B562" s="57" t="s">
        <v>474</v>
      </c>
      <c r="C562" s="57" t="s">
        <v>326</v>
      </c>
      <c r="D562" s="58" t="n">
        <v>46062.4583333333</v>
      </c>
      <c r="E562" s="58" t="n">
        <v>46062.4583333333</v>
      </c>
      <c r="F562" s="58" t="n">
        <v>46062.4986111111</v>
      </c>
      <c r="G562" s="59" t="n">
        <f aca="false">F562-E562</f>
        <v>0.0402777778009259</v>
      </c>
      <c r="H562" s="57" t="s">
        <v>252</v>
      </c>
      <c r="I562" s="57"/>
      <c r="J562" s="57" t="s">
        <v>253</v>
      </c>
      <c r="K562" s="57" t="s">
        <v>266</v>
      </c>
      <c r="L562" s="57" t="s">
        <v>1361</v>
      </c>
      <c r="M562" s="57" t="s">
        <v>255</v>
      </c>
      <c r="N562" s="57" t="s">
        <v>268</v>
      </c>
      <c r="O562" s="57" t="s">
        <v>1362</v>
      </c>
      <c r="P562" s="57" t="s">
        <v>1366</v>
      </c>
      <c r="Q562" s="57" t="s">
        <v>706</v>
      </c>
    </row>
    <row r="563" s="50" customFormat="true" ht="14.25" hidden="false" customHeight="true" outlineLevel="0" collapsed="false">
      <c r="A563" s="50" t="s">
        <v>476</v>
      </c>
      <c r="B563" s="57" t="s">
        <v>476</v>
      </c>
      <c r="C563" s="57" t="s">
        <v>327</v>
      </c>
      <c r="D563" s="58" t="n">
        <v>46062.4583333333</v>
      </c>
      <c r="E563" s="58" t="n">
        <v>46062.4583333333</v>
      </c>
      <c r="F563" s="58" t="n">
        <v>46062.4986111111</v>
      </c>
      <c r="G563" s="59" t="n">
        <f aca="false">F563-E563</f>
        <v>0.0402777778009259</v>
      </c>
      <c r="H563" s="57" t="s">
        <v>252</v>
      </c>
      <c r="I563" s="57"/>
      <c r="J563" s="57" t="s">
        <v>253</v>
      </c>
      <c r="K563" s="57" t="s">
        <v>266</v>
      </c>
      <c r="L563" s="57" t="s">
        <v>1361</v>
      </c>
      <c r="M563" s="57" t="s">
        <v>255</v>
      </c>
      <c r="N563" s="57" t="s">
        <v>268</v>
      </c>
      <c r="O563" s="57" t="s">
        <v>1362</v>
      </c>
      <c r="P563" s="57" t="s">
        <v>1367</v>
      </c>
      <c r="Q563" s="57" t="s">
        <v>706</v>
      </c>
    </row>
    <row r="564" s="50" customFormat="true" ht="14.25" hidden="false" customHeight="true" outlineLevel="0" collapsed="false">
      <c r="A564" s="50" t="s">
        <v>476</v>
      </c>
      <c r="B564" s="57" t="s">
        <v>476</v>
      </c>
      <c r="C564" s="57" t="s">
        <v>326</v>
      </c>
      <c r="D564" s="58" t="n">
        <v>46062.4583333333</v>
      </c>
      <c r="E564" s="58" t="n">
        <v>46062.4583333333</v>
      </c>
      <c r="F564" s="58" t="n">
        <v>46062.4986111111</v>
      </c>
      <c r="G564" s="59" t="n">
        <f aca="false">F564-E564</f>
        <v>0.0402777778009259</v>
      </c>
      <c r="H564" s="57" t="s">
        <v>252</v>
      </c>
      <c r="I564" s="57"/>
      <c r="J564" s="57" t="s">
        <v>253</v>
      </c>
      <c r="K564" s="57" t="s">
        <v>266</v>
      </c>
      <c r="L564" s="57" t="s">
        <v>1361</v>
      </c>
      <c r="M564" s="57" t="s">
        <v>255</v>
      </c>
      <c r="N564" s="57" t="s">
        <v>268</v>
      </c>
      <c r="O564" s="57" t="s">
        <v>1362</v>
      </c>
      <c r="P564" s="57" t="s">
        <v>1368</v>
      </c>
      <c r="Q564" s="57" t="s">
        <v>706</v>
      </c>
    </row>
    <row r="565" s="50" customFormat="true" ht="14.25" hidden="false" customHeight="true" outlineLevel="0" collapsed="false">
      <c r="A565" s="50" t="s">
        <v>476</v>
      </c>
      <c r="B565" s="57" t="s">
        <v>476</v>
      </c>
      <c r="C565" s="57" t="s">
        <v>324</v>
      </c>
      <c r="D565" s="58" t="n">
        <v>46062.4583333333</v>
      </c>
      <c r="E565" s="58" t="n">
        <v>46062.4583333333</v>
      </c>
      <c r="F565" s="58" t="n">
        <v>46062.4986111111</v>
      </c>
      <c r="G565" s="59" t="n">
        <f aca="false">F565-E565</f>
        <v>0.0402777778009259</v>
      </c>
      <c r="H565" s="57" t="s">
        <v>252</v>
      </c>
      <c r="I565" s="57"/>
      <c r="J565" s="57" t="s">
        <v>253</v>
      </c>
      <c r="K565" s="57" t="s">
        <v>266</v>
      </c>
      <c r="L565" s="57" t="s">
        <v>1361</v>
      </c>
      <c r="M565" s="57" t="s">
        <v>255</v>
      </c>
      <c r="N565" s="57" t="s">
        <v>268</v>
      </c>
      <c r="O565" s="57" t="s">
        <v>1362</v>
      </c>
      <c r="P565" s="57" t="s">
        <v>1369</v>
      </c>
      <c r="Q565" s="57" t="s">
        <v>706</v>
      </c>
    </row>
    <row r="566" s="50" customFormat="true" ht="14.25" hidden="false" customHeight="true" outlineLevel="0" collapsed="false">
      <c r="A566" s="50" t="s">
        <v>476</v>
      </c>
      <c r="B566" s="57" t="s">
        <v>476</v>
      </c>
      <c r="C566" s="57" t="s">
        <v>328</v>
      </c>
      <c r="D566" s="58" t="n">
        <v>46062.4583333333</v>
      </c>
      <c r="E566" s="58" t="n">
        <v>46062.4583333333</v>
      </c>
      <c r="F566" s="58" t="n">
        <v>46062.4986111111</v>
      </c>
      <c r="G566" s="59" t="n">
        <f aca="false">F566-E566</f>
        <v>0.0402777778009259</v>
      </c>
      <c r="H566" s="57" t="s">
        <v>252</v>
      </c>
      <c r="I566" s="57"/>
      <c r="J566" s="57" t="s">
        <v>253</v>
      </c>
      <c r="K566" s="57" t="s">
        <v>266</v>
      </c>
      <c r="L566" s="57" t="s">
        <v>1361</v>
      </c>
      <c r="M566" s="57" t="s">
        <v>255</v>
      </c>
      <c r="N566" s="57" t="s">
        <v>268</v>
      </c>
      <c r="O566" s="57" t="s">
        <v>1362</v>
      </c>
      <c r="P566" s="57" t="s">
        <v>1370</v>
      </c>
      <c r="Q566" s="57" t="s">
        <v>706</v>
      </c>
    </row>
    <row r="567" s="50" customFormat="true" ht="14.25" hidden="false" customHeight="true" outlineLevel="0" collapsed="false">
      <c r="A567" s="50" t="s">
        <v>477</v>
      </c>
      <c r="B567" s="57" t="s">
        <v>477</v>
      </c>
      <c r="C567" s="57" t="s">
        <v>326</v>
      </c>
      <c r="D567" s="58" t="n">
        <v>46062.4583333333</v>
      </c>
      <c r="E567" s="58" t="n">
        <v>46062.4583333333</v>
      </c>
      <c r="F567" s="58" t="n">
        <v>46062.4986111111</v>
      </c>
      <c r="G567" s="59" t="n">
        <f aca="false">F567-E567</f>
        <v>0.0402777778009259</v>
      </c>
      <c r="H567" s="57" t="s">
        <v>252</v>
      </c>
      <c r="I567" s="57"/>
      <c r="J567" s="57" t="s">
        <v>253</v>
      </c>
      <c r="K567" s="57" t="s">
        <v>266</v>
      </c>
      <c r="L567" s="57" t="s">
        <v>1361</v>
      </c>
      <c r="M567" s="57" t="s">
        <v>255</v>
      </c>
      <c r="N567" s="57" t="s">
        <v>268</v>
      </c>
      <c r="O567" s="57" t="s">
        <v>1362</v>
      </c>
      <c r="P567" s="57" t="s">
        <v>1371</v>
      </c>
      <c r="Q567" s="57" t="s">
        <v>706</v>
      </c>
    </row>
    <row r="568" s="50" customFormat="true" ht="14.25" hidden="false" customHeight="true" outlineLevel="0" collapsed="false">
      <c r="A568" s="50" t="s">
        <v>477</v>
      </c>
      <c r="B568" s="57" t="s">
        <v>477</v>
      </c>
      <c r="C568" s="57" t="s">
        <v>327</v>
      </c>
      <c r="D568" s="58" t="n">
        <v>46062.4583333333</v>
      </c>
      <c r="E568" s="58" t="n">
        <v>46062.4583333333</v>
      </c>
      <c r="F568" s="58" t="n">
        <v>46062.4986111111</v>
      </c>
      <c r="G568" s="59" t="n">
        <f aca="false">F568-E568</f>
        <v>0.0402777778009259</v>
      </c>
      <c r="H568" s="57" t="s">
        <v>252</v>
      </c>
      <c r="I568" s="57"/>
      <c r="J568" s="57" t="s">
        <v>253</v>
      </c>
      <c r="K568" s="57" t="s">
        <v>266</v>
      </c>
      <c r="L568" s="57" t="s">
        <v>1361</v>
      </c>
      <c r="M568" s="57" t="s">
        <v>255</v>
      </c>
      <c r="N568" s="57" t="s">
        <v>268</v>
      </c>
      <c r="O568" s="57" t="s">
        <v>1362</v>
      </c>
      <c r="P568" s="57" t="s">
        <v>1372</v>
      </c>
      <c r="Q568" s="57" t="s">
        <v>706</v>
      </c>
    </row>
    <row r="569" s="50" customFormat="true" ht="14.25" hidden="false" customHeight="true" outlineLevel="0" collapsed="false">
      <c r="A569" s="50" t="s">
        <v>477</v>
      </c>
      <c r="B569" s="57" t="s">
        <v>477</v>
      </c>
      <c r="C569" s="57" t="s">
        <v>328</v>
      </c>
      <c r="D569" s="58" t="n">
        <v>46062.4583333333</v>
      </c>
      <c r="E569" s="58" t="n">
        <v>46062.4583333333</v>
      </c>
      <c r="F569" s="58" t="n">
        <v>46062.4986111111</v>
      </c>
      <c r="G569" s="59" t="n">
        <f aca="false">F569-E569</f>
        <v>0.0402777778009259</v>
      </c>
      <c r="H569" s="57" t="s">
        <v>252</v>
      </c>
      <c r="I569" s="57"/>
      <c r="J569" s="57" t="s">
        <v>253</v>
      </c>
      <c r="K569" s="57" t="s">
        <v>266</v>
      </c>
      <c r="L569" s="57" t="s">
        <v>1361</v>
      </c>
      <c r="M569" s="57" t="s">
        <v>255</v>
      </c>
      <c r="N569" s="57" t="s">
        <v>268</v>
      </c>
      <c r="O569" s="57" t="s">
        <v>1362</v>
      </c>
      <c r="P569" s="57" t="s">
        <v>1373</v>
      </c>
      <c r="Q569" s="57" t="s">
        <v>706</v>
      </c>
    </row>
    <row r="570" s="50" customFormat="true" ht="14.25" hidden="false" customHeight="true" outlineLevel="0" collapsed="false">
      <c r="A570" s="50" t="s">
        <v>477</v>
      </c>
      <c r="B570" s="57" t="s">
        <v>477</v>
      </c>
      <c r="C570" s="57" t="s">
        <v>265</v>
      </c>
      <c r="D570" s="58" t="n">
        <v>46062.4583333333</v>
      </c>
      <c r="E570" s="58" t="n">
        <v>46062.4583333333</v>
      </c>
      <c r="F570" s="58" t="n">
        <v>46062.4986111111</v>
      </c>
      <c r="G570" s="59" t="n">
        <f aca="false">F570-E570</f>
        <v>0.0402777778009259</v>
      </c>
      <c r="H570" s="57" t="s">
        <v>252</v>
      </c>
      <c r="I570" s="57"/>
      <c r="J570" s="57" t="s">
        <v>253</v>
      </c>
      <c r="K570" s="57" t="s">
        <v>266</v>
      </c>
      <c r="L570" s="57" t="s">
        <v>1361</v>
      </c>
      <c r="M570" s="57" t="s">
        <v>255</v>
      </c>
      <c r="N570" s="57" t="s">
        <v>268</v>
      </c>
      <c r="O570" s="57" t="s">
        <v>1362</v>
      </c>
      <c r="P570" s="57" t="s">
        <v>1374</v>
      </c>
      <c r="Q570" s="57" t="s">
        <v>706</v>
      </c>
    </row>
    <row r="571" s="50" customFormat="true" ht="14.25" hidden="false" customHeight="true" outlineLevel="0" collapsed="false">
      <c r="A571" s="50" t="s">
        <v>478</v>
      </c>
      <c r="B571" s="57" t="s">
        <v>478</v>
      </c>
      <c r="C571" s="57" t="s">
        <v>327</v>
      </c>
      <c r="D571" s="58" t="n">
        <v>46062.4583333333</v>
      </c>
      <c r="E571" s="58" t="n">
        <v>46062.4583333333</v>
      </c>
      <c r="F571" s="58" t="n">
        <v>46062.4986111111</v>
      </c>
      <c r="G571" s="59" t="n">
        <f aca="false">F571-E571</f>
        <v>0.0402777778009259</v>
      </c>
      <c r="H571" s="57" t="s">
        <v>252</v>
      </c>
      <c r="I571" s="57"/>
      <c r="J571" s="57" t="s">
        <v>253</v>
      </c>
      <c r="K571" s="57" t="s">
        <v>266</v>
      </c>
      <c r="L571" s="57" t="s">
        <v>1361</v>
      </c>
      <c r="M571" s="57" t="s">
        <v>255</v>
      </c>
      <c r="N571" s="57" t="s">
        <v>268</v>
      </c>
      <c r="O571" s="57" t="s">
        <v>1362</v>
      </c>
      <c r="P571" s="57" t="s">
        <v>1375</v>
      </c>
      <c r="Q571" s="57" t="s">
        <v>706</v>
      </c>
    </row>
    <row r="572" s="50" customFormat="true" ht="14.25" hidden="false" customHeight="true" outlineLevel="0" collapsed="false">
      <c r="A572" s="50" t="s">
        <v>478</v>
      </c>
      <c r="B572" s="57" t="s">
        <v>478</v>
      </c>
      <c r="C572" s="57" t="s">
        <v>328</v>
      </c>
      <c r="D572" s="58" t="n">
        <v>46062.4583333333</v>
      </c>
      <c r="E572" s="58" t="n">
        <v>46062.4583333333</v>
      </c>
      <c r="F572" s="58" t="n">
        <v>46062.4986111111</v>
      </c>
      <c r="G572" s="59" t="n">
        <f aca="false">F572-E572</f>
        <v>0.0402777778009259</v>
      </c>
      <c r="H572" s="57" t="s">
        <v>252</v>
      </c>
      <c r="I572" s="57"/>
      <c r="J572" s="57" t="s">
        <v>253</v>
      </c>
      <c r="K572" s="57" t="s">
        <v>266</v>
      </c>
      <c r="L572" s="57" t="s">
        <v>1361</v>
      </c>
      <c r="M572" s="57" t="s">
        <v>255</v>
      </c>
      <c r="N572" s="57" t="s">
        <v>268</v>
      </c>
      <c r="O572" s="57" t="s">
        <v>1362</v>
      </c>
      <c r="P572" s="57" t="s">
        <v>1376</v>
      </c>
      <c r="Q572" s="57" t="s">
        <v>706</v>
      </c>
    </row>
    <row r="573" s="50" customFormat="true" ht="14.25" hidden="false" customHeight="true" outlineLevel="0" collapsed="false">
      <c r="A573" s="50" t="s">
        <v>478</v>
      </c>
      <c r="B573" s="57" t="s">
        <v>478</v>
      </c>
      <c r="C573" s="57" t="s">
        <v>326</v>
      </c>
      <c r="D573" s="58" t="n">
        <v>46062.4583333333</v>
      </c>
      <c r="E573" s="58" t="n">
        <v>46062.4583333333</v>
      </c>
      <c r="F573" s="58" t="n">
        <v>46062.4986111111</v>
      </c>
      <c r="G573" s="59" t="n">
        <f aca="false">F573-E573</f>
        <v>0.0402777778009259</v>
      </c>
      <c r="H573" s="57" t="s">
        <v>252</v>
      </c>
      <c r="I573" s="57"/>
      <c r="J573" s="57" t="s">
        <v>253</v>
      </c>
      <c r="K573" s="57" t="s">
        <v>266</v>
      </c>
      <c r="L573" s="57" t="s">
        <v>1361</v>
      </c>
      <c r="M573" s="57" t="s">
        <v>255</v>
      </c>
      <c r="N573" s="57" t="s">
        <v>268</v>
      </c>
      <c r="O573" s="57" t="s">
        <v>1362</v>
      </c>
      <c r="P573" s="57" t="s">
        <v>1377</v>
      </c>
      <c r="Q573" s="57" t="s">
        <v>706</v>
      </c>
    </row>
    <row r="574" s="50" customFormat="true" ht="14.25" hidden="false" customHeight="true" outlineLevel="0" collapsed="false">
      <c r="A574" s="50" t="s">
        <v>478</v>
      </c>
      <c r="B574" s="57" t="s">
        <v>478</v>
      </c>
      <c r="C574" s="57" t="s">
        <v>324</v>
      </c>
      <c r="D574" s="58" t="n">
        <v>46062.4583333333</v>
      </c>
      <c r="E574" s="58" t="n">
        <v>46062.4583333333</v>
      </c>
      <c r="F574" s="58" t="n">
        <v>46062.4986111111</v>
      </c>
      <c r="G574" s="59" t="n">
        <f aca="false">F574-E574</f>
        <v>0.0402777778009259</v>
      </c>
      <c r="H574" s="57" t="s">
        <v>252</v>
      </c>
      <c r="I574" s="57"/>
      <c r="J574" s="57" t="s">
        <v>253</v>
      </c>
      <c r="K574" s="57" t="s">
        <v>266</v>
      </c>
      <c r="L574" s="57" t="s">
        <v>1361</v>
      </c>
      <c r="M574" s="57" t="s">
        <v>255</v>
      </c>
      <c r="N574" s="57" t="s">
        <v>268</v>
      </c>
      <c r="O574" s="57" t="s">
        <v>1362</v>
      </c>
      <c r="P574" s="57" t="s">
        <v>1378</v>
      </c>
      <c r="Q574" s="57" t="s">
        <v>706</v>
      </c>
    </row>
    <row r="575" s="50" customFormat="true" ht="14.25" hidden="false" customHeight="true" outlineLevel="0" collapsed="false">
      <c r="A575" s="50" t="s">
        <v>479</v>
      </c>
      <c r="B575" s="57" t="s">
        <v>479</v>
      </c>
      <c r="C575" s="57" t="s">
        <v>326</v>
      </c>
      <c r="D575" s="58" t="n">
        <v>46062.4583333333</v>
      </c>
      <c r="E575" s="58" t="n">
        <v>46062.4583333333</v>
      </c>
      <c r="F575" s="58" t="n">
        <v>46062.4986111111</v>
      </c>
      <c r="G575" s="59" t="n">
        <f aca="false">F575-E575</f>
        <v>0.0402777778009259</v>
      </c>
      <c r="H575" s="57" t="s">
        <v>252</v>
      </c>
      <c r="I575" s="57"/>
      <c r="J575" s="57" t="s">
        <v>253</v>
      </c>
      <c r="K575" s="57" t="s">
        <v>266</v>
      </c>
      <c r="L575" s="57" t="s">
        <v>1361</v>
      </c>
      <c r="M575" s="57" t="s">
        <v>255</v>
      </c>
      <c r="N575" s="57" t="s">
        <v>268</v>
      </c>
      <c r="O575" s="57" t="s">
        <v>1362</v>
      </c>
      <c r="P575" s="57" t="s">
        <v>1379</v>
      </c>
      <c r="Q575" s="57" t="s">
        <v>706</v>
      </c>
    </row>
    <row r="576" s="50" customFormat="true" ht="14.25" hidden="false" customHeight="true" outlineLevel="0" collapsed="false">
      <c r="A576" s="50" t="s">
        <v>479</v>
      </c>
      <c r="B576" s="57" t="s">
        <v>479</v>
      </c>
      <c r="C576" s="57" t="s">
        <v>324</v>
      </c>
      <c r="D576" s="58" t="n">
        <v>46062.4583333333</v>
      </c>
      <c r="E576" s="58" t="n">
        <v>46062.4583333333</v>
      </c>
      <c r="F576" s="58" t="n">
        <v>46062.4986111111</v>
      </c>
      <c r="G576" s="59" t="n">
        <f aca="false">F576-E576</f>
        <v>0.0402777778009259</v>
      </c>
      <c r="H576" s="57" t="s">
        <v>252</v>
      </c>
      <c r="I576" s="57"/>
      <c r="J576" s="57" t="s">
        <v>253</v>
      </c>
      <c r="K576" s="57" t="s">
        <v>266</v>
      </c>
      <c r="L576" s="57" t="s">
        <v>1361</v>
      </c>
      <c r="M576" s="57" t="s">
        <v>255</v>
      </c>
      <c r="N576" s="57" t="s">
        <v>268</v>
      </c>
      <c r="O576" s="57" t="s">
        <v>1362</v>
      </c>
      <c r="P576" s="57" t="s">
        <v>1380</v>
      </c>
      <c r="Q576" s="57" t="s">
        <v>706</v>
      </c>
    </row>
    <row r="577" s="50" customFormat="true" ht="14.25" hidden="false" customHeight="true" outlineLevel="0" collapsed="false">
      <c r="A577" s="50" t="s">
        <v>479</v>
      </c>
      <c r="B577" s="57" t="s">
        <v>479</v>
      </c>
      <c r="C577" s="57" t="s">
        <v>327</v>
      </c>
      <c r="D577" s="58" t="n">
        <v>46062.4583333333</v>
      </c>
      <c r="E577" s="58" t="n">
        <v>46062.4583333333</v>
      </c>
      <c r="F577" s="58" t="n">
        <v>46062.4986111111</v>
      </c>
      <c r="G577" s="59" t="n">
        <f aca="false">F577-E577</f>
        <v>0.0402777778009259</v>
      </c>
      <c r="H577" s="57" t="s">
        <v>252</v>
      </c>
      <c r="I577" s="57"/>
      <c r="J577" s="57" t="s">
        <v>253</v>
      </c>
      <c r="K577" s="57" t="s">
        <v>266</v>
      </c>
      <c r="L577" s="57" t="s">
        <v>1361</v>
      </c>
      <c r="M577" s="57" t="s">
        <v>255</v>
      </c>
      <c r="N577" s="57" t="s">
        <v>268</v>
      </c>
      <c r="O577" s="57" t="s">
        <v>1362</v>
      </c>
      <c r="P577" s="57" t="s">
        <v>1381</v>
      </c>
      <c r="Q577" s="57" t="s">
        <v>706</v>
      </c>
    </row>
    <row r="578" s="50" customFormat="true" ht="14.25" hidden="false" customHeight="true" outlineLevel="0" collapsed="false">
      <c r="A578" s="50" t="s">
        <v>479</v>
      </c>
      <c r="B578" s="57" t="s">
        <v>479</v>
      </c>
      <c r="C578" s="57" t="s">
        <v>265</v>
      </c>
      <c r="D578" s="58" t="n">
        <v>46062.4583333333</v>
      </c>
      <c r="E578" s="58" t="n">
        <v>46062.4583333333</v>
      </c>
      <c r="F578" s="58" t="n">
        <v>46062.4986111111</v>
      </c>
      <c r="G578" s="59" t="n">
        <f aca="false">F578-E578</f>
        <v>0.0402777778009259</v>
      </c>
      <c r="H578" s="57" t="s">
        <v>252</v>
      </c>
      <c r="I578" s="57"/>
      <c r="J578" s="57" t="s">
        <v>253</v>
      </c>
      <c r="K578" s="57" t="s">
        <v>266</v>
      </c>
      <c r="L578" s="57" t="s">
        <v>1361</v>
      </c>
      <c r="M578" s="57" t="s">
        <v>255</v>
      </c>
      <c r="N578" s="57" t="s">
        <v>268</v>
      </c>
      <c r="O578" s="57" t="s">
        <v>1362</v>
      </c>
      <c r="P578" s="57" t="s">
        <v>1382</v>
      </c>
      <c r="Q578" s="57" t="s">
        <v>706</v>
      </c>
    </row>
    <row r="579" s="50" customFormat="true" ht="14.25" hidden="false" customHeight="true" outlineLevel="0" collapsed="false">
      <c r="A579" s="50" t="s">
        <v>467</v>
      </c>
      <c r="B579" s="57" t="s">
        <v>467</v>
      </c>
      <c r="C579" s="57" t="s">
        <v>468</v>
      </c>
      <c r="D579" s="58" t="n">
        <v>46062.4722222222</v>
      </c>
      <c r="E579" s="58" t="n">
        <v>46062.4722222222</v>
      </c>
      <c r="F579" s="58" t="n">
        <v>46062.4791666667</v>
      </c>
      <c r="G579" s="59" t="n">
        <f aca="false">F579-E579</f>
        <v>0.00694444450231482</v>
      </c>
      <c r="H579" s="57" t="s">
        <v>283</v>
      </c>
      <c r="I579" s="57" t="s">
        <v>284</v>
      </c>
      <c r="J579" s="57" t="s">
        <v>285</v>
      </c>
      <c r="K579" s="57" t="s">
        <v>286</v>
      </c>
      <c r="L579" s="57" t="s">
        <v>1383</v>
      </c>
      <c r="M579" s="57" t="s">
        <v>288</v>
      </c>
      <c r="N579" s="57" t="s">
        <v>589</v>
      </c>
      <c r="O579" s="57" t="s">
        <v>711</v>
      </c>
      <c r="P579" s="57" t="s">
        <v>1384</v>
      </c>
      <c r="Q579" s="57" t="s">
        <v>694</v>
      </c>
    </row>
    <row r="580" s="50" customFormat="true" ht="14.25" hidden="false" customHeight="true" outlineLevel="0" collapsed="false">
      <c r="A580" s="50" t="s">
        <v>467</v>
      </c>
      <c r="B580" s="57" t="s">
        <v>467</v>
      </c>
      <c r="C580" s="57" t="s">
        <v>470</v>
      </c>
      <c r="D580" s="58" t="n">
        <v>46062.4722222222</v>
      </c>
      <c r="E580" s="58" t="n">
        <v>46062.4722222222</v>
      </c>
      <c r="F580" s="58" t="n">
        <v>46062.4791666667</v>
      </c>
      <c r="G580" s="59" t="n">
        <f aca="false">F580-E580</f>
        <v>0.00694444450231482</v>
      </c>
      <c r="H580" s="57" t="s">
        <v>283</v>
      </c>
      <c r="I580" s="57" t="s">
        <v>284</v>
      </c>
      <c r="J580" s="57" t="s">
        <v>285</v>
      </c>
      <c r="K580" s="57" t="s">
        <v>286</v>
      </c>
      <c r="L580" s="57" t="s">
        <v>1383</v>
      </c>
      <c r="M580" s="57" t="s">
        <v>288</v>
      </c>
      <c r="N580" s="57" t="s">
        <v>589</v>
      </c>
      <c r="O580" s="57" t="s">
        <v>711</v>
      </c>
      <c r="P580" s="57" t="s">
        <v>1385</v>
      </c>
      <c r="Q580" s="57" t="s">
        <v>694</v>
      </c>
    </row>
    <row r="581" s="50" customFormat="true" ht="14.25" hidden="false" customHeight="true" outlineLevel="0" collapsed="false">
      <c r="A581" s="50" t="s">
        <v>467</v>
      </c>
      <c r="B581" s="57" t="s">
        <v>467</v>
      </c>
      <c r="C581" s="57" t="s">
        <v>471</v>
      </c>
      <c r="D581" s="58" t="n">
        <v>46062.4722222222</v>
      </c>
      <c r="E581" s="58" t="n">
        <v>46062.4722222222</v>
      </c>
      <c r="F581" s="58" t="n">
        <v>46062.4791666667</v>
      </c>
      <c r="G581" s="59" t="n">
        <f aca="false">F581-E581</f>
        <v>0.00694444450231482</v>
      </c>
      <c r="H581" s="57" t="s">
        <v>283</v>
      </c>
      <c r="I581" s="57" t="s">
        <v>284</v>
      </c>
      <c r="J581" s="57" t="s">
        <v>285</v>
      </c>
      <c r="K581" s="57" t="s">
        <v>286</v>
      </c>
      <c r="L581" s="57" t="s">
        <v>1383</v>
      </c>
      <c r="M581" s="57" t="s">
        <v>288</v>
      </c>
      <c r="N581" s="57" t="s">
        <v>589</v>
      </c>
      <c r="O581" s="57" t="s">
        <v>711</v>
      </c>
      <c r="P581" s="57" t="s">
        <v>1386</v>
      </c>
      <c r="Q581" s="57" t="s">
        <v>694</v>
      </c>
    </row>
    <row r="582" s="50" customFormat="true" ht="14.25" hidden="false" customHeight="true" outlineLevel="0" collapsed="false">
      <c r="A582" s="50" t="s">
        <v>467</v>
      </c>
      <c r="B582" s="57" t="s">
        <v>467</v>
      </c>
      <c r="C582" s="57" t="s">
        <v>472</v>
      </c>
      <c r="D582" s="58" t="n">
        <v>46062.4722222222</v>
      </c>
      <c r="E582" s="58" t="n">
        <v>46062.4722222222</v>
      </c>
      <c r="F582" s="58" t="n">
        <v>46062.4791666667</v>
      </c>
      <c r="G582" s="59" t="n">
        <f aca="false">F582-E582</f>
        <v>0.00694444450231482</v>
      </c>
      <c r="H582" s="57" t="s">
        <v>283</v>
      </c>
      <c r="I582" s="57" t="s">
        <v>284</v>
      </c>
      <c r="J582" s="57" t="s">
        <v>285</v>
      </c>
      <c r="K582" s="57" t="s">
        <v>286</v>
      </c>
      <c r="L582" s="57" t="s">
        <v>1383</v>
      </c>
      <c r="M582" s="57" t="s">
        <v>288</v>
      </c>
      <c r="N582" s="57" t="s">
        <v>589</v>
      </c>
      <c r="O582" s="57" t="s">
        <v>711</v>
      </c>
      <c r="P582" s="57" t="s">
        <v>1387</v>
      </c>
      <c r="Q582" s="57" t="s">
        <v>694</v>
      </c>
    </row>
    <row r="583" s="50" customFormat="true" ht="14.25" hidden="false" customHeight="true" outlineLevel="0" collapsed="false">
      <c r="A583" s="50" t="s">
        <v>467</v>
      </c>
      <c r="B583" s="57" t="s">
        <v>467</v>
      </c>
      <c r="C583" s="57" t="s">
        <v>473</v>
      </c>
      <c r="D583" s="58" t="n">
        <v>46062.4722222222</v>
      </c>
      <c r="E583" s="58" t="n">
        <v>46062.4722222222</v>
      </c>
      <c r="F583" s="58" t="n">
        <v>46062.4791666667</v>
      </c>
      <c r="G583" s="59" t="n">
        <f aca="false">F583-E583</f>
        <v>0.00694444450231482</v>
      </c>
      <c r="H583" s="57" t="s">
        <v>283</v>
      </c>
      <c r="I583" s="57" t="s">
        <v>284</v>
      </c>
      <c r="J583" s="57" t="s">
        <v>285</v>
      </c>
      <c r="K583" s="57" t="s">
        <v>286</v>
      </c>
      <c r="L583" s="57" t="s">
        <v>1383</v>
      </c>
      <c r="M583" s="57" t="s">
        <v>288</v>
      </c>
      <c r="N583" s="57" t="s">
        <v>589</v>
      </c>
      <c r="O583" s="57" t="s">
        <v>711</v>
      </c>
      <c r="P583" s="57" t="s">
        <v>1388</v>
      </c>
      <c r="Q583" s="57" t="s">
        <v>694</v>
      </c>
    </row>
    <row r="584" s="50" customFormat="true" ht="14.25" hidden="false" customHeight="true" outlineLevel="0" collapsed="false">
      <c r="A584" s="50" t="s">
        <v>519</v>
      </c>
      <c r="B584" s="57" t="s">
        <v>519</v>
      </c>
      <c r="C584" s="57" t="s">
        <v>411</v>
      </c>
      <c r="D584" s="58" t="n">
        <v>46062.4722222222</v>
      </c>
      <c r="E584" s="58" t="n">
        <v>46062.4722222222</v>
      </c>
      <c r="F584" s="58" t="n">
        <v>46062.4791666667</v>
      </c>
      <c r="G584" s="59" t="n">
        <f aca="false">F584-E584</f>
        <v>0.00694444450231482</v>
      </c>
      <c r="H584" s="57" t="s">
        <v>283</v>
      </c>
      <c r="I584" s="57" t="s">
        <v>284</v>
      </c>
      <c r="J584" s="57" t="s">
        <v>285</v>
      </c>
      <c r="K584" s="57" t="s">
        <v>286</v>
      </c>
      <c r="L584" s="57" t="s">
        <v>1383</v>
      </c>
      <c r="M584" s="57" t="s">
        <v>288</v>
      </c>
      <c r="N584" s="57" t="s">
        <v>589</v>
      </c>
      <c r="O584" s="57" t="s">
        <v>711</v>
      </c>
      <c r="P584" s="57" t="s">
        <v>1389</v>
      </c>
      <c r="Q584" s="57" t="s">
        <v>694</v>
      </c>
    </row>
    <row r="585" s="50" customFormat="true" ht="14.25" hidden="false" customHeight="true" outlineLevel="0" collapsed="false">
      <c r="A585" s="50" t="s">
        <v>519</v>
      </c>
      <c r="B585" s="57" t="s">
        <v>519</v>
      </c>
      <c r="C585" s="57" t="s">
        <v>414</v>
      </c>
      <c r="D585" s="58" t="n">
        <v>46062.4722222222</v>
      </c>
      <c r="E585" s="58" t="n">
        <v>46062.4722222222</v>
      </c>
      <c r="F585" s="58" t="n">
        <v>46062.4791666667</v>
      </c>
      <c r="G585" s="59" t="n">
        <f aca="false">F585-E585</f>
        <v>0.00694444450231482</v>
      </c>
      <c r="H585" s="57" t="s">
        <v>283</v>
      </c>
      <c r="I585" s="57" t="s">
        <v>284</v>
      </c>
      <c r="J585" s="57" t="s">
        <v>285</v>
      </c>
      <c r="K585" s="57" t="s">
        <v>286</v>
      </c>
      <c r="L585" s="57" t="s">
        <v>1383</v>
      </c>
      <c r="M585" s="57" t="s">
        <v>288</v>
      </c>
      <c r="N585" s="57" t="s">
        <v>589</v>
      </c>
      <c r="O585" s="57" t="s">
        <v>711</v>
      </c>
      <c r="P585" s="57" t="s">
        <v>1390</v>
      </c>
      <c r="Q585" s="57" t="s">
        <v>694</v>
      </c>
    </row>
    <row r="586" s="50" customFormat="true" ht="14.25" hidden="false" customHeight="true" outlineLevel="0" collapsed="false">
      <c r="A586" s="50" t="s">
        <v>519</v>
      </c>
      <c r="B586" s="57" t="s">
        <v>519</v>
      </c>
      <c r="C586" s="57" t="s">
        <v>415</v>
      </c>
      <c r="D586" s="58" t="n">
        <v>46062.4722222222</v>
      </c>
      <c r="E586" s="58" t="n">
        <v>46062.4722222222</v>
      </c>
      <c r="F586" s="58" t="n">
        <v>46062.4791666667</v>
      </c>
      <c r="G586" s="59" t="n">
        <f aca="false">F586-E586</f>
        <v>0.00694444450231482</v>
      </c>
      <c r="H586" s="57" t="s">
        <v>283</v>
      </c>
      <c r="I586" s="57" t="s">
        <v>284</v>
      </c>
      <c r="J586" s="57" t="s">
        <v>285</v>
      </c>
      <c r="K586" s="57" t="s">
        <v>286</v>
      </c>
      <c r="L586" s="57" t="s">
        <v>1383</v>
      </c>
      <c r="M586" s="57" t="s">
        <v>288</v>
      </c>
      <c r="N586" s="57" t="s">
        <v>589</v>
      </c>
      <c r="O586" s="57" t="s">
        <v>711</v>
      </c>
      <c r="P586" s="57" t="s">
        <v>1391</v>
      </c>
      <c r="Q586" s="57" t="s">
        <v>694</v>
      </c>
    </row>
    <row r="587" s="50" customFormat="true" ht="14.25" hidden="false" customHeight="true" outlineLevel="0" collapsed="false">
      <c r="A587" s="50" t="s">
        <v>519</v>
      </c>
      <c r="B587" s="57" t="s">
        <v>519</v>
      </c>
      <c r="C587" s="57" t="s">
        <v>416</v>
      </c>
      <c r="D587" s="58" t="n">
        <v>46062.4722222222</v>
      </c>
      <c r="E587" s="58" t="n">
        <v>46062.4722222222</v>
      </c>
      <c r="F587" s="58" t="n">
        <v>46062.4791666667</v>
      </c>
      <c r="G587" s="59" t="n">
        <f aca="false">F587-E587</f>
        <v>0.00694444450231482</v>
      </c>
      <c r="H587" s="57" t="s">
        <v>283</v>
      </c>
      <c r="I587" s="57" t="s">
        <v>284</v>
      </c>
      <c r="J587" s="57" t="s">
        <v>285</v>
      </c>
      <c r="K587" s="57" t="s">
        <v>286</v>
      </c>
      <c r="L587" s="57" t="s">
        <v>1383</v>
      </c>
      <c r="M587" s="57" t="s">
        <v>288</v>
      </c>
      <c r="N587" s="57" t="s">
        <v>589</v>
      </c>
      <c r="O587" s="57" t="s">
        <v>711</v>
      </c>
      <c r="P587" s="57" t="s">
        <v>1392</v>
      </c>
      <c r="Q587" s="57" t="s">
        <v>694</v>
      </c>
    </row>
    <row r="588" s="50" customFormat="true" ht="14.25" hidden="false" customHeight="true" outlineLevel="0" collapsed="false">
      <c r="A588" s="50" t="s">
        <v>519</v>
      </c>
      <c r="B588" s="57" t="s">
        <v>519</v>
      </c>
      <c r="C588" s="57" t="s">
        <v>417</v>
      </c>
      <c r="D588" s="58" t="n">
        <v>46062.4722222222</v>
      </c>
      <c r="E588" s="58" t="n">
        <v>46062.4722222222</v>
      </c>
      <c r="F588" s="58" t="n">
        <v>46062.4791666667</v>
      </c>
      <c r="G588" s="59" t="n">
        <f aca="false">F588-E588</f>
        <v>0.00694444450231482</v>
      </c>
      <c r="H588" s="57" t="s">
        <v>283</v>
      </c>
      <c r="I588" s="57" t="s">
        <v>284</v>
      </c>
      <c r="J588" s="57" t="s">
        <v>285</v>
      </c>
      <c r="K588" s="57" t="s">
        <v>286</v>
      </c>
      <c r="L588" s="57" t="s">
        <v>1383</v>
      </c>
      <c r="M588" s="57" t="s">
        <v>288</v>
      </c>
      <c r="N588" s="57" t="s">
        <v>589</v>
      </c>
      <c r="O588" s="57" t="s">
        <v>711</v>
      </c>
      <c r="P588" s="57" t="s">
        <v>1393</v>
      </c>
      <c r="Q588" s="57" t="s">
        <v>694</v>
      </c>
    </row>
    <row r="589" s="50" customFormat="true" ht="14.25" hidden="false" customHeight="true" outlineLevel="0" collapsed="false">
      <c r="A589" s="50" t="s">
        <v>727</v>
      </c>
      <c r="B589" s="57" t="s">
        <v>727</v>
      </c>
      <c r="C589" s="57" t="s">
        <v>265</v>
      </c>
      <c r="D589" s="58" t="n">
        <v>46062.4722222222</v>
      </c>
      <c r="E589" s="58" t="n">
        <v>46062.4722222222</v>
      </c>
      <c r="F589" s="58" t="n">
        <v>46062.4791666667</v>
      </c>
      <c r="G589" s="59" t="n">
        <f aca="false">F589-E589</f>
        <v>0.00694444450231482</v>
      </c>
      <c r="H589" s="57" t="s">
        <v>283</v>
      </c>
      <c r="I589" s="57" t="s">
        <v>284</v>
      </c>
      <c r="J589" s="57" t="s">
        <v>285</v>
      </c>
      <c r="K589" s="57" t="s">
        <v>286</v>
      </c>
      <c r="L589" s="57" t="s">
        <v>1383</v>
      </c>
      <c r="M589" s="57" t="s">
        <v>288</v>
      </c>
      <c r="N589" s="57" t="s">
        <v>589</v>
      </c>
      <c r="O589" s="57" t="s">
        <v>711</v>
      </c>
      <c r="P589" s="57" t="s">
        <v>1394</v>
      </c>
      <c r="Q589" s="57" t="s">
        <v>694</v>
      </c>
    </row>
    <row r="590" s="50" customFormat="true" ht="14.25" hidden="false" customHeight="true" outlineLevel="0" collapsed="false">
      <c r="A590" s="50" t="s">
        <v>727</v>
      </c>
      <c r="B590" s="57" t="s">
        <v>727</v>
      </c>
      <c r="C590" s="57" t="s">
        <v>1338</v>
      </c>
      <c r="D590" s="58" t="n">
        <v>46062.4722222222</v>
      </c>
      <c r="E590" s="58" t="n">
        <v>46062.4722222222</v>
      </c>
      <c r="F590" s="58" t="n">
        <v>46062.4791666667</v>
      </c>
      <c r="G590" s="59" t="n">
        <f aca="false">F590-E590</f>
        <v>0.00694444450231482</v>
      </c>
      <c r="H590" s="57" t="s">
        <v>283</v>
      </c>
      <c r="I590" s="57" t="s">
        <v>284</v>
      </c>
      <c r="J590" s="57" t="s">
        <v>285</v>
      </c>
      <c r="K590" s="57" t="s">
        <v>286</v>
      </c>
      <c r="L590" s="57" t="s">
        <v>1383</v>
      </c>
      <c r="M590" s="57" t="s">
        <v>288</v>
      </c>
      <c r="N590" s="57" t="s">
        <v>589</v>
      </c>
      <c r="O590" s="57" t="s">
        <v>711</v>
      </c>
      <c r="P590" s="57" t="s">
        <v>1395</v>
      </c>
      <c r="Q590" s="57" t="s">
        <v>694</v>
      </c>
    </row>
    <row r="591" s="50" customFormat="true" ht="14.25" hidden="false" customHeight="true" outlineLevel="0" collapsed="false">
      <c r="A591" s="50" t="s">
        <v>727</v>
      </c>
      <c r="B591" s="57" t="s">
        <v>727</v>
      </c>
      <c r="C591" s="57" t="s">
        <v>415</v>
      </c>
      <c r="D591" s="58" t="n">
        <v>46062.4722222222</v>
      </c>
      <c r="E591" s="58" t="n">
        <v>46062.4722222222</v>
      </c>
      <c r="F591" s="58" t="n">
        <v>46062.4791666667</v>
      </c>
      <c r="G591" s="59" t="n">
        <f aca="false">F591-E591</f>
        <v>0.00694444450231482</v>
      </c>
      <c r="H591" s="57" t="s">
        <v>283</v>
      </c>
      <c r="I591" s="57" t="s">
        <v>284</v>
      </c>
      <c r="J591" s="57" t="s">
        <v>285</v>
      </c>
      <c r="K591" s="57" t="s">
        <v>286</v>
      </c>
      <c r="L591" s="57" t="s">
        <v>1383</v>
      </c>
      <c r="M591" s="57" t="s">
        <v>288</v>
      </c>
      <c r="N591" s="57" t="s">
        <v>589</v>
      </c>
      <c r="O591" s="57" t="s">
        <v>711</v>
      </c>
      <c r="P591" s="57" t="s">
        <v>1396</v>
      </c>
      <c r="Q591" s="57" t="s">
        <v>694</v>
      </c>
    </row>
    <row r="592" s="50" customFormat="true" ht="14.25" hidden="false" customHeight="true" outlineLevel="0" collapsed="false">
      <c r="A592" s="50" t="s">
        <v>358</v>
      </c>
      <c r="B592" s="57" t="s">
        <v>358</v>
      </c>
      <c r="C592" s="57" t="s">
        <v>324</v>
      </c>
      <c r="D592" s="58" t="n">
        <v>46062.5763888889</v>
      </c>
      <c r="E592" s="58" t="n">
        <v>46062.5763888889</v>
      </c>
      <c r="F592" s="58" t="n">
        <v>46062.6944444444</v>
      </c>
      <c r="G592" s="59" t="n">
        <f aca="false">F592-E592</f>
        <v>0.118055555509259</v>
      </c>
      <c r="H592" s="57" t="s">
        <v>252</v>
      </c>
      <c r="I592" s="57"/>
      <c r="J592" s="57" t="s">
        <v>253</v>
      </c>
      <c r="K592" s="57" t="s">
        <v>266</v>
      </c>
      <c r="L592" s="57" t="s">
        <v>1397</v>
      </c>
      <c r="M592" s="57" t="s">
        <v>255</v>
      </c>
      <c r="N592" s="57" t="s">
        <v>268</v>
      </c>
      <c r="O592" s="57" t="s">
        <v>1398</v>
      </c>
      <c r="P592" s="57" t="s">
        <v>1399</v>
      </c>
      <c r="Q592" s="57" t="s">
        <v>706</v>
      </c>
    </row>
    <row r="593" s="50" customFormat="true" ht="14.25" hidden="false" customHeight="true" outlineLevel="0" collapsed="false">
      <c r="A593" s="50" t="s">
        <v>358</v>
      </c>
      <c r="B593" s="57" t="s">
        <v>358</v>
      </c>
      <c r="C593" s="57" t="s">
        <v>326</v>
      </c>
      <c r="D593" s="58" t="n">
        <v>46062.5763888889</v>
      </c>
      <c r="E593" s="58" t="n">
        <v>46062.5763888889</v>
      </c>
      <c r="F593" s="58" t="n">
        <v>46062.6944444444</v>
      </c>
      <c r="G593" s="59" t="n">
        <f aca="false">F593-E593</f>
        <v>0.118055555509259</v>
      </c>
      <c r="H593" s="57" t="s">
        <v>252</v>
      </c>
      <c r="I593" s="57"/>
      <c r="J593" s="57" t="s">
        <v>253</v>
      </c>
      <c r="K593" s="57" t="s">
        <v>266</v>
      </c>
      <c r="L593" s="57" t="s">
        <v>1397</v>
      </c>
      <c r="M593" s="57" t="s">
        <v>255</v>
      </c>
      <c r="N593" s="57" t="s">
        <v>268</v>
      </c>
      <c r="O593" s="57" t="s">
        <v>1398</v>
      </c>
      <c r="P593" s="57" t="s">
        <v>1400</v>
      </c>
      <c r="Q593" s="57" t="s">
        <v>706</v>
      </c>
    </row>
    <row r="594" s="50" customFormat="true" ht="14.25" hidden="false" customHeight="true" outlineLevel="0" collapsed="false">
      <c r="A594" s="50" t="s">
        <v>358</v>
      </c>
      <c r="B594" s="57" t="s">
        <v>358</v>
      </c>
      <c r="C594" s="57" t="s">
        <v>327</v>
      </c>
      <c r="D594" s="58" t="n">
        <v>46062.5763888889</v>
      </c>
      <c r="E594" s="58" t="n">
        <v>46062.5763888889</v>
      </c>
      <c r="F594" s="58" t="n">
        <v>46062.6944444444</v>
      </c>
      <c r="G594" s="59" t="n">
        <f aca="false">F594-E594</f>
        <v>0.118055555509259</v>
      </c>
      <c r="H594" s="57" t="s">
        <v>252</v>
      </c>
      <c r="I594" s="57"/>
      <c r="J594" s="57" t="s">
        <v>253</v>
      </c>
      <c r="K594" s="57" t="s">
        <v>266</v>
      </c>
      <c r="L594" s="57" t="s">
        <v>1397</v>
      </c>
      <c r="M594" s="57" t="s">
        <v>255</v>
      </c>
      <c r="N594" s="57" t="s">
        <v>268</v>
      </c>
      <c r="O594" s="57" t="s">
        <v>1398</v>
      </c>
      <c r="P594" s="57" t="s">
        <v>1401</v>
      </c>
      <c r="Q594" s="57" t="s">
        <v>706</v>
      </c>
    </row>
    <row r="595" s="50" customFormat="true" ht="14.25" hidden="false" customHeight="true" outlineLevel="0" collapsed="false">
      <c r="A595" s="50" t="s">
        <v>358</v>
      </c>
      <c r="B595" s="57" t="s">
        <v>358</v>
      </c>
      <c r="C595" s="57" t="s">
        <v>328</v>
      </c>
      <c r="D595" s="58" t="n">
        <v>46062.5763888889</v>
      </c>
      <c r="E595" s="58" t="n">
        <v>46062.5763888889</v>
      </c>
      <c r="F595" s="58" t="n">
        <v>46062.6944444444</v>
      </c>
      <c r="G595" s="59" t="n">
        <f aca="false">F595-E595</f>
        <v>0.118055555509259</v>
      </c>
      <c r="H595" s="57" t="s">
        <v>252</v>
      </c>
      <c r="I595" s="57"/>
      <c r="J595" s="57" t="s">
        <v>253</v>
      </c>
      <c r="K595" s="57" t="s">
        <v>266</v>
      </c>
      <c r="L595" s="57" t="s">
        <v>1397</v>
      </c>
      <c r="M595" s="57" t="s">
        <v>255</v>
      </c>
      <c r="N595" s="57" t="s">
        <v>268</v>
      </c>
      <c r="O595" s="57" t="s">
        <v>1398</v>
      </c>
      <c r="P595" s="57" t="s">
        <v>1402</v>
      </c>
      <c r="Q595" s="57" t="s">
        <v>706</v>
      </c>
    </row>
    <row r="596" s="50" customFormat="true" ht="14.25" hidden="false" customHeight="true" outlineLevel="0" collapsed="false">
      <c r="A596" s="50" t="s">
        <v>361</v>
      </c>
      <c r="B596" s="57" t="s">
        <v>361</v>
      </c>
      <c r="C596" s="57" t="s">
        <v>324</v>
      </c>
      <c r="D596" s="58" t="n">
        <v>46062.5763888889</v>
      </c>
      <c r="E596" s="58" t="n">
        <v>46062.5763888889</v>
      </c>
      <c r="F596" s="58" t="n">
        <v>46062.6944444444</v>
      </c>
      <c r="G596" s="59" t="n">
        <f aca="false">F596-E596</f>
        <v>0.118055555509259</v>
      </c>
      <c r="H596" s="57" t="s">
        <v>252</v>
      </c>
      <c r="I596" s="57"/>
      <c r="J596" s="57" t="s">
        <v>253</v>
      </c>
      <c r="K596" s="57" t="s">
        <v>266</v>
      </c>
      <c r="L596" s="57" t="s">
        <v>1397</v>
      </c>
      <c r="M596" s="57" t="s">
        <v>255</v>
      </c>
      <c r="N596" s="57" t="s">
        <v>268</v>
      </c>
      <c r="O596" s="57" t="s">
        <v>1398</v>
      </c>
      <c r="P596" s="57" t="s">
        <v>1403</v>
      </c>
      <c r="Q596" s="57" t="s">
        <v>706</v>
      </c>
    </row>
    <row r="597" s="50" customFormat="true" ht="14.25" hidden="false" customHeight="true" outlineLevel="0" collapsed="false">
      <c r="A597" s="50" t="s">
        <v>361</v>
      </c>
      <c r="B597" s="57" t="s">
        <v>361</v>
      </c>
      <c r="C597" s="57" t="s">
        <v>326</v>
      </c>
      <c r="D597" s="58" t="n">
        <v>46062.5763888889</v>
      </c>
      <c r="E597" s="58" t="n">
        <v>46062.5763888889</v>
      </c>
      <c r="F597" s="58" t="n">
        <v>46062.6944444444</v>
      </c>
      <c r="G597" s="59" t="n">
        <f aca="false">F597-E597</f>
        <v>0.118055555509259</v>
      </c>
      <c r="H597" s="57" t="s">
        <v>252</v>
      </c>
      <c r="I597" s="57"/>
      <c r="J597" s="57" t="s">
        <v>253</v>
      </c>
      <c r="K597" s="57" t="s">
        <v>266</v>
      </c>
      <c r="L597" s="57" t="s">
        <v>1397</v>
      </c>
      <c r="M597" s="57" t="s">
        <v>255</v>
      </c>
      <c r="N597" s="57" t="s">
        <v>268</v>
      </c>
      <c r="O597" s="57" t="s">
        <v>1398</v>
      </c>
      <c r="P597" s="57" t="s">
        <v>1404</v>
      </c>
      <c r="Q597" s="57" t="s">
        <v>706</v>
      </c>
    </row>
    <row r="598" s="50" customFormat="true" ht="14.25" hidden="false" customHeight="true" outlineLevel="0" collapsed="false">
      <c r="A598" s="50" t="s">
        <v>361</v>
      </c>
      <c r="B598" s="57" t="s">
        <v>361</v>
      </c>
      <c r="C598" s="57" t="s">
        <v>327</v>
      </c>
      <c r="D598" s="58" t="n">
        <v>46062.5763888889</v>
      </c>
      <c r="E598" s="58" t="n">
        <v>46062.5763888889</v>
      </c>
      <c r="F598" s="58" t="n">
        <v>46062.6944444444</v>
      </c>
      <c r="G598" s="59" t="n">
        <f aca="false">F598-E598</f>
        <v>0.118055555509259</v>
      </c>
      <c r="H598" s="57" t="s">
        <v>252</v>
      </c>
      <c r="I598" s="57"/>
      <c r="J598" s="57" t="s">
        <v>253</v>
      </c>
      <c r="K598" s="57" t="s">
        <v>266</v>
      </c>
      <c r="L598" s="57" t="s">
        <v>1397</v>
      </c>
      <c r="M598" s="57" t="s">
        <v>255</v>
      </c>
      <c r="N598" s="57" t="s">
        <v>268</v>
      </c>
      <c r="O598" s="57" t="s">
        <v>1398</v>
      </c>
      <c r="P598" s="57" t="s">
        <v>1405</v>
      </c>
      <c r="Q598" s="57" t="s">
        <v>706</v>
      </c>
    </row>
    <row r="599" s="50" customFormat="true" ht="14.25" hidden="false" customHeight="true" outlineLevel="0" collapsed="false">
      <c r="A599" s="50" t="s">
        <v>361</v>
      </c>
      <c r="B599" s="57" t="s">
        <v>361</v>
      </c>
      <c r="C599" s="57" t="s">
        <v>328</v>
      </c>
      <c r="D599" s="58" t="n">
        <v>46062.5763888889</v>
      </c>
      <c r="E599" s="58" t="n">
        <v>46062.5763888889</v>
      </c>
      <c r="F599" s="58" t="n">
        <v>46062.6944444444</v>
      </c>
      <c r="G599" s="59" t="n">
        <f aca="false">F599-E599</f>
        <v>0.118055555509259</v>
      </c>
      <c r="H599" s="57" t="s">
        <v>252</v>
      </c>
      <c r="I599" s="57"/>
      <c r="J599" s="57" t="s">
        <v>253</v>
      </c>
      <c r="K599" s="57" t="s">
        <v>266</v>
      </c>
      <c r="L599" s="57" t="s">
        <v>1397</v>
      </c>
      <c r="M599" s="57" t="s">
        <v>255</v>
      </c>
      <c r="N599" s="57" t="s">
        <v>268</v>
      </c>
      <c r="O599" s="57" t="s">
        <v>1398</v>
      </c>
      <c r="P599" s="57" t="s">
        <v>1406</v>
      </c>
      <c r="Q599" s="57" t="s">
        <v>706</v>
      </c>
    </row>
    <row r="600" s="50" customFormat="true" ht="14.25" hidden="false" customHeight="true" outlineLevel="0" collapsed="false">
      <c r="A600" s="50" t="s">
        <v>362</v>
      </c>
      <c r="B600" s="57" t="s">
        <v>362</v>
      </c>
      <c r="C600" s="57" t="s">
        <v>363</v>
      </c>
      <c r="D600" s="58" t="n">
        <v>46062.5763888889</v>
      </c>
      <c r="E600" s="58" t="n">
        <v>46062.5763888889</v>
      </c>
      <c r="F600" s="58" t="n">
        <v>46062.6944444444</v>
      </c>
      <c r="G600" s="59" t="n">
        <f aca="false">F600-E600</f>
        <v>0.118055555509259</v>
      </c>
      <c r="H600" s="57" t="s">
        <v>252</v>
      </c>
      <c r="I600" s="57"/>
      <c r="J600" s="57" t="s">
        <v>253</v>
      </c>
      <c r="K600" s="57" t="s">
        <v>266</v>
      </c>
      <c r="L600" s="57" t="s">
        <v>1397</v>
      </c>
      <c r="M600" s="57" t="s">
        <v>255</v>
      </c>
      <c r="N600" s="57" t="s">
        <v>268</v>
      </c>
      <c r="O600" s="57" t="s">
        <v>1398</v>
      </c>
      <c r="P600" s="57" t="s">
        <v>1407</v>
      </c>
      <c r="Q600" s="57" t="s">
        <v>706</v>
      </c>
    </row>
    <row r="601" s="50" customFormat="true" ht="14.25" hidden="false" customHeight="true" outlineLevel="0" collapsed="false">
      <c r="A601" s="50" t="s">
        <v>362</v>
      </c>
      <c r="B601" s="57" t="s">
        <v>362</v>
      </c>
      <c r="C601" s="57" t="s">
        <v>265</v>
      </c>
      <c r="D601" s="58" t="n">
        <v>46062.5763888889</v>
      </c>
      <c r="E601" s="58" t="n">
        <v>46062.5763888889</v>
      </c>
      <c r="F601" s="58" t="n">
        <v>46062.6944444444</v>
      </c>
      <c r="G601" s="59" t="n">
        <f aca="false">F601-E601</f>
        <v>0.118055555509259</v>
      </c>
      <c r="H601" s="57" t="s">
        <v>252</v>
      </c>
      <c r="I601" s="57"/>
      <c r="J601" s="57" t="s">
        <v>253</v>
      </c>
      <c r="K601" s="57" t="s">
        <v>266</v>
      </c>
      <c r="L601" s="57" t="s">
        <v>1397</v>
      </c>
      <c r="M601" s="57" t="s">
        <v>255</v>
      </c>
      <c r="N601" s="57" t="s">
        <v>268</v>
      </c>
      <c r="O601" s="57" t="s">
        <v>1398</v>
      </c>
      <c r="P601" s="57" t="s">
        <v>1408</v>
      </c>
      <c r="Q601" s="57" t="s">
        <v>706</v>
      </c>
    </row>
    <row r="602" s="50" customFormat="true" ht="14.25" hidden="false" customHeight="true" outlineLevel="0" collapsed="false">
      <c r="A602" s="50" t="s">
        <v>367</v>
      </c>
      <c r="B602" s="57" t="s">
        <v>367</v>
      </c>
      <c r="C602" s="57" t="s">
        <v>324</v>
      </c>
      <c r="D602" s="58" t="n">
        <v>46062.5763888889</v>
      </c>
      <c r="E602" s="58" t="n">
        <v>46062.5763888889</v>
      </c>
      <c r="F602" s="58" t="n">
        <v>46062.6944444444</v>
      </c>
      <c r="G602" s="59" t="n">
        <f aca="false">F602-E602</f>
        <v>0.118055555509259</v>
      </c>
      <c r="H602" s="57" t="s">
        <v>252</v>
      </c>
      <c r="I602" s="57"/>
      <c r="J602" s="57" t="s">
        <v>253</v>
      </c>
      <c r="K602" s="57" t="s">
        <v>266</v>
      </c>
      <c r="L602" s="57" t="s">
        <v>1397</v>
      </c>
      <c r="M602" s="57" t="s">
        <v>255</v>
      </c>
      <c r="N602" s="57" t="s">
        <v>268</v>
      </c>
      <c r="O602" s="57" t="s">
        <v>1398</v>
      </c>
      <c r="P602" s="57" t="s">
        <v>1409</v>
      </c>
      <c r="Q602" s="57" t="s">
        <v>706</v>
      </c>
    </row>
    <row r="603" s="50" customFormat="true" ht="14.25" hidden="false" customHeight="true" outlineLevel="0" collapsed="false">
      <c r="A603" s="50" t="s">
        <v>367</v>
      </c>
      <c r="B603" s="57" t="s">
        <v>367</v>
      </c>
      <c r="C603" s="57" t="s">
        <v>328</v>
      </c>
      <c r="D603" s="58" t="n">
        <v>46062.5763888889</v>
      </c>
      <c r="E603" s="58" t="n">
        <v>46062.5763888889</v>
      </c>
      <c r="F603" s="58" t="n">
        <v>46062.6944444444</v>
      </c>
      <c r="G603" s="59" t="n">
        <f aca="false">F603-E603</f>
        <v>0.118055555509259</v>
      </c>
      <c r="H603" s="57" t="s">
        <v>252</v>
      </c>
      <c r="I603" s="57"/>
      <c r="J603" s="57" t="s">
        <v>253</v>
      </c>
      <c r="K603" s="57" t="s">
        <v>266</v>
      </c>
      <c r="L603" s="57" t="s">
        <v>1397</v>
      </c>
      <c r="M603" s="57" t="s">
        <v>255</v>
      </c>
      <c r="N603" s="57" t="s">
        <v>268</v>
      </c>
      <c r="O603" s="57" t="s">
        <v>1398</v>
      </c>
      <c r="P603" s="57" t="s">
        <v>1410</v>
      </c>
      <c r="Q603" s="57" t="s">
        <v>706</v>
      </c>
    </row>
    <row r="604" s="50" customFormat="true" ht="14.25" hidden="false" customHeight="true" outlineLevel="0" collapsed="false">
      <c r="A604" s="50" t="s">
        <v>367</v>
      </c>
      <c r="B604" s="57" t="s">
        <v>367</v>
      </c>
      <c r="C604" s="57" t="s">
        <v>327</v>
      </c>
      <c r="D604" s="58" t="n">
        <v>46062.5763888889</v>
      </c>
      <c r="E604" s="58" t="n">
        <v>46062.5763888889</v>
      </c>
      <c r="F604" s="58" t="n">
        <v>46062.6944444444</v>
      </c>
      <c r="G604" s="59" t="n">
        <f aca="false">F604-E604</f>
        <v>0.118055555509259</v>
      </c>
      <c r="H604" s="57" t="s">
        <v>252</v>
      </c>
      <c r="I604" s="57"/>
      <c r="J604" s="57" t="s">
        <v>253</v>
      </c>
      <c r="K604" s="57" t="s">
        <v>266</v>
      </c>
      <c r="L604" s="57" t="s">
        <v>1397</v>
      </c>
      <c r="M604" s="57" t="s">
        <v>255</v>
      </c>
      <c r="N604" s="57" t="s">
        <v>268</v>
      </c>
      <c r="O604" s="57" t="s">
        <v>1398</v>
      </c>
      <c r="P604" s="57" t="s">
        <v>1411</v>
      </c>
      <c r="Q604" s="57" t="s">
        <v>706</v>
      </c>
    </row>
    <row r="605" s="50" customFormat="true" ht="14.25" hidden="false" customHeight="true" outlineLevel="0" collapsed="false">
      <c r="A605" s="50" t="s">
        <v>367</v>
      </c>
      <c r="B605" s="57" t="s">
        <v>367</v>
      </c>
      <c r="C605" s="57" t="s">
        <v>265</v>
      </c>
      <c r="D605" s="58" t="n">
        <v>46062.5763888889</v>
      </c>
      <c r="E605" s="58" t="n">
        <v>46062.5763888889</v>
      </c>
      <c r="F605" s="58" t="n">
        <v>46062.6944444444</v>
      </c>
      <c r="G605" s="59" t="n">
        <f aca="false">F605-E605</f>
        <v>0.118055555509259</v>
      </c>
      <c r="H605" s="57" t="s">
        <v>252</v>
      </c>
      <c r="I605" s="57"/>
      <c r="J605" s="57" t="s">
        <v>253</v>
      </c>
      <c r="K605" s="57" t="s">
        <v>266</v>
      </c>
      <c r="L605" s="57" t="s">
        <v>1397</v>
      </c>
      <c r="M605" s="57" t="s">
        <v>255</v>
      </c>
      <c r="N605" s="57" t="s">
        <v>268</v>
      </c>
      <c r="O605" s="57" t="s">
        <v>1398</v>
      </c>
      <c r="P605" s="57" t="s">
        <v>1412</v>
      </c>
      <c r="Q605" s="57" t="s">
        <v>706</v>
      </c>
    </row>
    <row r="606" s="50" customFormat="true" ht="14.25" hidden="false" customHeight="true" outlineLevel="0" collapsed="false">
      <c r="A606" s="50" t="s">
        <v>460</v>
      </c>
      <c r="B606" s="57" t="s">
        <v>460</v>
      </c>
      <c r="C606" s="57" t="s">
        <v>328</v>
      </c>
      <c r="D606" s="58" t="n">
        <v>46062.5763888889</v>
      </c>
      <c r="E606" s="58" t="n">
        <v>46062.5763888889</v>
      </c>
      <c r="F606" s="58" t="n">
        <v>46062.6944444444</v>
      </c>
      <c r="G606" s="59" t="n">
        <f aca="false">F606-E606</f>
        <v>0.118055555509259</v>
      </c>
      <c r="H606" s="57" t="s">
        <v>252</v>
      </c>
      <c r="I606" s="57"/>
      <c r="J606" s="57" t="s">
        <v>253</v>
      </c>
      <c r="K606" s="57" t="s">
        <v>266</v>
      </c>
      <c r="L606" s="57" t="s">
        <v>1397</v>
      </c>
      <c r="M606" s="57" t="s">
        <v>255</v>
      </c>
      <c r="N606" s="57" t="s">
        <v>268</v>
      </c>
      <c r="O606" s="57" t="s">
        <v>1398</v>
      </c>
      <c r="P606" s="57" t="s">
        <v>1413</v>
      </c>
      <c r="Q606" s="57" t="s">
        <v>706</v>
      </c>
    </row>
    <row r="607" s="50" customFormat="true" ht="14.25" hidden="false" customHeight="true" outlineLevel="0" collapsed="false">
      <c r="A607" s="50" t="s">
        <v>460</v>
      </c>
      <c r="B607" s="57" t="s">
        <v>460</v>
      </c>
      <c r="C607" s="57" t="s">
        <v>326</v>
      </c>
      <c r="D607" s="58" t="n">
        <v>46062.5763888889</v>
      </c>
      <c r="E607" s="58" t="n">
        <v>46062.5763888889</v>
      </c>
      <c r="F607" s="58" t="n">
        <v>46062.6944444444</v>
      </c>
      <c r="G607" s="59" t="n">
        <f aca="false">F607-E607</f>
        <v>0.118055555509259</v>
      </c>
      <c r="H607" s="57" t="s">
        <v>252</v>
      </c>
      <c r="I607" s="57"/>
      <c r="J607" s="57" t="s">
        <v>253</v>
      </c>
      <c r="K607" s="57" t="s">
        <v>266</v>
      </c>
      <c r="L607" s="57" t="s">
        <v>1397</v>
      </c>
      <c r="M607" s="57" t="s">
        <v>255</v>
      </c>
      <c r="N607" s="57" t="s">
        <v>268</v>
      </c>
      <c r="O607" s="57" t="s">
        <v>1398</v>
      </c>
      <c r="P607" s="57" t="s">
        <v>1414</v>
      </c>
      <c r="Q607" s="57" t="s">
        <v>706</v>
      </c>
    </row>
    <row r="608" s="50" customFormat="true" ht="14.25" hidden="false" customHeight="true" outlineLevel="0" collapsed="false">
      <c r="A608" s="50" t="s">
        <v>460</v>
      </c>
      <c r="B608" s="57" t="s">
        <v>460</v>
      </c>
      <c r="C608" s="57" t="s">
        <v>327</v>
      </c>
      <c r="D608" s="58" t="n">
        <v>46062.5763888889</v>
      </c>
      <c r="E608" s="58" t="n">
        <v>46062.5763888889</v>
      </c>
      <c r="F608" s="58" t="n">
        <v>46062.6944444444</v>
      </c>
      <c r="G608" s="59" t="n">
        <f aca="false">F608-E608</f>
        <v>0.118055555509259</v>
      </c>
      <c r="H608" s="57" t="s">
        <v>252</v>
      </c>
      <c r="I608" s="57"/>
      <c r="J608" s="57" t="s">
        <v>253</v>
      </c>
      <c r="K608" s="57" t="s">
        <v>266</v>
      </c>
      <c r="L608" s="57" t="s">
        <v>1397</v>
      </c>
      <c r="M608" s="57" t="s">
        <v>255</v>
      </c>
      <c r="N608" s="57" t="s">
        <v>268</v>
      </c>
      <c r="O608" s="57" t="s">
        <v>1398</v>
      </c>
      <c r="P608" s="57" t="s">
        <v>1415</v>
      </c>
      <c r="Q608" s="57" t="s">
        <v>706</v>
      </c>
    </row>
    <row r="609" s="50" customFormat="true" ht="14.25" hidden="false" customHeight="true" outlineLevel="0" collapsed="false">
      <c r="A609" s="50" t="s">
        <v>460</v>
      </c>
      <c r="B609" s="57" t="s">
        <v>460</v>
      </c>
      <c r="C609" s="57" t="s">
        <v>324</v>
      </c>
      <c r="D609" s="58" t="n">
        <v>46062.5763888889</v>
      </c>
      <c r="E609" s="58" t="n">
        <v>46062.5763888889</v>
      </c>
      <c r="F609" s="58" t="n">
        <v>46062.6944444444</v>
      </c>
      <c r="G609" s="59" t="n">
        <f aca="false">F609-E609</f>
        <v>0.118055555509259</v>
      </c>
      <c r="H609" s="57" t="s">
        <v>252</v>
      </c>
      <c r="I609" s="57"/>
      <c r="J609" s="57" t="s">
        <v>253</v>
      </c>
      <c r="K609" s="57" t="s">
        <v>266</v>
      </c>
      <c r="L609" s="57" t="s">
        <v>1397</v>
      </c>
      <c r="M609" s="57" t="s">
        <v>255</v>
      </c>
      <c r="N609" s="57" t="s">
        <v>268</v>
      </c>
      <c r="O609" s="57" t="s">
        <v>1398</v>
      </c>
      <c r="P609" s="57" t="s">
        <v>1416</v>
      </c>
      <c r="Q609" s="57" t="s">
        <v>706</v>
      </c>
    </row>
    <row r="610" s="50" customFormat="true" ht="14.25" hidden="false" customHeight="true" outlineLevel="0" collapsed="false">
      <c r="A610" s="50" t="s">
        <v>461</v>
      </c>
      <c r="B610" s="57" t="s">
        <v>461</v>
      </c>
      <c r="C610" s="57" t="s">
        <v>324</v>
      </c>
      <c r="D610" s="58" t="n">
        <v>46062.5763888889</v>
      </c>
      <c r="E610" s="58" t="n">
        <v>46062.5763888889</v>
      </c>
      <c r="F610" s="58" t="n">
        <v>46062.6944444444</v>
      </c>
      <c r="G610" s="59" t="n">
        <f aca="false">F610-E610</f>
        <v>0.118055555509259</v>
      </c>
      <c r="H610" s="57" t="s">
        <v>252</v>
      </c>
      <c r="I610" s="57"/>
      <c r="J610" s="57" t="s">
        <v>253</v>
      </c>
      <c r="K610" s="57" t="s">
        <v>266</v>
      </c>
      <c r="L610" s="57" t="s">
        <v>1397</v>
      </c>
      <c r="M610" s="57" t="s">
        <v>255</v>
      </c>
      <c r="N610" s="57" t="s">
        <v>268</v>
      </c>
      <c r="O610" s="57" t="s">
        <v>1398</v>
      </c>
      <c r="P610" s="57" t="s">
        <v>1417</v>
      </c>
      <c r="Q610" s="57" t="s">
        <v>706</v>
      </c>
    </row>
    <row r="611" s="50" customFormat="true" ht="14.25" hidden="false" customHeight="true" outlineLevel="0" collapsed="false">
      <c r="A611" s="50" t="s">
        <v>461</v>
      </c>
      <c r="B611" s="57" t="s">
        <v>461</v>
      </c>
      <c r="C611" s="57" t="s">
        <v>326</v>
      </c>
      <c r="D611" s="58" t="n">
        <v>46062.5763888889</v>
      </c>
      <c r="E611" s="58" t="n">
        <v>46062.5763888889</v>
      </c>
      <c r="F611" s="58" t="n">
        <v>46062.6944444444</v>
      </c>
      <c r="G611" s="59" t="n">
        <f aca="false">F611-E611</f>
        <v>0.118055555509259</v>
      </c>
      <c r="H611" s="57" t="s">
        <v>252</v>
      </c>
      <c r="I611" s="57"/>
      <c r="J611" s="57" t="s">
        <v>253</v>
      </c>
      <c r="K611" s="57" t="s">
        <v>266</v>
      </c>
      <c r="L611" s="57" t="s">
        <v>1397</v>
      </c>
      <c r="M611" s="57" t="s">
        <v>255</v>
      </c>
      <c r="N611" s="57" t="s">
        <v>268</v>
      </c>
      <c r="O611" s="57" t="s">
        <v>1398</v>
      </c>
      <c r="P611" s="57" t="s">
        <v>1418</v>
      </c>
      <c r="Q611" s="57" t="s">
        <v>706</v>
      </c>
    </row>
    <row r="612" s="50" customFormat="true" ht="14.25" hidden="false" customHeight="true" outlineLevel="0" collapsed="false">
      <c r="A612" s="50" t="s">
        <v>501</v>
      </c>
      <c r="B612" s="57" t="s">
        <v>501</v>
      </c>
      <c r="C612" s="57" t="s">
        <v>494</v>
      </c>
      <c r="D612" s="58" t="n">
        <v>46062.6666666667</v>
      </c>
      <c r="E612" s="58" t="n">
        <v>46062.6666666667</v>
      </c>
      <c r="F612" s="58" t="n">
        <v>46062.7381944444</v>
      </c>
      <c r="G612" s="59" t="n">
        <f aca="false">F612-E612</f>
        <v>0.0715277776967593</v>
      </c>
      <c r="H612" s="57" t="s">
        <v>252</v>
      </c>
      <c r="I612" s="57"/>
      <c r="J612" s="57" t="s">
        <v>253</v>
      </c>
      <c r="K612" s="57" t="s">
        <v>266</v>
      </c>
      <c r="L612" s="57" t="s">
        <v>1419</v>
      </c>
      <c r="M612" s="57" t="s">
        <v>255</v>
      </c>
      <c r="N612" s="57" t="s">
        <v>268</v>
      </c>
      <c r="O612" s="57" t="s">
        <v>1420</v>
      </c>
      <c r="P612" s="57" t="s">
        <v>1421</v>
      </c>
      <c r="Q612" s="57" t="s">
        <v>706</v>
      </c>
    </row>
    <row r="613" s="50" customFormat="true" ht="14.25" hidden="false" customHeight="true" outlineLevel="0" collapsed="false">
      <c r="A613" s="50" t="s">
        <v>501</v>
      </c>
      <c r="B613" s="57" t="s">
        <v>501</v>
      </c>
      <c r="C613" s="57" t="s">
        <v>495</v>
      </c>
      <c r="D613" s="58" t="n">
        <v>46062.6666666667</v>
      </c>
      <c r="E613" s="58" t="n">
        <v>46062.6666666667</v>
      </c>
      <c r="F613" s="58" t="n">
        <v>46062.7381944444</v>
      </c>
      <c r="G613" s="59" t="n">
        <f aca="false">F613-E613</f>
        <v>0.0715277776967593</v>
      </c>
      <c r="H613" s="57" t="s">
        <v>252</v>
      </c>
      <c r="I613" s="57"/>
      <c r="J613" s="57" t="s">
        <v>253</v>
      </c>
      <c r="K613" s="57" t="s">
        <v>266</v>
      </c>
      <c r="L613" s="57" t="s">
        <v>1419</v>
      </c>
      <c r="M613" s="57" t="s">
        <v>255</v>
      </c>
      <c r="N613" s="57" t="s">
        <v>268</v>
      </c>
      <c r="O613" s="57" t="s">
        <v>1420</v>
      </c>
      <c r="P613" s="57" t="s">
        <v>1422</v>
      </c>
      <c r="Q613" s="57" t="s">
        <v>706</v>
      </c>
    </row>
    <row r="614" s="50" customFormat="true" ht="14.25" hidden="false" customHeight="true" outlineLevel="0" collapsed="false">
      <c r="A614" s="50" t="s">
        <v>501</v>
      </c>
      <c r="B614" s="57" t="s">
        <v>501</v>
      </c>
      <c r="C614" s="57" t="s">
        <v>496</v>
      </c>
      <c r="D614" s="58" t="n">
        <v>46062.6666666667</v>
      </c>
      <c r="E614" s="58" t="n">
        <v>46062.6666666667</v>
      </c>
      <c r="F614" s="58" t="n">
        <v>46062.7381944444</v>
      </c>
      <c r="G614" s="59" t="n">
        <f aca="false">F614-E614</f>
        <v>0.0715277776967593</v>
      </c>
      <c r="H614" s="57" t="s">
        <v>252</v>
      </c>
      <c r="I614" s="57"/>
      <c r="J614" s="57" t="s">
        <v>253</v>
      </c>
      <c r="K614" s="57" t="s">
        <v>266</v>
      </c>
      <c r="L614" s="57" t="s">
        <v>1419</v>
      </c>
      <c r="M614" s="57" t="s">
        <v>255</v>
      </c>
      <c r="N614" s="57" t="s">
        <v>268</v>
      </c>
      <c r="O614" s="57" t="s">
        <v>1420</v>
      </c>
      <c r="P614" s="57" t="s">
        <v>1423</v>
      </c>
      <c r="Q614" s="57" t="s">
        <v>706</v>
      </c>
    </row>
    <row r="615" s="50" customFormat="true" ht="14.25" hidden="false" customHeight="true" outlineLevel="0" collapsed="false">
      <c r="A615" s="50" t="s">
        <v>622</v>
      </c>
      <c r="B615" s="57" t="s">
        <v>622</v>
      </c>
      <c r="C615" s="57" t="s">
        <v>623</v>
      </c>
      <c r="D615" s="58" t="n">
        <v>46062.6979166667</v>
      </c>
      <c r="E615" s="58" t="n">
        <v>46062.6979166667</v>
      </c>
      <c r="F615" s="58" t="n">
        <v>46063.3680555556</v>
      </c>
      <c r="G615" s="59" t="n">
        <f aca="false">F615-E615</f>
        <v>0.670138888888889</v>
      </c>
      <c r="H615" s="57" t="s">
        <v>283</v>
      </c>
      <c r="I615" s="57" t="s">
        <v>284</v>
      </c>
      <c r="J615" s="57" t="s">
        <v>285</v>
      </c>
      <c r="K615" s="57" t="s">
        <v>286</v>
      </c>
      <c r="L615" s="57" t="s">
        <v>1383</v>
      </c>
      <c r="M615" s="57" t="s">
        <v>288</v>
      </c>
      <c r="N615" s="57" t="s">
        <v>289</v>
      </c>
      <c r="O615" s="57" t="s">
        <v>1424</v>
      </c>
      <c r="P615" s="57" t="s">
        <v>1425</v>
      </c>
      <c r="Q615" s="57" t="s">
        <v>694</v>
      </c>
    </row>
    <row r="616" s="50" customFormat="true" ht="14.25" hidden="false" customHeight="true" outlineLevel="0" collapsed="false">
      <c r="A616" s="50" t="s">
        <v>622</v>
      </c>
      <c r="B616" s="57" t="s">
        <v>622</v>
      </c>
      <c r="C616" s="57" t="s">
        <v>324</v>
      </c>
      <c r="D616" s="58" t="n">
        <v>46062.6979166667</v>
      </c>
      <c r="E616" s="58" t="n">
        <v>46062.6979166667</v>
      </c>
      <c r="F616" s="58" t="n">
        <v>46063.3680555556</v>
      </c>
      <c r="G616" s="59" t="n">
        <f aca="false">F616-E616</f>
        <v>0.670138888888889</v>
      </c>
      <c r="H616" s="57" t="s">
        <v>283</v>
      </c>
      <c r="I616" s="57" t="s">
        <v>284</v>
      </c>
      <c r="J616" s="57" t="s">
        <v>285</v>
      </c>
      <c r="K616" s="57" t="s">
        <v>286</v>
      </c>
      <c r="L616" s="57" t="s">
        <v>1383</v>
      </c>
      <c r="M616" s="57" t="s">
        <v>288</v>
      </c>
      <c r="N616" s="57" t="s">
        <v>289</v>
      </c>
      <c r="O616" s="57" t="s">
        <v>1424</v>
      </c>
      <c r="P616" s="57" t="s">
        <v>1426</v>
      </c>
      <c r="Q616" s="57" t="s">
        <v>694</v>
      </c>
    </row>
    <row r="617" s="50" customFormat="true" ht="14.25" hidden="false" customHeight="true" outlineLevel="0" collapsed="false">
      <c r="A617" s="50" t="s">
        <v>622</v>
      </c>
      <c r="B617" s="57" t="s">
        <v>622</v>
      </c>
      <c r="C617" s="57" t="s">
        <v>326</v>
      </c>
      <c r="D617" s="58" t="n">
        <v>46062.6979166667</v>
      </c>
      <c r="E617" s="58" t="n">
        <v>46062.6979166667</v>
      </c>
      <c r="F617" s="58" t="n">
        <v>46063.3680555556</v>
      </c>
      <c r="G617" s="59" t="n">
        <f aca="false">F617-E617</f>
        <v>0.670138888888889</v>
      </c>
      <c r="H617" s="57" t="s">
        <v>283</v>
      </c>
      <c r="I617" s="57" t="s">
        <v>284</v>
      </c>
      <c r="J617" s="57" t="s">
        <v>285</v>
      </c>
      <c r="K617" s="57" t="s">
        <v>286</v>
      </c>
      <c r="L617" s="57" t="s">
        <v>1383</v>
      </c>
      <c r="M617" s="57" t="s">
        <v>288</v>
      </c>
      <c r="N617" s="57" t="s">
        <v>289</v>
      </c>
      <c r="O617" s="57" t="s">
        <v>1424</v>
      </c>
      <c r="P617" s="57" t="s">
        <v>1427</v>
      </c>
      <c r="Q617" s="57" t="s">
        <v>694</v>
      </c>
    </row>
    <row r="618" s="50" customFormat="true" ht="14.25" hidden="false" customHeight="true" outlineLevel="0" collapsed="false">
      <c r="A618" s="50" t="s">
        <v>410</v>
      </c>
      <c r="B618" s="57" t="s">
        <v>410</v>
      </c>
      <c r="C618" s="57" t="s">
        <v>411</v>
      </c>
      <c r="D618" s="58" t="n">
        <v>46063.0972222222</v>
      </c>
      <c r="E618" s="58" t="n">
        <v>46063.0972222222</v>
      </c>
      <c r="F618" s="58" t="n">
        <v>46063.34375</v>
      </c>
      <c r="G618" s="59" t="n">
        <f aca="false">F618-E618</f>
        <v>0.246527777800926</v>
      </c>
      <c r="H618" s="57" t="s">
        <v>283</v>
      </c>
      <c r="I618" s="57" t="s">
        <v>284</v>
      </c>
      <c r="J618" s="57" t="s">
        <v>285</v>
      </c>
      <c r="K618" s="57" t="s">
        <v>286</v>
      </c>
      <c r="L618" s="57" t="s">
        <v>1428</v>
      </c>
      <c r="M618" s="57" t="s">
        <v>288</v>
      </c>
      <c r="N618" s="57" t="s">
        <v>289</v>
      </c>
      <c r="O618" s="57" t="s">
        <v>1429</v>
      </c>
      <c r="P618" s="57" t="s">
        <v>1430</v>
      </c>
      <c r="Q618" s="57" t="s">
        <v>694</v>
      </c>
    </row>
    <row r="619" s="50" customFormat="true" ht="14.25" hidden="false" customHeight="true" outlineLevel="0" collapsed="false">
      <c r="A619" s="50" t="s">
        <v>410</v>
      </c>
      <c r="B619" s="57" t="s">
        <v>410</v>
      </c>
      <c r="C619" s="57" t="s">
        <v>414</v>
      </c>
      <c r="D619" s="58" t="n">
        <v>46063.0972222222</v>
      </c>
      <c r="E619" s="58" t="n">
        <v>46063.0972222222</v>
      </c>
      <c r="F619" s="58" t="n">
        <v>46063.34375</v>
      </c>
      <c r="G619" s="59" t="n">
        <f aca="false">F619-E619</f>
        <v>0.246527777800926</v>
      </c>
      <c r="H619" s="57" t="s">
        <v>283</v>
      </c>
      <c r="I619" s="57" t="s">
        <v>284</v>
      </c>
      <c r="J619" s="57" t="s">
        <v>285</v>
      </c>
      <c r="K619" s="57" t="s">
        <v>286</v>
      </c>
      <c r="L619" s="57" t="s">
        <v>1428</v>
      </c>
      <c r="M619" s="57" t="s">
        <v>288</v>
      </c>
      <c r="N619" s="57" t="s">
        <v>289</v>
      </c>
      <c r="O619" s="57" t="s">
        <v>1429</v>
      </c>
      <c r="P619" s="57" t="s">
        <v>1431</v>
      </c>
      <c r="Q619" s="57" t="s">
        <v>694</v>
      </c>
    </row>
    <row r="620" s="50" customFormat="true" ht="14.25" hidden="false" customHeight="true" outlineLevel="0" collapsed="false">
      <c r="A620" s="50" t="s">
        <v>410</v>
      </c>
      <c r="B620" s="57" t="s">
        <v>410</v>
      </c>
      <c r="C620" s="57" t="s">
        <v>415</v>
      </c>
      <c r="D620" s="58" t="n">
        <v>46063.0972222222</v>
      </c>
      <c r="E620" s="58" t="n">
        <v>46063.0972222222</v>
      </c>
      <c r="F620" s="58" t="n">
        <v>46063.34375</v>
      </c>
      <c r="G620" s="59" t="n">
        <f aca="false">F620-E620</f>
        <v>0.246527777800926</v>
      </c>
      <c r="H620" s="57" t="s">
        <v>283</v>
      </c>
      <c r="I620" s="57" t="s">
        <v>284</v>
      </c>
      <c r="J620" s="57" t="s">
        <v>285</v>
      </c>
      <c r="K620" s="57" t="s">
        <v>286</v>
      </c>
      <c r="L620" s="57" t="s">
        <v>1428</v>
      </c>
      <c r="M620" s="57" t="s">
        <v>288</v>
      </c>
      <c r="N620" s="57" t="s">
        <v>289</v>
      </c>
      <c r="O620" s="57" t="s">
        <v>1429</v>
      </c>
      <c r="P620" s="57" t="s">
        <v>1432</v>
      </c>
      <c r="Q620" s="57" t="s">
        <v>694</v>
      </c>
    </row>
    <row r="621" s="50" customFormat="true" ht="14.25" hidden="false" customHeight="true" outlineLevel="0" collapsed="false">
      <c r="A621" s="50" t="s">
        <v>410</v>
      </c>
      <c r="B621" s="57" t="s">
        <v>410</v>
      </c>
      <c r="C621" s="57" t="s">
        <v>416</v>
      </c>
      <c r="D621" s="58" t="n">
        <v>46063.0972222222</v>
      </c>
      <c r="E621" s="58" t="n">
        <v>46063.0972222222</v>
      </c>
      <c r="F621" s="58" t="n">
        <v>46063.34375</v>
      </c>
      <c r="G621" s="59" t="n">
        <f aca="false">F621-E621</f>
        <v>0.246527777800926</v>
      </c>
      <c r="H621" s="57" t="s">
        <v>283</v>
      </c>
      <c r="I621" s="57" t="s">
        <v>284</v>
      </c>
      <c r="J621" s="57" t="s">
        <v>285</v>
      </c>
      <c r="K621" s="57" t="s">
        <v>286</v>
      </c>
      <c r="L621" s="57" t="s">
        <v>1428</v>
      </c>
      <c r="M621" s="57" t="s">
        <v>288</v>
      </c>
      <c r="N621" s="57" t="s">
        <v>289</v>
      </c>
      <c r="O621" s="57" t="s">
        <v>1429</v>
      </c>
      <c r="P621" s="57" t="s">
        <v>1433</v>
      </c>
      <c r="Q621" s="57" t="s">
        <v>694</v>
      </c>
    </row>
    <row r="622" s="50" customFormat="true" ht="14.25" hidden="false" customHeight="true" outlineLevel="0" collapsed="false">
      <c r="A622" s="50" t="s">
        <v>410</v>
      </c>
      <c r="B622" s="57" t="s">
        <v>410</v>
      </c>
      <c r="C622" s="57" t="s">
        <v>417</v>
      </c>
      <c r="D622" s="58" t="n">
        <v>46063.0972222222</v>
      </c>
      <c r="E622" s="58" t="n">
        <v>46063.0972222222</v>
      </c>
      <c r="F622" s="58" t="n">
        <v>46063.34375</v>
      </c>
      <c r="G622" s="59" t="n">
        <f aca="false">F622-E622</f>
        <v>0.246527777800926</v>
      </c>
      <c r="H622" s="57" t="s">
        <v>283</v>
      </c>
      <c r="I622" s="57" t="s">
        <v>284</v>
      </c>
      <c r="J622" s="57" t="s">
        <v>285</v>
      </c>
      <c r="K622" s="57" t="s">
        <v>286</v>
      </c>
      <c r="L622" s="57" t="s">
        <v>1428</v>
      </c>
      <c r="M622" s="57" t="s">
        <v>288</v>
      </c>
      <c r="N622" s="57" t="s">
        <v>289</v>
      </c>
      <c r="O622" s="57" t="s">
        <v>1429</v>
      </c>
      <c r="P622" s="57" t="s">
        <v>1434</v>
      </c>
      <c r="Q622" s="57" t="s">
        <v>694</v>
      </c>
    </row>
    <row r="623" s="50" customFormat="true" ht="14.25" hidden="false" customHeight="true" outlineLevel="0" collapsed="false">
      <c r="A623" s="50" t="s">
        <v>418</v>
      </c>
      <c r="B623" s="57" t="s">
        <v>418</v>
      </c>
      <c r="C623" s="57" t="s">
        <v>414</v>
      </c>
      <c r="D623" s="58" t="n">
        <v>46063.0972222222</v>
      </c>
      <c r="E623" s="58" t="n">
        <v>46063.0972222222</v>
      </c>
      <c r="F623" s="58" t="n">
        <v>46063.34375</v>
      </c>
      <c r="G623" s="59" t="n">
        <f aca="false">F623-E623</f>
        <v>0.246527777800926</v>
      </c>
      <c r="H623" s="57" t="s">
        <v>283</v>
      </c>
      <c r="I623" s="57" t="s">
        <v>284</v>
      </c>
      <c r="J623" s="57" t="s">
        <v>285</v>
      </c>
      <c r="K623" s="57" t="s">
        <v>286</v>
      </c>
      <c r="L623" s="57" t="s">
        <v>1428</v>
      </c>
      <c r="M623" s="57" t="s">
        <v>288</v>
      </c>
      <c r="N623" s="57" t="s">
        <v>289</v>
      </c>
      <c r="O623" s="57" t="s">
        <v>1429</v>
      </c>
      <c r="P623" s="57" t="s">
        <v>1435</v>
      </c>
      <c r="Q623" s="57" t="s">
        <v>694</v>
      </c>
    </row>
    <row r="624" s="50" customFormat="true" ht="14.25" hidden="false" customHeight="true" outlineLevel="0" collapsed="false">
      <c r="A624" s="50" t="s">
        <v>418</v>
      </c>
      <c r="B624" s="57" t="s">
        <v>418</v>
      </c>
      <c r="C624" s="57" t="s">
        <v>415</v>
      </c>
      <c r="D624" s="58" t="n">
        <v>46063.0972222222</v>
      </c>
      <c r="E624" s="58" t="n">
        <v>46063.0972222222</v>
      </c>
      <c r="F624" s="58" t="n">
        <v>46063.34375</v>
      </c>
      <c r="G624" s="59" t="n">
        <f aca="false">F624-E624</f>
        <v>0.246527777800926</v>
      </c>
      <c r="H624" s="57" t="s">
        <v>283</v>
      </c>
      <c r="I624" s="57" t="s">
        <v>284</v>
      </c>
      <c r="J624" s="57" t="s">
        <v>285</v>
      </c>
      <c r="K624" s="57" t="s">
        <v>286</v>
      </c>
      <c r="L624" s="57" t="s">
        <v>1428</v>
      </c>
      <c r="M624" s="57" t="s">
        <v>288</v>
      </c>
      <c r="N624" s="57" t="s">
        <v>289</v>
      </c>
      <c r="O624" s="57" t="s">
        <v>1429</v>
      </c>
      <c r="P624" s="57" t="s">
        <v>1436</v>
      </c>
      <c r="Q624" s="57" t="s">
        <v>694</v>
      </c>
    </row>
    <row r="625" s="50" customFormat="true" ht="14.25" hidden="false" customHeight="true" outlineLevel="0" collapsed="false">
      <c r="A625" s="50" t="s">
        <v>418</v>
      </c>
      <c r="B625" s="57" t="s">
        <v>418</v>
      </c>
      <c r="C625" s="57" t="s">
        <v>416</v>
      </c>
      <c r="D625" s="58" t="n">
        <v>46063.0972222222</v>
      </c>
      <c r="E625" s="58" t="n">
        <v>46063.0972222222</v>
      </c>
      <c r="F625" s="58" t="n">
        <v>46063.34375</v>
      </c>
      <c r="G625" s="59" t="n">
        <f aca="false">F625-E625</f>
        <v>0.246527777800926</v>
      </c>
      <c r="H625" s="57" t="s">
        <v>283</v>
      </c>
      <c r="I625" s="57" t="s">
        <v>284</v>
      </c>
      <c r="J625" s="57" t="s">
        <v>285</v>
      </c>
      <c r="K625" s="57" t="s">
        <v>286</v>
      </c>
      <c r="L625" s="57" t="s">
        <v>1428</v>
      </c>
      <c r="M625" s="57" t="s">
        <v>288</v>
      </c>
      <c r="N625" s="57" t="s">
        <v>289</v>
      </c>
      <c r="O625" s="57" t="s">
        <v>1429</v>
      </c>
      <c r="P625" s="57" t="s">
        <v>1437</v>
      </c>
      <c r="Q625" s="57" t="s">
        <v>694</v>
      </c>
    </row>
    <row r="626" s="50" customFormat="true" ht="14.25" hidden="false" customHeight="true" outlineLevel="0" collapsed="false">
      <c r="A626" s="50" t="s">
        <v>418</v>
      </c>
      <c r="B626" s="57" t="s">
        <v>418</v>
      </c>
      <c r="C626" s="57" t="s">
        <v>417</v>
      </c>
      <c r="D626" s="58" t="n">
        <v>46063.0972222222</v>
      </c>
      <c r="E626" s="58" t="n">
        <v>46063.0972222222</v>
      </c>
      <c r="F626" s="58" t="n">
        <v>46063.34375</v>
      </c>
      <c r="G626" s="59" t="n">
        <f aca="false">F626-E626</f>
        <v>0.246527777800926</v>
      </c>
      <c r="H626" s="57" t="s">
        <v>283</v>
      </c>
      <c r="I626" s="57" t="s">
        <v>284</v>
      </c>
      <c r="J626" s="57" t="s">
        <v>285</v>
      </c>
      <c r="K626" s="57" t="s">
        <v>286</v>
      </c>
      <c r="L626" s="57" t="s">
        <v>1428</v>
      </c>
      <c r="M626" s="57" t="s">
        <v>288</v>
      </c>
      <c r="N626" s="57" t="s">
        <v>289</v>
      </c>
      <c r="O626" s="57" t="s">
        <v>1429</v>
      </c>
      <c r="P626" s="57" t="s">
        <v>1438</v>
      </c>
      <c r="Q626" s="57" t="s">
        <v>694</v>
      </c>
    </row>
    <row r="627" s="50" customFormat="true" ht="14.25" hidden="false" customHeight="true" outlineLevel="0" collapsed="false">
      <c r="A627" s="50" t="s">
        <v>418</v>
      </c>
      <c r="B627" s="57" t="s">
        <v>418</v>
      </c>
      <c r="C627" s="57" t="s">
        <v>411</v>
      </c>
      <c r="D627" s="58" t="n">
        <v>46063.0972222222</v>
      </c>
      <c r="E627" s="58" t="n">
        <v>46063.0972222222</v>
      </c>
      <c r="F627" s="58" t="n">
        <v>46063.34375</v>
      </c>
      <c r="G627" s="59" t="n">
        <f aca="false">F627-E627</f>
        <v>0.246527777800926</v>
      </c>
      <c r="H627" s="57" t="s">
        <v>283</v>
      </c>
      <c r="I627" s="57" t="s">
        <v>284</v>
      </c>
      <c r="J627" s="57" t="s">
        <v>285</v>
      </c>
      <c r="K627" s="57" t="s">
        <v>286</v>
      </c>
      <c r="L627" s="57" t="s">
        <v>1428</v>
      </c>
      <c r="M627" s="57" t="s">
        <v>288</v>
      </c>
      <c r="N627" s="57" t="s">
        <v>289</v>
      </c>
      <c r="O627" s="57" t="s">
        <v>1429</v>
      </c>
      <c r="P627" s="57" t="s">
        <v>1439</v>
      </c>
      <c r="Q627" s="57" t="s">
        <v>694</v>
      </c>
    </row>
    <row r="628" s="50" customFormat="true" ht="14.25" hidden="false" customHeight="true" outlineLevel="0" collapsed="false">
      <c r="A628" s="50" t="s">
        <v>500</v>
      </c>
      <c r="B628" s="57" t="s">
        <v>500</v>
      </c>
      <c r="C628" s="57" t="s">
        <v>488</v>
      </c>
      <c r="D628" s="58" t="n">
        <v>46063.3020833333</v>
      </c>
      <c r="E628" s="58" t="n">
        <v>46063.3020833333</v>
      </c>
      <c r="F628" s="58" t="n">
        <v>46063.7881944444</v>
      </c>
      <c r="G628" s="59" t="n">
        <f aca="false">F628-E628</f>
        <v>0.486111111111111</v>
      </c>
      <c r="H628" s="57" t="s">
        <v>283</v>
      </c>
      <c r="I628" s="57" t="s">
        <v>284</v>
      </c>
      <c r="J628" s="57" t="s">
        <v>285</v>
      </c>
      <c r="K628" s="57" t="s">
        <v>286</v>
      </c>
      <c r="L628" s="57" t="s">
        <v>1354</v>
      </c>
      <c r="M628" s="57" t="s">
        <v>288</v>
      </c>
      <c r="N628" s="57" t="s">
        <v>289</v>
      </c>
      <c r="O628" s="57" t="s">
        <v>1440</v>
      </c>
      <c r="P628" s="57" t="s">
        <v>1441</v>
      </c>
      <c r="Q628" s="57" t="s">
        <v>694</v>
      </c>
    </row>
    <row r="629" s="50" customFormat="true" ht="14.25" hidden="false" customHeight="true" outlineLevel="0" collapsed="false">
      <c r="A629" s="50" t="s">
        <v>500</v>
      </c>
      <c r="B629" s="57" t="s">
        <v>500</v>
      </c>
      <c r="C629" s="57" t="s">
        <v>489</v>
      </c>
      <c r="D629" s="58" t="n">
        <v>46063.3020833333</v>
      </c>
      <c r="E629" s="58" t="n">
        <v>46063.3020833333</v>
      </c>
      <c r="F629" s="58" t="n">
        <v>46063.7881944444</v>
      </c>
      <c r="G629" s="59" t="n">
        <f aca="false">F629-E629</f>
        <v>0.486111111111111</v>
      </c>
      <c r="H629" s="57" t="s">
        <v>283</v>
      </c>
      <c r="I629" s="57" t="s">
        <v>284</v>
      </c>
      <c r="J629" s="57" t="s">
        <v>285</v>
      </c>
      <c r="K629" s="57" t="s">
        <v>286</v>
      </c>
      <c r="L629" s="57" t="s">
        <v>1354</v>
      </c>
      <c r="M629" s="57" t="s">
        <v>288</v>
      </c>
      <c r="N629" s="57" t="s">
        <v>289</v>
      </c>
      <c r="O629" s="57" t="s">
        <v>1440</v>
      </c>
      <c r="P629" s="57" t="s">
        <v>1442</v>
      </c>
      <c r="Q629" s="57" t="s">
        <v>694</v>
      </c>
    </row>
    <row r="630" s="50" customFormat="true" ht="14.25" hidden="false" customHeight="true" outlineLevel="0" collapsed="false">
      <c r="A630" s="50" t="s">
        <v>500</v>
      </c>
      <c r="B630" s="57" t="s">
        <v>500</v>
      </c>
      <c r="C630" s="57" t="s">
        <v>490</v>
      </c>
      <c r="D630" s="58" t="n">
        <v>46063.3020833333</v>
      </c>
      <c r="E630" s="58" t="n">
        <v>46063.3020833333</v>
      </c>
      <c r="F630" s="58" t="n">
        <v>46063.7881944444</v>
      </c>
      <c r="G630" s="59" t="n">
        <f aca="false">F630-E630</f>
        <v>0.486111111111111</v>
      </c>
      <c r="H630" s="57" t="s">
        <v>283</v>
      </c>
      <c r="I630" s="57" t="s">
        <v>284</v>
      </c>
      <c r="J630" s="57" t="s">
        <v>285</v>
      </c>
      <c r="K630" s="57" t="s">
        <v>286</v>
      </c>
      <c r="L630" s="57" t="s">
        <v>1354</v>
      </c>
      <c r="M630" s="57" t="s">
        <v>288</v>
      </c>
      <c r="N630" s="57" t="s">
        <v>289</v>
      </c>
      <c r="O630" s="57" t="s">
        <v>1440</v>
      </c>
      <c r="P630" s="57" t="s">
        <v>1443</v>
      </c>
      <c r="Q630" s="57" t="s">
        <v>694</v>
      </c>
    </row>
    <row r="631" s="50" customFormat="true" ht="14.25" hidden="false" customHeight="true" outlineLevel="0" collapsed="false">
      <c r="A631" s="50" t="s">
        <v>500</v>
      </c>
      <c r="B631" s="57" t="s">
        <v>500</v>
      </c>
      <c r="C631" s="57" t="s">
        <v>491</v>
      </c>
      <c r="D631" s="58" t="n">
        <v>46063.3020833333</v>
      </c>
      <c r="E631" s="58" t="n">
        <v>46063.3020833333</v>
      </c>
      <c r="F631" s="58" t="n">
        <v>46063.7881944444</v>
      </c>
      <c r="G631" s="59" t="n">
        <f aca="false">F631-E631</f>
        <v>0.486111111111111</v>
      </c>
      <c r="H631" s="57" t="s">
        <v>283</v>
      </c>
      <c r="I631" s="57" t="s">
        <v>284</v>
      </c>
      <c r="J631" s="57" t="s">
        <v>285</v>
      </c>
      <c r="K631" s="57" t="s">
        <v>286</v>
      </c>
      <c r="L631" s="57" t="s">
        <v>1354</v>
      </c>
      <c r="M631" s="57" t="s">
        <v>288</v>
      </c>
      <c r="N631" s="57" t="s">
        <v>289</v>
      </c>
      <c r="O631" s="57" t="s">
        <v>1440</v>
      </c>
      <c r="P631" s="57" t="s">
        <v>1444</v>
      </c>
      <c r="Q631" s="57" t="s">
        <v>694</v>
      </c>
    </row>
    <row r="632" s="50" customFormat="true" ht="14.25" hidden="false" customHeight="true" outlineLevel="0" collapsed="false">
      <c r="A632" s="50" t="s">
        <v>500</v>
      </c>
      <c r="B632" s="57" t="s">
        <v>500</v>
      </c>
      <c r="C632" s="57" t="s">
        <v>492</v>
      </c>
      <c r="D632" s="58" t="n">
        <v>46063.3020833333</v>
      </c>
      <c r="E632" s="58" t="n">
        <v>46063.3020833333</v>
      </c>
      <c r="F632" s="58" t="n">
        <v>46063.7881944444</v>
      </c>
      <c r="G632" s="59" t="n">
        <f aca="false">F632-E632</f>
        <v>0.486111111111111</v>
      </c>
      <c r="H632" s="57" t="s">
        <v>283</v>
      </c>
      <c r="I632" s="57" t="s">
        <v>284</v>
      </c>
      <c r="J632" s="57" t="s">
        <v>285</v>
      </c>
      <c r="K632" s="57" t="s">
        <v>286</v>
      </c>
      <c r="L632" s="57" t="s">
        <v>1354</v>
      </c>
      <c r="M632" s="57" t="s">
        <v>288</v>
      </c>
      <c r="N632" s="57" t="s">
        <v>289</v>
      </c>
      <c r="O632" s="57" t="s">
        <v>1440</v>
      </c>
      <c r="P632" s="57" t="s">
        <v>1445</v>
      </c>
      <c r="Q632" s="57" t="s">
        <v>694</v>
      </c>
    </row>
    <row r="633" s="50" customFormat="true" ht="14.25" hidden="false" customHeight="true" outlineLevel="0" collapsed="false">
      <c r="A633" s="50" t="s">
        <v>487</v>
      </c>
      <c r="B633" s="57" t="s">
        <v>487</v>
      </c>
      <c r="C633" s="57" t="s">
        <v>488</v>
      </c>
      <c r="D633" s="58" t="n">
        <v>46063.3666666667</v>
      </c>
      <c r="E633" s="58" t="n">
        <v>46063.3666666667</v>
      </c>
      <c r="F633" s="58" t="n">
        <v>46063.40625</v>
      </c>
      <c r="G633" s="59" t="n">
        <f aca="false">F633-E633</f>
        <v>0.0395833332986111</v>
      </c>
      <c r="H633" s="57" t="s">
        <v>252</v>
      </c>
      <c r="I633" s="57"/>
      <c r="J633" s="57" t="s">
        <v>333</v>
      </c>
      <c r="K633" s="57" t="s">
        <v>334</v>
      </c>
      <c r="L633" s="57" t="s">
        <v>1446</v>
      </c>
      <c r="M633" s="57" t="s">
        <v>336</v>
      </c>
      <c r="N633" s="57" t="s">
        <v>289</v>
      </c>
      <c r="O633" s="57" t="s">
        <v>1447</v>
      </c>
      <c r="P633" s="57" t="s">
        <v>1448</v>
      </c>
      <c r="Q633" s="57" t="s">
        <v>698</v>
      </c>
    </row>
    <row r="634" s="50" customFormat="true" ht="14.25" hidden="false" customHeight="true" outlineLevel="0" collapsed="false">
      <c r="A634" s="50" t="s">
        <v>323</v>
      </c>
      <c r="B634" s="57" t="s">
        <v>323</v>
      </c>
      <c r="C634" s="57" t="s">
        <v>324</v>
      </c>
      <c r="D634" s="58" t="n">
        <v>46063.3784722222</v>
      </c>
      <c r="E634" s="58" t="n">
        <v>46063.3784722222</v>
      </c>
      <c r="F634" s="58" t="n">
        <v>46063.3854166667</v>
      </c>
      <c r="G634" s="59" t="n">
        <f aca="false">F634-E634</f>
        <v>0.00694444450231482</v>
      </c>
      <c r="H634" s="57" t="s">
        <v>252</v>
      </c>
      <c r="I634" s="57"/>
      <c r="J634" s="57" t="s">
        <v>253</v>
      </c>
      <c r="K634" s="57" t="s">
        <v>266</v>
      </c>
      <c r="L634" s="57" t="s">
        <v>1449</v>
      </c>
      <c r="M634" s="57" t="s">
        <v>255</v>
      </c>
      <c r="N634" s="57" t="s">
        <v>268</v>
      </c>
      <c r="O634" s="57" t="s">
        <v>1450</v>
      </c>
      <c r="P634" s="57" t="s">
        <v>1451</v>
      </c>
      <c r="Q634" s="57" t="s">
        <v>706</v>
      </c>
    </row>
    <row r="635" s="50" customFormat="true" ht="14.25" hidden="false" customHeight="true" outlineLevel="0" collapsed="false">
      <c r="A635" s="50" t="s">
        <v>323</v>
      </c>
      <c r="B635" s="57" t="s">
        <v>323</v>
      </c>
      <c r="C635" s="57" t="s">
        <v>326</v>
      </c>
      <c r="D635" s="58" t="n">
        <v>46063.3784722222</v>
      </c>
      <c r="E635" s="58" t="n">
        <v>46063.3784722222</v>
      </c>
      <c r="F635" s="58" t="n">
        <v>46063.3854166667</v>
      </c>
      <c r="G635" s="59" t="n">
        <f aca="false">F635-E635</f>
        <v>0.00694444450231482</v>
      </c>
      <c r="H635" s="57" t="s">
        <v>252</v>
      </c>
      <c r="I635" s="57"/>
      <c r="J635" s="57" t="s">
        <v>253</v>
      </c>
      <c r="K635" s="57" t="s">
        <v>266</v>
      </c>
      <c r="L635" s="57" t="s">
        <v>1449</v>
      </c>
      <c r="M635" s="57" t="s">
        <v>255</v>
      </c>
      <c r="N635" s="57" t="s">
        <v>268</v>
      </c>
      <c r="O635" s="57" t="s">
        <v>1450</v>
      </c>
      <c r="P635" s="57" t="s">
        <v>1452</v>
      </c>
      <c r="Q635" s="57" t="s">
        <v>706</v>
      </c>
    </row>
    <row r="636" s="50" customFormat="true" ht="14.25" hidden="false" customHeight="true" outlineLevel="0" collapsed="false">
      <c r="A636" s="50" t="s">
        <v>323</v>
      </c>
      <c r="B636" s="57" t="s">
        <v>323</v>
      </c>
      <c r="C636" s="57" t="s">
        <v>327</v>
      </c>
      <c r="D636" s="58" t="n">
        <v>46063.3784722222</v>
      </c>
      <c r="E636" s="58" t="n">
        <v>46063.3784722222</v>
      </c>
      <c r="F636" s="58" t="n">
        <v>46063.3854166667</v>
      </c>
      <c r="G636" s="59" t="n">
        <f aca="false">F636-E636</f>
        <v>0.00694444450231482</v>
      </c>
      <c r="H636" s="57" t="s">
        <v>252</v>
      </c>
      <c r="I636" s="57"/>
      <c r="J636" s="57" t="s">
        <v>253</v>
      </c>
      <c r="K636" s="57" t="s">
        <v>266</v>
      </c>
      <c r="L636" s="57" t="s">
        <v>1449</v>
      </c>
      <c r="M636" s="57" t="s">
        <v>255</v>
      </c>
      <c r="N636" s="57" t="s">
        <v>268</v>
      </c>
      <c r="O636" s="57" t="s">
        <v>1450</v>
      </c>
      <c r="P636" s="57" t="s">
        <v>1453</v>
      </c>
      <c r="Q636" s="57" t="s">
        <v>706</v>
      </c>
    </row>
    <row r="637" s="50" customFormat="true" ht="14.25" hidden="false" customHeight="true" outlineLevel="0" collapsed="false">
      <c r="A637" s="50" t="s">
        <v>323</v>
      </c>
      <c r="B637" s="57" t="s">
        <v>323</v>
      </c>
      <c r="C637" s="57" t="s">
        <v>328</v>
      </c>
      <c r="D637" s="58" t="n">
        <v>46063.3784722222</v>
      </c>
      <c r="E637" s="58" t="n">
        <v>46063.3784722222</v>
      </c>
      <c r="F637" s="58" t="n">
        <v>46063.3854166667</v>
      </c>
      <c r="G637" s="59" t="n">
        <f aca="false">F637-E637</f>
        <v>0.00694444450231482</v>
      </c>
      <c r="H637" s="57" t="s">
        <v>252</v>
      </c>
      <c r="I637" s="57"/>
      <c r="J637" s="57" t="s">
        <v>253</v>
      </c>
      <c r="K637" s="57" t="s">
        <v>266</v>
      </c>
      <c r="L637" s="57" t="s">
        <v>1449</v>
      </c>
      <c r="M637" s="57" t="s">
        <v>255</v>
      </c>
      <c r="N637" s="57" t="s">
        <v>268</v>
      </c>
      <c r="O637" s="57" t="s">
        <v>1450</v>
      </c>
      <c r="P637" s="57" t="s">
        <v>1454</v>
      </c>
      <c r="Q637" s="57" t="s">
        <v>706</v>
      </c>
    </row>
    <row r="638" s="50" customFormat="true" ht="14.25" hidden="false" customHeight="true" outlineLevel="0" collapsed="false">
      <c r="A638" s="50" t="s">
        <v>329</v>
      </c>
      <c r="B638" s="57" t="s">
        <v>329</v>
      </c>
      <c r="C638" s="57" t="s">
        <v>324</v>
      </c>
      <c r="D638" s="58" t="n">
        <v>46063.3784722222</v>
      </c>
      <c r="E638" s="58" t="n">
        <v>46063.3784722222</v>
      </c>
      <c r="F638" s="58" t="n">
        <v>46063.3854166667</v>
      </c>
      <c r="G638" s="59" t="n">
        <f aca="false">F638-E638</f>
        <v>0.00694444450231482</v>
      </c>
      <c r="H638" s="57" t="s">
        <v>252</v>
      </c>
      <c r="I638" s="57"/>
      <c r="J638" s="57" t="s">
        <v>253</v>
      </c>
      <c r="K638" s="57" t="s">
        <v>266</v>
      </c>
      <c r="L638" s="57" t="s">
        <v>1449</v>
      </c>
      <c r="M638" s="57" t="s">
        <v>255</v>
      </c>
      <c r="N638" s="57" t="s">
        <v>268</v>
      </c>
      <c r="O638" s="57" t="s">
        <v>1450</v>
      </c>
      <c r="P638" s="57" t="s">
        <v>1455</v>
      </c>
      <c r="Q638" s="57" t="s">
        <v>706</v>
      </c>
    </row>
    <row r="639" s="50" customFormat="true" ht="14.25" hidden="false" customHeight="true" outlineLevel="0" collapsed="false">
      <c r="A639" s="50" t="s">
        <v>329</v>
      </c>
      <c r="B639" s="57" t="s">
        <v>329</v>
      </c>
      <c r="C639" s="57" t="s">
        <v>326</v>
      </c>
      <c r="D639" s="58" t="n">
        <v>46063.3784722222</v>
      </c>
      <c r="E639" s="58" t="n">
        <v>46063.3784722222</v>
      </c>
      <c r="F639" s="58" t="n">
        <v>46063.3854166667</v>
      </c>
      <c r="G639" s="59" t="n">
        <f aca="false">F639-E639</f>
        <v>0.00694444450231482</v>
      </c>
      <c r="H639" s="57" t="s">
        <v>252</v>
      </c>
      <c r="I639" s="57"/>
      <c r="J639" s="57" t="s">
        <v>253</v>
      </c>
      <c r="K639" s="57" t="s">
        <v>266</v>
      </c>
      <c r="L639" s="57" t="s">
        <v>1449</v>
      </c>
      <c r="M639" s="57" t="s">
        <v>255</v>
      </c>
      <c r="N639" s="57" t="s">
        <v>268</v>
      </c>
      <c r="O639" s="57" t="s">
        <v>1450</v>
      </c>
      <c r="P639" s="57" t="s">
        <v>1456</v>
      </c>
      <c r="Q639" s="57" t="s">
        <v>706</v>
      </c>
    </row>
    <row r="640" s="50" customFormat="true" ht="14.25" hidden="false" customHeight="true" outlineLevel="0" collapsed="false">
      <c r="A640" s="50" t="s">
        <v>329</v>
      </c>
      <c r="B640" s="57" t="s">
        <v>329</v>
      </c>
      <c r="C640" s="57" t="s">
        <v>327</v>
      </c>
      <c r="D640" s="58" t="n">
        <v>46063.3784722222</v>
      </c>
      <c r="E640" s="58" t="n">
        <v>46063.3784722222</v>
      </c>
      <c r="F640" s="58" t="n">
        <v>46063.3854166667</v>
      </c>
      <c r="G640" s="59" t="n">
        <f aca="false">F640-E640</f>
        <v>0.00694444450231482</v>
      </c>
      <c r="H640" s="57" t="s">
        <v>252</v>
      </c>
      <c r="I640" s="57"/>
      <c r="J640" s="57" t="s">
        <v>253</v>
      </c>
      <c r="K640" s="57" t="s">
        <v>266</v>
      </c>
      <c r="L640" s="57" t="s">
        <v>1449</v>
      </c>
      <c r="M640" s="57" t="s">
        <v>255</v>
      </c>
      <c r="N640" s="57" t="s">
        <v>268</v>
      </c>
      <c r="O640" s="57" t="s">
        <v>1450</v>
      </c>
      <c r="P640" s="57" t="s">
        <v>1457</v>
      </c>
      <c r="Q640" s="57" t="s">
        <v>706</v>
      </c>
    </row>
    <row r="641" s="50" customFormat="true" ht="14.25" hidden="false" customHeight="true" outlineLevel="0" collapsed="false">
      <c r="A641" s="50" t="s">
        <v>329</v>
      </c>
      <c r="B641" s="57" t="s">
        <v>329</v>
      </c>
      <c r="C641" s="57" t="s">
        <v>328</v>
      </c>
      <c r="D641" s="58" t="n">
        <v>46063.3784722222</v>
      </c>
      <c r="E641" s="58" t="n">
        <v>46063.3784722222</v>
      </c>
      <c r="F641" s="58" t="n">
        <v>46063.3854166667</v>
      </c>
      <c r="G641" s="59" t="n">
        <f aca="false">F641-E641</f>
        <v>0.00694444450231482</v>
      </c>
      <c r="H641" s="57" t="s">
        <v>252</v>
      </c>
      <c r="I641" s="57"/>
      <c r="J641" s="57" t="s">
        <v>253</v>
      </c>
      <c r="K641" s="57" t="s">
        <v>266</v>
      </c>
      <c r="L641" s="57" t="s">
        <v>1449</v>
      </c>
      <c r="M641" s="57" t="s">
        <v>255</v>
      </c>
      <c r="N641" s="57" t="s">
        <v>268</v>
      </c>
      <c r="O641" s="57" t="s">
        <v>1450</v>
      </c>
      <c r="P641" s="57" t="s">
        <v>1458</v>
      </c>
      <c r="Q641" s="57" t="s">
        <v>706</v>
      </c>
    </row>
    <row r="642" s="50" customFormat="true" ht="14.25" hidden="false" customHeight="true" outlineLevel="0" collapsed="false">
      <c r="A642" s="50" t="s">
        <v>340</v>
      </c>
      <c r="B642" s="57" t="s">
        <v>340</v>
      </c>
      <c r="C642" s="57" t="s">
        <v>327</v>
      </c>
      <c r="D642" s="58" t="n">
        <v>46063.4048611111</v>
      </c>
      <c r="E642" s="58" t="n">
        <v>46063.4048611111</v>
      </c>
      <c r="F642" s="58" t="n">
        <v>46063.4583333333</v>
      </c>
      <c r="G642" s="59" t="n">
        <f aca="false">F642-E642</f>
        <v>0.0534722221990741</v>
      </c>
      <c r="H642" s="57" t="s">
        <v>283</v>
      </c>
      <c r="I642" s="57" t="s">
        <v>284</v>
      </c>
      <c r="J642" s="57" t="s">
        <v>285</v>
      </c>
      <c r="K642" s="57" t="s">
        <v>286</v>
      </c>
      <c r="L642" s="57" t="s">
        <v>1459</v>
      </c>
      <c r="M642" s="57" t="s">
        <v>288</v>
      </c>
      <c r="N642" s="57" t="s">
        <v>289</v>
      </c>
      <c r="O642" s="57" t="s">
        <v>1429</v>
      </c>
      <c r="P642" s="57" t="s">
        <v>1460</v>
      </c>
      <c r="Q642" s="57" t="s">
        <v>694</v>
      </c>
    </row>
    <row r="643" s="50" customFormat="true" ht="14.25" hidden="false" customHeight="true" outlineLevel="0" collapsed="false">
      <c r="A643" s="50" t="s">
        <v>340</v>
      </c>
      <c r="B643" s="57" t="s">
        <v>340</v>
      </c>
      <c r="C643" s="57" t="s">
        <v>326</v>
      </c>
      <c r="D643" s="58" t="n">
        <v>46063.4048611111</v>
      </c>
      <c r="E643" s="58" t="n">
        <v>46063.4048611111</v>
      </c>
      <c r="F643" s="58" t="n">
        <v>46063.4583333333</v>
      </c>
      <c r="G643" s="59" t="n">
        <f aca="false">F643-E643</f>
        <v>0.0534722221990741</v>
      </c>
      <c r="H643" s="57" t="s">
        <v>283</v>
      </c>
      <c r="I643" s="57" t="s">
        <v>284</v>
      </c>
      <c r="J643" s="57" t="s">
        <v>285</v>
      </c>
      <c r="K643" s="57" t="s">
        <v>286</v>
      </c>
      <c r="L643" s="57" t="s">
        <v>1459</v>
      </c>
      <c r="M643" s="57" t="s">
        <v>288</v>
      </c>
      <c r="N643" s="57" t="s">
        <v>289</v>
      </c>
      <c r="O643" s="57" t="s">
        <v>1429</v>
      </c>
      <c r="P643" s="57" t="s">
        <v>1461</v>
      </c>
      <c r="Q643" s="57" t="s">
        <v>694</v>
      </c>
    </row>
    <row r="644" s="50" customFormat="true" ht="14.25" hidden="false" customHeight="true" outlineLevel="0" collapsed="false">
      <c r="A644" s="50" t="s">
        <v>340</v>
      </c>
      <c r="B644" s="57" t="s">
        <v>340</v>
      </c>
      <c r="C644" s="57" t="s">
        <v>324</v>
      </c>
      <c r="D644" s="58" t="n">
        <v>46063.4048611111</v>
      </c>
      <c r="E644" s="58" t="n">
        <v>46063.4048611111</v>
      </c>
      <c r="F644" s="58" t="n">
        <v>46063.4583333333</v>
      </c>
      <c r="G644" s="59" t="n">
        <f aca="false">F644-E644</f>
        <v>0.0534722221990741</v>
      </c>
      <c r="H644" s="57" t="s">
        <v>283</v>
      </c>
      <c r="I644" s="57" t="s">
        <v>284</v>
      </c>
      <c r="J644" s="57" t="s">
        <v>285</v>
      </c>
      <c r="K644" s="57" t="s">
        <v>286</v>
      </c>
      <c r="L644" s="57" t="s">
        <v>1459</v>
      </c>
      <c r="M644" s="57" t="s">
        <v>288</v>
      </c>
      <c r="N644" s="57" t="s">
        <v>289</v>
      </c>
      <c r="O644" s="57" t="s">
        <v>1429</v>
      </c>
      <c r="P644" s="57" t="s">
        <v>1462</v>
      </c>
      <c r="Q644" s="57" t="s">
        <v>694</v>
      </c>
    </row>
    <row r="645" s="50" customFormat="true" ht="14.25" hidden="false" customHeight="true" outlineLevel="0" collapsed="false">
      <c r="A645" s="50" t="s">
        <v>340</v>
      </c>
      <c r="B645" s="57" t="s">
        <v>340</v>
      </c>
      <c r="C645" s="57" t="s">
        <v>265</v>
      </c>
      <c r="D645" s="58" t="n">
        <v>46063.4048611111</v>
      </c>
      <c r="E645" s="58" t="n">
        <v>46063.4048611111</v>
      </c>
      <c r="F645" s="58" t="n">
        <v>46063.4583333333</v>
      </c>
      <c r="G645" s="59" t="n">
        <f aca="false">F645-E645</f>
        <v>0.0534722221990741</v>
      </c>
      <c r="H645" s="57" t="s">
        <v>283</v>
      </c>
      <c r="I645" s="57" t="s">
        <v>284</v>
      </c>
      <c r="J645" s="57" t="s">
        <v>285</v>
      </c>
      <c r="K645" s="57" t="s">
        <v>286</v>
      </c>
      <c r="L645" s="57" t="s">
        <v>1459</v>
      </c>
      <c r="M645" s="57" t="s">
        <v>288</v>
      </c>
      <c r="N645" s="57" t="s">
        <v>289</v>
      </c>
      <c r="O645" s="57" t="s">
        <v>1429</v>
      </c>
      <c r="P645" s="57" t="s">
        <v>1463</v>
      </c>
      <c r="Q645" s="57" t="s">
        <v>694</v>
      </c>
    </row>
    <row r="646" s="50" customFormat="true" ht="14.25" hidden="false" customHeight="true" outlineLevel="0" collapsed="false">
      <c r="A646" s="50" t="s">
        <v>801</v>
      </c>
      <c r="B646" s="57" t="s">
        <v>112</v>
      </c>
      <c r="C646" s="57" t="s">
        <v>524</v>
      </c>
      <c r="D646" s="58" t="n">
        <v>46063.5611111111</v>
      </c>
      <c r="E646" s="58" t="n">
        <v>46063.5611111111</v>
      </c>
      <c r="F646" s="58" t="n">
        <v>46063.5729166667</v>
      </c>
      <c r="G646" s="59" t="n">
        <f aca="false">F646-E646</f>
        <v>0.0118055556018519</v>
      </c>
      <c r="H646" s="57" t="s">
        <v>384</v>
      </c>
      <c r="I646" s="57"/>
      <c r="J646" s="57" t="s">
        <v>253</v>
      </c>
      <c r="K646" s="57" t="s">
        <v>266</v>
      </c>
      <c r="L646" s="57" t="s">
        <v>1464</v>
      </c>
      <c r="M646" s="57" t="s">
        <v>386</v>
      </c>
      <c r="N646" s="57" t="s">
        <v>387</v>
      </c>
      <c r="O646" s="57" t="s">
        <v>1465</v>
      </c>
      <c r="P646" s="57" t="s">
        <v>1466</v>
      </c>
      <c r="Q646" s="57" t="s">
        <v>1467</v>
      </c>
    </row>
    <row r="647" s="50" customFormat="true" ht="14.25" hidden="false" customHeight="true" outlineLevel="0" collapsed="false">
      <c r="A647" s="50" t="s">
        <v>801</v>
      </c>
      <c r="B647" s="57" t="s">
        <v>112</v>
      </c>
      <c r="C647" s="57" t="s">
        <v>526</v>
      </c>
      <c r="D647" s="58" t="n">
        <v>46063.5611111111</v>
      </c>
      <c r="E647" s="58" t="n">
        <v>46063.5611111111</v>
      </c>
      <c r="F647" s="58" t="n">
        <v>46063.5729166667</v>
      </c>
      <c r="G647" s="59" t="n">
        <f aca="false">F647-E647</f>
        <v>0.0118055556018519</v>
      </c>
      <c r="H647" s="57" t="s">
        <v>384</v>
      </c>
      <c r="I647" s="57"/>
      <c r="J647" s="57" t="s">
        <v>253</v>
      </c>
      <c r="K647" s="57" t="s">
        <v>266</v>
      </c>
      <c r="L647" s="57" t="s">
        <v>1464</v>
      </c>
      <c r="M647" s="57" t="s">
        <v>386</v>
      </c>
      <c r="N647" s="57" t="s">
        <v>387</v>
      </c>
      <c r="O647" s="57" t="s">
        <v>1465</v>
      </c>
      <c r="P647" s="57" t="s">
        <v>1468</v>
      </c>
      <c r="Q647" s="57" t="s">
        <v>1467</v>
      </c>
    </row>
    <row r="648" s="50" customFormat="true" ht="14.25" hidden="false" customHeight="true" outlineLevel="0" collapsed="false">
      <c r="A648" s="50" t="s">
        <v>801</v>
      </c>
      <c r="B648" s="57" t="s">
        <v>112</v>
      </c>
      <c r="C648" s="57" t="s">
        <v>527</v>
      </c>
      <c r="D648" s="58" t="n">
        <v>46063.5611111111</v>
      </c>
      <c r="E648" s="58" t="n">
        <v>46063.5611111111</v>
      </c>
      <c r="F648" s="58" t="n">
        <v>46063.5729166667</v>
      </c>
      <c r="G648" s="59" t="n">
        <f aca="false">F648-E648</f>
        <v>0.0118055556018519</v>
      </c>
      <c r="H648" s="57" t="s">
        <v>384</v>
      </c>
      <c r="I648" s="57"/>
      <c r="J648" s="57" t="s">
        <v>253</v>
      </c>
      <c r="K648" s="57" t="s">
        <v>266</v>
      </c>
      <c r="L648" s="57" t="s">
        <v>1464</v>
      </c>
      <c r="M648" s="57" t="s">
        <v>386</v>
      </c>
      <c r="N648" s="57" t="s">
        <v>387</v>
      </c>
      <c r="O648" s="57" t="s">
        <v>1465</v>
      </c>
      <c r="P648" s="57" t="s">
        <v>1469</v>
      </c>
      <c r="Q648" s="57" t="s">
        <v>1467</v>
      </c>
    </row>
    <row r="649" s="50" customFormat="true" ht="14.25" hidden="false" customHeight="true" outlineLevel="0" collapsed="false">
      <c r="A649" s="50" t="s">
        <v>801</v>
      </c>
      <c r="B649" s="57" t="s">
        <v>112</v>
      </c>
      <c r="C649" s="57" t="s">
        <v>528</v>
      </c>
      <c r="D649" s="58" t="n">
        <v>46063.5611111111</v>
      </c>
      <c r="E649" s="58" t="n">
        <v>46063.5611111111</v>
      </c>
      <c r="F649" s="58" t="n">
        <v>46063.5729166667</v>
      </c>
      <c r="G649" s="59" t="n">
        <f aca="false">F649-E649</f>
        <v>0.0118055556018519</v>
      </c>
      <c r="H649" s="57" t="s">
        <v>384</v>
      </c>
      <c r="I649" s="57"/>
      <c r="J649" s="57" t="s">
        <v>253</v>
      </c>
      <c r="K649" s="57" t="s">
        <v>266</v>
      </c>
      <c r="L649" s="57" t="s">
        <v>1464</v>
      </c>
      <c r="M649" s="57" t="s">
        <v>386</v>
      </c>
      <c r="N649" s="57" t="s">
        <v>387</v>
      </c>
      <c r="O649" s="57" t="s">
        <v>1465</v>
      </c>
      <c r="P649" s="57" t="s">
        <v>1470</v>
      </c>
      <c r="Q649" s="57" t="s">
        <v>1467</v>
      </c>
    </row>
    <row r="650" s="50" customFormat="true" ht="14.25" hidden="false" customHeight="true" outlineLevel="0" collapsed="false">
      <c r="A650" s="50" t="s">
        <v>801</v>
      </c>
      <c r="B650" s="57" t="s">
        <v>112</v>
      </c>
      <c r="C650" s="57" t="s">
        <v>529</v>
      </c>
      <c r="D650" s="58" t="n">
        <v>46063.5611111111</v>
      </c>
      <c r="E650" s="58" t="n">
        <v>46063.5611111111</v>
      </c>
      <c r="F650" s="58" t="n">
        <v>46063.5729166667</v>
      </c>
      <c r="G650" s="59" t="n">
        <f aca="false">F650-E650</f>
        <v>0.0118055556018519</v>
      </c>
      <c r="H650" s="57" t="s">
        <v>384</v>
      </c>
      <c r="I650" s="57"/>
      <c r="J650" s="57" t="s">
        <v>253</v>
      </c>
      <c r="K650" s="57" t="s">
        <v>266</v>
      </c>
      <c r="L650" s="57" t="s">
        <v>1464</v>
      </c>
      <c r="M650" s="57" t="s">
        <v>386</v>
      </c>
      <c r="N650" s="57" t="s">
        <v>387</v>
      </c>
      <c r="O650" s="57" t="s">
        <v>1465</v>
      </c>
      <c r="P650" s="57" t="s">
        <v>1471</v>
      </c>
      <c r="Q650" s="57" t="s">
        <v>1467</v>
      </c>
    </row>
    <row r="651" s="50" customFormat="true" ht="14.25" hidden="false" customHeight="true" outlineLevel="0" collapsed="false">
      <c r="A651" s="50" t="s">
        <v>801</v>
      </c>
      <c r="B651" s="57" t="s">
        <v>112</v>
      </c>
      <c r="C651" s="57" t="s">
        <v>530</v>
      </c>
      <c r="D651" s="58" t="n">
        <v>46063.5611111111</v>
      </c>
      <c r="E651" s="58" t="n">
        <v>46063.5611111111</v>
      </c>
      <c r="F651" s="58" t="n">
        <v>46063.5729166667</v>
      </c>
      <c r="G651" s="59" t="n">
        <f aca="false">F651-E651</f>
        <v>0.0118055556018519</v>
      </c>
      <c r="H651" s="57" t="s">
        <v>384</v>
      </c>
      <c r="I651" s="57"/>
      <c r="J651" s="57" t="s">
        <v>253</v>
      </c>
      <c r="K651" s="57" t="s">
        <v>266</v>
      </c>
      <c r="L651" s="57" t="s">
        <v>1464</v>
      </c>
      <c r="M651" s="57" t="s">
        <v>386</v>
      </c>
      <c r="N651" s="57" t="s">
        <v>387</v>
      </c>
      <c r="O651" s="57" t="s">
        <v>1465</v>
      </c>
      <c r="P651" s="57" t="s">
        <v>1472</v>
      </c>
      <c r="Q651" s="57" t="s">
        <v>1467</v>
      </c>
    </row>
    <row r="652" s="50" customFormat="true" ht="14.25" hidden="false" customHeight="true" outlineLevel="0" collapsed="false">
      <c r="A652" s="50" t="s">
        <v>801</v>
      </c>
      <c r="B652" s="57" t="s">
        <v>112</v>
      </c>
      <c r="C652" s="57" t="s">
        <v>531</v>
      </c>
      <c r="D652" s="58" t="n">
        <v>46063.5611111111</v>
      </c>
      <c r="E652" s="58" t="n">
        <v>46063.5611111111</v>
      </c>
      <c r="F652" s="58" t="n">
        <v>46063.5729166667</v>
      </c>
      <c r="G652" s="59" t="n">
        <f aca="false">F652-E652</f>
        <v>0.0118055556018519</v>
      </c>
      <c r="H652" s="57" t="s">
        <v>384</v>
      </c>
      <c r="I652" s="57"/>
      <c r="J652" s="57" t="s">
        <v>253</v>
      </c>
      <c r="K652" s="57" t="s">
        <v>266</v>
      </c>
      <c r="L652" s="57" t="s">
        <v>1464</v>
      </c>
      <c r="M652" s="57" t="s">
        <v>386</v>
      </c>
      <c r="N652" s="57" t="s">
        <v>387</v>
      </c>
      <c r="O652" s="57" t="s">
        <v>1465</v>
      </c>
      <c r="P652" s="57" t="s">
        <v>1473</v>
      </c>
      <c r="Q652" s="57" t="s">
        <v>1467</v>
      </c>
    </row>
    <row r="653" s="50" customFormat="true" ht="14.25" hidden="false" customHeight="true" outlineLevel="0" collapsed="false">
      <c r="A653" s="50" t="s">
        <v>801</v>
      </c>
      <c r="B653" s="57" t="s">
        <v>112</v>
      </c>
      <c r="C653" s="57" t="s">
        <v>532</v>
      </c>
      <c r="D653" s="58" t="n">
        <v>46063.5611111111</v>
      </c>
      <c r="E653" s="58" t="n">
        <v>46063.5611111111</v>
      </c>
      <c r="F653" s="58" t="n">
        <v>46063.5729166667</v>
      </c>
      <c r="G653" s="59" t="n">
        <f aca="false">F653-E653</f>
        <v>0.0118055556018519</v>
      </c>
      <c r="H653" s="57" t="s">
        <v>384</v>
      </c>
      <c r="I653" s="57"/>
      <c r="J653" s="57" t="s">
        <v>253</v>
      </c>
      <c r="K653" s="57" t="s">
        <v>266</v>
      </c>
      <c r="L653" s="57" t="s">
        <v>1464</v>
      </c>
      <c r="M653" s="57" t="s">
        <v>386</v>
      </c>
      <c r="N653" s="57" t="s">
        <v>387</v>
      </c>
      <c r="O653" s="57" t="s">
        <v>1465</v>
      </c>
      <c r="P653" s="57" t="s">
        <v>1474</v>
      </c>
      <c r="Q653" s="57" t="s">
        <v>1467</v>
      </c>
    </row>
    <row r="654" s="50" customFormat="true" ht="14.25" hidden="false" customHeight="true" outlineLevel="0" collapsed="false">
      <c r="A654" s="50" t="s">
        <v>801</v>
      </c>
      <c r="B654" s="57" t="s">
        <v>112</v>
      </c>
      <c r="C654" s="57" t="s">
        <v>533</v>
      </c>
      <c r="D654" s="58" t="n">
        <v>46063.5611111111</v>
      </c>
      <c r="E654" s="58" t="n">
        <v>46063.5611111111</v>
      </c>
      <c r="F654" s="58" t="n">
        <v>46063.5729166667</v>
      </c>
      <c r="G654" s="59" t="n">
        <f aca="false">F654-E654</f>
        <v>0.0118055556018519</v>
      </c>
      <c r="H654" s="57" t="s">
        <v>384</v>
      </c>
      <c r="I654" s="57"/>
      <c r="J654" s="57" t="s">
        <v>253</v>
      </c>
      <c r="K654" s="57" t="s">
        <v>266</v>
      </c>
      <c r="L654" s="57" t="s">
        <v>1464</v>
      </c>
      <c r="M654" s="57" t="s">
        <v>386</v>
      </c>
      <c r="N654" s="57" t="s">
        <v>387</v>
      </c>
      <c r="O654" s="57" t="s">
        <v>1465</v>
      </c>
      <c r="P654" s="57" t="s">
        <v>1475</v>
      </c>
      <c r="Q654" s="57" t="s">
        <v>1467</v>
      </c>
    </row>
    <row r="655" s="50" customFormat="true" ht="14.25" hidden="false" customHeight="true" outlineLevel="0" collapsed="false">
      <c r="A655" s="50" t="s">
        <v>812</v>
      </c>
      <c r="B655" s="57" t="s">
        <v>112</v>
      </c>
      <c r="C655" s="57" t="s">
        <v>534</v>
      </c>
      <c r="D655" s="58" t="n">
        <v>46063.5611111111</v>
      </c>
      <c r="E655" s="58" t="n">
        <v>46063.5611111111</v>
      </c>
      <c r="F655" s="58" t="n">
        <v>46063.5729166667</v>
      </c>
      <c r="G655" s="59" t="n">
        <f aca="false">F655-E655</f>
        <v>0.0118055556018519</v>
      </c>
      <c r="H655" s="57" t="s">
        <v>384</v>
      </c>
      <c r="I655" s="57"/>
      <c r="J655" s="57" t="s">
        <v>253</v>
      </c>
      <c r="K655" s="57" t="s">
        <v>266</v>
      </c>
      <c r="L655" s="57" t="s">
        <v>1464</v>
      </c>
      <c r="M655" s="57" t="s">
        <v>386</v>
      </c>
      <c r="N655" s="57" t="s">
        <v>387</v>
      </c>
      <c r="O655" s="57" t="s">
        <v>1465</v>
      </c>
      <c r="P655" s="57" t="s">
        <v>1476</v>
      </c>
      <c r="Q655" s="57" t="s">
        <v>1467</v>
      </c>
    </row>
    <row r="656" s="50" customFormat="true" ht="14.25" hidden="false" customHeight="true" outlineLevel="0" collapsed="false">
      <c r="A656" s="50" t="s">
        <v>812</v>
      </c>
      <c r="B656" s="57" t="s">
        <v>112</v>
      </c>
      <c r="C656" s="57" t="s">
        <v>535</v>
      </c>
      <c r="D656" s="58" t="n">
        <v>46063.5611111111</v>
      </c>
      <c r="E656" s="58" t="n">
        <v>46063.5611111111</v>
      </c>
      <c r="F656" s="58" t="n">
        <v>46063.5729166667</v>
      </c>
      <c r="G656" s="59" t="n">
        <f aca="false">F656-E656</f>
        <v>0.0118055556018519</v>
      </c>
      <c r="H656" s="57" t="s">
        <v>384</v>
      </c>
      <c r="I656" s="57"/>
      <c r="J656" s="57" t="s">
        <v>253</v>
      </c>
      <c r="K656" s="57" t="s">
        <v>266</v>
      </c>
      <c r="L656" s="57" t="s">
        <v>1464</v>
      </c>
      <c r="M656" s="57" t="s">
        <v>386</v>
      </c>
      <c r="N656" s="57" t="s">
        <v>387</v>
      </c>
      <c r="O656" s="57" t="s">
        <v>1465</v>
      </c>
      <c r="P656" s="57" t="s">
        <v>1477</v>
      </c>
      <c r="Q656" s="57" t="s">
        <v>1467</v>
      </c>
    </row>
    <row r="657" s="50" customFormat="true" ht="14.25" hidden="false" customHeight="true" outlineLevel="0" collapsed="false">
      <c r="A657" s="50" t="s">
        <v>812</v>
      </c>
      <c r="B657" s="57" t="s">
        <v>112</v>
      </c>
      <c r="C657" s="57" t="s">
        <v>536</v>
      </c>
      <c r="D657" s="58" t="n">
        <v>46063.5611111111</v>
      </c>
      <c r="E657" s="58" t="n">
        <v>46063.5611111111</v>
      </c>
      <c r="F657" s="58" t="n">
        <v>46063.5729166667</v>
      </c>
      <c r="G657" s="59" t="n">
        <f aca="false">F657-E657</f>
        <v>0.0118055556018519</v>
      </c>
      <c r="H657" s="57" t="s">
        <v>384</v>
      </c>
      <c r="I657" s="57"/>
      <c r="J657" s="57" t="s">
        <v>253</v>
      </c>
      <c r="K657" s="57" t="s">
        <v>266</v>
      </c>
      <c r="L657" s="57" t="s">
        <v>1464</v>
      </c>
      <c r="M657" s="57" t="s">
        <v>386</v>
      </c>
      <c r="N657" s="57" t="s">
        <v>387</v>
      </c>
      <c r="O657" s="57" t="s">
        <v>1465</v>
      </c>
      <c r="P657" s="57" t="s">
        <v>1478</v>
      </c>
      <c r="Q657" s="57" t="s">
        <v>1467</v>
      </c>
    </row>
    <row r="658" s="50" customFormat="true" ht="14.25" hidden="false" customHeight="true" outlineLevel="0" collapsed="false">
      <c r="A658" s="50" t="s">
        <v>812</v>
      </c>
      <c r="B658" s="57" t="s">
        <v>112</v>
      </c>
      <c r="C658" s="57" t="s">
        <v>537</v>
      </c>
      <c r="D658" s="58" t="n">
        <v>46063.5611111111</v>
      </c>
      <c r="E658" s="58" t="n">
        <v>46063.5611111111</v>
      </c>
      <c r="F658" s="58" t="n">
        <v>46063.5729166667</v>
      </c>
      <c r="G658" s="59" t="n">
        <f aca="false">F658-E658</f>
        <v>0.0118055556018519</v>
      </c>
      <c r="H658" s="57" t="s">
        <v>384</v>
      </c>
      <c r="I658" s="57"/>
      <c r="J658" s="57" t="s">
        <v>253</v>
      </c>
      <c r="K658" s="57" t="s">
        <v>266</v>
      </c>
      <c r="L658" s="57" t="s">
        <v>1464</v>
      </c>
      <c r="M658" s="57" t="s">
        <v>386</v>
      </c>
      <c r="N658" s="57" t="s">
        <v>387</v>
      </c>
      <c r="O658" s="57" t="s">
        <v>1465</v>
      </c>
      <c r="P658" s="57" t="s">
        <v>1479</v>
      </c>
      <c r="Q658" s="57" t="s">
        <v>1467</v>
      </c>
    </row>
    <row r="659" s="50" customFormat="true" ht="14.25" hidden="false" customHeight="true" outlineLevel="0" collapsed="false">
      <c r="A659" s="50" t="s">
        <v>812</v>
      </c>
      <c r="B659" s="57" t="s">
        <v>112</v>
      </c>
      <c r="C659" s="57" t="s">
        <v>538</v>
      </c>
      <c r="D659" s="58" t="n">
        <v>46063.5611111111</v>
      </c>
      <c r="E659" s="58" t="n">
        <v>46063.5611111111</v>
      </c>
      <c r="F659" s="58" t="n">
        <v>46063.5729166667</v>
      </c>
      <c r="G659" s="59" t="n">
        <f aca="false">F659-E659</f>
        <v>0.0118055556018519</v>
      </c>
      <c r="H659" s="57" t="s">
        <v>384</v>
      </c>
      <c r="I659" s="57"/>
      <c r="J659" s="57" t="s">
        <v>253</v>
      </c>
      <c r="K659" s="57" t="s">
        <v>266</v>
      </c>
      <c r="L659" s="57" t="s">
        <v>1464</v>
      </c>
      <c r="M659" s="57" t="s">
        <v>386</v>
      </c>
      <c r="N659" s="57" t="s">
        <v>387</v>
      </c>
      <c r="O659" s="57" t="s">
        <v>1465</v>
      </c>
      <c r="P659" s="57" t="s">
        <v>1480</v>
      </c>
      <c r="Q659" s="57" t="s">
        <v>1467</v>
      </c>
    </row>
    <row r="660" s="50" customFormat="true" ht="14.25" hidden="false" customHeight="true" outlineLevel="0" collapsed="false">
      <c r="A660" s="50" t="s">
        <v>818</v>
      </c>
      <c r="B660" s="57" t="s">
        <v>112</v>
      </c>
      <c r="C660" s="57" t="s">
        <v>539</v>
      </c>
      <c r="D660" s="58" t="n">
        <v>46063.5611111111</v>
      </c>
      <c r="E660" s="58" t="n">
        <v>46063.5611111111</v>
      </c>
      <c r="F660" s="58" t="n">
        <v>46063.5729166667</v>
      </c>
      <c r="G660" s="59" t="n">
        <f aca="false">F660-E660</f>
        <v>0.0118055556018519</v>
      </c>
      <c r="H660" s="57" t="s">
        <v>384</v>
      </c>
      <c r="I660" s="57"/>
      <c r="J660" s="57" t="s">
        <v>253</v>
      </c>
      <c r="K660" s="57" t="s">
        <v>266</v>
      </c>
      <c r="L660" s="57" t="s">
        <v>1464</v>
      </c>
      <c r="M660" s="57" t="s">
        <v>386</v>
      </c>
      <c r="N660" s="57" t="s">
        <v>387</v>
      </c>
      <c r="O660" s="57" t="s">
        <v>1465</v>
      </c>
      <c r="P660" s="57" t="s">
        <v>1481</v>
      </c>
      <c r="Q660" s="57" t="s">
        <v>1467</v>
      </c>
    </row>
    <row r="661" s="50" customFormat="true" ht="14.25" hidden="false" customHeight="true" outlineLevel="0" collapsed="false">
      <c r="A661" s="50" t="s">
        <v>818</v>
      </c>
      <c r="B661" s="57" t="s">
        <v>112</v>
      </c>
      <c r="C661" s="57" t="s">
        <v>540</v>
      </c>
      <c r="D661" s="58" t="n">
        <v>46063.5611111111</v>
      </c>
      <c r="E661" s="58" t="n">
        <v>46063.5611111111</v>
      </c>
      <c r="F661" s="58" t="n">
        <v>46063.5729166667</v>
      </c>
      <c r="G661" s="59" t="n">
        <f aca="false">F661-E661</f>
        <v>0.0118055556018519</v>
      </c>
      <c r="H661" s="57" t="s">
        <v>384</v>
      </c>
      <c r="I661" s="57"/>
      <c r="J661" s="57" t="s">
        <v>253</v>
      </c>
      <c r="K661" s="57" t="s">
        <v>266</v>
      </c>
      <c r="L661" s="57" t="s">
        <v>1464</v>
      </c>
      <c r="M661" s="57" t="s">
        <v>386</v>
      </c>
      <c r="N661" s="57" t="s">
        <v>387</v>
      </c>
      <c r="O661" s="57" t="s">
        <v>1465</v>
      </c>
      <c r="P661" s="57" t="s">
        <v>1482</v>
      </c>
      <c r="Q661" s="57" t="s">
        <v>1467</v>
      </c>
    </row>
    <row r="662" s="50" customFormat="true" ht="14.25" hidden="false" customHeight="true" outlineLevel="0" collapsed="false">
      <c r="A662" s="50" t="s">
        <v>818</v>
      </c>
      <c r="B662" s="57" t="s">
        <v>112</v>
      </c>
      <c r="C662" s="57" t="s">
        <v>541</v>
      </c>
      <c r="D662" s="58" t="n">
        <v>46063.5611111111</v>
      </c>
      <c r="E662" s="58" t="n">
        <v>46063.5611111111</v>
      </c>
      <c r="F662" s="58" t="n">
        <v>46063.5729166667</v>
      </c>
      <c r="G662" s="59" t="n">
        <f aca="false">F662-E662</f>
        <v>0.0118055556018519</v>
      </c>
      <c r="H662" s="57" t="s">
        <v>384</v>
      </c>
      <c r="I662" s="57"/>
      <c r="J662" s="57" t="s">
        <v>253</v>
      </c>
      <c r="K662" s="57" t="s">
        <v>266</v>
      </c>
      <c r="L662" s="57" t="s">
        <v>1464</v>
      </c>
      <c r="M662" s="57" t="s">
        <v>386</v>
      </c>
      <c r="N662" s="57" t="s">
        <v>387</v>
      </c>
      <c r="O662" s="57" t="s">
        <v>1465</v>
      </c>
      <c r="P662" s="57" t="s">
        <v>1483</v>
      </c>
      <c r="Q662" s="57" t="s">
        <v>1467</v>
      </c>
    </row>
    <row r="663" s="50" customFormat="true" ht="14.25" hidden="false" customHeight="true" outlineLevel="0" collapsed="false">
      <c r="A663" s="50" t="s">
        <v>818</v>
      </c>
      <c r="B663" s="57" t="s">
        <v>112</v>
      </c>
      <c r="C663" s="57" t="s">
        <v>542</v>
      </c>
      <c r="D663" s="58" t="n">
        <v>46063.5611111111</v>
      </c>
      <c r="E663" s="58" t="n">
        <v>46063.5611111111</v>
      </c>
      <c r="F663" s="58" t="n">
        <v>46063.5729166667</v>
      </c>
      <c r="G663" s="59" t="n">
        <f aca="false">F663-E663</f>
        <v>0.0118055556018519</v>
      </c>
      <c r="H663" s="57" t="s">
        <v>384</v>
      </c>
      <c r="I663" s="57"/>
      <c r="J663" s="57" t="s">
        <v>253</v>
      </c>
      <c r="K663" s="57" t="s">
        <v>266</v>
      </c>
      <c r="L663" s="57" t="s">
        <v>1464</v>
      </c>
      <c r="M663" s="57" t="s">
        <v>386</v>
      </c>
      <c r="N663" s="57" t="s">
        <v>387</v>
      </c>
      <c r="O663" s="57" t="s">
        <v>1465</v>
      </c>
      <c r="P663" s="57" t="s">
        <v>1484</v>
      </c>
      <c r="Q663" s="57" t="s">
        <v>1467</v>
      </c>
    </row>
    <row r="664" s="50" customFormat="true" ht="14.25" hidden="false" customHeight="true" outlineLevel="0" collapsed="false">
      <c r="A664" s="50" t="s">
        <v>818</v>
      </c>
      <c r="B664" s="57" t="s">
        <v>112</v>
      </c>
      <c r="C664" s="57" t="s">
        <v>543</v>
      </c>
      <c r="D664" s="58" t="n">
        <v>46063.5611111111</v>
      </c>
      <c r="E664" s="58" t="n">
        <v>46063.5611111111</v>
      </c>
      <c r="F664" s="58" t="n">
        <v>46063.5729166667</v>
      </c>
      <c r="G664" s="59" t="n">
        <f aca="false">F664-E664</f>
        <v>0.0118055556018519</v>
      </c>
      <c r="H664" s="57" t="s">
        <v>384</v>
      </c>
      <c r="I664" s="57"/>
      <c r="J664" s="57" t="s">
        <v>253</v>
      </c>
      <c r="K664" s="57" t="s">
        <v>266</v>
      </c>
      <c r="L664" s="57" t="s">
        <v>1464</v>
      </c>
      <c r="M664" s="57" t="s">
        <v>386</v>
      </c>
      <c r="N664" s="57" t="s">
        <v>387</v>
      </c>
      <c r="O664" s="57" t="s">
        <v>1465</v>
      </c>
      <c r="P664" s="57" t="s">
        <v>1485</v>
      </c>
      <c r="Q664" s="57" t="s">
        <v>1467</v>
      </c>
    </row>
    <row r="665" s="50" customFormat="true" ht="14.25" hidden="false" customHeight="true" outlineLevel="0" collapsed="false">
      <c r="A665" s="50" t="s">
        <v>818</v>
      </c>
      <c r="B665" s="57" t="s">
        <v>112</v>
      </c>
      <c r="C665" s="57" t="s">
        <v>544</v>
      </c>
      <c r="D665" s="58" t="n">
        <v>46063.5611111111</v>
      </c>
      <c r="E665" s="58" t="n">
        <v>46063.5611111111</v>
      </c>
      <c r="F665" s="58" t="n">
        <v>46063.5729166667</v>
      </c>
      <c r="G665" s="59" t="n">
        <f aca="false">F665-E665</f>
        <v>0.0118055556018519</v>
      </c>
      <c r="H665" s="57" t="s">
        <v>384</v>
      </c>
      <c r="I665" s="57"/>
      <c r="J665" s="57" t="s">
        <v>253</v>
      </c>
      <c r="K665" s="57" t="s">
        <v>266</v>
      </c>
      <c r="L665" s="57" t="s">
        <v>1464</v>
      </c>
      <c r="M665" s="57" t="s">
        <v>386</v>
      </c>
      <c r="N665" s="57" t="s">
        <v>387</v>
      </c>
      <c r="O665" s="57" t="s">
        <v>1465</v>
      </c>
      <c r="P665" s="57" t="s">
        <v>1486</v>
      </c>
      <c r="Q665" s="57" t="s">
        <v>1467</v>
      </c>
    </row>
    <row r="666" s="50" customFormat="true" ht="14.25" hidden="false" customHeight="true" outlineLevel="0" collapsed="false">
      <c r="A666" s="50" t="s">
        <v>825</v>
      </c>
      <c r="B666" s="57" t="s">
        <v>112</v>
      </c>
      <c r="C666" s="57" t="s">
        <v>545</v>
      </c>
      <c r="D666" s="58" t="n">
        <v>46063.5611111111</v>
      </c>
      <c r="E666" s="58" t="n">
        <v>46063.5611111111</v>
      </c>
      <c r="F666" s="58" t="n">
        <v>46063.5729166667</v>
      </c>
      <c r="G666" s="59" t="n">
        <f aca="false">F666-E666</f>
        <v>0.0118055556018519</v>
      </c>
      <c r="H666" s="57" t="s">
        <v>384</v>
      </c>
      <c r="I666" s="57"/>
      <c r="J666" s="57" t="s">
        <v>253</v>
      </c>
      <c r="K666" s="57" t="s">
        <v>266</v>
      </c>
      <c r="L666" s="57" t="s">
        <v>1464</v>
      </c>
      <c r="M666" s="57" t="s">
        <v>386</v>
      </c>
      <c r="N666" s="57" t="s">
        <v>387</v>
      </c>
      <c r="O666" s="57" t="s">
        <v>1465</v>
      </c>
      <c r="P666" s="57" t="s">
        <v>1487</v>
      </c>
      <c r="Q666" s="57" t="s">
        <v>1467</v>
      </c>
    </row>
    <row r="667" s="50" customFormat="true" ht="14.25" hidden="false" customHeight="true" outlineLevel="0" collapsed="false">
      <c r="A667" s="50" t="s">
        <v>825</v>
      </c>
      <c r="B667" s="57" t="s">
        <v>112</v>
      </c>
      <c r="C667" s="57" t="s">
        <v>546</v>
      </c>
      <c r="D667" s="58" t="n">
        <v>46063.5611111111</v>
      </c>
      <c r="E667" s="58" t="n">
        <v>46063.5611111111</v>
      </c>
      <c r="F667" s="58" t="n">
        <v>46063.5729166667</v>
      </c>
      <c r="G667" s="59" t="n">
        <f aca="false">F667-E667</f>
        <v>0.0118055556018519</v>
      </c>
      <c r="H667" s="57" t="s">
        <v>384</v>
      </c>
      <c r="I667" s="57"/>
      <c r="J667" s="57" t="s">
        <v>253</v>
      </c>
      <c r="K667" s="57" t="s">
        <v>266</v>
      </c>
      <c r="L667" s="57" t="s">
        <v>1464</v>
      </c>
      <c r="M667" s="57" t="s">
        <v>386</v>
      </c>
      <c r="N667" s="57" t="s">
        <v>387</v>
      </c>
      <c r="O667" s="57" t="s">
        <v>1465</v>
      </c>
      <c r="P667" s="57" t="s">
        <v>1488</v>
      </c>
      <c r="Q667" s="57" t="s">
        <v>1467</v>
      </c>
    </row>
    <row r="668" s="50" customFormat="true" ht="14.25" hidden="false" customHeight="true" outlineLevel="0" collapsed="false">
      <c r="A668" s="50" t="s">
        <v>825</v>
      </c>
      <c r="B668" s="57" t="s">
        <v>112</v>
      </c>
      <c r="C668" s="57" t="s">
        <v>547</v>
      </c>
      <c r="D668" s="58" t="n">
        <v>46063.5611111111</v>
      </c>
      <c r="E668" s="58" t="n">
        <v>46063.5611111111</v>
      </c>
      <c r="F668" s="58" t="n">
        <v>46063.5729166667</v>
      </c>
      <c r="G668" s="59" t="n">
        <f aca="false">F668-E668</f>
        <v>0.0118055556018519</v>
      </c>
      <c r="H668" s="57" t="s">
        <v>384</v>
      </c>
      <c r="I668" s="57"/>
      <c r="J668" s="57" t="s">
        <v>253</v>
      </c>
      <c r="K668" s="57" t="s">
        <v>266</v>
      </c>
      <c r="L668" s="57" t="s">
        <v>1464</v>
      </c>
      <c r="M668" s="57" t="s">
        <v>386</v>
      </c>
      <c r="N668" s="57" t="s">
        <v>387</v>
      </c>
      <c r="O668" s="57" t="s">
        <v>1465</v>
      </c>
      <c r="P668" s="57" t="s">
        <v>1489</v>
      </c>
      <c r="Q668" s="57" t="s">
        <v>1467</v>
      </c>
    </row>
    <row r="669" s="50" customFormat="true" ht="14.25" hidden="false" customHeight="true" outlineLevel="0" collapsed="false">
      <c r="A669" s="50" t="s">
        <v>825</v>
      </c>
      <c r="B669" s="57" t="s">
        <v>112</v>
      </c>
      <c r="C669" s="57" t="s">
        <v>548</v>
      </c>
      <c r="D669" s="58" t="n">
        <v>46063.5611111111</v>
      </c>
      <c r="E669" s="58" t="n">
        <v>46063.5611111111</v>
      </c>
      <c r="F669" s="58" t="n">
        <v>46063.5729166667</v>
      </c>
      <c r="G669" s="59" t="n">
        <f aca="false">F669-E669</f>
        <v>0.0118055556018519</v>
      </c>
      <c r="H669" s="57" t="s">
        <v>384</v>
      </c>
      <c r="I669" s="57"/>
      <c r="J669" s="57" t="s">
        <v>253</v>
      </c>
      <c r="K669" s="57" t="s">
        <v>266</v>
      </c>
      <c r="L669" s="57" t="s">
        <v>1464</v>
      </c>
      <c r="M669" s="57" t="s">
        <v>386</v>
      </c>
      <c r="N669" s="57" t="s">
        <v>387</v>
      </c>
      <c r="O669" s="57" t="s">
        <v>1465</v>
      </c>
      <c r="P669" s="57" t="s">
        <v>1490</v>
      </c>
      <c r="Q669" s="57" t="s">
        <v>1467</v>
      </c>
    </row>
    <row r="670" s="50" customFormat="true" ht="14.25" hidden="false" customHeight="true" outlineLevel="0" collapsed="false">
      <c r="A670" s="50" t="s">
        <v>825</v>
      </c>
      <c r="B670" s="57" t="s">
        <v>112</v>
      </c>
      <c r="C670" s="57" t="s">
        <v>549</v>
      </c>
      <c r="D670" s="58" t="n">
        <v>46063.5611111111</v>
      </c>
      <c r="E670" s="58" t="n">
        <v>46063.5611111111</v>
      </c>
      <c r="F670" s="58" t="n">
        <v>46063.5729166667</v>
      </c>
      <c r="G670" s="59" t="n">
        <f aca="false">F670-E670</f>
        <v>0.0118055556018519</v>
      </c>
      <c r="H670" s="57" t="s">
        <v>384</v>
      </c>
      <c r="I670" s="57"/>
      <c r="J670" s="57" t="s">
        <v>253</v>
      </c>
      <c r="K670" s="57" t="s">
        <v>266</v>
      </c>
      <c r="L670" s="57" t="s">
        <v>1464</v>
      </c>
      <c r="M670" s="57" t="s">
        <v>386</v>
      </c>
      <c r="N670" s="57" t="s">
        <v>387</v>
      </c>
      <c r="O670" s="57" t="s">
        <v>1465</v>
      </c>
      <c r="P670" s="57" t="s">
        <v>1491</v>
      </c>
      <c r="Q670" s="57" t="s">
        <v>1467</v>
      </c>
    </row>
    <row r="671" s="50" customFormat="true" ht="14.25" hidden="false" customHeight="true" outlineLevel="0" collapsed="false">
      <c r="A671" s="50" t="s">
        <v>825</v>
      </c>
      <c r="B671" s="57" t="s">
        <v>112</v>
      </c>
      <c r="C671" s="57" t="s">
        <v>550</v>
      </c>
      <c r="D671" s="58" t="n">
        <v>46063.5611111111</v>
      </c>
      <c r="E671" s="58" t="n">
        <v>46063.5611111111</v>
      </c>
      <c r="F671" s="58" t="n">
        <v>46063.5729166667</v>
      </c>
      <c r="G671" s="59" t="n">
        <f aca="false">F671-E671</f>
        <v>0.0118055556018519</v>
      </c>
      <c r="H671" s="57" t="s">
        <v>384</v>
      </c>
      <c r="I671" s="57"/>
      <c r="J671" s="57" t="s">
        <v>253</v>
      </c>
      <c r="K671" s="57" t="s">
        <v>266</v>
      </c>
      <c r="L671" s="57" t="s">
        <v>1464</v>
      </c>
      <c r="M671" s="57" t="s">
        <v>386</v>
      </c>
      <c r="N671" s="57" t="s">
        <v>387</v>
      </c>
      <c r="O671" s="57" t="s">
        <v>1465</v>
      </c>
      <c r="P671" s="57" t="s">
        <v>1492</v>
      </c>
      <c r="Q671" s="57" t="s">
        <v>1467</v>
      </c>
    </row>
    <row r="672" s="50" customFormat="true" ht="14.25" hidden="false" customHeight="true" outlineLevel="0" collapsed="false">
      <c r="A672" s="50" t="s">
        <v>832</v>
      </c>
      <c r="B672" s="57" t="s">
        <v>112</v>
      </c>
      <c r="C672" s="57" t="s">
        <v>551</v>
      </c>
      <c r="D672" s="58" t="n">
        <v>46063.5611111111</v>
      </c>
      <c r="E672" s="58" t="n">
        <v>46063.5611111111</v>
      </c>
      <c r="F672" s="58" t="n">
        <v>46063.5729166667</v>
      </c>
      <c r="G672" s="59" t="n">
        <f aca="false">F672-E672</f>
        <v>0.0118055556018519</v>
      </c>
      <c r="H672" s="57" t="s">
        <v>384</v>
      </c>
      <c r="I672" s="57"/>
      <c r="J672" s="57" t="s">
        <v>253</v>
      </c>
      <c r="K672" s="57" t="s">
        <v>266</v>
      </c>
      <c r="L672" s="57" t="s">
        <v>1464</v>
      </c>
      <c r="M672" s="57" t="s">
        <v>386</v>
      </c>
      <c r="N672" s="57" t="s">
        <v>387</v>
      </c>
      <c r="O672" s="57" t="s">
        <v>1465</v>
      </c>
      <c r="P672" s="57" t="s">
        <v>1493</v>
      </c>
      <c r="Q672" s="57" t="s">
        <v>1467</v>
      </c>
    </row>
    <row r="673" s="50" customFormat="true" ht="14.25" hidden="false" customHeight="true" outlineLevel="0" collapsed="false">
      <c r="A673" s="50" t="s">
        <v>832</v>
      </c>
      <c r="B673" s="57" t="s">
        <v>112</v>
      </c>
      <c r="C673" s="57" t="s">
        <v>552</v>
      </c>
      <c r="D673" s="58" t="n">
        <v>46063.5611111111</v>
      </c>
      <c r="E673" s="58" t="n">
        <v>46063.5611111111</v>
      </c>
      <c r="F673" s="58" t="n">
        <v>46063.5729166667</v>
      </c>
      <c r="G673" s="59" t="n">
        <f aca="false">F673-E673</f>
        <v>0.0118055556018519</v>
      </c>
      <c r="H673" s="57" t="s">
        <v>384</v>
      </c>
      <c r="I673" s="57"/>
      <c r="J673" s="57" t="s">
        <v>253</v>
      </c>
      <c r="K673" s="57" t="s">
        <v>266</v>
      </c>
      <c r="L673" s="57" t="s">
        <v>1464</v>
      </c>
      <c r="M673" s="57" t="s">
        <v>386</v>
      </c>
      <c r="N673" s="57" t="s">
        <v>387</v>
      </c>
      <c r="O673" s="57" t="s">
        <v>1465</v>
      </c>
      <c r="P673" s="57" t="s">
        <v>1494</v>
      </c>
      <c r="Q673" s="57" t="s">
        <v>1467</v>
      </c>
    </row>
    <row r="674" s="50" customFormat="true" ht="14.25" hidden="false" customHeight="true" outlineLevel="0" collapsed="false">
      <c r="A674" s="50" t="s">
        <v>832</v>
      </c>
      <c r="B674" s="57" t="s">
        <v>112</v>
      </c>
      <c r="C674" s="57" t="s">
        <v>553</v>
      </c>
      <c r="D674" s="58" t="n">
        <v>46063.5611111111</v>
      </c>
      <c r="E674" s="58" t="n">
        <v>46063.5611111111</v>
      </c>
      <c r="F674" s="58" t="n">
        <v>46063.5729166667</v>
      </c>
      <c r="G674" s="59" t="n">
        <f aca="false">F674-E674</f>
        <v>0.0118055556018519</v>
      </c>
      <c r="H674" s="57" t="s">
        <v>384</v>
      </c>
      <c r="I674" s="57"/>
      <c r="J674" s="57" t="s">
        <v>253</v>
      </c>
      <c r="K674" s="57" t="s">
        <v>266</v>
      </c>
      <c r="L674" s="57" t="s">
        <v>1464</v>
      </c>
      <c r="M674" s="57" t="s">
        <v>386</v>
      </c>
      <c r="N674" s="57" t="s">
        <v>387</v>
      </c>
      <c r="O674" s="57" t="s">
        <v>1465</v>
      </c>
      <c r="P674" s="57" t="s">
        <v>1495</v>
      </c>
      <c r="Q674" s="57" t="s">
        <v>1467</v>
      </c>
    </row>
    <row r="675" s="50" customFormat="true" ht="14.25" hidden="false" customHeight="true" outlineLevel="0" collapsed="false">
      <c r="A675" s="50" t="s">
        <v>836</v>
      </c>
      <c r="B675" s="57" t="s">
        <v>112</v>
      </c>
      <c r="C675" s="57" t="s">
        <v>554</v>
      </c>
      <c r="D675" s="58" t="n">
        <v>46063.5611111111</v>
      </c>
      <c r="E675" s="58" t="n">
        <v>46063.5611111111</v>
      </c>
      <c r="F675" s="58" t="n">
        <v>46063.5729166667</v>
      </c>
      <c r="G675" s="59" t="n">
        <f aca="false">F675-E675</f>
        <v>0.0118055556018519</v>
      </c>
      <c r="H675" s="57" t="s">
        <v>384</v>
      </c>
      <c r="I675" s="57"/>
      <c r="J675" s="57" t="s">
        <v>253</v>
      </c>
      <c r="K675" s="57" t="s">
        <v>266</v>
      </c>
      <c r="L675" s="57" t="s">
        <v>1464</v>
      </c>
      <c r="M675" s="57" t="s">
        <v>386</v>
      </c>
      <c r="N675" s="57" t="s">
        <v>387</v>
      </c>
      <c r="O675" s="57" t="s">
        <v>1465</v>
      </c>
      <c r="P675" s="57" t="s">
        <v>1496</v>
      </c>
      <c r="Q675" s="57" t="s">
        <v>1467</v>
      </c>
    </row>
    <row r="676" s="50" customFormat="true" ht="14.25" hidden="false" customHeight="true" outlineLevel="0" collapsed="false">
      <c r="A676" s="50" t="s">
        <v>836</v>
      </c>
      <c r="B676" s="57" t="s">
        <v>112</v>
      </c>
      <c r="C676" s="57" t="s">
        <v>555</v>
      </c>
      <c r="D676" s="58" t="n">
        <v>46063.5611111111</v>
      </c>
      <c r="E676" s="58" t="n">
        <v>46063.5611111111</v>
      </c>
      <c r="F676" s="58" t="n">
        <v>46063.5729166667</v>
      </c>
      <c r="G676" s="59" t="n">
        <f aca="false">F676-E676</f>
        <v>0.0118055556018519</v>
      </c>
      <c r="H676" s="57" t="s">
        <v>384</v>
      </c>
      <c r="I676" s="57"/>
      <c r="J676" s="57" t="s">
        <v>253</v>
      </c>
      <c r="K676" s="57" t="s">
        <v>266</v>
      </c>
      <c r="L676" s="57" t="s">
        <v>1464</v>
      </c>
      <c r="M676" s="57" t="s">
        <v>386</v>
      </c>
      <c r="N676" s="57" t="s">
        <v>387</v>
      </c>
      <c r="O676" s="57" t="s">
        <v>1465</v>
      </c>
      <c r="P676" s="57" t="s">
        <v>1497</v>
      </c>
      <c r="Q676" s="57" t="s">
        <v>1467</v>
      </c>
    </row>
    <row r="677" s="50" customFormat="true" ht="14.25" hidden="false" customHeight="true" outlineLevel="0" collapsed="false">
      <c r="A677" s="50" t="s">
        <v>836</v>
      </c>
      <c r="B677" s="57" t="s">
        <v>112</v>
      </c>
      <c r="C677" s="57" t="s">
        <v>556</v>
      </c>
      <c r="D677" s="58" t="n">
        <v>46063.5611111111</v>
      </c>
      <c r="E677" s="58" t="n">
        <v>46063.5611111111</v>
      </c>
      <c r="F677" s="58" t="n">
        <v>46063.5729166667</v>
      </c>
      <c r="G677" s="59" t="n">
        <f aca="false">F677-E677</f>
        <v>0.0118055556018519</v>
      </c>
      <c r="H677" s="57" t="s">
        <v>384</v>
      </c>
      <c r="I677" s="57"/>
      <c r="J677" s="57" t="s">
        <v>253</v>
      </c>
      <c r="K677" s="57" t="s">
        <v>266</v>
      </c>
      <c r="L677" s="57" t="s">
        <v>1464</v>
      </c>
      <c r="M677" s="57" t="s">
        <v>386</v>
      </c>
      <c r="N677" s="57" t="s">
        <v>387</v>
      </c>
      <c r="O677" s="57" t="s">
        <v>1465</v>
      </c>
      <c r="P677" s="57" t="s">
        <v>1498</v>
      </c>
      <c r="Q677" s="57" t="s">
        <v>1467</v>
      </c>
    </row>
    <row r="678" s="50" customFormat="true" ht="14.25" hidden="false" customHeight="true" outlineLevel="0" collapsed="false">
      <c r="A678" s="50" t="s">
        <v>840</v>
      </c>
      <c r="B678" s="57" t="s">
        <v>112</v>
      </c>
      <c r="C678" s="57" t="s">
        <v>557</v>
      </c>
      <c r="D678" s="58" t="n">
        <v>46063.5611111111</v>
      </c>
      <c r="E678" s="58" t="n">
        <v>46063.5611111111</v>
      </c>
      <c r="F678" s="58" t="n">
        <v>46063.5729166667</v>
      </c>
      <c r="G678" s="59" t="n">
        <f aca="false">F678-E678</f>
        <v>0.0118055556018519</v>
      </c>
      <c r="H678" s="57" t="s">
        <v>384</v>
      </c>
      <c r="I678" s="57"/>
      <c r="J678" s="57" t="s">
        <v>253</v>
      </c>
      <c r="K678" s="57" t="s">
        <v>266</v>
      </c>
      <c r="L678" s="57" t="s">
        <v>1464</v>
      </c>
      <c r="M678" s="57" t="s">
        <v>386</v>
      </c>
      <c r="N678" s="57" t="s">
        <v>387</v>
      </c>
      <c r="O678" s="57" t="s">
        <v>1465</v>
      </c>
      <c r="P678" s="57" t="s">
        <v>1499</v>
      </c>
      <c r="Q678" s="57" t="s">
        <v>1467</v>
      </c>
    </row>
    <row r="679" s="50" customFormat="true" ht="14.25" hidden="false" customHeight="true" outlineLevel="0" collapsed="false">
      <c r="A679" s="50" t="s">
        <v>840</v>
      </c>
      <c r="B679" s="57" t="s">
        <v>112</v>
      </c>
      <c r="C679" s="57" t="s">
        <v>558</v>
      </c>
      <c r="D679" s="58" t="n">
        <v>46063.5611111111</v>
      </c>
      <c r="E679" s="58" t="n">
        <v>46063.5611111111</v>
      </c>
      <c r="F679" s="58" t="n">
        <v>46063.5729166667</v>
      </c>
      <c r="G679" s="59" t="n">
        <f aca="false">F679-E679</f>
        <v>0.0118055556018519</v>
      </c>
      <c r="H679" s="57" t="s">
        <v>384</v>
      </c>
      <c r="I679" s="57"/>
      <c r="J679" s="57" t="s">
        <v>253</v>
      </c>
      <c r="K679" s="57" t="s">
        <v>266</v>
      </c>
      <c r="L679" s="57" t="s">
        <v>1464</v>
      </c>
      <c r="M679" s="57" t="s">
        <v>386</v>
      </c>
      <c r="N679" s="57" t="s">
        <v>387</v>
      </c>
      <c r="O679" s="57" t="s">
        <v>1465</v>
      </c>
      <c r="P679" s="57" t="s">
        <v>1500</v>
      </c>
      <c r="Q679" s="57" t="s">
        <v>1467</v>
      </c>
    </row>
    <row r="680" s="50" customFormat="true" ht="14.25" hidden="false" customHeight="true" outlineLevel="0" collapsed="false">
      <c r="A680" s="50" t="s">
        <v>840</v>
      </c>
      <c r="B680" s="57" t="s">
        <v>112</v>
      </c>
      <c r="C680" s="57" t="s">
        <v>559</v>
      </c>
      <c r="D680" s="58" t="n">
        <v>46063.5611111111</v>
      </c>
      <c r="E680" s="58" t="n">
        <v>46063.5611111111</v>
      </c>
      <c r="F680" s="58" t="n">
        <v>46063.5729166667</v>
      </c>
      <c r="G680" s="59" t="n">
        <f aca="false">F680-E680</f>
        <v>0.0118055556018519</v>
      </c>
      <c r="H680" s="57" t="s">
        <v>384</v>
      </c>
      <c r="I680" s="57"/>
      <c r="J680" s="57" t="s">
        <v>253</v>
      </c>
      <c r="K680" s="57" t="s">
        <v>266</v>
      </c>
      <c r="L680" s="57" t="s">
        <v>1464</v>
      </c>
      <c r="M680" s="57" t="s">
        <v>386</v>
      </c>
      <c r="N680" s="57" t="s">
        <v>387</v>
      </c>
      <c r="O680" s="57" t="s">
        <v>1465</v>
      </c>
      <c r="P680" s="57" t="s">
        <v>1501</v>
      </c>
      <c r="Q680" s="57" t="s">
        <v>1467</v>
      </c>
    </row>
    <row r="681" s="50" customFormat="true" ht="14.25" hidden="false" customHeight="true" outlineLevel="0" collapsed="false">
      <c r="A681" s="50" t="s">
        <v>840</v>
      </c>
      <c r="B681" s="57" t="s">
        <v>112</v>
      </c>
      <c r="C681" s="57" t="s">
        <v>560</v>
      </c>
      <c r="D681" s="58" t="n">
        <v>46063.5611111111</v>
      </c>
      <c r="E681" s="58" t="n">
        <v>46063.5611111111</v>
      </c>
      <c r="F681" s="58" t="n">
        <v>46063.5729166667</v>
      </c>
      <c r="G681" s="59" t="n">
        <f aca="false">F681-E681</f>
        <v>0.0118055556018519</v>
      </c>
      <c r="H681" s="57" t="s">
        <v>384</v>
      </c>
      <c r="I681" s="57"/>
      <c r="J681" s="57" t="s">
        <v>253</v>
      </c>
      <c r="K681" s="57" t="s">
        <v>266</v>
      </c>
      <c r="L681" s="57" t="s">
        <v>1464</v>
      </c>
      <c r="M681" s="57" t="s">
        <v>386</v>
      </c>
      <c r="N681" s="57" t="s">
        <v>387</v>
      </c>
      <c r="O681" s="57" t="s">
        <v>1465</v>
      </c>
      <c r="P681" s="57" t="s">
        <v>1502</v>
      </c>
      <c r="Q681" s="57" t="s">
        <v>1467</v>
      </c>
    </row>
    <row r="682" s="50" customFormat="true" ht="14.25" hidden="false" customHeight="true" outlineLevel="0" collapsed="false">
      <c r="A682" s="50" t="s">
        <v>840</v>
      </c>
      <c r="B682" s="57" t="s">
        <v>112</v>
      </c>
      <c r="C682" s="57" t="s">
        <v>561</v>
      </c>
      <c r="D682" s="58" t="n">
        <v>46063.5611111111</v>
      </c>
      <c r="E682" s="58" t="n">
        <v>46063.5611111111</v>
      </c>
      <c r="F682" s="58" t="n">
        <v>46063.5729166667</v>
      </c>
      <c r="G682" s="59" t="n">
        <f aca="false">F682-E682</f>
        <v>0.0118055556018519</v>
      </c>
      <c r="H682" s="57" t="s">
        <v>384</v>
      </c>
      <c r="I682" s="57"/>
      <c r="J682" s="57" t="s">
        <v>253</v>
      </c>
      <c r="K682" s="57" t="s">
        <v>266</v>
      </c>
      <c r="L682" s="57" t="s">
        <v>1464</v>
      </c>
      <c r="M682" s="57" t="s">
        <v>386</v>
      </c>
      <c r="N682" s="57" t="s">
        <v>387</v>
      </c>
      <c r="O682" s="57" t="s">
        <v>1465</v>
      </c>
      <c r="P682" s="57" t="s">
        <v>1503</v>
      </c>
      <c r="Q682" s="57" t="s">
        <v>1467</v>
      </c>
    </row>
    <row r="683" s="50" customFormat="true" ht="14.25" hidden="false" customHeight="true" outlineLevel="0" collapsed="false">
      <c r="A683" s="50" t="s">
        <v>840</v>
      </c>
      <c r="B683" s="57" t="s">
        <v>112</v>
      </c>
      <c r="C683" s="57" t="s">
        <v>562</v>
      </c>
      <c r="D683" s="58" t="n">
        <v>46063.5611111111</v>
      </c>
      <c r="E683" s="58" t="n">
        <v>46063.5611111111</v>
      </c>
      <c r="F683" s="58" t="n">
        <v>46063.5729166667</v>
      </c>
      <c r="G683" s="59" t="n">
        <f aca="false">F683-E683</f>
        <v>0.0118055556018519</v>
      </c>
      <c r="H683" s="57" t="s">
        <v>384</v>
      </c>
      <c r="I683" s="57"/>
      <c r="J683" s="57" t="s">
        <v>253</v>
      </c>
      <c r="K683" s="57" t="s">
        <v>266</v>
      </c>
      <c r="L683" s="57" t="s">
        <v>1464</v>
      </c>
      <c r="M683" s="57" t="s">
        <v>386</v>
      </c>
      <c r="N683" s="57" t="s">
        <v>387</v>
      </c>
      <c r="O683" s="57" t="s">
        <v>1465</v>
      </c>
      <c r="P683" s="57" t="s">
        <v>1504</v>
      </c>
      <c r="Q683" s="57" t="s">
        <v>1467</v>
      </c>
    </row>
    <row r="684" s="50" customFormat="true" ht="14.25" hidden="false" customHeight="true" outlineLevel="0" collapsed="false">
      <c r="A684" s="50" t="s">
        <v>847</v>
      </c>
      <c r="B684" s="57" t="s">
        <v>112</v>
      </c>
      <c r="C684" s="57" t="s">
        <v>563</v>
      </c>
      <c r="D684" s="58" t="n">
        <v>46063.5611111111</v>
      </c>
      <c r="E684" s="58" t="n">
        <v>46063.5611111111</v>
      </c>
      <c r="F684" s="58" t="n">
        <v>46063.5729166667</v>
      </c>
      <c r="G684" s="59" t="n">
        <f aca="false">F684-E684</f>
        <v>0.0118055556018519</v>
      </c>
      <c r="H684" s="57" t="s">
        <v>384</v>
      </c>
      <c r="I684" s="57"/>
      <c r="J684" s="57" t="s">
        <v>253</v>
      </c>
      <c r="K684" s="57" t="s">
        <v>266</v>
      </c>
      <c r="L684" s="57" t="s">
        <v>1464</v>
      </c>
      <c r="M684" s="57" t="s">
        <v>386</v>
      </c>
      <c r="N684" s="57" t="s">
        <v>387</v>
      </c>
      <c r="O684" s="57" t="s">
        <v>1465</v>
      </c>
      <c r="P684" s="57" t="s">
        <v>1505</v>
      </c>
      <c r="Q684" s="57" t="s">
        <v>1467</v>
      </c>
    </row>
    <row r="685" s="50" customFormat="true" ht="14.25" hidden="false" customHeight="true" outlineLevel="0" collapsed="false">
      <c r="A685" s="50" t="s">
        <v>847</v>
      </c>
      <c r="B685" s="57" t="s">
        <v>112</v>
      </c>
      <c r="C685" s="57" t="s">
        <v>564</v>
      </c>
      <c r="D685" s="58" t="n">
        <v>46063.5611111111</v>
      </c>
      <c r="E685" s="58" t="n">
        <v>46063.5611111111</v>
      </c>
      <c r="F685" s="58" t="n">
        <v>46063.5729166667</v>
      </c>
      <c r="G685" s="59" t="n">
        <f aca="false">F685-E685</f>
        <v>0.0118055556018519</v>
      </c>
      <c r="H685" s="57" t="s">
        <v>384</v>
      </c>
      <c r="I685" s="57"/>
      <c r="J685" s="57" t="s">
        <v>253</v>
      </c>
      <c r="K685" s="57" t="s">
        <v>266</v>
      </c>
      <c r="L685" s="57" t="s">
        <v>1464</v>
      </c>
      <c r="M685" s="57" t="s">
        <v>386</v>
      </c>
      <c r="N685" s="57" t="s">
        <v>387</v>
      </c>
      <c r="O685" s="57" t="s">
        <v>1465</v>
      </c>
      <c r="P685" s="57" t="s">
        <v>1506</v>
      </c>
      <c r="Q685" s="57" t="s">
        <v>1467</v>
      </c>
    </row>
    <row r="686" s="50" customFormat="true" ht="14.25" hidden="false" customHeight="true" outlineLevel="0" collapsed="false">
      <c r="A686" s="50" t="s">
        <v>847</v>
      </c>
      <c r="B686" s="57" t="s">
        <v>112</v>
      </c>
      <c r="C686" s="57" t="s">
        <v>565</v>
      </c>
      <c r="D686" s="58" t="n">
        <v>46063.5611111111</v>
      </c>
      <c r="E686" s="58" t="n">
        <v>46063.5611111111</v>
      </c>
      <c r="F686" s="58" t="n">
        <v>46063.5729166667</v>
      </c>
      <c r="G686" s="59" t="n">
        <f aca="false">F686-E686</f>
        <v>0.0118055556018519</v>
      </c>
      <c r="H686" s="57" t="s">
        <v>384</v>
      </c>
      <c r="I686" s="57"/>
      <c r="J686" s="57" t="s">
        <v>253</v>
      </c>
      <c r="K686" s="57" t="s">
        <v>266</v>
      </c>
      <c r="L686" s="57" t="s">
        <v>1464</v>
      </c>
      <c r="M686" s="57" t="s">
        <v>386</v>
      </c>
      <c r="N686" s="57" t="s">
        <v>387</v>
      </c>
      <c r="O686" s="57" t="s">
        <v>1465</v>
      </c>
      <c r="P686" s="57" t="s">
        <v>1507</v>
      </c>
      <c r="Q686" s="57" t="s">
        <v>1467</v>
      </c>
    </row>
    <row r="687" s="50" customFormat="true" ht="14.25" hidden="false" customHeight="true" outlineLevel="0" collapsed="false">
      <c r="A687" s="50" t="s">
        <v>651</v>
      </c>
      <c r="B687" s="57" t="s">
        <v>651</v>
      </c>
      <c r="C687" s="57" t="s">
        <v>265</v>
      </c>
      <c r="D687" s="58" t="n">
        <v>46063.7013888889</v>
      </c>
      <c r="E687" s="58" t="n">
        <v>46063.7013888889</v>
      </c>
      <c r="F687" s="58" t="n">
        <v>46063.7361111111</v>
      </c>
      <c r="G687" s="59" t="n">
        <f aca="false">F687-E687</f>
        <v>0.0347222221990741</v>
      </c>
      <c r="H687" s="57" t="s">
        <v>384</v>
      </c>
      <c r="I687" s="57"/>
      <c r="J687" s="57" t="s">
        <v>253</v>
      </c>
      <c r="K687" s="57" t="s">
        <v>266</v>
      </c>
      <c r="L687" s="57" t="s">
        <v>1508</v>
      </c>
      <c r="M687" s="57" t="s">
        <v>386</v>
      </c>
      <c r="N687" s="57" t="s">
        <v>440</v>
      </c>
      <c r="O687" s="57" t="s">
        <v>1509</v>
      </c>
      <c r="P687" s="57" t="s">
        <v>1510</v>
      </c>
      <c r="Q687" s="57" t="s">
        <v>1467</v>
      </c>
    </row>
    <row r="688" s="50" customFormat="true" ht="14.25" hidden="false" customHeight="true" outlineLevel="0" collapsed="false">
      <c r="A688" s="50" t="s">
        <v>651</v>
      </c>
      <c r="B688" s="57" t="s">
        <v>651</v>
      </c>
      <c r="C688" s="57" t="s">
        <v>1511</v>
      </c>
      <c r="D688" s="58" t="n">
        <v>46063.7013888889</v>
      </c>
      <c r="E688" s="58" t="n">
        <v>46063.7013888889</v>
      </c>
      <c r="F688" s="58" t="n">
        <v>46063.7361111111</v>
      </c>
      <c r="G688" s="59" t="n">
        <f aca="false">F688-E688</f>
        <v>0.0347222221990741</v>
      </c>
      <c r="H688" s="57" t="s">
        <v>384</v>
      </c>
      <c r="I688" s="57"/>
      <c r="J688" s="57" t="s">
        <v>253</v>
      </c>
      <c r="K688" s="57" t="s">
        <v>266</v>
      </c>
      <c r="L688" s="57" t="s">
        <v>1508</v>
      </c>
      <c r="M688" s="57" t="s">
        <v>386</v>
      </c>
      <c r="N688" s="57" t="s">
        <v>440</v>
      </c>
      <c r="O688" s="57" t="s">
        <v>1509</v>
      </c>
      <c r="P688" s="57" t="s">
        <v>1512</v>
      </c>
      <c r="Q688" s="57" t="s">
        <v>1467</v>
      </c>
    </row>
    <row r="689" s="50" customFormat="true" ht="14.25" hidden="false" customHeight="true" outlineLevel="0" collapsed="false">
      <c r="A689" s="50" t="s">
        <v>651</v>
      </c>
      <c r="B689" s="57" t="s">
        <v>651</v>
      </c>
      <c r="C689" s="57" t="s">
        <v>324</v>
      </c>
      <c r="D689" s="58" t="n">
        <v>46063.7013888889</v>
      </c>
      <c r="E689" s="58" t="n">
        <v>46063.7013888889</v>
      </c>
      <c r="F689" s="58" t="n">
        <v>46063.7361111111</v>
      </c>
      <c r="G689" s="59" t="n">
        <f aca="false">F689-E689</f>
        <v>0.0347222221990741</v>
      </c>
      <c r="H689" s="57" t="s">
        <v>384</v>
      </c>
      <c r="I689" s="57"/>
      <c r="J689" s="57" t="s">
        <v>253</v>
      </c>
      <c r="K689" s="57" t="s">
        <v>266</v>
      </c>
      <c r="L689" s="57" t="s">
        <v>1508</v>
      </c>
      <c r="M689" s="57" t="s">
        <v>386</v>
      </c>
      <c r="N689" s="57" t="s">
        <v>440</v>
      </c>
      <c r="O689" s="57" t="s">
        <v>1509</v>
      </c>
      <c r="P689" s="57" t="s">
        <v>1513</v>
      </c>
      <c r="Q689" s="57" t="s">
        <v>1467</v>
      </c>
    </row>
    <row r="690" s="50" customFormat="true" ht="14.25" hidden="false" customHeight="true" outlineLevel="0" collapsed="false">
      <c r="A690" s="50" t="s">
        <v>651</v>
      </c>
      <c r="B690" s="57" t="s">
        <v>651</v>
      </c>
      <c r="C690" s="57" t="s">
        <v>1514</v>
      </c>
      <c r="D690" s="58" t="n">
        <v>46063.7013888889</v>
      </c>
      <c r="E690" s="58" t="n">
        <v>46063.7013888889</v>
      </c>
      <c r="F690" s="58" t="n">
        <v>46063.7361111111</v>
      </c>
      <c r="G690" s="59" t="n">
        <f aca="false">F690-E690</f>
        <v>0.0347222221990741</v>
      </c>
      <c r="H690" s="57" t="s">
        <v>384</v>
      </c>
      <c r="I690" s="57"/>
      <c r="J690" s="57" t="s">
        <v>253</v>
      </c>
      <c r="K690" s="57" t="s">
        <v>266</v>
      </c>
      <c r="L690" s="57" t="s">
        <v>1508</v>
      </c>
      <c r="M690" s="57" t="s">
        <v>386</v>
      </c>
      <c r="N690" s="57" t="s">
        <v>440</v>
      </c>
      <c r="O690" s="57" t="s">
        <v>1509</v>
      </c>
      <c r="P690" s="57" t="s">
        <v>1515</v>
      </c>
      <c r="Q690" s="57" t="s">
        <v>1467</v>
      </c>
    </row>
    <row r="691" s="50" customFormat="true" ht="14.25" hidden="false" customHeight="true" outlineLevel="0" collapsed="false">
      <c r="A691" s="50" t="s">
        <v>651</v>
      </c>
      <c r="B691" s="57" t="s">
        <v>651</v>
      </c>
      <c r="C691" s="57" t="s">
        <v>1516</v>
      </c>
      <c r="D691" s="58" t="n">
        <v>46063.7013888889</v>
      </c>
      <c r="E691" s="58" t="n">
        <v>46063.7013888889</v>
      </c>
      <c r="F691" s="58" t="n">
        <v>46063.7361111111</v>
      </c>
      <c r="G691" s="59" t="n">
        <f aca="false">F691-E691</f>
        <v>0.0347222221990741</v>
      </c>
      <c r="H691" s="57" t="s">
        <v>384</v>
      </c>
      <c r="I691" s="57"/>
      <c r="J691" s="57" t="s">
        <v>253</v>
      </c>
      <c r="K691" s="57" t="s">
        <v>266</v>
      </c>
      <c r="L691" s="57" t="s">
        <v>1508</v>
      </c>
      <c r="M691" s="57" t="s">
        <v>386</v>
      </c>
      <c r="N691" s="57" t="s">
        <v>440</v>
      </c>
      <c r="O691" s="57" t="s">
        <v>1509</v>
      </c>
      <c r="P691" s="57" t="s">
        <v>1517</v>
      </c>
      <c r="Q691" s="57" t="s">
        <v>1467</v>
      </c>
    </row>
    <row r="692" s="50" customFormat="true" ht="14.25" hidden="false" customHeight="true" outlineLevel="0" collapsed="false">
      <c r="A692" s="50" t="s">
        <v>718</v>
      </c>
      <c r="B692" s="57" t="s">
        <v>331</v>
      </c>
      <c r="C692" s="57" t="s">
        <v>654</v>
      </c>
      <c r="D692" s="58" t="n">
        <v>46064.3958333333</v>
      </c>
      <c r="E692" s="58" t="n">
        <v>46064.3958333333</v>
      </c>
      <c r="F692" s="58" t="n">
        <v>46064.4402777778</v>
      </c>
      <c r="G692" s="59" t="n">
        <f aca="false">F692-E692</f>
        <v>0.0444444445023148</v>
      </c>
      <c r="H692" s="57" t="s">
        <v>384</v>
      </c>
      <c r="I692" s="57"/>
      <c r="J692" s="57" t="s">
        <v>234</v>
      </c>
      <c r="K692" s="57" t="s">
        <v>234</v>
      </c>
      <c r="L692" s="57" t="s">
        <v>1518</v>
      </c>
      <c r="M692" s="57" t="s">
        <v>386</v>
      </c>
      <c r="N692" s="57" t="s">
        <v>440</v>
      </c>
      <c r="O692" s="57" t="s">
        <v>1519</v>
      </c>
      <c r="P692" s="57" t="s">
        <v>1520</v>
      </c>
      <c r="Q692" s="57" t="s">
        <v>1141</v>
      </c>
    </row>
    <row r="693" s="50" customFormat="true" ht="14.25" hidden="false" customHeight="true" outlineLevel="0" collapsed="false">
      <c r="A693" s="50" t="s">
        <v>1521</v>
      </c>
      <c r="B693" s="57" t="s">
        <v>1522</v>
      </c>
      <c r="C693" s="57" t="s">
        <v>1523</v>
      </c>
      <c r="D693" s="58" t="n">
        <v>46064.3958333333</v>
      </c>
      <c r="E693" s="58" t="n">
        <v>46064.3958333333</v>
      </c>
      <c r="F693" s="58" t="n">
        <v>46064.4402777778</v>
      </c>
      <c r="G693" s="59" t="n">
        <f aca="false">F693-E693</f>
        <v>0.0444444445023148</v>
      </c>
      <c r="H693" s="57" t="s">
        <v>283</v>
      </c>
      <c r="I693" s="57" t="s">
        <v>284</v>
      </c>
      <c r="J693" s="57" t="s">
        <v>285</v>
      </c>
      <c r="K693" s="57" t="s">
        <v>286</v>
      </c>
      <c r="L693" s="57" t="s">
        <v>1524</v>
      </c>
      <c r="M693" s="57" t="s">
        <v>288</v>
      </c>
      <c r="N693" s="57" t="s">
        <v>289</v>
      </c>
      <c r="O693" s="57" t="s">
        <v>1519</v>
      </c>
      <c r="P693" s="57" t="s">
        <v>1525</v>
      </c>
      <c r="Q693" s="57" t="s">
        <v>694</v>
      </c>
    </row>
    <row r="694" s="50" customFormat="true" ht="14.25" hidden="false" customHeight="true" outlineLevel="0" collapsed="false">
      <c r="A694" s="50" t="s">
        <v>1521</v>
      </c>
      <c r="B694" s="57" t="s">
        <v>1522</v>
      </c>
      <c r="C694" s="57" t="s">
        <v>1526</v>
      </c>
      <c r="D694" s="58" t="n">
        <v>46064.3958333333</v>
      </c>
      <c r="E694" s="58" t="n">
        <v>46064.3958333333</v>
      </c>
      <c r="F694" s="58" t="n">
        <v>46064.4402777778</v>
      </c>
      <c r="G694" s="59" t="n">
        <f aca="false">F694-E694</f>
        <v>0.0444444445023148</v>
      </c>
      <c r="H694" s="57" t="s">
        <v>283</v>
      </c>
      <c r="I694" s="57" t="s">
        <v>284</v>
      </c>
      <c r="J694" s="57" t="s">
        <v>285</v>
      </c>
      <c r="K694" s="57" t="s">
        <v>286</v>
      </c>
      <c r="L694" s="57" t="s">
        <v>1524</v>
      </c>
      <c r="M694" s="57" t="s">
        <v>288</v>
      </c>
      <c r="N694" s="57" t="s">
        <v>289</v>
      </c>
      <c r="O694" s="57" t="s">
        <v>1519</v>
      </c>
      <c r="P694" s="57" t="s">
        <v>1527</v>
      </c>
      <c r="Q694" s="57" t="s">
        <v>694</v>
      </c>
    </row>
    <row r="695" s="50" customFormat="true" ht="14.25" hidden="false" customHeight="true" outlineLevel="0" collapsed="false">
      <c r="A695" s="50" t="s">
        <v>1521</v>
      </c>
      <c r="B695" s="57" t="s">
        <v>1522</v>
      </c>
      <c r="C695" s="57" t="s">
        <v>1528</v>
      </c>
      <c r="D695" s="58" t="n">
        <v>46064.3958333333</v>
      </c>
      <c r="E695" s="58" t="n">
        <v>46064.3958333333</v>
      </c>
      <c r="F695" s="58" t="n">
        <v>46064.4402777778</v>
      </c>
      <c r="G695" s="59" t="n">
        <f aca="false">F695-E695</f>
        <v>0.0444444445023148</v>
      </c>
      <c r="H695" s="57" t="s">
        <v>283</v>
      </c>
      <c r="I695" s="57" t="s">
        <v>284</v>
      </c>
      <c r="J695" s="57" t="s">
        <v>285</v>
      </c>
      <c r="K695" s="57" t="s">
        <v>286</v>
      </c>
      <c r="L695" s="57" t="s">
        <v>1524</v>
      </c>
      <c r="M695" s="57" t="s">
        <v>288</v>
      </c>
      <c r="N695" s="57" t="s">
        <v>289</v>
      </c>
      <c r="O695" s="57" t="s">
        <v>1519</v>
      </c>
      <c r="P695" s="57" t="s">
        <v>1529</v>
      </c>
      <c r="Q695" s="57" t="s">
        <v>694</v>
      </c>
    </row>
    <row r="696" s="50" customFormat="true" ht="14.25" hidden="false" customHeight="true" outlineLevel="0" collapsed="false">
      <c r="A696" s="50" t="s">
        <v>1521</v>
      </c>
      <c r="B696" s="57" t="s">
        <v>1522</v>
      </c>
      <c r="C696" s="57" t="s">
        <v>1530</v>
      </c>
      <c r="D696" s="58" t="n">
        <v>46064.3958333333</v>
      </c>
      <c r="E696" s="58" t="n">
        <v>46064.3958333333</v>
      </c>
      <c r="F696" s="58" t="n">
        <v>46064.4402777778</v>
      </c>
      <c r="G696" s="59" t="n">
        <f aca="false">F696-E696</f>
        <v>0.0444444445023148</v>
      </c>
      <c r="H696" s="57" t="s">
        <v>283</v>
      </c>
      <c r="I696" s="57" t="s">
        <v>284</v>
      </c>
      <c r="J696" s="57" t="s">
        <v>285</v>
      </c>
      <c r="K696" s="57" t="s">
        <v>286</v>
      </c>
      <c r="L696" s="57" t="s">
        <v>1524</v>
      </c>
      <c r="M696" s="57" t="s">
        <v>288</v>
      </c>
      <c r="N696" s="57" t="s">
        <v>289</v>
      </c>
      <c r="O696" s="57" t="s">
        <v>1519</v>
      </c>
      <c r="P696" s="57" t="s">
        <v>1531</v>
      </c>
      <c r="Q696" s="57" t="s">
        <v>694</v>
      </c>
    </row>
    <row r="697" s="50" customFormat="true" ht="14.25" hidden="false" customHeight="true" outlineLevel="0" collapsed="false">
      <c r="A697" s="50" t="s">
        <v>1521</v>
      </c>
      <c r="B697" s="57" t="s">
        <v>1522</v>
      </c>
      <c r="C697" s="57" t="s">
        <v>1532</v>
      </c>
      <c r="D697" s="58" t="n">
        <v>46064.3958333333</v>
      </c>
      <c r="E697" s="58" t="n">
        <v>46064.3958333333</v>
      </c>
      <c r="F697" s="58" t="n">
        <v>46064.4402777778</v>
      </c>
      <c r="G697" s="59" t="n">
        <f aca="false">F697-E697</f>
        <v>0.0444444445023148</v>
      </c>
      <c r="H697" s="57" t="s">
        <v>283</v>
      </c>
      <c r="I697" s="57" t="s">
        <v>284</v>
      </c>
      <c r="J697" s="57" t="s">
        <v>285</v>
      </c>
      <c r="K697" s="57" t="s">
        <v>286</v>
      </c>
      <c r="L697" s="57" t="s">
        <v>1524</v>
      </c>
      <c r="M697" s="57" t="s">
        <v>288</v>
      </c>
      <c r="N697" s="57" t="s">
        <v>289</v>
      </c>
      <c r="O697" s="57" t="s">
        <v>1519</v>
      </c>
      <c r="P697" s="57" t="s">
        <v>1533</v>
      </c>
      <c r="Q697" s="57" t="s">
        <v>694</v>
      </c>
    </row>
    <row r="698" s="50" customFormat="true" ht="14.25" hidden="false" customHeight="true" outlineLevel="0" collapsed="false">
      <c r="A698" s="50" t="s">
        <v>1521</v>
      </c>
      <c r="B698" s="57" t="s">
        <v>1522</v>
      </c>
      <c r="C698" s="57" t="s">
        <v>1534</v>
      </c>
      <c r="D698" s="58" t="n">
        <v>46064.3958333333</v>
      </c>
      <c r="E698" s="58" t="n">
        <v>46064.3958333333</v>
      </c>
      <c r="F698" s="58" t="n">
        <v>46064.4402777778</v>
      </c>
      <c r="G698" s="59" t="n">
        <f aca="false">F698-E698</f>
        <v>0.0444444445023148</v>
      </c>
      <c r="H698" s="57" t="s">
        <v>283</v>
      </c>
      <c r="I698" s="57" t="s">
        <v>284</v>
      </c>
      <c r="J698" s="57" t="s">
        <v>285</v>
      </c>
      <c r="K698" s="57" t="s">
        <v>286</v>
      </c>
      <c r="L698" s="57" t="s">
        <v>1524</v>
      </c>
      <c r="M698" s="57" t="s">
        <v>288</v>
      </c>
      <c r="N698" s="57" t="s">
        <v>289</v>
      </c>
      <c r="O698" s="57" t="s">
        <v>1519</v>
      </c>
      <c r="P698" s="57" t="s">
        <v>1535</v>
      </c>
      <c r="Q698" s="57" t="s">
        <v>694</v>
      </c>
    </row>
    <row r="699" s="50" customFormat="true" ht="14.25" hidden="false" customHeight="true" outlineLevel="0" collapsed="false">
      <c r="A699" s="50" t="s">
        <v>1521</v>
      </c>
      <c r="B699" s="57" t="s">
        <v>1522</v>
      </c>
      <c r="C699" s="57" t="s">
        <v>1536</v>
      </c>
      <c r="D699" s="58" t="n">
        <v>46064.3958333333</v>
      </c>
      <c r="E699" s="58" t="n">
        <v>46064.3958333333</v>
      </c>
      <c r="F699" s="58" t="n">
        <v>46064.4402777778</v>
      </c>
      <c r="G699" s="59" t="n">
        <f aca="false">F699-E699</f>
        <v>0.0444444445023148</v>
      </c>
      <c r="H699" s="57" t="s">
        <v>283</v>
      </c>
      <c r="I699" s="57" t="s">
        <v>284</v>
      </c>
      <c r="J699" s="57" t="s">
        <v>285</v>
      </c>
      <c r="K699" s="57" t="s">
        <v>286</v>
      </c>
      <c r="L699" s="57" t="s">
        <v>1524</v>
      </c>
      <c r="M699" s="57" t="s">
        <v>288</v>
      </c>
      <c r="N699" s="57" t="s">
        <v>289</v>
      </c>
      <c r="O699" s="57" t="s">
        <v>1519</v>
      </c>
      <c r="P699" s="57" t="s">
        <v>1537</v>
      </c>
      <c r="Q699" s="57" t="s">
        <v>694</v>
      </c>
    </row>
    <row r="700" s="50" customFormat="true" ht="14.25" hidden="false" customHeight="true" outlineLevel="0" collapsed="false">
      <c r="A700" s="50" t="s">
        <v>1521</v>
      </c>
      <c r="B700" s="57" t="s">
        <v>1522</v>
      </c>
      <c r="C700" s="57" t="s">
        <v>1538</v>
      </c>
      <c r="D700" s="58" t="n">
        <v>46064.3958333333</v>
      </c>
      <c r="E700" s="58" t="n">
        <v>46064.3958333333</v>
      </c>
      <c r="F700" s="58" t="n">
        <v>46064.4402777778</v>
      </c>
      <c r="G700" s="59" t="n">
        <f aca="false">F700-E700</f>
        <v>0.0444444445023148</v>
      </c>
      <c r="H700" s="57" t="s">
        <v>283</v>
      </c>
      <c r="I700" s="57" t="s">
        <v>284</v>
      </c>
      <c r="J700" s="57" t="s">
        <v>285</v>
      </c>
      <c r="K700" s="57" t="s">
        <v>286</v>
      </c>
      <c r="L700" s="57" t="s">
        <v>1524</v>
      </c>
      <c r="M700" s="57" t="s">
        <v>288</v>
      </c>
      <c r="N700" s="57" t="s">
        <v>289</v>
      </c>
      <c r="O700" s="57" t="s">
        <v>1519</v>
      </c>
      <c r="P700" s="57" t="s">
        <v>1539</v>
      </c>
      <c r="Q700" s="57" t="s">
        <v>694</v>
      </c>
    </row>
    <row r="701" s="50" customFormat="true" ht="14.25" hidden="false" customHeight="true" outlineLevel="0" collapsed="false">
      <c r="A701" s="50" t="s">
        <v>1521</v>
      </c>
      <c r="B701" s="57" t="s">
        <v>1522</v>
      </c>
      <c r="C701" s="57" t="s">
        <v>1540</v>
      </c>
      <c r="D701" s="58" t="n">
        <v>46064.3958333333</v>
      </c>
      <c r="E701" s="58" t="n">
        <v>46064.3958333333</v>
      </c>
      <c r="F701" s="58" t="n">
        <v>46064.4402777778</v>
      </c>
      <c r="G701" s="59" t="n">
        <f aca="false">F701-E701</f>
        <v>0.0444444445023148</v>
      </c>
      <c r="H701" s="57" t="s">
        <v>283</v>
      </c>
      <c r="I701" s="57" t="s">
        <v>284</v>
      </c>
      <c r="J701" s="57" t="s">
        <v>285</v>
      </c>
      <c r="K701" s="57" t="s">
        <v>286</v>
      </c>
      <c r="L701" s="57" t="s">
        <v>1524</v>
      </c>
      <c r="M701" s="57" t="s">
        <v>288</v>
      </c>
      <c r="N701" s="57" t="s">
        <v>289</v>
      </c>
      <c r="O701" s="57" t="s">
        <v>1519</v>
      </c>
      <c r="P701" s="57" t="s">
        <v>1541</v>
      </c>
      <c r="Q701" s="57" t="s">
        <v>694</v>
      </c>
    </row>
    <row r="702" s="50" customFormat="true" ht="14.25" hidden="false" customHeight="true" outlineLevel="0" collapsed="false">
      <c r="A702" s="50" t="s">
        <v>1521</v>
      </c>
      <c r="B702" s="57" t="s">
        <v>1522</v>
      </c>
      <c r="C702" s="57" t="s">
        <v>1542</v>
      </c>
      <c r="D702" s="58" t="n">
        <v>46064.3958333333</v>
      </c>
      <c r="E702" s="58" t="n">
        <v>46064.3958333333</v>
      </c>
      <c r="F702" s="58" t="n">
        <v>46064.4402777778</v>
      </c>
      <c r="G702" s="59" t="n">
        <f aca="false">F702-E702</f>
        <v>0.0444444445023148</v>
      </c>
      <c r="H702" s="57" t="s">
        <v>283</v>
      </c>
      <c r="I702" s="57" t="s">
        <v>284</v>
      </c>
      <c r="J702" s="57" t="s">
        <v>285</v>
      </c>
      <c r="K702" s="57" t="s">
        <v>286</v>
      </c>
      <c r="L702" s="57" t="s">
        <v>1524</v>
      </c>
      <c r="M702" s="57" t="s">
        <v>288</v>
      </c>
      <c r="N702" s="57" t="s">
        <v>289</v>
      </c>
      <c r="O702" s="57" t="s">
        <v>1519</v>
      </c>
      <c r="P702" s="57" t="s">
        <v>1543</v>
      </c>
      <c r="Q702" s="57" t="s">
        <v>694</v>
      </c>
    </row>
    <row r="703" s="50" customFormat="true" ht="14.25" hidden="false" customHeight="true" outlineLevel="0" collapsed="false">
      <c r="A703" s="50" t="s">
        <v>1521</v>
      </c>
      <c r="B703" s="57" t="s">
        <v>1522</v>
      </c>
      <c r="C703" s="57" t="s">
        <v>1544</v>
      </c>
      <c r="D703" s="58" t="n">
        <v>46064.3958333333</v>
      </c>
      <c r="E703" s="58" t="n">
        <v>46064.3958333333</v>
      </c>
      <c r="F703" s="58" t="n">
        <v>46064.4402777778</v>
      </c>
      <c r="G703" s="59" t="n">
        <f aca="false">F703-E703</f>
        <v>0.0444444445023148</v>
      </c>
      <c r="H703" s="57" t="s">
        <v>283</v>
      </c>
      <c r="I703" s="57" t="s">
        <v>284</v>
      </c>
      <c r="J703" s="57" t="s">
        <v>285</v>
      </c>
      <c r="K703" s="57" t="s">
        <v>286</v>
      </c>
      <c r="L703" s="57" t="s">
        <v>1524</v>
      </c>
      <c r="M703" s="57" t="s">
        <v>288</v>
      </c>
      <c r="N703" s="57" t="s">
        <v>289</v>
      </c>
      <c r="O703" s="57" t="s">
        <v>1519</v>
      </c>
      <c r="P703" s="57" t="s">
        <v>1545</v>
      </c>
      <c r="Q703" s="57" t="s">
        <v>694</v>
      </c>
    </row>
    <row r="704" s="50" customFormat="true" ht="14.25" hidden="false" customHeight="true" outlineLevel="0" collapsed="false">
      <c r="A704" s="50" t="s">
        <v>1521</v>
      </c>
      <c r="B704" s="57" t="s">
        <v>1522</v>
      </c>
      <c r="C704" s="57" t="s">
        <v>1546</v>
      </c>
      <c r="D704" s="58" t="n">
        <v>46064.3958333333</v>
      </c>
      <c r="E704" s="58" t="n">
        <v>46064.3958333333</v>
      </c>
      <c r="F704" s="58" t="n">
        <v>46064.4402777778</v>
      </c>
      <c r="G704" s="59" t="n">
        <f aca="false">F704-E704</f>
        <v>0.0444444445023148</v>
      </c>
      <c r="H704" s="57" t="s">
        <v>283</v>
      </c>
      <c r="I704" s="57" t="s">
        <v>284</v>
      </c>
      <c r="J704" s="57" t="s">
        <v>285</v>
      </c>
      <c r="K704" s="57" t="s">
        <v>286</v>
      </c>
      <c r="L704" s="57" t="s">
        <v>1524</v>
      </c>
      <c r="M704" s="57" t="s">
        <v>288</v>
      </c>
      <c r="N704" s="57" t="s">
        <v>289</v>
      </c>
      <c r="O704" s="57" t="s">
        <v>1519</v>
      </c>
      <c r="P704" s="57" t="s">
        <v>1547</v>
      </c>
      <c r="Q704" s="57" t="s">
        <v>694</v>
      </c>
    </row>
    <row r="705" s="50" customFormat="true" ht="14.25" hidden="false" customHeight="true" outlineLevel="0" collapsed="false">
      <c r="A705" s="50" t="s">
        <v>1521</v>
      </c>
      <c r="B705" s="57" t="s">
        <v>1522</v>
      </c>
      <c r="C705" s="57" t="s">
        <v>1548</v>
      </c>
      <c r="D705" s="58" t="n">
        <v>46064.3958333333</v>
      </c>
      <c r="E705" s="58" t="n">
        <v>46064.3958333333</v>
      </c>
      <c r="F705" s="58" t="n">
        <v>46064.4402777778</v>
      </c>
      <c r="G705" s="59" t="n">
        <f aca="false">F705-E705</f>
        <v>0.0444444445023148</v>
      </c>
      <c r="H705" s="57" t="s">
        <v>283</v>
      </c>
      <c r="I705" s="57" t="s">
        <v>284</v>
      </c>
      <c r="J705" s="57" t="s">
        <v>285</v>
      </c>
      <c r="K705" s="57" t="s">
        <v>286</v>
      </c>
      <c r="L705" s="57" t="s">
        <v>1524</v>
      </c>
      <c r="M705" s="57" t="s">
        <v>288</v>
      </c>
      <c r="N705" s="57" t="s">
        <v>289</v>
      </c>
      <c r="O705" s="57" t="s">
        <v>1519</v>
      </c>
      <c r="P705" s="57" t="s">
        <v>1549</v>
      </c>
      <c r="Q705" s="57" t="s">
        <v>694</v>
      </c>
    </row>
    <row r="706" s="50" customFormat="true" ht="14.25" hidden="false" customHeight="true" outlineLevel="0" collapsed="false">
      <c r="A706" s="50" t="s">
        <v>1521</v>
      </c>
      <c r="B706" s="57" t="s">
        <v>1522</v>
      </c>
      <c r="C706" s="57" t="s">
        <v>1550</v>
      </c>
      <c r="D706" s="58" t="n">
        <v>46064.3958333333</v>
      </c>
      <c r="E706" s="58" t="n">
        <v>46064.3958333333</v>
      </c>
      <c r="F706" s="58" t="n">
        <v>46064.4402777778</v>
      </c>
      <c r="G706" s="59" t="n">
        <f aca="false">F706-E706</f>
        <v>0.0444444445023148</v>
      </c>
      <c r="H706" s="57" t="s">
        <v>283</v>
      </c>
      <c r="I706" s="57" t="s">
        <v>284</v>
      </c>
      <c r="J706" s="57" t="s">
        <v>285</v>
      </c>
      <c r="K706" s="57" t="s">
        <v>286</v>
      </c>
      <c r="L706" s="57" t="s">
        <v>1524</v>
      </c>
      <c r="M706" s="57" t="s">
        <v>288</v>
      </c>
      <c r="N706" s="57" t="s">
        <v>289</v>
      </c>
      <c r="O706" s="57" t="s">
        <v>1519</v>
      </c>
      <c r="P706" s="57" t="s">
        <v>1551</v>
      </c>
      <c r="Q706" s="57" t="s">
        <v>694</v>
      </c>
    </row>
    <row r="707" s="50" customFormat="true" ht="14.25" hidden="false" customHeight="true" outlineLevel="0" collapsed="false">
      <c r="A707" s="50" t="s">
        <v>1521</v>
      </c>
      <c r="B707" s="57" t="s">
        <v>1522</v>
      </c>
      <c r="C707" s="57" t="s">
        <v>1552</v>
      </c>
      <c r="D707" s="58" t="n">
        <v>46064.3958333333</v>
      </c>
      <c r="E707" s="58" t="n">
        <v>46064.3958333333</v>
      </c>
      <c r="F707" s="58" t="n">
        <v>46064.4402777778</v>
      </c>
      <c r="G707" s="59" t="n">
        <f aca="false">F707-E707</f>
        <v>0.0444444445023148</v>
      </c>
      <c r="H707" s="57" t="s">
        <v>283</v>
      </c>
      <c r="I707" s="57" t="s">
        <v>284</v>
      </c>
      <c r="J707" s="57" t="s">
        <v>285</v>
      </c>
      <c r="K707" s="57" t="s">
        <v>286</v>
      </c>
      <c r="L707" s="57" t="s">
        <v>1524</v>
      </c>
      <c r="M707" s="57" t="s">
        <v>288</v>
      </c>
      <c r="N707" s="57" t="s">
        <v>289</v>
      </c>
      <c r="O707" s="57" t="s">
        <v>1519</v>
      </c>
      <c r="P707" s="57" t="s">
        <v>1553</v>
      </c>
      <c r="Q707" s="57" t="s">
        <v>694</v>
      </c>
    </row>
    <row r="708" s="50" customFormat="true" ht="14.25" hidden="false" customHeight="true" outlineLevel="0" collapsed="false">
      <c r="A708" s="50" t="s">
        <v>1521</v>
      </c>
      <c r="B708" s="57" t="s">
        <v>1522</v>
      </c>
      <c r="C708" s="57" t="s">
        <v>1554</v>
      </c>
      <c r="D708" s="58" t="n">
        <v>46064.3958333333</v>
      </c>
      <c r="E708" s="58" t="n">
        <v>46064.3958333333</v>
      </c>
      <c r="F708" s="58" t="n">
        <v>46064.4402777778</v>
      </c>
      <c r="G708" s="59" t="n">
        <f aca="false">F708-E708</f>
        <v>0.0444444445023148</v>
      </c>
      <c r="H708" s="57" t="s">
        <v>283</v>
      </c>
      <c r="I708" s="57" t="s">
        <v>284</v>
      </c>
      <c r="J708" s="57" t="s">
        <v>285</v>
      </c>
      <c r="K708" s="57" t="s">
        <v>286</v>
      </c>
      <c r="L708" s="57" t="s">
        <v>1524</v>
      </c>
      <c r="M708" s="57" t="s">
        <v>288</v>
      </c>
      <c r="N708" s="57" t="s">
        <v>289</v>
      </c>
      <c r="O708" s="57" t="s">
        <v>1519</v>
      </c>
      <c r="P708" s="57" t="s">
        <v>1555</v>
      </c>
      <c r="Q708" s="57" t="s">
        <v>694</v>
      </c>
    </row>
    <row r="709" s="50" customFormat="true" ht="14.25" hidden="false" customHeight="true" outlineLevel="0" collapsed="false">
      <c r="A709" s="50" t="s">
        <v>1521</v>
      </c>
      <c r="B709" s="57" t="s">
        <v>1522</v>
      </c>
      <c r="C709" s="57" t="s">
        <v>1556</v>
      </c>
      <c r="D709" s="58" t="n">
        <v>46064.3958333333</v>
      </c>
      <c r="E709" s="58" t="n">
        <v>46064.3958333333</v>
      </c>
      <c r="F709" s="58" t="n">
        <v>46064.4402777778</v>
      </c>
      <c r="G709" s="59" t="n">
        <f aca="false">F709-E709</f>
        <v>0.0444444445023148</v>
      </c>
      <c r="H709" s="57" t="s">
        <v>283</v>
      </c>
      <c r="I709" s="57" t="s">
        <v>284</v>
      </c>
      <c r="J709" s="57" t="s">
        <v>285</v>
      </c>
      <c r="K709" s="57" t="s">
        <v>286</v>
      </c>
      <c r="L709" s="57" t="s">
        <v>1524</v>
      </c>
      <c r="M709" s="57" t="s">
        <v>288</v>
      </c>
      <c r="N709" s="57" t="s">
        <v>289</v>
      </c>
      <c r="O709" s="57" t="s">
        <v>1519</v>
      </c>
      <c r="P709" s="57" t="s">
        <v>1557</v>
      </c>
      <c r="Q709" s="57" t="s">
        <v>694</v>
      </c>
    </row>
    <row r="710" s="50" customFormat="true" ht="14.25" hidden="false" customHeight="true" outlineLevel="0" collapsed="false">
      <c r="A710" s="50" t="s">
        <v>1558</v>
      </c>
      <c r="B710" s="57" t="s">
        <v>342</v>
      </c>
      <c r="C710" s="57" t="s">
        <v>343</v>
      </c>
      <c r="D710" s="58" t="n">
        <v>46064.3958333333</v>
      </c>
      <c r="E710" s="58" t="n">
        <v>46064.3958333333</v>
      </c>
      <c r="F710" s="58" t="n">
        <v>46064.4402777778</v>
      </c>
      <c r="G710" s="59" t="n">
        <f aca="false">F710-E710</f>
        <v>0.0444444445023148</v>
      </c>
      <c r="H710" s="57" t="s">
        <v>283</v>
      </c>
      <c r="I710" s="57" t="s">
        <v>284</v>
      </c>
      <c r="J710" s="57" t="s">
        <v>285</v>
      </c>
      <c r="K710" s="57" t="s">
        <v>286</v>
      </c>
      <c r="L710" s="57" t="s">
        <v>1524</v>
      </c>
      <c r="M710" s="57" t="s">
        <v>288</v>
      </c>
      <c r="N710" s="57" t="s">
        <v>289</v>
      </c>
      <c r="O710" s="57" t="s">
        <v>1519</v>
      </c>
      <c r="P710" s="57" t="s">
        <v>1559</v>
      </c>
      <c r="Q710" s="57" t="s">
        <v>694</v>
      </c>
    </row>
    <row r="711" s="50" customFormat="true" ht="14.25" hidden="false" customHeight="true" outlineLevel="0" collapsed="false">
      <c r="A711" s="50" t="s">
        <v>1558</v>
      </c>
      <c r="B711" s="57" t="s">
        <v>342</v>
      </c>
      <c r="C711" s="57" t="s">
        <v>344</v>
      </c>
      <c r="D711" s="58" t="n">
        <v>46064.3958333333</v>
      </c>
      <c r="E711" s="58" t="n">
        <v>46064.3958333333</v>
      </c>
      <c r="F711" s="58" t="n">
        <v>46064.4402777778</v>
      </c>
      <c r="G711" s="59" t="n">
        <f aca="false">F711-E711</f>
        <v>0.0444444445023148</v>
      </c>
      <c r="H711" s="57" t="s">
        <v>283</v>
      </c>
      <c r="I711" s="57" t="s">
        <v>284</v>
      </c>
      <c r="J711" s="57" t="s">
        <v>285</v>
      </c>
      <c r="K711" s="57" t="s">
        <v>286</v>
      </c>
      <c r="L711" s="57" t="s">
        <v>1524</v>
      </c>
      <c r="M711" s="57" t="s">
        <v>288</v>
      </c>
      <c r="N711" s="57" t="s">
        <v>289</v>
      </c>
      <c r="O711" s="57" t="s">
        <v>1519</v>
      </c>
      <c r="P711" s="57" t="s">
        <v>1560</v>
      </c>
      <c r="Q711" s="57" t="s">
        <v>694</v>
      </c>
    </row>
    <row r="712" s="50" customFormat="true" ht="14.25" hidden="false" customHeight="true" outlineLevel="0" collapsed="false">
      <c r="A712" s="50" t="s">
        <v>1558</v>
      </c>
      <c r="B712" s="57" t="s">
        <v>342</v>
      </c>
      <c r="C712" s="57" t="s">
        <v>345</v>
      </c>
      <c r="D712" s="58" t="n">
        <v>46064.3958333333</v>
      </c>
      <c r="E712" s="58" t="n">
        <v>46064.3958333333</v>
      </c>
      <c r="F712" s="58" t="n">
        <v>46064.4402777778</v>
      </c>
      <c r="G712" s="59" t="n">
        <f aca="false">F712-E712</f>
        <v>0.0444444445023148</v>
      </c>
      <c r="H712" s="57" t="s">
        <v>283</v>
      </c>
      <c r="I712" s="57" t="s">
        <v>284</v>
      </c>
      <c r="J712" s="57" t="s">
        <v>285</v>
      </c>
      <c r="K712" s="57" t="s">
        <v>286</v>
      </c>
      <c r="L712" s="57" t="s">
        <v>1524</v>
      </c>
      <c r="M712" s="57" t="s">
        <v>288</v>
      </c>
      <c r="N712" s="57" t="s">
        <v>289</v>
      </c>
      <c r="O712" s="57" t="s">
        <v>1519</v>
      </c>
      <c r="P712" s="57" t="s">
        <v>1561</v>
      </c>
      <c r="Q712" s="57" t="s">
        <v>694</v>
      </c>
    </row>
    <row r="713" s="50" customFormat="true" ht="14.25" hidden="false" customHeight="true" outlineLevel="0" collapsed="false">
      <c r="A713" s="50" t="s">
        <v>1558</v>
      </c>
      <c r="B713" s="57" t="s">
        <v>342</v>
      </c>
      <c r="C713" s="57" t="s">
        <v>346</v>
      </c>
      <c r="D713" s="58" t="n">
        <v>46064.3958333333</v>
      </c>
      <c r="E713" s="58" t="n">
        <v>46064.3958333333</v>
      </c>
      <c r="F713" s="58" t="n">
        <v>46064.4402777778</v>
      </c>
      <c r="G713" s="59" t="n">
        <f aca="false">F713-E713</f>
        <v>0.0444444445023148</v>
      </c>
      <c r="H713" s="57" t="s">
        <v>283</v>
      </c>
      <c r="I713" s="57" t="s">
        <v>284</v>
      </c>
      <c r="J713" s="57" t="s">
        <v>285</v>
      </c>
      <c r="K713" s="57" t="s">
        <v>286</v>
      </c>
      <c r="L713" s="57" t="s">
        <v>1524</v>
      </c>
      <c r="M713" s="57" t="s">
        <v>288</v>
      </c>
      <c r="N713" s="57" t="s">
        <v>289</v>
      </c>
      <c r="O713" s="57" t="s">
        <v>1519</v>
      </c>
      <c r="P713" s="57" t="s">
        <v>1562</v>
      </c>
      <c r="Q713" s="57" t="s">
        <v>694</v>
      </c>
    </row>
    <row r="714" s="50" customFormat="true" ht="14.25" hidden="false" customHeight="true" outlineLevel="0" collapsed="false">
      <c r="A714" s="50" t="s">
        <v>1558</v>
      </c>
      <c r="B714" s="57" t="s">
        <v>342</v>
      </c>
      <c r="C714" s="57" t="s">
        <v>347</v>
      </c>
      <c r="D714" s="58" t="n">
        <v>46064.3958333333</v>
      </c>
      <c r="E714" s="58" t="n">
        <v>46064.3958333333</v>
      </c>
      <c r="F714" s="58" t="n">
        <v>46064.4402777778</v>
      </c>
      <c r="G714" s="59" t="n">
        <f aca="false">F714-E714</f>
        <v>0.0444444445023148</v>
      </c>
      <c r="H714" s="57" t="s">
        <v>283</v>
      </c>
      <c r="I714" s="57" t="s">
        <v>284</v>
      </c>
      <c r="J714" s="57" t="s">
        <v>285</v>
      </c>
      <c r="K714" s="57" t="s">
        <v>286</v>
      </c>
      <c r="L714" s="57" t="s">
        <v>1524</v>
      </c>
      <c r="M714" s="57" t="s">
        <v>288</v>
      </c>
      <c r="N714" s="57" t="s">
        <v>289</v>
      </c>
      <c r="O714" s="57" t="s">
        <v>1519</v>
      </c>
      <c r="P714" s="57" t="s">
        <v>1563</v>
      </c>
      <c r="Q714" s="57" t="s">
        <v>694</v>
      </c>
    </row>
    <row r="715" s="50" customFormat="true" ht="14.25" hidden="false" customHeight="true" outlineLevel="0" collapsed="false">
      <c r="A715" s="50" t="s">
        <v>1558</v>
      </c>
      <c r="B715" s="57" t="s">
        <v>342</v>
      </c>
      <c r="C715" s="57" t="s">
        <v>348</v>
      </c>
      <c r="D715" s="58" t="n">
        <v>46064.3958333333</v>
      </c>
      <c r="E715" s="58" t="n">
        <v>46064.3958333333</v>
      </c>
      <c r="F715" s="58" t="n">
        <v>46064.4402777778</v>
      </c>
      <c r="G715" s="59" t="n">
        <f aca="false">F715-E715</f>
        <v>0.0444444445023148</v>
      </c>
      <c r="H715" s="57" t="s">
        <v>283</v>
      </c>
      <c r="I715" s="57" t="s">
        <v>284</v>
      </c>
      <c r="J715" s="57" t="s">
        <v>285</v>
      </c>
      <c r="K715" s="57" t="s">
        <v>286</v>
      </c>
      <c r="L715" s="57" t="s">
        <v>1524</v>
      </c>
      <c r="M715" s="57" t="s">
        <v>288</v>
      </c>
      <c r="N715" s="57" t="s">
        <v>289</v>
      </c>
      <c r="O715" s="57" t="s">
        <v>1519</v>
      </c>
      <c r="P715" s="57" t="s">
        <v>1564</v>
      </c>
      <c r="Q715" s="57" t="s">
        <v>694</v>
      </c>
    </row>
    <row r="716" s="50" customFormat="true" ht="14.25" hidden="false" customHeight="true" outlineLevel="0" collapsed="false">
      <c r="A716" s="50" t="s">
        <v>1558</v>
      </c>
      <c r="B716" s="57" t="s">
        <v>342</v>
      </c>
      <c r="C716" s="57" t="s">
        <v>349</v>
      </c>
      <c r="D716" s="58" t="n">
        <v>46064.3958333333</v>
      </c>
      <c r="E716" s="58" t="n">
        <v>46064.3958333333</v>
      </c>
      <c r="F716" s="58" t="n">
        <v>46064.4402777778</v>
      </c>
      <c r="G716" s="59" t="n">
        <f aca="false">F716-E716</f>
        <v>0.0444444445023148</v>
      </c>
      <c r="H716" s="57" t="s">
        <v>283</v>
      </c>
      <c r="I716" s="57" t="s">
        <v>284</v>
      </c>
      <c r="J716" s="57" t="s">
        <v>285</v>
      </c>
      <c r="K716" s="57" t="s">
        <v>286</v>
      </c>
      <c r="L716" s="57" t="s">
        <v>1524</v>
      </c>
      <c r="M716" s="57" t="s">
        <v>288</v>
      </c>
      <c r="N716" s="57" t="s">
        <v>289</v>
      </c>
      <c r="O716" s="57" t="s">
        <v>1519</v>
      </c>
      <c r="P716" s="57" t="s">
        <v>1565</v>
      </c>
      <c r="Q716" s="57" t="s">
        <v>694</v>
      </c>
    </row>
    <row r="717" s="50" customFormat="true" ht="14.25" hidden="false" customHeight="true" outlineLevel="0" collapsed="false">
      <c r="A717" s="50" t="s">
        <v>1558</v>
      </c>
      <c r="B717" s="57" t="s">
        <v>342</v>
      </c>
      <c r="C717" s="57" t="s">
        <v>350</v>
      </c>
      <c r="D717" s="58" t="n">
        <v>46064.3958333333</v>
      </c>
      <c r="E717" s="58" t="n">
        <v>46064.3958333333</v>
      </c>
      <c r="F717" s="58" t="n">
        <v>46064.4402777778</v>
      </c>
      <c r="G717" s="59" t="n">
        <f aca="false">F717-E717</f>
        <v>0.0444444445023148</v>
      </c>
      <c r="H717" s="57" t="s">
        <v>283</v>
      </c>
      <c r="I717" s="57" t="s">
        <v>284</v>
      </c>
      <c r="J717" s="57" t="s">
        <v>285</v>
      </c>
      <c r="K717" s="57" t="s">
        <v>286</v>
      </c>
      <c r="L717" s="57" t="s">
        <v>1524</v>
      </c>
      <c r="M717" s="57" t="s">
        <v>288</v>
      </c>
      <c r="N717" s="57" t="s">
        <v>289</v>
      </c>
      <c r="O717" s="57" t="s">
        <v>1519</v>
      </c>
      <c r="P717" s="57" t="s">
        <v>1566</v>
      </c>
      <c r="Q717" s="57" t="s">
        <v>694</v>
      </c>
    </row>
    <row r="718" s="50" customFormat="true" ht="14.25" hidden="false" customHeight="true" outlineLevel="0" collapsed="false">
      <c r="A718" s="50" t="s">
        <v>1558</v>
      </c>
      <c r="B718" s="57" t="s">
        <v>342</v>
      </c>
      <c r="C718" s="57" t="s">
        <v>351</v>
      </c>
      <c r="D718" s="58" t="n">
        <v>46064.3958333333</v>
      </c>
      <c r="E718" s="58" t="n">
        <v>46064.3958333333</v>
      </c>
      <c r="F718" s="58" t="n">
        <v>46064.4402777778</v>
      </c>
      <c r="G718" s="59" t="n">
        <f aca="false">F718-E718</f>
        <v>0.0444444445023148</v>
      </c>
      <c r="H718" s="57" t="s">
        <v>283</v>
      </c>
      <c r="I718" s="57" t="s">
        <v>284</v>
      </c>
      <c r="J718" s="57" t="s">
        <v>285</v>
      </c>
      <c r="K718" s="57" t="s">
        <v>286</v>
      </c>
      <c r="L718" s="57" t="s">
        <v>1524</v>
      </c>
      <c r="M718" s="57" t="s">
        <v>288</v>
      </c>
      <c r="N718" s="57" t="s">
        <v>289</v>
      </c>
      <c r="O718" s="57" t="s">
        <v>1519</v>
      </c>
      <c r="P718" s="57" t="s">
        <v>1567</v>
      </c>
      <c r="Q718" s="57" t="s">
        <v>694</v>
      </c>
    </row>
    <row r="719" s="50" customFormat="true" ht="14.25" hidden="false" customHeight="true" outlineLevel="0" collapsed="false">
      <c r="A719" s="50" t="s">
        <v>1568</v>
      </c>
      <c r="B719" s="57" t="s">
        <v>1568</v>
      </c>
      <c r="C719" s="57" t="s">
        <v>265</v>
      </c>
      <c r="D719" s="58" t="n">
        <v>46064.3958333333</v>
      </c>
      <c r="E719" s="58" t="n">
        <v>46064.3958333333</v>
      </c>
      <c r="F719" s="58" t="n">
        <v>46064.4402777778</v>
      </c>
      <c r="G719" s="59" t="n">
        <f aca="false">F719-E719</f>
        <v>0.0444444445023148</v>
      </c>
      <c r="H719" s="57" t="s">
        <v>283</v>
      </c>
      <c r="I719" s="57" t="s">
        <v>284</v>
      </c>
      <c r="J719" s="57" t="s">
        <v>285</v>
      </c>
      <c r="K719" s="57" t="s">
        <v>286</v>
      </c>
      <c r="L719" s="57" t="s">
        <v>1524</v>
      </c>
      <c r="M719" s="57" t="s">
        <v>288</v>
      </c>
      <c r="N719" s="57" t="s">
        <v>289</v>
      </c>
      <c r="O719" s="57" t="s">
        <v>1519</v>
      </c>
      <c r="P719" s="57" t="s">
        <v>1569</v>
      </c>
      <c r="Q719" s="57" t="s">
        <v>694</v>
      </c>
    </row>
    <row r="720" s="50" customFormat="true" ht="14.25" hidden="false" customHeight="true" outlineLevel="0" collapsed="false">
      <c r="A720" s="50" t="s">
        <v>1568</v>
      </c>
      <c r="B720" s="57" t="s">
        <v>1568</v>
      </c>
      <c r="C720" s="57" t="s">
        <v>1570</v>
      </c>
      <c r="D720" s="58" t="n">
        <v>46064.3958333333</v>
      </c>
      <c r="E720" s="58" t="n">
        <v>46064.3958333333</v>
      </c>
      <c r="F720" s="58" t="n">
        <v>46064.4402777778</v>
      </c>
      <c r="G720" s="59" t="n">
        <f aca="false">F720-E720</f>
        <v>0.0444444445023148</v>
      </c>
      <c r="H720" s="57" t="s">
        <v>283</v>
      </c>
      <c r="I720" s="57" t="s">
        <v>284</v>
      </c>
      <c r="J720" s="57" t="s">
        <v>285</v>
      </c>
      <c r="K720" s="57" t="s">
        <v>286</v>
      </c>
      <c r="L720" s="57" t="s">
        <v>1524</v>
      </c>
      <c r="M720" s="57" t="s">
        <v>288</v>
      </c>
      <c r="N720" s="57" t="s">
        <v>289</v>
      </c>
      <c r="O720" s="57" t="s">
        <v>1519</v>
      </c>
      <c r="P720" s="57" t="s">
        <v>1571</v>
      </c>
      <c r="Q720" s="57" t="s">
        <v>694</v>
      </c>
    </row>
    <row r="721" s="50" customFormat="true" ht="14.25" hidden="false" customHeight="true" outlineLevel="0" collapsed="false">
      <c r="A721" s="50" t="s">
        <v>1568</v>
      </c>
      <c r="B721" s="57" t="s">
        <v>1568</v>
      </c>
      <c r="C721" s="57" t="s">
        <v>1572</v>
      </c>
      <c r="D721" s="58" t="n">
        <v>46064.3958333333</v>
      </c>
      <c r="E721" s="58" t="n">
        <v>46064.3958333333</v>
      </c>
      <c r="F721" s="58" t="n">
        <v>46064.4402777778</v>
      </c>
      <c r="G721" s="59" t="n">
        <f aca="false">F721-E721</f>
        <v>0.0444444445023148</v>
      </c>
      <c r="H721" s="57" t="s">
        <v>283</v>
      </c>
      <c r="I721" s="57" t="s">
        <v>284</v>
      </c>
      <c r="J721" s="57" t="s">
        <v>285</v>
      </c>
      <c r="K721" s="57" t="s">
        <v>286</v>
      </c>
      <c r="L721" s="57" t="s">
        <v>1524</v>
      </c>
      <c r="M721" s="57" t="s">
        <v>288</v>
      </c>
      <c r="N721" s="57" t="s">
        <v>289</v>
      </c>
      <c r="O721" s="57" t="s">
        <v>1519</v>
      </c>
      <c r="P721" s="57" t="s">
        <v>1573</v>
      </c>
      <c r="Q721" s="57" t="s">
        <v>694</v>
      </c>
    </row>
    <row r="722" s="50" customFormat="true" ht="14.25" hidden="false" customHeight="true" outlineLevel="0" collapsed="false">
      <c r="A722" s="50" t="s">
        <v>1568</v>
      </c>
      <c r="B722" s="57" t="s">
        <v>1568</v>
      </c>
      <c r="C722" s="57" t="s">
        <v>324</v>
      </c>
      <c r="D722" s="58" t="n">
        <v>46064.3958333333</v>
      </c>
      <c r="E722" s="58" t="n">
        <v>46064.3958333333</v>
      </c>
      <c r="F722" s="58" t="n">
        <v>46064.4402777778</v>
      </c>
      <c r="G722" s="59" t="n">
        <f aca="false">F722-E722</f>
        <v>0.0444444445023148</v>
      </c>
      <c r="H722" s="57" t="s">
        <v>283</v>
      </c>
      <c r="I722" s="57" t="s">
        <v>284</v>
      </c>
      <c r="J722" s="57" t="s">
        <v>285</v>
      </c>
      <c r="K722" s="57" t="s">
        <v>286</v>
      </c>
      <c r="L722" s="57" t="s">
        <v>1524</v>
      </c>
      <c r="M722" s="57" t="s">
        <v>288</v>
      </c>
      <c r="N722" s="57" t="s">
        <v>289</v>
      </c>
      <c r="O722" s="57" t="s">
        <v>1519</v>
      </c>
      <c r="P722" s="57" t="s">
        <v>1574</v>
      </c>
      <c r="Q722" s="57" t="s">
        <v>694</v>
      </c>
    </row>
    <row r="723" s="50" customFormat="true" ht="14.25" hidden="false" customHeight="true" outlineLevel="0" collapsed="false">
      <c r="A723" s="50" t="s">
        <v>1568</v>
      </c>
      <c r="B723" s="57" t="s">
        <v>1568</v>
      </c>
      <c r="C723" s="57" t="s">
        <v>1575</v>
      </c>
      <c r="D723" s="58" t="n">
        <v>46064.3958333333</v>
      </c>
      <c r="E723" s="58" t="n">
        <v>46064.3958333333</v>
      </c>
      <c r="F723" s="58" t="n">
        <v>46064.4402777778</v>
      </c>
      <c r="G723" s="59" t="n">
        <f aca="false">F723-E723</f>
        <v>0.0444444445023148</v>
      </c>
      <c r="H723" s="57" t="s">
        <v>283</v>
      </c>
      <c r="I723" s="57" t="s">
        <v>284</v>
      </c>
      <c r="J723" s="57" t="s">
        <v>285</v>
      </c>
      <c r="K723" s="57" t="s">
        <v>286</v>
      </c>
      <c r="L723" s="57" t="s">
        <v>1524</v>
      </c>
      <c r="M723" s="57" t="s">
        <v>288</v>
      </c>
      <c r="N723" s="57" t="s">
        <v>289</v>
      </c>
      <c r="O723" s="57" t="s">
        <v>1519</v>
      </c>
      <c r="P723" s="57" t="s">
        <v>1576</v>
      </c>
      <c r="Q723" s="57" t="s">
        <v>694</v>
      </c>
    </row>
    <row r="724" s="50" customFormat="true" ht="14.25" hidden="false" customHeight="true" outlineLevel="0" collapsed="false">
      <c r="A724" s="50" t="s">
        <v>651</v>
      </c>
      <c r="B724" s="57" t="s">
        <v>651</v>
      </c>
      <c r="C724" s="57" t="s">
        <v>265</v>
      </c>
      <c r="D724" s="58" t="n">
        <v>46064.3958333333</v>
      </c>
      <c r="E724" s="58" t="n">
        <v>46064.3958333333</v>
      </c>
      <c r="F724" s="58" t="n">
        <v>46064.4402777778</v>
      </c>
      <c r="G724" s="59" t="n">
        <f aca="false">F724-E724</f>
        <v>0.0444444445023148</v>
      </c>
      <c r="H724" s="57" t="s">
        <v>283</v>
      </c>
      <c r="I724" s="57" t="s">
        <v>284</v>
      </c>
      <c r="J724" s="57" t="s">
        <v>285</v>
      </c>
      <c r="K724" s="57" t="s">
        <v>286</v>
      </c>
      <c r="L724" s="57" t="s">
        <v>1524</v>
      </c>
      <c r="M724" s="57" t="s">
        <v>288</v>
      </c>
      <c r="N724" s="57" t="s">
        <v>289</v>
      </c>
      <c r="O724" s="57" t="s">
        <v>1519</v>
      </c>
      <c r="P724" s="57" t="s">
        <v>1577</v>
      </c>
      <c r="Q724" s="57" t="s">
        <v>694</v>
      </c>
    </row>
    <row r="725" s="50" customFormat="true" ht="14.25" hidden="false" customHeight="true" outlineLevel="0" collapsed="false">
      <c r="A725" s="50" t="s">
        <v>651</v>
      </c>
      <c r="B725" s="57" t="s">
        <v>651</v>
      </c>
      <c r="C725" s="57" t="s">
        <v>1511</v>
      </c>
      <c r="D725" s="58" t="n">
        <v>46064.3958333333</v>
      </c>
      <c r="E725" s="58" t="n">
        <v>46064.3958333333</v>
      </c>
      <c r="F725" s="58" t="n">
        <v>46064.4402777778</v>
      </c>
      <c r="G725" s="59" t="n">
        <f aca="false">F725-E725</f>
        <v>0.0444444445023148</v>
      </c>
      <c r="H725" s="57" t="s">
        <v>283</v>
      </c>
      <c r="I725" s="57" t="s">
        <v>284</v>
      </c>
      <c r="J725" s="57" t="s">
        <v>285</v>
      </c>
      <c r="K725" s="57" t="s">
        <v>286</v>
      </c>
      <c r="L725" s="57" t="s">
        <v>1524</v>
      </c>
      <c r="M725" s="57" t="s">
        <v>288</v>
      </c>
      <c r="N725" s="57" t="s">
        <v>289</v>
      </c>
      <c r="O725" s="57" t="s">
        <v>1519</v>
      </c>
      <c r="P725" s="57" t="s">
        <v>1578</v>
      </c>
      <c r="Q725" s="57" t="s">
        <v>694</v>
      </c>
    </row>
    <row r="726" s="50" customFormat="true" ht="14.25" hidden="false" customHeight="true" outlineLevel="0" collapsed="false">
      <c r="A726" s="50" t="s">
        <v>651</v>
      </c>
      <c r="B726" s="57" t="s">
        <v>651</v>
      </c>
      <c r="C726" s="57" t="s">
        <v>324</v>
      </c>
      <c r="D726" s="58" t="n">
        <v>46064.3958333333</v>
      </c>
      <c r="E726" s="58" t="n">
        <v>46064.3958333333</v>
      </c>
      <c r="F726" s="58" t="n">
        <v>46064.4402777778</v>
      </c>
      <c r="G726" s="59" t="n">
        <f aca="false">F726-E726</f>
        <v>0.0444444445023148</v>
      </c>
      <c r="H726" s="57" t="s">
        <v>283</v>
      </c>
      <c r="I726" s="57" t="s">
        <v>284</v>
      </c>
      <c r="J726" s="57" t="s">
        <v>285</v>
      </c>
      <c r="K726" s="57" t="s">
        <v>286</v>
      </c>
      <c r="L726" s="57" t="s">
        <v>1524</v>
      </c>
      <c r="M726" s="57" t="s">
        <v>288</v>
      </c>
      <c r="N726" s="57" t="s">
        <v>289</v>
      </c>
      <c r="O726" s="57" t="s">
        <v>1519</v>
      </c>
      <c r="P726" s="57" t="s">
        <v>1579</v>
      </c>
      <c r="Q726" s="57" t="s">
        <v>694</v>
      </c>
    </row>
    <row r="727" s="50" customFormat="true" ht="14.25" hidden="false" customHeight="true" outlineLevel="0" collapsed="false">
      <c r="A727" s="50" t="s">
        <v>651</v>
      </c>
      <c r="B727" s="57" t="s">
        <v>651</v>
      </c>
      <c r="C727" s="57" t="s">
        <v>1514</v>
      </c>
      <c r="D727" s="58" t="n">
        <v>46064.3958333333</v>
      </c>
      <c r="E727" s="58" t="n">
        <v>46064.3958333333</v>
      </c>
      <c r="F727" s="58" t="n">
        <v>46064.4402777778</v>
      </c>
      <c r="G727" s="59" t="n">
        <f aca="false">F727-E727</f>
        <v>0.0444444445023148</v>
      </c>
      <c r="H727" s="57" t="s">
        <v>283</v>
      </c>
      <c r="I727" s="57" t="s">
        <v>284</v>
      </c>
      <c r="J727" s="57" t="s">
        <v>285</v>
      </c>
      <c r="K727" s="57" t="s">
        <v>286</v>
      </c>
      <c r="L727" s="57" t="s">
        <v>1524</v>
      </c>
      <c r="M727" s="57" t="s">
        <v>288</v>
      </c>
      <c r="N727" s="57" t="s">
        <v>289</v>
      </c>
      <c r="O727" s="57" t="s">
        <v>1519</v>
      </c>
      <c r="P727" s="57" t="s">
        <v>1580</v>
      </c>
      <c r="Q727" s="57" t="s">
        <v>694</v>
      </c>
    </row>
    <row r="728" s="50" customFormat="true" ht="14.25" hidden="false" customHeight="true" outlineLevel="0" collapsed="false">
      <c r="A728" s="50" t="s">
        <v>651</v>
      </c>
      <c r="B728" s="57" t="s">
        <v>651</v>
      </c>
      <c r="C728" s="57" t="s">
        <v>1516</v>
      </c>
      <c r="D728" s="58" t="n">
        <v>46064.3958333333</v>
      </c>
      <c r="E728" s="58" t="n">
        <v>46064.3958333333</v>
      </c>
      <c r="F728" s="58" t="n">
        <v>46064.4402777778</v>
      </c>
      <c r="G728" s="59" t="n">
        <f aca="false">F728-E728</f>
        <v>0.0444444445023148</v>
      </c>
      <c r="H728" s="57" t="s">
        <v>283</v>
      </c>
      <c r="I728" s="57" t="s">
        <v>284</v>
      </c>
      <c r="J728" s="57" t="s">
        <v>285</v>
      </c>
      <c r="K728" s="57" t="s">
        <v>286</v>
      </c>
      <c r="L728" s="57" t="s">
        <v>1524</v>
      </c>
      <c r="M728" s="57" t="s">
        <v>288</v>
      </c>
      <c r="N728" s="57" t="s">
        <v>289</v>
      </c>
      <c r="O728" s="57" t="s">
        <v>1519</v>
      </c>
      <c r="P728" s="57" t="s">
        <v>1581</v>
      </c>
      <c r="Q728" s="57" t="s">
        <v>694</v>
      </c>
    </row>
    <row r="729" s="50" customFormat="true" ht="14.25" hidden="false" customHeight="true" outlineLevel="0" collapsed="false">
      <c r="A729" s="50" t="s">
        <v>622</v>
      </c>
      <c r="B729" s="57" t="s">
        <v>622</v>
      </c>
      <c r="C729" s="57" t="s">
        <v>623</v>
      </c>
      <c r="D729" s="58" t="n">
        <v>46064.3958333333</v>
      </c>
      <c r="E729" s="58" t="n">
        <v>46064.3958333333</v>
      </c>
      <c r="F729" s="58" t="n">
        <v>46064.4402777778</v>
      </c>
      <c r="G729" s="59" t="n">
        <f aca="false">F729-E729</f>
        <v>0.0444444445023148</v>
      </c>
      <c r="H729" s="57" t="s">
        <v>283</v>
      </c>
      <c r="I729" s="57" t="s">
        <v>284</v>
      </c>
      <c r="J729" s="57" t="s">
        <v>285</v>
      </c>
      <c r="K729" s="57" t="s">
        <v>286</v>
      </c>
      <c r="L729" s="57" t="s">
        <v>1524</v>
      </c>
      <c r="M729" s="57" t="s">
        <v>288</v>
      </c>
      <c r="N729" s="57" t="s">
        <v>289</v>
      </c>
      <c r="O729" s="57" t="s">
        <v>1519</v>
      </c>
      <c r="P729" s="57" t="s">
        <v>1582</v>
      </c>
      <c r="Q729" s="57" t="s">
        <v>694</v>
      </c>
    </row>
    <row r="730" s="50" customFormat="true" ht="14.25" hidden="false" customHeight="true" outlineLevel="0" collapsed="false">
      <c r="A730" s="50" t="s">
        <v>622</v>
      </c>
      <c r="B730" s="57" t="s">
        <v>622</v>
      </c>
      <c r="C730" s="57" t="s">
        <v>324</v>
      </c>
      <c r="D730" s="58" t="n">
        <v>46064.3958333333</v>
      </c>
      <c r="E730" s="58" t="n">
        <v>46064.3958333333</v>
      </c>
      <c r="F730" s="58" t="n">
        <v>46064.4402777778</v>
      </c>
      <c r="G730" s="59" t="n">
        <f aca="false">F730-E730</f>
        <v>0.0444444445023148</v>
      </c>
      <c r="H730" s="57" t="s">
        <v>283</v>
      </c>
      <c r="I730" s="57" t="s">
        <v>284</v>
      </c>
      <c r="J730" s="57" t="s">
        <v>285</v>
      </c>
      <c r="K730" s="57" t="s">
        <v>286</v>
      </c>
      <c r="L730" s="57" t="s">
        <v>1524</v>
      </c>
      <c r="M730" s="57" t="s">
        <v>288</v>
      </c>
      <c r="N730" s="57" t="s">
        <v>289</v>
      </c>
      <c r="O730" s="57" t="s">
        <v>1519</v>
      </c>
      <c r="P730" s="57" t="s">
        <v>1583</v>
      </c>
      <c r="Q730" s="57" t="s">
        <v>694</v>
      </c>
    </row>
    <row r="731" s="50" customFormat="true" ht="14.25" hidden="false" customHeight="true" outlineLevel="0" collapsed="false">
      <c r="A731" s="50" t="s">
        <v>622</v>
      </c>
      <c r="B731" s="57" t="s">
        <v>622</v>
      </c>
      <c r="C731" s="57" t="s">
        <v>326</v>
      </c>
      <c r="D731" s="58" t="n">
        <v>46064.3958333333</v>
      </c>
      <c r="E731" s="58" t="n">
        <v>46064.3958333333</v>
      </c>
      <c r="F731" s="58" t="n">
        <v>46064.4402777778</v>
      </c>
      <c r="G731" s="59" t="n">
        <f aca="false">F731-E731</f>
        <v>0.0444444445023148</v>
      </c>
      <c r="H731" s="57" t="s">
        <v>283</v>
      </c>
      <c r="I731" s="57" t="s">
        <v>284</v>
      </c>
      <c r="J731" s="57" t="s">
        <v>285</v>
      </c>
      <c r="K731" s="57" t="s">
        <v>286</v>
      </c>
      <c r="L731" s="57" t="s">
        <v>1524</v>
      </c>
      <c r="M731" s="57" t="s">
        <v>288</v>
      </c>
      <c r="N731" s="57" t="s">
        <v>289</v>
      </c>
      <c r="O731" s="57" t="s">
        <v>1519</v>
      </c>
      <c r="P731" s="57" t="s">
        <v>1584</v>
      </c>
      <c r="Q731" s="57" t="s">
        <v>694</v>
      </c>
    </row>
    <row r="732" s="50" customFormat="true" ht="14.25" hidden="false" customHeight="true" outlineLevel="0" collapsed="false">
      <c r="A732" s="50" t="s">
        <v>1521</v>
      </c>
      <c r="B732" s="57" t="s">
        <v>1522</v>
      </c>
      <c r="C732" s="57" t="s">
        <v>1523</v>
      </c>
      <c r="D732" s="58" t="n">
        <v>46064.4402777778</v>
      </c>
      <c r="E732" s="58" t="n">
        <v>46064.4402777778</v>
      </c>
      <c r="F732" s="58" t="n">
        <v>46064.5694444444</v>
      </c>
      <c r="G732" s="59" t="n">
        <f aca="false">F732-E732</f>
        <v>0.129166666597222</v>
      </c>
      <c r="H732" s="57" t="s">
        <v>384</v>
      </c>
      <c r="I732" s="57"/>
      <c r="J732" s="57" t="s">
        <v>234</v>
      </c>
      <c r="K732" s="57" t="s">
        <v>234</v>
      </c>
      <c r="L732" s="57" t="s">
        <v>1585</v>
      </c>
      <c r="M732" s="57" t="s">
        <v>386</v>
      </c>
      <c r="N732" s="57" t="s">
        <v>387</v>
      </c>
      <c r="O732" s="57" t="s">
        <v>1586</v>
      </c>
      <c r="P732" s="57" t="s">
        <v>1587</v>
      </c>
      <c r="Q732" s="57" t="s">
        <v>1141</v>
      </c>
    </row>
    <row r="733" s="50" customFormat="true" ht="14.25" hidden="false" customHeight="true" outlineLevel="0" collapsed="false">
      <c r="A733" s="50" t="s">
        <v>1521</v>
      </c>
      <c r="B733" s="57" t="s">
        <v>1522</v>
      </c>
      <c r="C733" s="57" t="s">
        <v>1526</v>
      </c>
      <c r="D733" s="58" t="n">
        <v>46064.4402777778</v>
      </c>
      <c r="E733" s="58" t="n">
        <v>46064.4402777778</v>
      </c>
      <c r="F733" s="58" t="n">
        <v>46064.5694444444</v>
      </c>
      <c r="G733" s="59" t="n">
        <f aca="false">F733-E733</f>
        <v>0.129166666597222</v>
      </c>
      <c r="H733" s="57" t="s">
        <v>384</v>
      </c>
      <c r="I733" s="57"/>
      <c r="J733" s="57" t="s">
        <v>234</v>
      </c>
      <c r="K733" s="57" t="s">
        <v>234</v>
      </c>
      <c r="L733" s="57" t="s">
        <v>1585</v>
      </c>
      <c r="M733" s="57" t="s">
        <v>386</v>
      </c>
      <c r="N733" s="57" t="s">
        <v>387</v>
      </c>
      <c r="O733" s="57" t="s">
        <v>1586</v>
      </c>
      <c r="P733" s="57" t="s">
        <v>1588</v>
      </c>
      <c r="Q733" s="57" t="s">
        <v>1141</v>
      </c>
    </row>
    <row r="734" s="50" customFormat="true" ht="14.25" hidden="false" customHeight="true" outlineLevel="0" collapsed="false">
      <c r="A734" s="50" t="s">
        <v>1521</v>
      </c>
      <c r="B734" s="57" t="s">
        <v>1522</v>
      </c>
      <c r="C734" s="57" t="s">
        <v>1528</v>
      </c>
      <c r="D734" s="58" t="n">
        <v>46064.4402777778</v>
      </c>
      <c r="E734" s="58" t="n">
        <v>46064.4402777778</v>
      </c>
      <c r="F734" s="58" t="n">
        <v>46064.5694444444</v>
      </c>
      <c r="G734" s="59" t="n">
        <f aca="false">F734-E734</f>
        <v>0.129166666597222</v>
      </c>
      <c r="H734" s="57" t="s">
        <v>384</v>
      </c>
      <c r="I734" s="57"/>
      <c r="J734" s="57" t="s">
        <v>234</v>
      </c>
      <c r="K734" s="57" t="s">
        <v>234</v>
      </c>
      <c r="L734" s="57" t="s">
        <v>1585</v>
      </c>
      <c r="M734" s="57" t="s">
        <v>386</v>
      </c>
      <c r="N734" s="57" t="s">
        <v>387</v>
      </c>
      <c r="O734" s="57" t="s">
        <v>1586</v>
      </c>
      <c r="P734" s="57" t="s">
        <v>1589</v>
      </c>
      <c r="Q734" s="57" t="s">
        <v>1141</v>
      </c>
    </row>
    <row r="735" s="50" customFormat="true" ht="14.25" hidden="false" customHeight="true" outlineLevel="0" collapsed="false">
      <c r="A735" s="50" t="s">
        <v>1521</v>
      </c>
      <c r="B735" s="57" t="s">
        <v>1522</v>
      </c>
      <c r="C735" s="57" t="s">
        <v>1530</v>
      </c>
      <c r="D735" s="58" t="n">
        <v>46064.4402777778</v>
      </c>
      <c r="E735" s="58" t="n">
        <v>46064.4402777778</v>
      </c>
      <c r="F735" s="58" t="n">
        <v>46064.5694444444</v>
      </c>
      <c r="G735" s="59" t="n">
        <f aca="false">F735-E735</f>
        <v>0.129166666597222</v>
      </c>
      <c r="H735" s="57" t="s">
        <v>384</v>
      </c>
      <c r="I735" s="57"/>
      <c r="J735" s="57" t="s">
        <v>234</v>
      </c>
      <c r="K735" s="57" t="s">
        <v>234</v>
      </c>
      <c r="L735" s="57" t="s">
        <v>1585</v>
      </c>
      <c r="M735" s="57" t="s">
        <v>386</v>
      </c>
      <c r="N735" s="57" t="s">
        <v>387</v>
      </c>
      <c r="O735" s="57" t="s">
        <v>1586</v>
      </c>
      <c r="P735" s="57" t="s">
        <v>1590</v>
      </c>
      <c r="Q735" s="57" t="s">
        <v>1141</v>
      </c>
    </row>
    <row r="736" s="50" customFormat="true" ht="14.25" hidden="false" customHeight="true" outlineLevel="0" collapsed="false">
      <c r="A736" s="50" t="s">
        <v>1521</v>
      </c>
      <c r="B736" s="57" t="s">
        <v>1522</v>
      </c>
      <c r="C736" s="57" t="s">
        <v>1532</v>
      </c>
      <c r="D736" s="58" t="n">
        <v>46064.4402777778</v>
      </c>
      <c r="E736" s="58" t="n">
        <v>46064.4402777778</v>
      </c>
      <c r="F736" s="58" t="n">
        <v>46064.5694444444</v>
      </c>
      <c r="G736" s="59" t="n">
        <f aca="false">F736-E736</f>
        <v>0.129166666597222</v>
      </c>
      <c r="H736" s="57" t="s">
        <v>384</v>
      </c>
      <c r="I736" s="57"/>
      <c r="J736" s="57" t="s">
        <v>234</v>
      </c>
      <c r="K736" s="57" t="s">
        <v>234</v>
      </c>
      <c r="L736" s="57" t="s">
        <v>1585</v>
      </c>
      <c r="M736" s="57" t="s">
        <v>386</v>
      </c>
      <c r="N736" s="57" t="s">
        <v>387</v>
      </c>
      <c r="O736" s="57" t="s">
        <v>1586</v>
      </c>
      <c r="P736" s="57" t="s">
        <v>1591</v>
      </c>
      <c r="Q736" s="57" t="s">
        <v>1141</v>
      </c>
    </row>
    <row r="737" s="50" customFormat="true" ht="14.25" hidden="false" customHeight="true" outlineLevel="0" collapsed="false">
      <c r="A737" s="50" t="s">
        <v>1521</v>
      </c>
      <c r="B737" s="57" t="s">
        <v>1522</v>
      </c>
      <c r="C737" s="57" t="s">
        <v>1534</v>
      </c>
      <c r="D737" s="58" t="n">
        <v>46064.4402777778</v>
      </c>
      <c r="E737" s="58" t="n">
        <v>46064.4402777778</v>
      </c>
      <c r="F737" s="58" t="n">
        <v>46064.5694444444</v>
      </c>
      <c r="G737" s="59" t="n">
        <f aca="false">F737-E737</f>
        <v>0.129166666597222</v>
      </c>
      <c r="H737" s="57" t="s">
        <v>384</v>
      </c>
      <c r="I737" s="57"/>
      <c r="J737" s="57" t="s">
        <v>234</v>
      </c>
      <c r="K737" s="57" t="s">
        <v>234</v>
      </c>
      <c r="L737" s="57" t="s">
        <v>1585</v>
      </c>
      <c r="M737" s="57" t="s">
        <v>386</v>
      </c>
      <c r="N737" s="57" t="s">
        <v>387</v>
      </c>
      <c r="O737" s="57" t="s">
        <v>1586</v>
      </c>
      <c r="P737" s="57" t="s">
        <v>1592</v>
      </c>
      <c r="Q737" s="57" t="s">
        <v>1141</v>
      </c>
    </row>
    <row r="738" s="50" customFormat="true" ht="14.25" hidden="false" customHeight="true" outlineLevel="0" collapsed="false">
      <c r="A738" s="50" t="s">
        <v>1521</v>
      </c>
      <c r="B738" s="57" t="s">
        <v>1522</v>
      </c>
      <c r="C738" s="57" t="s">
        <v>1536</v>
      </c>
      <c r="D738" s="58" t="n">
        <v>46064.4402777778</v>
      </c>
      <c r="E738" s="58" t="n">
        <v>46064.4402777778</v>
      </c>
      <c r="F738" s="58" t="n">
        <v>46064.5694444444</v>
      </c>
      <c r="G738" s="59" t="n">
        <f aca="false">F738-E738</f>
        <v>0.129166666597222</v>
      </c>
      <c r="H738" s="57" t="s">
        <v>384</v>
      </c>
      <c r="I738" s="57"/>
      <c r="J738" s="57" t="s">
        <v>234</v>
      </c>
      <c r="K738" s="57" t="s">
        <v>234</v>
      </c>
      <c r="L738" s="57" t="s">
        <v>1585</v>
      </c>
      <c r="M738" s="57" t="s">
        <v>386</v>
      </c>
      <c r="N738" s="57" t="s">
        <v>387</v>
      </c>
      <c r="O738" s="57" t="s">
        <v>1586</v>
      </c>
      <c r="P738" s="57" t="s">
        <v>1593</v>
      </c>
      <c r="Q738" s="57" t="s">
        <v>1141</v>
      </c>
    </row>
    <row r="739" s="50" customFormat="true" ht="14.25" hidden="false" customHeight="true" outlineLevel="0" collapsed="false">
      <c r="A739" s="50" t="s">
        <v>1521</v>
      </c>
      <c r="B739" s="57" t="s">
        <v>1522</v>
      </c>
      <c r="C739" s="57" t="s">
        <v>1538</v>
      </c>
      <c r="D739" s="58" t="n">
        <v>46064.4402777778</v>
      </c>
      <c r="E739" s="58" t="n">
        <v>46064.4402777778</v>
      </c>
      <c r="F739" s="58" t="n">
        <v>46064.5694444444</v>
      </c>
      <c r="G739" s="59" t="n">
        <f aca="false">F739-E739</f>
        <v>0.129166666597222</v>
      </c>
      <c r="H739" s="57" t="s">
        <v>384</v>
      </c>
      <c r="I739" s="57"/>
      <c r="J739" s="57" t="s">
        <v>234</v>
      </c>
      <c r="K739" s="57" t="s">
        <v>234</v>
      </c>
      <c r="L739" s="57" t="s">
        <v>1585</v>
      </c>
      <c r="M739" s="57" t="s">
        <v>386</v>
      </c>
      <c r="N739" s="57" t="s">
        <v>387</v>
      </c>
      <c r="O739" s="57" t="s">
        <v>1586</v>
      </c>
      <c r="P739" s="57" t="s">
        <v>1594</v>
      </c>
      <c r="Q739" s="57" t="s">
        <v>1141</v>
      </c>
    </row>
    <row r="740" s="50" customFormat="true" ht="14.25" hidden="false" customHeight="true" outlineLevel="0" collapsed="false">
      <c r="A740" s="50" t="s">
        <v>1521</v>
      </c>
      <c r="B740" s="57" t="s">
        <v>1522</v>
      </c>
      <c r="C740" s="57" t="s">
        <v>1540</v>
      </c>
      <c r="D740" s="58" t="n">
        <v>46064.4402777778</v>
      </c>
      <c r="E740" s="58" t="n">
        <v>46064.4402777778</v>
      </c>
      <c r="F740" s="58" t="n">
        <v>46064.5694444444</v>
      </c>
      <c r="G740" s="59" t="n">
        <f aca="false">F740-E740</f>
        <v>0.129166666597222</v>
      </c>
      <c r="H740" s="57" t="s">
        <v>384</v>
      </c>
      <c r="I740" s="57"/>
      <c r="J740" s="57" t="s">
        <v>234</v>
      </c>
      <c r="K740" s="57" t="s">
        <v>234</v>
      </c>
      <c r="L740" s="57" t="s">
        <v>1585</v>
      </c>
      <c r="M740" s="57" t="s">
        <v>386</v>
      </c>
      <c r="N740" s="57" t="s">
        <v>387</v>
      </c>
      <c r="O740" s="57" t="s">
        <v>1586</v>
      </c>
      <c r="P740" s="57" t="s">
        <v>1595</v>
      </c>
      <c r="Q740" s="57" t="s">
        <v>1141</v>
      </c>
    </row>
    <row r="741" s="50" customFormat="true" ht="14.25" hidden="false" customHeight="true" outlineLevel="0" collapsed="false">
      <c r="A741" s="50" t="s">
        <v>1521</v>
      </c>
      <c r="B741" s="57" t="s">
        <v>1522</v>
      </c>
      <c r="C741" s="57" t="s">
        <v>1542</v>
      </c>
      <c r="D741" s="58" t="n">
        <v>46064.4402777778</v>
      </c>
      <c r="E741" s="58" t="n">
        <v>46064.4402777778</v>
      </c>
      <c r="F741" s="58" t="n">
        <v>46064.5694444444</v>
      </c>
      <c r="G741" s="59" t="n">
        <f aca="false">F741-E741</f>
        <v>0.129166666597222</v>
      </c>
      <c r="H741" s="57" t="s">
        <v>384</v>
      </c>
      <c r="I741" s="57"/>
      <c r="J741" s="57" t="s">
        <v>234</v>
      </c>
      <c r="K741" s="57" t="s">
        <v>234</v>
      </c>
      <c r="L741" s="57" t="s">
        <v>1585</v>
      </c>
      <c r="M741" s="57" t="s">
        <v>386</v>
      </c>
      <c r="N741" s="57" t="s">
        <v>387</v>
      </c>
      <c r="O741" s="57" t="s">
        <v>1586</v>
      </c>
      <c r="P741" s="57" t="s">
        <v>1596</v>
      </c>
      <c r="Q741" s="57" t="s">
        <v>1141</v>
      </c>
    </row>
    <row r="742" s="50" customFormat="true" ht="14.25" hidden="false" customHeight="true" outlineLevel="0" collapsed="false">
      <c r="A742" s="50" t="s">
        <v>1521</v>
      </c>
      <c r="B742" s="57" t="s">
        <v>1522</v>
      </c>
      <c r="C742" s="57" t="s">
        <v>1544</v>
      </c>
      <c r="D742" s="58" t="n">
        <v>46064.4402777778</v>
      </c>
      <c r="E742" s="58" t="n">
        <v>46064.4402777778</v>
      </c>
      <c r="F742" s="58" t="n">
        <v>46064.5694444444</v>
      </c>
      <c r="G742" s="59" t="n">
        <f aca="false">F742-E742</f>
        <v>0.129166666597222</v>
      </c>
      <c r="H742" s="57" t="s">
        <v>384</v>
      </c>
      <c r="I742" s="57"/>
      <c r="J742" s="57" t="s">
        <v>234</v>
      </c>
      <c r="K742" s="57" t="s">
        <v>234</v>
      </c>
      <c r="L742" s="57" t="s">
        <v>1585</v>
      </c>
      <c r="M742" s="57" t="s">
        <v>386</v>
      </c>
      <c r="N742" s="57" t="s">
        <v>387</v>
      </c>
      <c r="O742" s="57" t="s">
        <v>1586</v>
      </c>
      <c r="P742" s="57" t="s">
        <v>1597</v>
      </c>
      <c r="Q742" s="57" t="s">
        <v>1141</v>
      </c>
    </row>
    <row r="743" s="50" customFormat="true" ht="14.25" hidden="false" customHeight="true" outlineLevel="0" collapsed="false">
      <c r="A743" s="50" t="s">
        <v>1521</v>
      </c>
      <c r="B743" s="57" t="s">
        <v>1522</v>
      </c>
      <c r="C743" s="57" t="s">
        <v>1546</v>
      </c>
      <c r="D743" s="58" t="n">
        <v>46064.4402777778</v>
      </c>
      <c r="E743" s="58" t="n">
        <v>46064.4402777778</v>
      </c>
      <c r="F743" s="58" t="n">
        <v>46064.5694444444</v>
      </c>
      <c r="G743" s="59" t="n">
        <f aca="false">F743-E743</f>
        <v>0.129166666597222</v>
      </c>
      <c r="H743" s="57" t="s">
        <v>384</v>
      </c>
      <c r="I743" s="57"/>
      <c r="J743" s="57" t="s">
        <v>234</v>
      </c>
      <c r="K743" s="57" t="s">
        <v>234</v>
      </c>
      <c r="L743" s="57" t="s">
        <v>1585</v>
      </c>
      <c r="M743" s="57" t="s">
        <v>386</v>
      </c>
      <c r="N743" s="57" t="s">
        <v>387</v>
      </c>
      <c r="O743" s="57" t="s">
        <v>1586</v>
      </c>
      <c r="P743" s="57" t="s">
        <v>1598</v>
      </c>
      <c r="Q743" s="57" t="s">
        <v>1141</v>
      </c>
    </row>
    <row r="744" s="50" customFormat="true" ht="14.25" hidden="false" customHeight="true" outlineLevel="0" collapsed="false">
      <c r="A744" s="50" t="s">
        <v>1521</v>
      </c>
      <c r="B744" s="57" t="s">
        <v>1522</v>
      </c>
      <c r="C744" s="57" t="s">
        <v>1548</v>
      </c>
      <c r="D744" s="58" t="n">
        <v>46064.4402777778</v>
      </c>
      <c r="E744" s="58" t="n">
        <v>46064.4402777778</v>
      </c>
      <c r="F744" s="58" t="n">
        <v>46064.5694444444</v>
      </c>
      <c r="G744" s="59" t="n">
        <f aca="false">F744-E744</f>
        <v>0.129166666597222</v>
      </c>
      <c r="H744" s="57" t="s">
        <v>384</v>
      </c>
      <c r="I744" s="57"/>
      <c r="J744" s="57" t="s">
        <v>234</v>
      </c>
      <c r="K744" s="57" t="s">
        <v>234</v>
      </c>
      <c r="L744" s="57" t="s">
        <v>1585</v>
      </c>
      <c r="M744" s="57" t="s">
        <v>386</v>
      </c>
      <c r="N744" s="57" t="s">
        <v>387</v>
      </c>
      <c r="O744" s="57" t="s">
        <v>1586</v>
      </c>
      <c r="P744" s="57" t="s">
        <v>1599</v>
      </c>
      <c r="Q744" s="57" t="s">
        <v>1141</v>
      </c>
    </row>
    <row r="745" s="50" customFormat="true" ht="14.25" hidden="false" customHeight="true" outlineLevel="0" collapsed="false">
      <c r="A745" s="50" t="s">
        <v>1521</v>
      </c>
      <c r="B745" s="57" t="s">
        <v>1522</v>
      </c>
      <c r="C745" s="57" t="s">
        <v>1550</v>
      </c>
      <c r="D745" s="58" t="n">
        <v>46064.4402777778</v>
      </c>
      <c r="E745" s="58" t="n">
        <v>46064.4402777778</v>
      </c>
      <c r="F745" s="58" t="n">
        <v>46064.5694444444</v>
      </c>
      <c r="G745" s="59" t="n">
        <f aca="false">F745-E745</f>
        <v>0.129166666597222</v>
      </c>
      <c r="H745" s="57" t="s">
        <v>384</v>
      </c>
      <c r="I745" s="57"/>
      <c r="J745" s="57" t="s">
        <v>234</v>
      </c>
      <c r="K745" s="57" t="s">
        <v>234</v>
      </c>
      <c r="L745" s="57" t="s">
        <v>1585</v>
      </c>
      <c r="M745" s="57" t="s">
        <v>386</v>
      </c>
      <c r="N745" s="57" t="s">
        <v>387</v>
      </c>
      <c r="O745" s="57" t="s">
        <v>1586</v>
      </c>
      <c r="P745" s="57" t="s">
        <v>1600</v>
      </c>
      <c r="Q745" s="57" t="s">
        <v>1141</v>
      </c>
    </row>
    <row r="746" s="50" customFormat="true" ht="14.25" hidden="false" customHeight="true" outlineLevel="0" collapsed="false">
      <c r="A746" s="50" t="s">
        <v>1521</v>
      </c>
      <c r="B746" s="57" t="s">
        <v>1522</v>
      </c>
      <c r="C746" s="57" t="s">
        <v>1552</v>
      </c>
      <c r="D746" s="58" t="n">
        <v>46064.4402777778</v>
      </c>
      <c r="E746" s="58" t="n">
        <v>46064.4402777778</v>
      </c>
      <c r="F746" s="58" t="n">
        <v>46064.5694444444</v>
      </c>
      <c r="G746" s="59" t="n">
        <f aca="false">F746-E746</f>
        <v>0.129166666597222</v>
      </c>
      <c r="H746" s="57" t="s">
        <v>384</v>
      </c>
      <c r="I746" s="57"/>
      <c r="J746" s="57" t="s">
        <v>234</v>
      </c>
      <c r="K746" s="57" t="s">
        <v>234</v>
      </c>
      <c r="L746" s="57" t="s">
        <v>1585</v>
      </c>
      <c r="M746" s="57" t="s">
        <v>386</v>
      </c>
      <c r="N746" s="57" t="s">
        <v>387</v>
      </c>
      <c r="O746" s="57" t="s">
        <v>1586</v>
      </c>
      <c r="P746" s="57" t="s">
        <v>1601</v>
      </c>
      <c r="Q746" s="57" t="s">
        <v>1141</v>
      </c>
    </row>
    <row r="747" s="50" customFormat="true" ht="14.25" hidden="false" customHeight="true" outlineLevel="0" collapsed="false">
      <c r="A747" s="50" t="s">
        <v>1521</v>
      </c>
      <c r="B747" s="57" t="s">
        <v>1522</v>
      </c>
      <c r="C747" s="57" t="s">
        <v>1554</v>
      </c>
      <c r="D747" s="58" t="n">
        <v>46064.4402777778</v>
      </c>
      <c r="E747" s="58" t="n">
        <v>46064.4402777778</v>
      </c>
      <c r="F747" s="58" t="n">
        <v>46064.5694444444</v>
      </c>
      <c r="G747" s="59" t="n">
        <f aca="false">F747-E747</f>
        <v>0.129166666597222</v>
      </c>
      <c r="H747" s="57" t="s">
        <v>384</v>
      </c>
      <c r="I747" s="57"/>
      <c r="J747" s="57" t="s">
        <v>234</v>
      </c>
      <c r="K747" s="57" t="s">
        <v>234</v>
      </c>
      <c r="L747" s="57" t="s">
        <v>1585</v>
      </c>
      <c r="M747" s="57" t="s">
        <v>386</v>
      </c>
      <c r="N747" s="57" t="s">
        <v>387</v>
      </c>
      <c r="O747" s="57" t="s">
        <v>1586</v>
      </c>
      <c r="P747" s="57" t="s">
        <v>1602</v>
      </c>
      <c r="Q747" s="57" t="s">
        <v>1141</v>
      </c>
    </row>
    <row r="748" s="50" customFormat="true" ht="14.25" hidden="false" customHeight="true" outlineLevel="0" collapsed="false">
      <c r="A748" s="50" t="s">
        <v>1521</v>
      </c>
      <c r="B748" s="57" t="s">
        <v>1522</v>
      </c>
      <c r="C748" s="57" t="s">
        <v>1556</v>
      </c>
      <c r="D748" s="58" t="n">
        <v>46064.4402777778</v>
      </c>
      <c r="E748" s="58" t="n">
        <v>46064.4402777778</v>
      </c>
      <c r="F748" s="58" t="n">
        <v>46064.5694444444</v>
      </c>
      <c r="G748" s="59" t="n">
        <f aca="false">F748-E748</f>
        <v>0.129166666597222</v>
      </c>
      <c r="H748" s="57" t="s">
        <v>384</v>
      </c>
      <c r="I748" s="57"/>
      <c r="J748" s="57" t="s">
        <v>234</v>
      </c>
      <c r="K748" s="57" t="s">
        <v>234</v>
      </c>
      <c r="L748" s="57" t="s">
        <v>1585</v>
      </c>
      <c r="M748" s="57" t="s">
        <v>386</v>
      </c>
      <c r="N748" s="57" t="s">
        <v>387</v>
      </c>
      <c r="O748" s="57" t="s">
        <v>1586</v>
      </c>
      <c r="P748" s="57" t="s">
        <v>1603</v>
      </c>
      <c r="Q748" s="57" t="s">
        <v>1141</v>
      </c>
    </row>
    <row r="749" s="50" customFormat="true" ht="14.25" hidden="false" customHeight="true" outlineLevel="0" collapsed="false">
      <c r="A749" s="50" t="s">
        <v>410</v>
      </c>
      <c r="B749" s="57" t="s">
        <v>410</v>
      </c>
      <c r="C749" s="57" t="s">
        <v>411</v>
      </c>
      <c r="D749" s="58" t="n">
        <v>46064.4916666667</v>
      </c>
      <c r="E749" s="58" t="n">
        <v>46064.4916666667</v>
      </c>
      <c r="F749" s="58" t="n">
        <v>46064.53125</v>
      </c>
      <c r="G749" s="59" t="n">
        <f aca="false">F749-E749</f>
        <v>0.0395833332986111</v>
      </c>
      <c r="H749" s="57" t="s">
        <v>252</v>
      </c>
      <c r="I749" s="57"/>
      <c r="J749" s="57" t="s">
        <v>253</v>
      </c>
      <c r="K749" s="57" t="s">
        <v>266</v>
      </c>
      <c r="L749" s="60" t="s">
        <v>1604</v>
      </c>
      <c r="M749" s="57" t="s">
        <v>255</v>
      </c>
      <c r="N749" s="57" t="s">
        <v>256</v>
      </c>
      <c r="O749" s="57" t="s">
        <v>1605</v>
      </c>
      <c r="P749" s="57" t="s">
        <v>1606</v>
      </c>
      <c r="Q749" s="57" t="s">
        <v>706</v>
      </c>
    </row>
    <row r="750" s="50" customFormat="true" ht="14.25" hidden="false" customHeight="true" outlineLevel="0" collapsed="false">
      <c r="A750" s="50" t="s">
        <v>410</v>
      </c>
      <c r="B750" s="57" t="s">
        <v>410</v>
      </c>
      <c r="C750" s="57" t="s">
        <v>414</v>
      </c>
      <c r="D750" s="58" t="n">
        <v>46064.4916666667</v>
      </c>
      <c r="E750" s="58" t="n">
        <v>46064.4916666667</v>
      </c>
      <c r="F750" s="58" t="n">
        <v>46064.53125</v>
      </c>
      <c r="G750" s="59" t="n">
        <f aca="false">F750-E750</f>
        <v>0.0395833332986111</v>
      </c>
      <c r="H750" s="57" t="s">
        <v>252</v>
      </c>
      <c r="I750" s="57"/>
      <c r="J750" s="57" t="s">
        <v>253</v>
      </c>
      <c r="K750" s="57" t="s">
        <v>266</v>
      </c>
      <c r="L750" s="60" t="s">
        <v>1604</v>
      </c>
      <c r="M750" s="57" t="s">
        <v>255</v>
      </c>
      <c r="N750" s="57" t="s">
        <v>256</v>
      </c>
      <c r="O750" s="57" t="s">
        <v>1605</v>
      </c>
      <c r="P750" s="57" t="s">
        <v>1607</v>
      </c>
      <c r="Q750" s="57" t="s">
        <v>706</v>
      </c>
    </row>
    <row r="751" s="50" customFormat="true" ht="14.25" hidden="false" customHeight="true" outlineLevel="0" collapsed="false">
      <c r="A751" s="50" t="s">
        <v>410</v>
      </c>
      <c r="B751" s="57" t="s">
        <v>410</v>
      </c>
      <c r="C751" s="57" t="s">
        <v>415</v>
      </c>
      <c r="D751" s="58" t="n">
        <v>46064.4916666667</v>
      </c>
      <c r="E751" s="58" t="n">
        <v>46064.4916666667</v>
      </c>
      <c r="F751" s="58" t="n">
        <v>46064.53125</v>
      </c>
      <c r="G751" s="59" t="n">
        <f aca="false">F751-E751</f>
        <v>0.0395833332986111</v>
      </c>
      <c r="H751" s="57" t="s">
        <v>252</v>
      </c>
      <c r="I751" s="57"/>
      <c r="J751" s="57" t="s">
        <v>253</v>
      </c>
      <c r="K751" s="57" t="s">
        <v>266</v>
      </c>
      <c r="L751" s="60" t="s">
        <v>1604</v>
      </c>
      <c r="M751" s="57" t="s">
        <v>255</v>
      </c>
      <c r="N751" s="57" t="s">
        <v>256</v>
      </c>
      <c r="O751" s="57" t="s">
        <v>1605</v>
      </c>
      <c r="P751" s="57" t="s">
        <v>1608</v>
      </c>
      <c r="Q751" s="57" t="s">
        <v>706</v>
      </c>
    </row>
    <row r="752" s="50" customFormat="true" ht="14.25" hidden="false" customHeight="true" outlineLevel="0" collapsed="false">
      <c r="A752" s="50" t="s">
        <v>410</v>
      </c>
      <c r="B752" s="57" t="s">
        <v>410</v>
      </c>
      <c r="C752" s="57" t="s">
        <v>416</v>
      </c>
      <c r="D752" s="58" t="n">
        <v>46064.4916666667</v>
      </c>
      <c r="E752" s="58" t="n">
        <v>46064.4916666667</v>
      </c>
      <c r="F752" s="58" t="n">
        <v>46064.53125</v>
      </c>
      <c r="G752" s="59" t="n">
        <f aca="false">F752-E752</f>
        <v>0.0395833332986111</v>
      </c>
      <c r="H752" s="57" t="s">
        <v>252</v>
      </c>
      <c r="I752" s="57"/>
      <c r="J752" s="57" t="s">
        <v>253</v>
      </c>
      <c r="K752" s="57" t="s">
        <v>266</v>
      </c>
      <c r="L752" s="60" t="s">
        <v>1604</v>
      </c>
      <c r="M752" s="57" t="s">
        <v>255</v>
      </c>
      <c r="N752" s="57" t="s">
        <v>256</v>
      </c>
      <c r="O752" s="57" t="s">
        <v>1605</v>
      </c>
      <c r="P752" s="57" t="s">
        <v>1609</v>
      </c>
      <c r="Q752" s="57" t="s">
        <v>706</v>
      </c>
    </row>
    <row r="753" s="50" customFormat="true" ht="14.25" hidden="false" customHeight="true" outlineLevel="0" collapsed="false">
      <c r="A753" s="50" t="s">
        <v>410</v>
      </c>
      <c r="B753" s="57" t="s">
        <v>410</v>
      </c>
      <c r="C753" s="57" t="s">
        <v>417</v>
      </c>
      <c r="D753" s="58" t="n">
        <v>46064.4916666667</v>
      </c>
      <c r="E753" s="58" t="n">
        <v>46064.4916666667</v>
      </c>
      <c r="F753" s="58" t="n">
        <v>46064.53125</v>
      </c>
      <c r="G753" s="59" t="n">
        <f aca="false">F753-E753</f>
        <v>0.0395833332986111</v>
      </c>
      <c r="H753" s="57" t="s">
        <v>252</v>
      </c>
      <c r="I753" s="57"/>
      <c r="J753" s="57" t="s">
        <v>253</v>
      </c>
      <c r="K753" s="57" t="s">
        <v>266</v>
      </c>
      <c r="L753" s="60" t="s">
        <v>1604</v>
      </c>
      <c r="M753" s="57" t="s">
        <v>255</v>
      </c>
      <c r="N753" s="57" t="s">
        <v>256</v>
      </c>
      <c r="O753" s="57" t="s">
        <v>1605</v>
      </c>
      <c r="P753" s="57" t="s">
        <v>1610</v>
      </c>
      <c r="Q753" s="57" t="s">
        <v>706</v>
      </c>
    </row>
    <row r="754" s="50" customFormat="true" ht="14.25" hidden="false" customHeight="true" outlineLevel="0" collapsed="false">
      <c r="A754" s="50" t="s">
        <v>418</v>
      </c>
      <c r="B754" s="57" t="s">
        <v>418</v>
      </c>
      <c r="C754" s="57" t="s">
        <v>414</v>
      </c>
      <c r="D754" s="58" t="n">
        <v>46064.4916666667</v>
      </c>
      <c r="E754" s="58" t="n">
        <v>46064.4916666667</v>
      </c>
      <c r="F754" s="58" t="n">
        <v>46064.53125</v>
      </c>
      <c r="G754" s="59" t="n">
        <f aca="false">F754-E754</f>
        <v>0.0395833332986111</v>
      </c>
      <c r="H754" s="57" t="s">
        <v>252</v>
      </c>
      <c r="I754" s="57"/>
      <c r="J754" s="57" t="s">
        <v>253</v>
      </c>
      <c r="K754" s="57" t="s">
        <v>266</v>
      </c>
      <c r="L754" s="60" t="s">
        <v>1604</v>
      </c>
      <c r="M754" s="57" t="s">
        <v>255</v>
      </c>
      <c r="N754" s="57" t="s">
        <v>256</v>
      </c>
      <c r="O754" s="57" t="s">
        <v>1605</v>
      </c>
      <c r="P754" s="57" t="s">
        <v>1611</v>
      </c>
      <c r="Q754" s="57" t="s">
        <v>706</v>
      </c>
    </row>
    <row r="755" s="50" customFormat="true" ht="14.25" hidden="false" customHeight="true" outlineLevel="0" collapsed="false">
      <c r="A755" s="50" t="s">
        <v>418</v>
      </c>
      <c r="B755" s="57" t="s">
        <v>418</v>
      </c>
      <c r="C755" s="57" t="s">
        <v>415</v>
      </c>
      <c r="D755" s="58" t="n">
        <v>46064.4916666667</v>
      </c>
      <c r="E755" s="58" t="n">
        <v>46064.4916666667</v>
      </c>
      <c r="F755" s="58" t="n">
        <v>46064.53125</v>
      </c>
      <c r="G755" s="59" t="n">
        <f aca="false">F755-E755</f>
        <v>0.0395833332986111</v>
      </c>
      <c r="H755" s="57" t="s">
        <v>252</v>
      </c>
      <c r="I755" s="57"/>
      <c r="J755" s="57" t="s">
        <v>253</v>
      </c>
      <c r="K755" s="57" t="s">
        <v>266</v>
      </c>
      <c r="L755" s="60" t="s">
        <v>1604</v>
      </c>
      <c r="M755" s="57" t="s">
        <v>255</v>
      </c>
      <c r="N755" s="57" t="s">
        <v>256</v>
      </c>
      <c r="O755" s="57" t="s">
        <v>1605</v>
      </c>
      <c r="P755" s="57" t="s">
        <v>1612</v>
      </c>
      <c r="Q755" s="57" t="s">
        <v>706</v>
      </c>
    </row>
    <row r="756" s="50" customFormat="true" ht="14.25" hidden="false" customHeight="true" outlineLevel="0" collapsed="false">
      <c r="A756" s="50" t="s">
        <v>418</v>
      </c>
      <c r="B756" s="57" t="s">
        <v>418</v>
      </c>
      <c r="C756" s="57" t="s">
        <v>416</v>
      </c>
      <c r="D756" s="58" t="n">
        <v>46064.4916666667</v>
      </c>
      <c r="E756" s="58" t="n">
        <v>46064.4916666667</v>
      </c>
      <c r="F756" s="58" t="n">
        <v>46064.53125</v>
      </c>
      <c r="G756" s="59" t="n">
        <f aca="false">F756-E756</f>
        <v>0.0395833332986111</v>
      </c>
      <c r="H756" s="57" t="s">
        <v>252</v>
      </c>
      <c r="I756" s="57"/>
      <c r="J756" s="57" t="s">
        <v>253</v>
      </c>
      <c r="K756" s="57" t="s">
        <v>266</v>
      </c>
      <c r="L756" s="60" t="s">
        <v>1604</v>
      </c>
      <c r="M756" s="57" t="s">
        <v>255</v>
      </c>
      <c r="N756" s="57" t="s">
        <v>256</v>
      </c>
      <c r="O756" s="57" t="s">
        <v>1605</v>
      </c>
      <c r="P756" s="57" t="s">
        <v>1613</v>
      </c>
      <c r="Q756" s="57" t="s">
        <v>706</v>
      </c>
    </row>
    <row r="757" s="50" customFormat="true" ht="14.25" hidden="false" customHeight="true" outlineLevel="0" collapsed="false">
      <c r="A757" s="50" t="s">
        <v>418</v>
      </c>
      <c r="B757" s="57" t="s">
        <v>418</v>
      </c>
      <c r="C757" s="57" t="s">
        <v>417</v>
      </c>
      <c r="D757" s="58" t="n">
        <v>46064.4916666667</v>
      </c>
      <c r="E757" s="58" t="n">
        <v>46064.4916666667</v>
      </c>
      <c r="F757" s="58" t="n">
        <v>46064.53125</v>
      </c>
      <c r="G757" s="59" t="n">
        <f aca="false">F757-E757</f>
        <v>0.0395833332986111</v>
      </c>
      <c r="H757" s="57" t="s">
        <v>252</v>
      </c>
      <c r="I757" s="57"/>
      <c r="J757" s="57" t="s">
        <v>253</v>
      </c>
      <c r="K757" s="57" t="s">
        <v>266</v>
      </c>
      <c r="L757" s="60" t="s">
        <v>1604</v>
      </c>
      <c r="M757" s="57" t="s">
        <v>255</v>
      </c>
      <c r="N757" s="57" t="s">
        <v>256</v>
      </c>
      <c r="O757" s="57" t="s">
        <v>1605</v>
      </c>
      <c r="P757" s="57" t="s">
        <v>1614</v>
      </c>
      <c r="Q757" s="57" t="s">
        <v>706</v>
      </c>
    </row>
    <row r="758" s="50" customFormat="true" ht="14.25" hidden="false" customHeight="true" outlineLevel="0" collapsed="false">
      <c r="A758" s="50" t="s">
        <v>418</v>
      </c>
      <c r="B758" s="57" t="s">
        <v>418</v>
      </c>
      <c r="C758" s="57" t="s">
        <v>411</v>
      </c>
      <c r="D758" s="58" t="n">
        <v>46064.4916666667</v>
      </c>
      <c r="E758" s="58" t="n">
        <v>46064.4916666667</v>
      </c>
      <c r="F758" s="58" t="n">
        <v>46064.53125</v>
      </c>
      <c r="G758" s="59" t="n">
        <f aca="false">F758-E758</f>
        <v>0.0395833332986111</v>
      </c>
      <c r="H758" s="57" t="s">
        <v>252</v>
      </c>
      <c r="I758" s="57"/>
      <c r="J758" s="57" t="s">
        <v>253</v>
      </c>
      <c r="K758" s="57" t="s">
        <v>266</v>
      </c>
      <c r="L758" s="60" t="s">
        <v>1604</v>
      </c>
      <c r="M758" s="57" t="s">
        <v>255</v>
      </c>
      <c r="N758" s="57" t="s">
        <v>256</v>
      </c>
      <c r="O758" s="57" t="s">
        <v>1605</v>
      </c>
      <c r="P758" s="57" t="s">
        <v>1615</v>
      </c>
      <c r="Q758" s="57" t="s">
        <v>706</v>
      </c>
    </row>
    <row r="759" s="50" customFormat="true" ht="14.25" hidden="false" customHeight="true" outlineLevel="0" collapsed="false">
      <c r="A759" s="50" t="s">
        <v>410</v>
      </c>
      <c r="B759" s="57" t="s">
        <v>410</v>
      </c>
      <c r="C759" s="57" t="s">
        <v>411</v>
      </c>
      <c r="D759" s="58" t="n">
        <v>46064.6166666667</v>
      </c>
      <c r="E759" s="58" t="n">
        <v>46064.6166666667</v>
      </c>
      <c r="F759" s="58" t="n">
        <v>46064.7222222222</v>
      </c>
      <c r="G759" s="59" t="n">
        <f aca="false">F759-E759</f>
        <v>0.105555555497685</v>
      </c>
      <c r="H759" s="57" t="s">
        <v>252</v>
      </c>
      <c r="I759" s="57"/>
      <c r="J759" s="57" t="s">
        <v>253</v>
      </c>
      <c r="K759" s="57" t="s">
        <v>266</v>
      </c>
      <c r="L759" s="60" t="s">
        <v>1604</v>
      </c>
      <c r="M759" s="57" t="s">
        <v>255</v>
      </c>
      <c r="N759" s="57" t="s">
        <v>256</v>
      </c>
      <c r="O759" s="57" t="s">
        <v>1605</v>
      </c>
      <c r="P759" s="57" t="s">
        <v>1616</v>
      </c>
      <c r="Q759" s="57" t="s">
        <v>706</v>
      </c>
    </row>
    <row r="760" s="50" customFormat="true" ht="14.25" hidden="false" customHeight="true" outlineLevel="0" collapsed="false">
      <c r="A760" s="50" t="s">
        <v>410</v>
      </c>
      <c r="B760" s="57" t="s">
        <v>410</v>
      </c>
      <c r="C760" s="57" t="s">
        <v>414</v>
      </c>
      <c r="D760" s="58" t="n">
        <v>46064.6166666667</v>
      </c>
      <c r="E760" s="58" t="n">
        <v>46064.6166666667</v>
      </c>
      <c r="F760" s="58" t="n">
        <v>46064.7222222222</v>
      </c>
      <c r="G760" s="59" t="n">
        <f aca="false">F760-E760</f>
        <v>0.105555555497685</v>
      </c>
      <c r="H760" s="57" t="s">
        <v>252</v>
      </c>
      <c r="I760" s="57"/>
      <c r="J760" s="57" t="s">
        <v>253</v>
      </c>
      <c r="K760" s="57" t="s">
        <v>266</v>
      </c>
      <c r="L760" s="60" t="s">
        <v>1604</v>
      </c>
      <c r="M760" s="57" t="s">
        <v>255</v>
      </c>
      <c r="N760" s="57" t="s">
        <v>256</v>
      </c>
      <c r="O760" s="57" t="s">
        <v>1605</v>
      </c>
      <c r="P760" s="57" t="s">
        <v>1617</v>
      </c>
      <c r="Q760" s="57" t="s">
        <v>706</v>
      </c>
    </row>
    <row r="761" s="50" customFormat="true" ht="14.25" hidden="false" customHeight="true" outlineLevel="0" collapsed="false">
      <c r="A761" s="50" t="s">
        <v>410</v>
      </c>
      <c r="B761" s="57" t="s">
        <v>410</v>
      </c>
      <c r="C761" s="57" t="s">
        <v>415</v>
      </c>
      <c r="D761" s="58" t="n">
        <v>46064.6166666667</v>
      </c>
      <c r="E761" s="58" t="n">
        <v>46064.6166666667</v>
      </c>
      <c r="F761" s="58" t="n">
        <v>46064.7222222222</v>
      </c>
      <c r="G761" s="59" t="n">
        <f aca="false">F761-E761</f>
        <v>0.105555555497685</v>
      </c>
      <c r="H761" s="57" t="s">
        <v>252</v>
      </c>
      <c r="I761" s="57"/>
      <c r="J761" s="57" t="s">
        <v>253</v>
      </c>
      <c r="K761" s="57" t="s">
        <v>266</v>
      </c>
      <c r="L761" s="60" t="s">
        <v>1604</v>
      </c>
      <c r="M761" s="57" t="s">
        <v>255</v>
      </c>
      <c r="N761" s="57" t="s">
        <v>256</v>
      </c>
      <c r="O761" s="57" t="s">
        <v>1605</v>
      </c>
      <c r="P761" s="57" t="s">
        <v>1618</v>
      </c>
      <c r="Q761" s="57" t="s">
        <v>706</v>
      </c>
    </row>
    <row r="762" s="50" customFormat="true" ht="14.25" hidden="false" customHeight="true" outlineLevel="0" collapsed="false">
      <c r="A762" s="50" t="s">
        <v>410</v>
      </c>
      <c r="B762" s="57" t="s">
        <v>410</v>
      </c>
      <c r="C762" s="57" t="s">
        <v>416</v>
      </c>
      <c r="D762" s="58" t="n">
        <v>46064.6166666667</v>
      </c>
      <c r="E762" s="58" t="n">
        <v>46064.6166666667</v>
      </c>
      <c r="F762" s="58" t="n">
        <v>46064.7222222222</v>
      </c>
      <c r="G762" s="59" t="n">
        <f aca="false">F762-E762</f>
        <v>0.105555555497685</v>
      </c>
      <c r="H762" s="57" t="s">
        <v>252</v>
      </c>
      <c r="I762" s="57"/>
      <c r="J762" s="57" t="s">
        <v>253</v>
      </c>
      <c r="K762" s="57" t="s">
        <v>266</v>
      </c>
      <c r="L762" s="60" t="s">
        <v>1604</v>
      </c>
      <c r="M762" s="57" t="s">
        <v>255</v>
      </c>
      <c r="N762" s="57" t="s">
        <v>256</v>
      </c>
      <c r="O762" s="57" t="s">
        <v>1605</v>
      </c>
      <c r="P762" s="57" t="s">
        <v>1619</v>
      </c>
      <c r="Q762" s="57" t="s">
        <v>706</v>
      </c>
    </row>
    <row r="763" s="50" customFormat="true" ht="14.25" hidden="false" customHeight="true" outlineLevel="0" collapsed="false">
      <c r="A763" s="50" t="s">
        <v>410</v>
      </c>
      <c r="B763" s="57" t="s">
        <v>410</v>
      </c>
      <c r="C763" s="57" t="s">
        <v>417</v>
      </c>
      <c r="D763" s="58" t="n">
        <v>46064.6166666667</v>
      </c>
      <c r="E763" s="58" t="n">
        <v>46064.6166666667</v>
      </c>
      <c r="F763" s="58" t="n">
        <v>46064.7222222222</v>
      </c>
      <c r="G763" s="59" t="n">
        <f aca="false">F763-E763</f>
        <v>0.105555555497685</v>
      </c>
      <c r="H763" s="57" t="s">
        <v>252</v>
      </c>
      <c r="I763" s="57"/>
      <c r="J763" s="57" t="s">
        <v>253</v>
      </c>
      <c r="K763" s="57" t="s">
        <v>266</v>
      </c>
      <c r="L763" s="60" t="s">
        <v>1604</v>
      </c>
      <c r="M763" s="57" t="s">
        <v>255</v>
      </c>
      <c r="N763" s="57" t="s">
        <v>256</v>
      </c>
      <c r="O763" s="57" t="s">
        <v>1605</v>
      </c>
      <c r="P763" s="57" t="s">
        <v>1620</v>
      </c>
      <c r="Q763" s="57" t="s">
        <v>706</v>
      </c>
    </row>
    <row r="764" s="50" customFormat="true" ht="14.25" hidden="false" customHeight="true" outlineLevel="0" collapsed="false">
      <c r="A764" s="50" t="s">
        <v>418</v>
      </c>
      <c r="B764" s="57" t="s">
        <v>418</v>
      </c>
      <c r="C764" s="57" t="s">
        <v>414</v>
      </c>
      <c r="D764" s="58" t="n">
        <v>46064.6166666667</v>
      </c>
      <c r="E764" s="58" t="n">
        <v>46064.6166666667</v>
      </c>
      <c r="F764" s="58" t="n">
        <v>46064.7222222222</v>
      </c>
      <c r="G764" s="59" t="n">
        <f aca="false">F764-E764</f>
        <v>0.105555555497685</v>
      </c>
      <c r="H764" s="57" t="s">
        <v>252</v>
      </c>
      <c r="I764" s="57"/>
      <c r="J764" s="57" t="s">
        <v>253</v>
      </c>
      <c r="K764" s="57" t="s">
        <v>266</v>
      </c>
      <c r="L764" s="60" t="s">
        <v>1604</v>
      </c>
      <c r="M764" s="57" t="s">
        <v>255</v>
      </c>
      <c r="N764" s="57" t="s">
        <v>256</v>
      </c>
      <c r="O764" s="57" t="s">
        <v>1605</v>
      </c>
      <c r="P764" s="57" t="s">
        <v>1621</v>
      </c>
      <c r="Q764" s="57" t="s">
        <v>706</v>
      </c>
    </row>
    <row r="765" s="50" customFormat="true" ht="14.25" hidden="false" customHeight="true" outlineLevel="0" collapsed="false">
      <c r="A765" s="50" t="s">
        <v>418</v>
      </c>
      <c r="B765" s="57" t="s">
        <v>418</v>
      </c>
      <c r="C765" s="57" t="s">
        <v>415</v>
      </c>
      <c r="D765" s="58" t="n">
        <v>46064.6166666667</v>
      </c>
      <c r="E765" s="58" t="n">
        <v>46064.6166666667</v>
      </c>
      <c r="F765" s="58" t="n">
        <v>46064.7222222222</v>
      </c>
      <c r="G765" s="59" t="n">
        <f aca="false">F765-E765</f>
        <v>0.105555555497685</v>
      </c>
      <c r="H765" s="57" t="s">
        <v>252</v>
      </c>
      <c r="I765" s="57"/>
      <c r="J765" s="57" t="s">
        <v>253</v>
      </c>
      <c r="K765" s="57" t="s">
        <v>266</v>
      </c>
      <c r="L765" s="60" t="s">
        <v>1604</v>
      </c>
      <c r="M765" s="57" t="s">
        <v>255</v>
      </c>
      <c r="N765" s="57" t="s">
        <v>256</v>
      </c>
      <c r="O765" s="57" t="s">
        <v>1605</v>
      </c>
      <c r="P765" s="57" t="s">
        <v>1622</v>
      </c>
      <c r="Q765" s="57" t="s">
        <v>706</v>
      </c>
    </row>
    <row r="766" s="50" customFormat="true" ht="14.25" hidden="false" customHeight="true" outlineLevel="0" collapsed="false">
      <c r="A766" s="50" t="s">
        <v>418</v>
      </c>
      <c r="B766" s="57" t="s">
        <v>418</v>
      </c>
      <c r="C766" s="57" t="s">
        <v>416</v>
      </c>
      <c r="D766" s="58" t="n">
        <v>46064.6166666667</v>
      </c>
      <c r="E766" s="58" t="n">
        <v>46064.6166666667</v>
      </c>
      <c r="F766" s="58" t="n">
        <v>46064.7222222222</v>
      </c>
      <c r="G766" s="59" t="n">
        <f aca="false">F766-E766</f>
        <v>0.105555555497685</v>
      </c>
      <c r="H766" s="57" t="s">
        <v>252</v>
      </c>
      <c r="I766" s="57"/>
      <c r="J766" s="57" t="s">
        <v>253</v>
      </c>
      <c r="K766" s="57" t="s">
        <v>266</v>
      </c>
      <c r="L766" s="60" t="s">
        <v>1604</v>
      </c>
      <c r="M766" s="57" t="s">
        <v>255</v>
      </c>
      <c r="N766" s="57" t="s">
        <v>256</v>
      </c>
      <c r="O766" s="57" t="s">
        <v>1605</v>
      </c>
      <c r="P766" s="57" t="s">
        <v>1623</v>
      </c>
      <c r="Q766" s="57" t="s">
        <v>706</v>
      </c>
    </row>
    <row r="767" s="50" customFormat="true" ht="14.25" hidden="false" customHeight="true" outlineLevel="0" collapsed="false">
      <c r="A767" s="50" t="s">
        <v>418</v>
      </c>
      <c r="B767" s="57" t="s">
        <v>418</v>
      </c>
      <c r="C767" s="57" t="s">
        <v>417</v>
      </c>
      <c r="D767" s="58" t="n">
        <v>46064.6166666667</v>
      </c>
      <c r="E767" s="58" t="n">
        <v>46064.6166666667</v>
      </c>
      <c r="F767" s="58" t="n">
        <v>46064.7222222222</v>
      </c>
      <c r="G767" s="59" t="n">
        <f aca="false">F767-E767</f>
        <v>0.105555555497685</v>
      </c>
      <c r="H767" s="57" t="s">
        <v>252</v>
      </c>
      <c r="I767" s="57"/>
      <c r="J767" s="57" t="s">
        <v>253</v>
      </c>
      <c r="K767" s="57" t="s">
        <v>266</v>
      </c>
      <c r="L767" s="60" t="s">
        <v>1604</v>
      </c>
      <c r="M767" s="57" t="s">
        <v>255</v>
      </c>
      <c r="N767" s="57" t="s">
        <v>256</v>
      </c>
      <c r="O767" s="57" t="s">
        <v>1605</v>
      </c>
      <c r="P767" s="57" t="s">
        <v>1624</v>
      </c>
      <c r="Q767" s="57" t="s">
        <v>706</v>
      </c>
    </row>
    <row r="768" s="50" customFormat="true" ht="14.25" hidden="false" customHeight="true" outlineLevel="0" collapsed="false">
      <c r="A768" s="50" t="s">
        <v>418</v>
      </c>
      <c r="B768" s="57" t="s">
        <v>418</v>
      </c>
      <c r="C768" s="57" t="s">
        <v>411</v>
      </c>
      <c r="D768" s="58" t="n">
        <v>46064.6166666667</v>
      </c>
      <c r="E768" s="58" t="n">
        <v>46064.6166666667</v>
      </c>
      <c r="F768" s="58" t="n">
        <v>46064.7222222222</v>
      </c>
      <c r="G768" s="59" t="n">
        <f aca="false">F768-E768</f>
        <v>0.105555555497685</v>
      </c>
      <c r="H768" s="57" t="s">
        <v>252</v>
      </c>
      <c r="I768" s="57"/>
      <c r="J768" s="57" t="s">
        <v>253</v>
      </c>
      <c r="K768" s="57" t="s">
        <v>266</v>
      </c>
      <c r="L768" s="60" t="s">
        <v>1604</v>
      </c>
      <c r="M768" s="57" t="s">
        <v>255</v>
      </c>
      <c r="N768" s="57" t="s">
        <v>256</v>
      </c>
      <c r="O768" s="57" t="s">
        <v>1605</v>
      </c>
      <c r="P768" s="57" t="s">
        <v>1625</v>
      </c>
      <c r="Q768" s="57" t="s">
        <v>706</v>
      </c>
    </row>
    <row r="769" s="50" customFormat="true" ht="14.25" hidden="false" customHeight="true" outlineLevel="0" collapsed="false">
      <c r="A769" s="50" t="s">
        <v>493</v>
      </c>
      <c r="B769" s="57" t="s">
        <v>493</v>
      </c>
      <c r="C769" s="57" t="s">
        <v>494</v>
      </c>
      <c r="D769" s="58" t="n">
        <v>46064.6666666667</v>
      </c>
      <c r="E769" s="58" t="n">
        <v>46064.6666666667</v>
      </c>
      <c r="F769" s="58" t="n">
        <v>46064.7083333333</v>
      </c>
      <c r="G769" s="59" t="n">
        <f aca="false">F769-E769</f>
        <v>0.0416666665972222</v>
      </c>
      <c r="H769" s="57" t="s">
        <v>384</v>
      </c>
      <c r="I769" s="57"/>
      <c r="J769" s="57" t="s">
        <v>234</v>
      </c>
      <c r="K769" s="57" t="s">
        <v>234</v>
      </c>
      <c r="L769" s="57" t="s">
        <v>1626</v>
      </c>
      <c r="M769" s="57" t="s">
        <v>386</v>
      </c>
      <c r="N769" s="57" t="s">
        <v>387</v>
      </c>
      <c r="O769" s="57" t="s">
        <v>1627</v>
      </c>
      <c r="P769" s="57" t="s">
        <v>1628</v>
      </c>
      <c r="Q769" s="57" t="s">
        <v>1141</v>
      </c>
    </row>
    <row r="770" s="50" customFormat="true" ht="14.25" hidden="false" customHeight="true" outlineLevel="0" collapsed="false">
      <c r="A770" s="50" t="s">
        <v>493</v>
      </c>
      <c r="B770" s="57" t="s">
        <v>493</v>
      </c>
      <c r="C770" s="57" t="s">
        <v>495</v>
      </c>
      <c r="D770" s="58" t="n">
        <v>46064.6666666667</v>
      </c>
      <c r="E770" s="58" t="n">
        <v>46064.6666666667</v>
      </c>
      <c r="F770" s="58" t="n">
        <v>46064.7083333333</v>
      </c>
      <c r="G770" s="59" t="n">
        <f aca="false">F770-E770</f>
        <v>0.0416666665972222</v>
      </c>
      <c r="H770" s="57" t="s">
        <v>384</v>
      </c>
      <c r="I770" s="57"/>
      <c r="J770" s="57" t="s">
        <v>234</v>
      </c>
      <c r="K770" s="57" t="s">
        <v>234</v>
      </c>
      <c r="L770" s="57" t="s">
        <v>1629</v>
      </c>
      <c r="M770" s="57" t="s">
        <v>386</v>
      </c>
      <c r="N770" s="57" t="s">
        <v>387</v>
      </c>
      <c r="O770" s="57" t="s">
        <v>1627</v>
      </c>
      <c r="P770" s="57" t="s">
        <v>1630</v>
      </c>
      <c r="Q770" s="57" t="s">
        <v>1141</v>
      </c>
    </row>
    <row r="771" s="50" customFormat="true" ht="14.25" hidden="false" customHeight="true" outlineLevel="0" collapsed="false">
      <c r="A771" s="50" t="s">
        <v>493</v>
      </c>
      <c r="B771" s="57" t="s">
        <v>493</v>
      </c>
      <c r="C771" s="57" t="s">
        <v>496</v>
      </c>
      <c r="D771" s="58" t="n">
        <v>46064.6666666667</v>
      </c>
      <c r="E771" s="58" t="n">
        <v>46064.6666666667</v>
      </c>
      <c r="F771" s="58" t="n">
        <v>46064.7083333333</v>
      </c>
      <c r="G771" s="59" t="n">
        <f aca="false">F771-E771</f>
        <v>0.0416666665972222</v>
      </c>
      <c r="H771" s="57" t="s">
        <v>384</v>
      </c>
      <c r="I771" s="57"/>
      <c r="J771" s="57" t="s">
        <v>234</v>
      </c>
      <c r="K771" s="57" t="s">
        <v>234</v>
      </c>
      <c r="L771" s="57" t="s">
        <v>1629</v>
      </c>
      <c r="M771" s="57" t="s">
        <v>386</v>
      </c>
      <c r="N771" s="57" t="s">
        <v>387</v>
      </c>
      <c r="O771" s="57" t="s">
        <v>1627</v>
      </c>
      <c r="P771" s="57" t="s">
        <v>1631</v>
      </c>
      <c r="Q771" s="57" t="s">
        <v>1141</v>
      </c>
    </row>
    <row r="772" s="50" customFormat="true" ht="86.25" hidden="false" customHeight="true" outlineLevel="0" collapsed="false">
      <c r="A772" s="50" t="s">
        <v>435</v>
      </c>
      <c r="B772" s="57" t="s">
        <v>435</v>
      </c>
      <c r="C772" s="57" t="s">
        <v>436</v>
      </c>
      <c r="D772" s="58" t="n">
        <v>46065.0597222222</v>
      </c>
      <c r="E772" s="58" t="n">
        <v>46065.0597222222</v>
      </c>
      <c r="F772" s="58" t="n">
        <v>46065.2534722222</v>
      </c>
      <c r="G772" s="59" t="n">
        <f aca="false">F772-E772</f>
        <v>0.19375</v>
      </c>
      <c r="H772" s="57" t="s">
        <v>1632</v>
      </c>
      <c r="I772" s="57"/>
      <c r="J772" s="57" t="s">
        <v>234</v>
      </c>
      <c r="K772" s="57" t="s">
        <v>234</v>
      </c>
      <c r="L772" s="60" t="s">
        <v>1633</v>
      </c>
      <c r="M772" s="57" t="s">
        <v>483</v>
      </c>
      <c r="N772" s="57" t="s">
        <v>289</v>
      </c>
      <c r="O772" s="60" t="s">
        <v>1634</v>
      </c>
      <c r="P772" s="57" t="s">
        <v>1635</v>
      </c>
      <c r="Q772" s="57" t="s">
        <v>1636</v>
      </c>
    </row>
    <row r="773" s="50" customFormat="true" ht="86.25" hidden="false" customHeight="true" outlineLevel="0" collapsed="false">
      <c r="A773" s="50" t="s">
        <v>435</v>
      </c>
      <c r="B773" s="57" t="s">
        <v>435</v>
      </c>
      <c r="C773" s="57" t="s">
        <v>442</v>
      </c>
      <c r="D773" s="58" t="n">
        <v>46065.0597222222</v>
      </c>
      <c r="E773" s="58" t="n">
        <v>46065.0597222222</v>
      </c>
      <c r="F773" s="58" t="n">
        <v>46065.2534722222</v>
      </c>
      <c r="G773" s="59" t="n">
        <f aca="false">F773-E773</f>
        <v>0.19375</v>
      </c>
      <c r="H773" s="57" t="s">
        <v>1632</v>
      </c>
      <c r="I773" s="57"/>
      <c r="J773" s="57" t="s">
        <v>234</v>
      </c>
      <c r="K773" s="57" t="s">
        <v>234</v>
      </c>
      <c r="L773" s="60" t="s">
        <v>1633</v>
      </c>
      <c r="M773" s="57" t="s">
        <v>483</v>
      </c>
      <c r="N773" s="57" t="s">
        <v>289</v>
      </c>
      <c r="O773" s="60" t="s">
        <v>1634</v>
      </c>
      <c r="P773" s="57" t="s">
        <v>1637</v>
      </c>
      <c r="Q773" s="57" t="s">
        <v>1636</v>
      </c>
    </row>
    <row r="774" s="50" customFormat="true" ht="86.25" hidden="false" customHeight="true" outlineLevel="0" collapsed="false">
      <c r="A774" s="50" t="s">
        <v>435</v>
      </c>
      <c r="B774" s="57" t="s">
        <v>435</v>
      </c>
      <c r="C774" s="57" t="s">
        <v>443</v>
      </c>
      <c r="D774" s="58" t="n">
        <v>46065.0597222222</v>
      </c>
      <c r="E774" s="58" t="n">
        <v>46065.0597222222</v>
      </c>
      <c r="F774" s="58" t="n">
        <v>46065.2534722222</v>
      </c>
      <c r="G774" s="59" t="n">
        <f aca="false">F774-E774</f>
        <v>0.19375</v>
      </c>
      <c r="H774" s="57" t="s">
        <v>1632</v>
      </c>
      <c r="I774" s="57"/>
      <c r="J774" s="57" t="s">
        <v>234</v>
      </c>
      <c r="K774" s="57" t="s">
        <v>234</v>
      </c>
      <c r="L774" s="60" t="s">
        <v>1633</v>
      </c>
      <c r="M774" s="57" t="s">
        <v>483</v>
      </c>
      <c r="N774" s="57" t="s">
        <v>289</v>
      </c>
      <c r="O774" s="60" t="s">
        <v>1634</v>
      </c>
      <c r="P774" s="57" t="s">
        <v>1638</v>
      </c>
      <c r="Q774" s="57" t="s">
        <v>1636</v>
      </c>
    </row>
    <row r="775" s="50" customFormat="true" ht="86.25" hidden="false" customHeight="true" outlineLevel="0" collapsed="false">
      <c r="A775" s="50" t="s">
        <v>435</v>
      </c>
      <c r="B775" s="57" t="s">
        <v>435</v>
      </c>
      <c r="C775" s="57" t="s">
        <v>444</v>
      </c>
      <c r="D775" s="58" t="n">
        <v>46065.0597222222</v>
      </c>
      <c r="E775" s="58" t="n">
        <v>46065.0597222222</v>
      </c>
      <c r="F775" s="58" t="n">
        <v>46065.2534722222</v>
      </c>
      <c r="G775" s="59" t="n">
        <f aca="false">F775-E775</f>
        <v>0.19375</v>
      </c>
      <c r="H775" s="57" t="s">
        <v>1632</v>
      </c>
      <c r="I775" s="57"/>
      <c r="J775" s="57" t="s">
        <v>234</v>
      </c>
      <c r="K775" s="57" t="s">
        <v>234</v>
      </c>
      <c r="L775" s="60" t="s">
        <v>1633</v>
      </c>
      <c r="M775" s="57" t="s">
        <v>483</v>
      </c>
      <c r="N775" s="57" t="s">
        <v>289</v>
      </c>
      <c r="O775" s="60" t="s">
        <v>1634</v>
      </c>
      <c r="P775" s="57" t="s">
        <v>1639</v>
      </c>
      <c r="Q775" s="57" t="s">
        <v>1636</v>
      </c>
    </row>
    <row r="776" s="50" customFormat="true" ht="86.25" hidden="false" customHeight="true" outlineLevel="0" collapsed="false">
      <c r="A776" s="50" t="s">
        <v>435</v>
      </c>
      <c r="B776" s="57" t="s">
        <v>435</v>
      </c>
      <c r="C776" s="57" t="s">
        <v>445</v>
      </c>
      <c r="D776" s="58" t="n">
        <v>46065.0597222222</v>
      </c>
      <c r="E776" s="58" t="n">
        <v>46065.0597222222</v>
      </c>
      <c r="F776" s="58" t="n">
        <v>46065.2534722222</v>
      </c>
      <c r="G776" s="59" t="n">
        <f aca="false">F776-E776</f>
        <v>0.19375</v>
      </c>
      <c r="H776" s="57" t="s">
        <v>1632</v>
      </c>
      <c r="I776" s="57"/>
      <c r="J776" s="57" t="s">
        <v>234</v>
      </c>
      <c r="K776" s="57" t="s">
        <v>234</v>
      </c>
      <c r="L776" s="60" t="s">
        <v>1633</v>
      </c>
      <c r="M776" s="57" t="s">
        <v>483</v>
      </c>
      <c r="N776" s="57" t="s">
        <v>289</v>
      </c>
      <c r="O776" s="60" t="s">
        <v>1634</v>
      </c>
      <c r="P776" s="57" t="s">
        <v>1640</v>
      </c>
      <c r="Q776" s="57" t="s">
        <v>1636</v>
      </c>
    </row>
    <row r="777" s="50" customFormat="true" ht="86.25" hidden="false" customHeight="true" outlineLevel="0" collapsed="false">
      <c r="A777" s="50" t="s">
        <v>487</v>
      </c>
      <c r="B777" s="57" t="s">
        <v>487</v>
      </c>
      <c r="C777" s="57" t="s">
        <v>488</v>
      </c>
      <c r="D777" s="58" t="n">
        <v>46065.0597222222</v>
      </c>
      <c r="E777" s="58" t="n">
        <v>46065.0597222222</v>
      </c>
      <c r="F777" s="58" t="n">
        <v>46065.2534722222</v>
      </c>
      <c r="G777" s="59" t="n">
        <f aca="false">F777-E777</f>
        <v>0.19375</v>
      </c>
      <c r="H777" s="57" t="s">
        <v>1632</v>
      </c>
      <c r="I777" s="57"/>
      <c r="J777" s="57" t="s">
        <v>234</v>
      </c>
      <c r="K777" s="57" t="s">
        <v>234</v>
      </c>
      <c r="L777" s="60" t="s">
        <v>1633</v>
      </c>
      <c r="M777" s="57" t="s">
        <v>483</v>
      </c>
      <c r="N777" s="57" t="s">
        <v>289</v>
      </c>
      <c r="O777" s="60" t="s">
        <v>1634</v>
      </c>
      <c r="P777" s="57" t="s">
        <v>1641</v>
      </c>
      <c r="Q777" s="57" t="s">
        <v>1636</v>
      </c>
    </row>
    <row r="778" s="50" customFormat="true" ht="86.25" hidden="false" customHeight="true" outlineLevel="0" collapsed="false">
      <c r="A778" s="50" t="s">
        <v>487</v>
      </c>
      <c r="B778" s="57" t="s">
        <v>487</v>
      </c>
      <c r="C778" s="57" t="s">
        <v>489</v>
      </c>
      <c r="D778" s="58" t="n">
        <v>46065.0597222222</v>
      </c>
      <c r="E778" s="58" t="n">
        <v>46065.0597222222</v>
      </c>
      <c r="F778" s="58" t="n">
        <v>46065.2534722222</v>
      </c>
      <c r="G778" s="59" t="n">
        <f aca="false">F778-E778</f>
        <v>0.19375</v>
      </c>
      <c r="H778" s="57" t="s">
        <v>1632</v>
      </c>
      <c r="I778" s="57"/>
      <c r="J778" s="57" t="s">
        <v>234</v>
      </c>
      <c r="K778" s="57" t="s">
        <v>234</v>
      </c>
      <c r="L778" s="60" t="s">
        <v>1633</v>
      </c>
      <c r="M778" s="57" t="s">
        <v>483</v>
      </c>
      <c r="N778" s="57" t="s">
        <v>289</v>
      </c>
      <c r="O778" s="60" t="s">
        <v>1634</v>
      </c>
      <c r="P778" s="57" t="s">
        <v>1642</v>
      </c>
      <c r="Q778" s="57" t="s">
        <v>1636</v>
      </c>
    </row>
    <row r="779" s="50" customFormat="true" ht="86.25" hidden="false" customHeight="true" outlineLevel="0" collapsed="false">
      <c r="A779" s="50" t="s">
        <v>487</v>
      </c>
      <c r="B779" s="57" t="s">
        <v>487</v>
      </c>
      <c r="C779" s="57" t="s">
        <v>490</v>
      </c>
      <c r="D779" s="58" t="n">
        <v>46065.0597222222</v>
      </c>
      <c r="E779" s="58" t="n">
        <v>46065.0597222222</v>
      </c>
      <c r="F779" s="58" t="n">
        <v>46065.2534722222</v>
      </c>
      <c r="G779" s="59" t="n">
        <f aca="false">F779-E779</f>
        <v>0.19375</v>
      </c>
      <c r="H779" s="57" t="s">
        <v>1632</v>
      </c>
      <c r="I779" s="57"/>
      <c r="J779" s="57" t="s">
        <v>234</v>
      </c>
      <c r="K779" s="57" t="s">
        <v>234</v>
      </c>
      <c r="L779" s="60" t="s">
        <v>1633</v>
      </c>
      <c r="M779" s="57" t="s">
        <v>483</v>
      </c>
      <c r="N779" s="57" t="s">
        <v>289</v>
      </c>
      <c r="O779" s="60" t="s">
        <v>1634</v>
      </c>
      <c r="P779" s="57" t="s">
        <v>1643</v>
      </c>
      <c r="Q779" s="57" t="s">
        <v>1636</v>
      </c>
    </row>
    <row r="780" s="50" customFormat="true" ht="86.25" hidden="false" customHeight="true" outlineLevel="0" collapsed="false">
      <c r="A780" s="50" t="s">
        <v>487</v>
      </c>
      <c r="B780" s="57" t="s">
        <v>487</v>
      </c>
      <c r="C780" s="57" t="s">
        <v>491</v>
      </c>
      <c r="D780" s="58" t="n">
        <v>46065.0597222222</v>
      </c>
      <c r="E780" s="58" t="n">
        <v>46065.0597222222</v>
      </c>
      <c r="F780" s="58" t="n">
        <v>46065.2534722222</v>
      </c>
      <c r="G780" s="59" t="n">
        <f aca="false">F780-E780</f>
        <v>0.19375</v>
      </c>
      <c r="H780" s="57" t="s">
        <v>1632</v>
      </c>
      <c r="I780" s="57"/>
      <c r="J780" s="57" t="s">
        <v>234</v>
      </c>
      <c r="K780" s="57" t="s">
        <v>234</v>
      </c>
      <c r="L780" s="60" t="s">
        <v>1633</v>
      </c>
      <c r="M780" s="57" t="s">
        <v>483</v>
      </c>
      <c r="N780" s="57" t="s">
        <v>289</v>
      </c>
      <c r="O780" s="60" t="s">
        <v>1634</v>
      </c>
      <c r="P780" s="57" t="s">
        <v>1644</v>
      </c>
      <c r="Q780" s="57" t="s">
        <v>1636</v>
      </c>
    </row>
    <row r="781" s="50" customFormat="true" ht="86.25" hidden="false" customHeight="true" outlineLevel="0" collapsed="false">
      <c r="A781" s="50" t="s">
        <v>487</v>
      </c>
      <c r="B781" s="57" t="s">
        <v>487</v>
      </c>
      <c r="C781" s="57" t="s">
        <v>492</v>
      </c>
      <c r="D781" s="58" t="n">
        <v>46065.0597222222</v>
      </c>
      <c r="E781" s="58" t="n">
        <v>46065.0597222222</v>
      </c>
      <c r="F781" s="58" t="n">
        <v>46065.2534722222</v>
      </c>
      <c r="G781" s="59" t="n">
        <f aca="false">F781-E781</f>
        <v>0.19375</v>
      </c>
      <c r="H781" s="57" t="s">
        <v>1632</v>
      </c>
      <c r="I781" s="57"/>
      <c r="J781" s="57" t="s">
        <v>234</v>
      </c>
      <c r="K781" s="57" t="s">
        <v>234</v>
      </c>
      <c r="L781" s="60" t="s">
        <v>1633</v>
      </c>
      <c r="M781" s="57" t="s">
        <v>483</v>
      </c>
      <c r="N781" s="57" t="s">
        <v>289</v>
      </c>
      <c r="O781" s="60" t="s">
        <v>1634</v>
      </c>
      <c r="P781" s="57" t="s">
        <v>1645</v>
      </c>
      <c r="Q781" s="57" t="s">
        <v>1636</v>
      </c>
    </row>
    <row r="782" s="50" customFormat="true" ht="86.25" hidden="false" customHeight="true" outlineLevel="0" collapsed="false">
      <c r="A782" s="50" t="s">
        <v>493</v>
      </c>
      <c r="B782" s="57" t="s">
        <v>493</v>
      </c>
      <c r="C782" s="57" t="s">
        <v>494</v>
      </c>
      <c r="D782" s="58" t="n">
        <v>46065.0597222222</v>
      </c>
      <c r="E782" s="58" t="n">
        <v>46065.0597222222</v>
      </c>
      <c r="F782" s="58" t="n">
        <v>46065.2534722222</v>
      </c>
      <c r="G782" s="59" t="n">
        <f aca="false">F782-E782</f>
        <v>0.19375</v>
      </c>
      <c r="H782" s="57" t="s">
        <v>1632</v>
      </c>
      <c r="I782" s="57"/>
      <c r="J782" s="57" t="s">
        <v>234</v>
      </c>
      <c r="K782" s="57" t="s">
        <v>234</v>
      </c>
      <c r="L782" s="60" t="s">
        <v>1633</v>
      </c>
      <c r="M782" s="57" t="s">
        <v>483</v>
      </c>
      <c r="N782" s="57" t="s">
        <v>289</v>
      </c>
      <c r="O782" s="60" t="s">
        <v>1634</v>
      </c>
      <c r="P782" s="57" t="s">
        <v>1646</v>
      </c>
      <c r="Q782" s="57" t="s">
        <v>1636</v>
      </c>
    </row>
    <row r="783" s="50" customFormat="true" ht="86.25" hidden="false" customHeight="true" outlineLevel="0" collapsed="false">
      <c r="A783" s="50" t="s">
        <v>493</v>
      </c>
      <c r="B783" s="57" t="s">
        <v>493</v>
      </c>
      <c r="C783" s="57" t="s">
        <v>495</v>
      </c>
      <c r="D783" s="58" t="n">
        <v>46065.0597222222</v>
      </c>
      <c r="E783" s="58" t="n">
        <v>46065.0597222222</v>
      </c>
      <c r="F783" s="58" t="n">
        <v>46065.2534722222</v>
      </c>
      <c r="G783" s="59" t="n">
        <f aca="false">F783-E783</f>
        <v>0.19375</v>
      </c>
      <c r="H783" s="57" t="s">
        <v>1632</v>
      </c>
      <c r="I783" s="57"/>
      <c r="J783" s="57" t="s">
        <v>234</v>
      </c>
      <c r="K783" s="57" t="s">
        <v>234</v>
      </c>
      <c r="L783" s="60" t="s">
        <v>1633</v>
      </c>
      <c r="M783" s="57" t="s">
        <v>483</v>
      </c>
      <c r="N783" s="57" t="s">
        <v>289</v>
      </c>
      <c r="O783" s="60" t="s">
        <v>1634</v>
      </c>
      <c r="P783" s="57" t="s">
        <v>1647</v>
      </c>
      <c r="Q783" s="57" t="s">
        <v>1636</v>
      </c>
    </row>
    <row r="784" s="50" customFormat="true" ht="86.25" hidden="false" customHeight="true" outlineLevel="0" collapsed="false">
      <c r="A784" s="50" t="s">
        <v>493</v>
      </c>
      <c r="B784" s="57" t="s">
        <v>493</v>
      </c>
      <c r="C784" s="57" t="s">
        <v>496</v>
      </c>
      <c r="D784" s="58" t="n">
        <v>46065.0597222222</v>
      </c>
      <c r="E784" s="58" t="n">
        <v>46065.0597222222</v>
      </c>
      <c r="F784" s="58" t="n">
        <v>46065.2534722222</v>
      </c>
      <c r="G784" s="59" t="n">
        <f aca="false">F784-E784</f>
        <v>0.19375</v>
      </c>
      <c r="H784" s="57" t="s">
        <v>1632</v>
      </c>
      <c r="I784" s="57"/>
      <c r="J784" s="57" t="s">
        <v>234</v>
      </c>
      <c r="K784" s="57" t="s">
        <v>234</v>
      </c>
      <c r="L784" s="60" t="s">
        <v>1633</v>
      </c>
      <c r="M784" s="57" t="s">
        <v>483</v>
      </c>
      <c r="N784" s="57" t="s">
        <v>289</v>
      </c>
      <c r="O784" s="60" t="s">
        <v>1634</v>
      </c>
      <c r="P784" s="57" t="s">
        <v>1648</v>
      </c>
      <c r="Q784" s="57" t="s">
        <v>1636</v>
      </c>
    </row>
    <row r="785" s="50" customFormat="true" ht="86.25" hidden="false" customHeight="true" outlineLevel="0" collapsed="false">
      <c r="A785" s="50" t="s">
        <v>497</v>
      </c>
      <c r="B785" s="57" t="s">
        <v>497</v>
      </c>
      <c r="C785" s="57" t="s">
        <v>327</v>
      </c>
      <c r="D785" s="58" t="n">
        <v>46065.0597222222</v>
      </c>
      <c r="E785" s="58" t="n">
        <v>46065.0597222222</v>
      </c>
      <c r="F785" s="58" t="n">
        <v>46080.46875</v>
      </c>
      <c r="G785" s="59" t="n">
        <f aca="false">F785-E785</f>
        <v>15.4090277778009</v>
      </c>
      <c r="H785" s="57" t="s">
        <v>1632</v>
      </c>
      <c r="I785" s="57"/>
      <c r="J785" s="57" t="s">
        <v>234</v>
      </c>
      <c r="K785" s="57" t="s">
        <v>234</v>
      </c>
      <c r="L785" s="60" t="s">
        <v>1633</v>
      </c>
      <c r="M785" s="57" t="s">
        <v>483</v>
      </c>
      <c r="N785" s="57" t="s">
        <v>440</v>
      </c>
      <c r="O785" s="60" t="s">
        <v>1634</v>
      </c>
      <c r="P785" s="57" t="s">
        <v>1649</v>
      </c>
      <c r="Q785" s="57" t="s">
        <v>1636</v>
      </c>
    </row>
    <row r="786" s="50" customFormat="true" ht="86.25" hidden="false" customHeight="true" outlineLevel="0" collapsed="false">
      <c r="A786" s="50" t="s">
        <v>497</v>
      </c>
      <c r="B786" s="57" t="s">
        <v>497</v>
      </c>
      <c r="C786" s="57" t="s">
        <v>328</v>
      </c>
      <c r="D786" s="58" t="n">
        <v>46065.0597222222</v>
      </c>
      <c r="E786" s="58" t="n">
        <v>46065.0597222222</v>
      </c>
      <c r="F786" s="58" t="n">
        <v>46066.7083333333</v>
      </c>
      <c r="G786" s="59" t="n">
        <f aca="false">F786-E786</f>
        <v>1.64861111111111</v>
      </c>
      <c r="H786" s="57" t="s">
        <v>1632</v>
      </c>
      <c r="I786" s="57"/>
      <c r="J786" s="57" t="s">
        <v>234</v>
      </c>
      <c r="K786" s="57" t="s">
        <v>234</v>
      </c>
      <c r="L786" s="60" t="s">
        <v>1633</v>
      </c>
      <c r="M786" s="57" t="s">
        <v>483</v>
      </c>
      <c r="N786" s="57" t="s">
        <v>440</v>
      </c>
      <c r="O786" s="60" t="s">
        <v>1634</v>
      </c>
      <c r="P786" s="57" t="s">
        <v>1650</v>
      </c>
      <c r="Q786" s="57" t="s">
        <v>1636</v>
      </c>
    </row>
    <row r="787" s="50" customFormat="true" ht="86.25" hidden="false" customHeight="true" outlineLevel="0" collapsed="false">
      <c r="A787" s="50" t="s">
        <v>497</v>
      </c>
      <c r="B787" s="57" t="s">
        <v>497</v>
      </c>
      <c r="C787" s="57" t="s">
        <v>428</v>
      </c>
      <c r="D787" s="58" t="n">
        <v>46065.0597222222</v>
      </c>
      <c r="E787" s="58" t="n">
        <v>46065.0597222222</v>
      </c>
      <c r="F787" s="58" t="n">
        <v>46066.7152777778</v>
      </c>
      <c r="G787" s="59" t="n">
        <f aca="false">F787-E787</f>
        <v>1.65555555560185</v>
      </c>
      <c r="H787" s="57" t="s">
        <v>1632</v>
      </c>
      <c r="I787" s="57"/>
      <c r="J787" s="57" t="s">
        <v>234</v>
      </c>
      <c r="K787" s="57" t="s">
        <v>234</v>
      </c>
      <c r="L787" s="60" t="s">
        <v>1633</v>
      </c>
      <c r="M787" s="57" t="s">
        <v>483</v>
      </c>
      <c r="N787" s="57" t="s">
        <v>440</v>
      </c>
      <c r="O787" s="60" t="s">
        <v>1634</v>
      </c>
      <c r="P787" s="57" t="s">
        <v>1651</v>
      </c>
      <c r="Q787" s="57" t="s">
        <v>1636</v>
      </c>
    </row>
    <row r="788" s="50" customFormat="true" ht="86.25" hidden="false" customHeight="true" outlineLevel="0" collapsed="false">
      <c r="A788" s="50" t="s">
        <v>497</v>
      </c>
      <c r="B788" s="57" t="s">
        <v>497</v>
      </c>
      <c r="C788" s="57" t="s">
        <v>498</v>
      </c>
      <c r="D788" s="58" t="n">
        <v>46065.0597222222</v>
      </c>
      <c r="E788" s="58" t="n">
        <v>46065.0597222222</v>
      </c>
      <c r="F788" s="58" t="n">
        <v>46080.5625</v>
      </c>
      <c r="G788" s="59" t="n">
        <f aca="false">F788-E788</f>
        <v>15.5027777778009</v>
      </c>
      <c r="H788" s="57" t="s">
        <v>1632</v>
      </c>
      <c r="I788" s="57"/>
      <c r="J788" s="57" t="s">
        <v>234</v>
      </c>
      <c r="K788" s="57" t="s">
        <v>234</v>
      </c>
      <c r="L788" s="60" t="s">
        <v>1633</v>
      </c>
      <c r="M788" s="57" t="s">
        <v>483</v>
      </c>
      <c r="N788" s="57" t="s">
        <v>440</v>
      </c>
      <c r="O788" s="60" t="s">
        <v>1634</v>
      </c>
      <c r="P788" s="57" t="s">
        <v>1652</v>
      </c>
      <c r="Q788" s="57" t="s">
        <v>1636</v>
      </c>
    </row>
    <row r="789" s="50" customFormat="true" ht="86.25" hidden="false" customHeight="true" outlineLevel="0" collapsed="false">
      <c r="A789" s="50" t="s">
        <v>497</v>
      </c>
      <c r="B789" s="57" t="s">
        <v>497</v>
      </c>
      <c r="C789" s="57" t="s">
        <v>499</v>
      </c>
      <c r="D789" s="58" t="n">
        <v>46065.0597222222</v>
      </c>
      <c r="E789" s="58" t="n">
        <v>46065.0597222222</v>
      </c>
      <c r="F789" s="58" t="n">
        <v>46080.4861111111</v>
      </c>
      <c r="G789" s="59" t="n">
        <f aca="false">F789-E789</f>
        <v>15.4263888889005</v>
      </c>
      <c r="H789" s="57" t="s">
        <v>1632</v>
      </c>
      <c r="I789" s="57"/>
      <c r="J789" s="57" t="s">
        <v>234</v>
      </c>
      <c r="K789" s="57" t="s">
        <v>234</v>
      </c>
      <c r="L789" s="60" t="s">
        <v>1633</v>
      </c>
      <c r="M789" s="57" t="s">
        <v>483</v>
      </c>
      <c r="N789" s="57" t="s">
        <v>440</v>
      </c>
      <c r="O789" s="60" t="s">
        <v>1634</v>
      </c>
      <c r="P789" s="57" t="s">
        <v>1653</v>
      </c>
      <c r="Q789" s="57" t="s">
        <v>1636</v>
      </c>
    </row>
    <row r="790" s="50" customFormat="true" ht="86.25" hidden="false" customHeight="true" outlineLevel="0" collapsed="false">
      <c r="A790" s="50" t="s">
        <v>500</v>
      </c>
      <c r="B790" s="57" t="s">
        <v>500</v>
      </c>
      <c r="C790" s="57" t="s">
        <v>488</v>
      </c>
      <c r="D790" s="58" t="n">
        <v>46065.0597222222</v>
      </c>
      <c r="E790" s="58" t="n">
        <v>46065.0597222222</v>
      </c>
      <c r="F790" s="58" t="n">
        <v>46065.2534722222</v>
      </c>
      <c r="G790" s="59" t="n">
        <f aca="false">F790-E790</f>
        <v>0.19375</v>
      </c>
      <c r="H790" s="57" t="s">
        <v>1632</v>
      </c>
      <c r="I790" s="57"/>
      <c r="J790" s="57" t="s">
        <v>234</v>
      </c>
      <c r="K790" s="57" t="s">
        <v>234</v>
      </c>
      <c r="L790" s="60" t="s">
        <v>1633</v>
      </c>
      <c r="M790" s="57" t="s">
        <v>483</v>
      </c>
      <c r="N790" s="57" t="s">
        <v>289</v>
      </c>
      <c r="O790" s="60" t="s">
        <v>1634</v>
      </c>
      <c r="P790" s="57" t="s">
        <v>1654</v>
      </c>
      <c r="Q790" s="57" t="s">
        <v>1636</v>
      </c>
    </row>
    <row r="791" s="50" customFormat="true" ht="86.25" hidden="false" customHeight="true" outlineLevel="0" collapsed="false">
      <c r="A791" s="50" t="s">
        <v>500</v>
      </c>
      <c r="B791" s="57" t="s">
        <v>500</v>
      </c>
      <c r="C791" s="57" t="s">
        <v>489</v>
      </c>
      <c r="D791" s="58" t="n">
        <v>46065.0597222222</v>
      </c>
      <c r="E791" s="58" t="n">
        <v>46065.0597222222</v>
      </c>
      <c r="F791" s="58" t="n">
        <v>46065.2534722222</v>
      </c>
      <c r="G791" s="59" t="n">
        <f aca="false">F791-E791</f>
        <v>0.19375</v>
      </c>
      <c r="H791" s="57" t="s">
        <v>1632</v>
      </c>
      <c r="I791" s="57"/>
      <c r="J791" s="57" t="s">
        <v>234</v>
      </c>
      <c r="K791" s="57" t="s">
        <v>234</v>
      </c>
      <c r="L791" s="60" t="s">
        <v>1633</v>
      </c>
      <c r="M791" s="57" t="s">
        <v>483</v>
      </c>
      <c r="N791" s="57" t="s">
        <v>289</v>
      </c>
      <c r="O791" s="60" t="s">
        <v>1634</v>
      </c>
      <c r="P791" s="57" t="s">
        <v>1655</v>
      </c>
      <c r="Q791" s="57" t="s">
        <v>1636</v>
      </c>
    </row>
    <row r="792" s="50" customFormat="true" ht="86.25" hidden="false" customHeight="true" outlineLevel="0" collapsed="false">
      <c r="A792" s="50" t="s">
        <v>500</v>
      </c>
      <c r="B792" s="57" t="s">
        <v>500</v>
      </c>
      <c r="C792" s="57" t="s">
        <v>490</v>
      </c>
      <c r="D792" s="58" t="n">
        <v>46065.0597222222</v>
      </c>
      <c r="E792" s="58" t="n">
        <v>46065.0597222222</v>
      </c>
      <c r="F792" s="58" t="n">
        <v>46065.2534722222</v>
      </c>
      <c r="G792" s="59" t="n">
        <f aca="false">F792-E792</f>
        <v>0.19375</v>
      </c>
      <c r="H792" s="57" t="s">
        <v>1632</v>
      </c>
      <c r="I792" s="57"/>
      <c r="J792" s="57" t="s">
        <v>234</v>
      </c>
      <c r="K792" s="57" t="s">
        <v>234</v>
      </c>
      <c r="L792" s="60" t="s">
        <v>1633</v>
      </c>
      <c r="M792" s="57" t="s">
        <v>483</v>
      </c>
      <c r="N792" s="57" t="s">
        <v>289</v>
      </c>
      <c r="O792" s="60" t="s">
        <v>1634</v>
      </c>
      <c r="P792" s="57" t="s">
        <v>1656</v>
      </c>
      <c r="Q792" s="57" t="s">
        <v>1636</v>
      </c>
    </row>
    <row r="793" s="50" customFormat="true" ht="86.25" hidden="false" customHeight="true" outlineLevel="0" collapsed="false">
      <c r="A793" s="50" t="s">
        <v>500</v>
      </c>
      <c r="B793" s="57" t="s">
        <v>500</v>
      </c>
      <c r="C793" s="57" t="s">
        <v>491</v>
      </c>
      <c r="D793" s="58" t="n">
        <v>46065.0597222222</v>
      </c>
      <c r="E793" s="58" t="n">
        <v>46065.0597222222</v>
      </c>
      <c r="F793" s="58" t="n">
        <v>46065.2534722222</v>
      </c>
      <c r="G793" s="59" t="n">
        <f aca="false">F793-E793</f>
        <v>0.19375</v>
      </c>
      <c r="H793" s="57" t="s">
        <v>1632</v>
      </c>
      <c r="I793" s="57"/>
      <c r="J793" s="57" t="s">
        <v>234</v>
      </c>
      <c r="K793" s="57" t="s">
        <v>234</v>
      </c>
      <c r="L793" s="60" t="s">
        <v>1633</v>
      </c>
      <c r="M793" s="57" t="s">
        <v>483</v>
      </c>
      <c r="N793" s="57" t="s">
        <v>289</v>
      </c>
      <c r="O793" s="60" t="s">
        <v>1634</v>
      </c>
      <c r="P793" s="57" t="s">
        <v>1657</v>
      </c>
      <c r="Q793" s="57" t="s">
        <v>1636</v>
      </c>
    </row>
    <row r="794" s="50" customFormat="true" ht="86.25" hidden="false" customHeight="true" outlineLevel="0" collapsed="false">
      <c r="A794" s="50" t="s">
        <v>500</v>
      </c>
      <c r="B794" s="57" t="s">
        <v>500</v>
      </c>
      <c r="C794" s="57" t="s">
        <v>492</v>
      </c>
      <c r="D794" s="58" t="n">
        <v>46065.0597222222</v>
      </c>
      <c r="E794" s="58" t="n">
        <v>46065.0597222222</v>
      </c>
      <c r="F794" s="58" t="n">
        <v>46065.2534722222</v>
      </c>
      <c r="G794" s="59" t="n">
        <f aca="false">F794-E794</f>
        <v>0.19375</v>
      </c>
      <c r="H794" s="57" t="s">
        <v>1632</v>
      </c>
      <c r="I794" s="57"/>
      <c r="J794" s="57" t="s">
        <v>234</v>
      </c>
      <c r="K794" s="57" t="s">
        <v>234</v>
      </c>
      <c r="L794" s="60" t="s">
        <v>1633</v>
      </c>
      <c r="M794" s="57" t="s">
        <v>483</v>
      </c>
      <c r="N794" s="57" t="s">
        <v>289</v>
      </c>
      <c r="O794" s="60" t="s">
        <v>1634</v>
      </c>
      <c r="P794" s="57" t="s">
        <v>1658</v>
      </c>
      <c r="Q794" s="57" t="s">
        <v>1636</v>
      </c>
    </row>
    <row r="795" s="50" customFormat="true" ht="86.25" hidden="false" customHeight="true" outlineLevel="0" collapsed="false">
      <c r="A795" s="50" t="s">
        <v>501</v>
      </c>
      <c r="B795" s="57" t="s">
        <v>501</v>
      </c>
      <c r="C795" s="57" t="s">
        <v>494</v>
      </c>
      <c r="D795" s="58" t="n">
        <v>46065.0597222222</v>
      </c>
      <c r="E795" s="58" t="n">
        <v>46065.0597222222</v>
      </c>
      <c r="F795" s="58" t="n">
        <v>46065.2534722222</v>
      </c>
      <c r="G795" s="59" t="n">
        <f aca="false">F795-E795</f>
        <v>0.19375</v>
      </c>
      <c r="H795" s="57" t="s">
        <v>1632</v>
      </c>
      <c r="I795" s="57"/>
      <c r="J795" s="57" t="s">
        <v>234</v>
      </c>
      <c r="K795" s="57" t="s">
        <v>234</v>
      </c>
      <c r="L795" s="60" t="s">
        <v>1633</v>
      </c>
      <c r="M795" s="57" t="s">
        <v>483</v>
      </c>
      <c r="N795" s="57" t="s">
        <v>289</v>
      </c>
      <c r="O795" s="60" t="s">
        <v>1634</v>
      </c>
      <c r="P795" s="57" t="s">
        <v>1659</v>
      </c>
      <c r="Q795" s="57" t="s">
        <v>1636</v>
      </c>
    </row>
    <row r="796" s="50" customFormat="true" ht="86.25" hidden="false" customHeight="true" outlineLevel="0" collapsed="false">
      <c r="A796" s="50" t="s">
        <v>501</v>
      </c>
      <c r="B796" s="57" t="s">
        <v>501</v>
      </c>
      <c r="C796" s="57" t="s">
        <v>495</v>
      </c>
      <c r="D796" s="58" t="n">
        <v>46065.0597222222</v>
      </c>
      <c r="E796" s="58" t="n">
        <v>46065.0597222222</v>
      </c>
      <c r="F796" s="58" t="n">
        <v>46065.2534722222</v>
      </c>
      <c r="G796" s="59" t="n">
        <f aca="false">F796-E796</f>
        <v>0.19375</v>
      </c>
      <c r="H796" s="57" t="s">
        <v>1632</v>
      </c>
      <c r="I796" s="57"/>
      <c r="J796" s="57" t="s">
        <v>234</v>
      </c>
      <c r="K796" s="57" t="s">
        <v>234</v>
      </c>
      <c r="L796" s="60" t="s">
        <v>1633</v>
      </c>
      <c r="M796" s="57" t="s">
        <v>483</v>
      </c>
      <c r="N796" s="57" t="s">
        <v>289</v>
      </c>
      <c r="O796" s="60" t="s">
        <v>1634</v>
      </c>
      <c r="P796" s="57" t="s">
        <v>1660</v>
      </c>
      <c r="Q796" s="57" t="s">
        <v>1636</v>
      </c>
    </row>
    <row r="797" s="50" customFormat="true" ht="86.25" hidden="false" customHeight="true" outlineLevel="0" collapsed="false">
      <c r="A797" s="50" t="s">
        <v>501</v>
      </c>
      <c r="B797" s="57" t="s">
        <v>501</v>
      </c>
      <c r="C797" s="57" t="s">
        <v>496</v>
      </c>
      <c r="D797" s="58" t="n">
        <v>46065.0597222222</v>
      </c>
      <c r="E797" s="58" t="n">
        <v>46065.0597222222</v>
      </c>
      <c r="F797" s="58" t="n">
        <v>46065.2534722222</v>
      </c>
      <c r="G797" s="59" t="n">
        <f aca="false">F797-E797</f>
        <v>0.19375</v>
      </c>
      <c r="H797" s="57" t="s">
        <v>1632</v>
      </c>
      <c r="I797" s="57"/>
      <c r="J797" s="57" t="s">
        <v>234</v>
      </c>
      <c r="K797" s="57" t="s">
        <v>234</v>
      </c>
      <c r="L797" s="60" t="s">
        <v>1633</v>
      </c>
      <c r="M797" s="57" t="s">
        <v>483</v>
      </c>
      <c r="N797" s="57" t="s">
        <v>289</v>
      </c>
      <c r="O797" s="60" t="s">
        <v>1634</v>
      </c>
      <c r="P797" s="57" t="s">
        <v>1661</v>
      </c>
      <c r="Q797" s="57" t="s">
        <v>1636</v>
      </c>
    </row>
    <row r="798" s="50" customFormat="true" ht="14.25" hidden="false" customHeight="true" outlineLevel="0" collapsed="false">
      <c r="A798" s="50" t="s">
        <v>770</v>
      </c>
      <c r="B798" s="57" t="s">
        <v>771</v>
      </c>
      <c r="C798" s="57" t="s">
        <v>772</v>
      </c>
      <c r="D798" s="58" t="n">
        <v>46065.2673611111</v>
      </c>
      <c r="E798" s="58" t="n">
        <v>46065.2673611111</v>
      </c>
      <c r="F798" s="58" t="n">
        <v>46066.4708333333</v>
      </c>
      <c r="G798" s="59" t="n">
        <f aca="false">F798-E798</f>
        <v>1.20347222219907</v>
      </c>
      <c r="H798" s="57" t="s">
        <v>283</v>
      </c>
      <c r="I798" s="57" t="s">
        <v>284</v>
      </c>
      <c r="J798" s="57" t="s">
        <v>285</v>
      </c>
      <c r="K798" s="57" t="s">
        <v>286</v>
      </c>
      <c r="L798" s="57" t="s">
        <v>1662</v>
      </c>
      <c r="M798" s="57" t="s">
        <v>371</v>
      </c>
      <c r="N798" s="57" t="s">
        <v>289</v>
      </c>
      <c r="O798" s="57" t="s">
        <v>1663</v>
      </c>
      <c r="P798" s="57" t="s">
        <v>1664</v>
      </c>
      <c r="Q798" s="57" t="s">
        <v>694</v>
      </c>
    </row>
    <row r="799" s="50" customFormat="true" ht="14.25" hidden="false" customHeight="true" outlineLevel="0" collapsed="false">
      <c r="A799" s="50" t="s">
        <v>775</v>
      </c>
      <c r="B799" s="57" t="s">
        <v>771</v>
      </c>
      <c r="C799" s="57" t="s">
        <v>776</v>
      </c>
      <c r="D799" s="58" t="n">
        <v>46065.2673611111</v>
      </c>
      <c r="E799" s="58" t="n">
        <v>46065.2673611111</v>
      </c>
      <c r="F799" s="58" t="n">
        <v>46066.4708333333</v>
      </c>
      <c r="G799" s="59" t="n">
        <f aca="false">F799-E799</f>
        <v>1.20347222219907</v>
      </c>
      <c r="H799" s="57" t="s">
        <v>283</v>
      </c>
      <c r="I799" s="57" t="s">
        <v>284</v>
      </c>
      <c r="J799" s="57" t="s">
        <v>285</v>
      </c>
      <c r="K799" s="57" t="s">
        <v>286</v>
      </c>
      <c r="L799" s="57" t="s">
        <v>1662</v>
      </c>
      <c r="M799" s="57" t="s">
        <v>371</v>
      </c>
      <c r="N799" s="57" t="s">
        <v>289</v>
      </c>
      <c r="O799" s="57" t="s">
        <v>1663</v>
      </c>
      <c r="P799" s="57" t="s">
        <v>1665</v>
      </c>
      <c r="Q799" s="57" t="s">
        <v>694</v>
      </c>
    </row>
    <row r="800" s="50" customFormat="true" ht="14.25" hidden="false" customHeight="true" outlineLevel="0" collapsed="false">
      <c r="A800" s="50" t="s">
        <v>778</v>
      </c>
      <c r="B800" s="57" t="s">
        <v>771</v>
      </c>
      <c r="C800" s="57" t="s">
        <v>779</v>
      </c>
      <c r="D800" s="58" t="n">
        <v>46065.2673611111</v>
      </c>
      <c r="E800" s="58" t="n">
        <v>46065.2673611111</v>
      </c>
      <c r="F800" s="58" t="n">
        <v>46066.4708333333</v>
      </c>
      <c r="G800" s="59" t="n">
        <f aca="false">F800-E800</f>
        <v>1.20347222219907</v>
      </c>
      <c r="H800" s="57" t="s">
        <v>283</v>
      </c>
      <c r="I800" s="57" t="s">
        <v>284</v>
      </c>
      <c r="J800" s="57" t="s">
        <v>285</v>
      </c>
      <c r="K800" s="57" t="s">
        <v>286</v>
      </c>
      <c r="L800" s="57" t="s">
        <v>1662</v>
      </c>
      <c r="M800" s="57" t="s">
        <v>371</v>
      </c>
      <c r="N800" s="57" t="s">
        <v>289</v>
      </c>
      <c r="O800" s="57" t="s">
        <v>1663</v>
      </c>
      <c r="P800" s="57" t="s">
        <v>1666</v>
      </c>
      <c r="Q800" s="57" t="s">
        <v>694</v>
      </c>
    </row>
    <row r="801" s="50" customFormat="true" ht="14.25" hidden="false" customHeight="true" outlineLevel="0" collapsed="false">
      <c r="A801" s="50" t="s">
        <v>367</v>
      </c>
      <c r="B801" s="57" t="s">
        <v>367</v>
      </c>
      <c r="C801" s="57" t="s">
        <v>324</v>
      </c>
      <c r="D801" s="58" t="n">
        <v>46065.3763888889</v>
      </c>
      <c r="E801" s="58" t="n">
        <v>46065.3763888889</v>
      </c>
      <c r="F801" s="58" t="n">
        <v>46065.4277777778</v>
      </c>
      <c r="G801" s="59" t="n">
        <f aca="false">F801-E801</f>
        <v>0.0513888888888889</v>
      </c>
      <c r="H801" s="57" t="s">
        <v>252</v>
      </c>
      <c r="I801" s="57"/>
      <c r="J801" s="57" t="s">
        <v>253</v>
      </c>
      <c r="K801" s="57" t="s">
        <v>266</v>
      </c>
      <c r="L801" s="57" t="s">
        <v>1667</v>
      </c>
      <c r="M801" s="57" t="s">
        <v>255</v>
      </c>
      <c r="N801" s="57" t="s">
        <v>268</v>
      </c>
      <c r="O801" s="57" t="s">
        <v>1668</v>
      </c>
      <c r="P801" s="57" t="s">
        <v>1669</v>
      </c>
      <c r="Q801" s="57" t="s">
        <v>706</v>
      </c>
    </row>
    <row r="802" s="50" customFormat="true" ht="14.25" hidden="false" customHeight="true" outlineLevel="0" collapsed="false">
      <c r="A802" s="50" t="s">
        <v>367</v>
      </c>
      <c r="B802" s="57" t="s">
        <v>367</v>
      </c>
      <c r="C802" s="57" t="s">
        <v>328</v>
      </c>
      <c r="D802" s="58" t="n">
        <v>46065.3763888889</v>
      </c>
      <c r="E802" s="58" t="n">
        <v>46065.3763888889</v>
      </c>
      <c r="F802" s="58" t="n">
        <v>46065.4277777778</v>
      </c>
      <c r="G802" s="59" t="n">
        <f aca="false">F802-E802</f>
        <v>0.0513888888888889</v>
      </c>
      <c r="H802" s="57" t="s">
        <v>252</v>
      </c>
      <c r="I802" s="57"/>
      <c r="J802" s="57" t="s">
        <v>253</v>
      </c>
      <c r="K802" s="57" t="s">
        <v>266</v>
      </c>
      <c r="L802" s="57" t="s">
        <v>1667</v>
      </c>
      <c r="M802" s="57" t="s">
        <v>255</v>
      </c>
      <c r="N802" s="57" t="s">
        <v>268</v>
      </c>
      <c r="O802" s="57" t="s">
        <v>1668</v>
      </c>
      <c r="P802" s="57" t="s">
        <v>1670</v>
      </c>
      <c r="Q802" s="57" t="s">
        <v>706</v>
      </c>
    </row>
    <row r="803" s="50" customFormat="true" ht="14.25" hidden="false" customHeight="true" outlineLevel="0" collapsed="false">
      <c r="A803" s="50" t="s">
        <v>367</v>
      </c>
      <c r="B803" s="57" t="s">
        <v>367</v>
      </c>
      <c r="C803" s="57" t="s">
        <v>327</v>
      </c>
      <c r="D803" s="58" t="n">
        <v>46065.3763888889</v>
      </c>
      <c r="E803" s="58" t="n">
        <v>46065.3763888889</v>
      </c>
      <c r="F803" s="58" t="n">
        <v>46065.4277777778</v>
      </c>
      <c r="G803" s="59" t="n">
        <f aca="false">F803-E803</f>
        <v>0.0513888888888889</v>
      </c>
      <c r="H803" s="57" t="s">
        <v>252</v>
      </c>
      <c r="I803" s="57"/>
      <c r="J803" s="57" t="s">
        <v>253</v>
      </c>
      <c r="K803" s="57" t="s">
        <v>266</v>
      </c>
      <c r="L803" s="57" t="s">
        <v>1667</v>
      </c>
      <c r="M803" s="57" t="s">
        <v>255</v>
      </c>
      <c r="N803" s="57" t="s">
        <v>268</v>
      </c>
      <c r="O803" s="57" t="s">
        <v>1668</v>
      </c>
      <c r="P803" s="57" t="s">
        <v>1671</v>
      </c>
      <c r="Q803" s="57" t="s">
        <v>706</v>
      </c>
    </row>
    <row r="804" s="50" customFormat="true" ht="14.25" hidden="false" customHeight="true" outlineLevel="0" collapsed="false">
      <c r="A804" s="50" t="s">
        <v>367</v>
      </c>
      <c r="B804" s="57" t="s">
        <v>367</v>
      </c>
      <c r="C804" s="57" t="s">
        <v>265</v>
      </c>
      <c r="D804" s="58" t="n">
        <v>46065.3763888889</v>
      </c>
      <c r="E804" s="58" t="n">
        <v>46065.3763888889</v>
      </c>
      <c r="F804" s="58" t="n">
        <v>46065.4277777778</v>
      </c>
      <c r="G804" s="59" t="n">
        <f aca="false">F804-E804</f>
        <v>0.0513888888888889</v>
      </c>
      <c r="H804" s="57" t="s">
        <v>252</v>
      </c>
      <c r="I804" s="57"/>
      <c r="J804" s="57" t="s">
        <v>253</v>
      </c>
      <c r="K804" s="57" t="s">
        <v>266</v>
      </c>
      <c r="L804" s="57" t="s">
        <v>1667</v>
      </c>
      <c r="M804" s="57" t="s">
        <v>255</v>
      </c>
      <c r="N804" s="57" t="s">
        <v>268</v>
      </c>
      <c r="O804" s="57" t="s">
        <v>1668</v>
      </c>
      <c r="P804" s="57" t="s">
        <v>1672</v>
      </c>
      <c r="Q804" s="57" t="s">
        <v>706</v>
      </c>
    </row>
    <row r="805" s="50" customFormat="true" ht="14.25" hidden="false" customHeight="true" outlineLevel="0" collapsed="false">
      <c r="A805" s="50" t="s">
        <v>410</v>
      </c>
      <c r="B805" s="57" t="s">
        <v>410</v>
      </c>
      <c r="C805" s="57" t="s">
        <v>411</v>
      </c>
      <c r="D805" s="58" t="n">
        <v>46065.3819444444</v>
      </c>
      <c r="E805" s="58" t="n">
        <v>46065.3819444444</v>
      </c>
      <c r="F805" s="58" t="n">
        <v>46065.5138888889</v>
      </c>
      <c r="G805" s="59" t="n">
        <f aca="false">F805-E805</f>
        <v>0.131944444490741</v>
      </c>
      <c r="H805" s="57" t="s">
        <v>252</v>
      </c>
      <c r="I805" s="57"/>
      <c r="J805" s="57" t="s">
        <v>253</v>
      </c>
      <c r="K805" s="57" t="s">
        <v>266</v>
      </c>
      <c r="L805" s="60" t="s">
        <v>1604</v>
      </c>
      <c r="M805" s="57" t="s">
        <v>255</v>
      </c>
      <c r="N805" s="57" t="s">
        <v>256</v>
      </c>
      <c r="O805" s="57" t="s">
        <v>1605</v>
      </c>
      <c r="P805" s="57" t="s">
        <v>1673</v>
      </c>
      <c r="Q805" s="57" t="s">
        <v>706</v>
      </c>
    </row>
    <row r="806" s="50" customFormat="true" ht="14.25" hidden="false" customHeight="true" outlineLevel="0" collapsed="false">
      <c r="A806" s="50" t="s">
        <v>410</v>
      </c>
      <c r="B806" s="57" t="s">
        <v>410</v>
      </c>
      <c r="C806" s="57" t="s">
        <v>414</v>
      </c>
      <c r="D806" s="58" t="n">
        <v>46065.3819444444</v>
      </c>
      <c r="E806" s="58" t="n">
        <v>46065.3819444444</v>
      </c>
      <c r="F806" s="58" t="n">
        <v>46065.5138888889</v>
      </c>
      <c r="G806" s="59" t="n">
        <f aca="false">F806-E806</f>
        <v>0.131944444490741</v>
      </c>
      <c r="H806" s="57" t="s">
        <v>252</v>
      </c>
      <c r="I806" s="57"/>
      <c r="J806" s="57" t="s">
        <v>253</v>
      </c>
      <c r="K806" s="57" t="s">
        <v>266</v>
      </c>
      <c r="L806" s="60" t="s">
        <v>1604</v>
      </c>
      <c r="M806" s="57" t="s">
        <v>255</v>
      </c>
      <c r="N806" s="57" t="s">
        <v>256</v>
      </c>
      <c r="O806" s="57" t="s">
        <v>1605</v>
      </c>
      <c r="P806" s="57" t="s">
        <v>1674</v>
      </c>
      <c r="Q806" s="57" t="s">
        <v>706</v>
      </c>
    </row>
    <row r="807" s="50" customFormat="true" ht="14.25" hidden="false" customHeight="true" outlineLevel="0" collapsed="false">
      <c r="A807" s="50" t="s">
        <v>410</v>
      </c>
      <c r="B807" s="57" t="s">
        <v>410</v>
      </c>
      <c r="C807" s="57" t="s">
        <v>415</v>
      </c>
      <c r="D807" s="58" t="n">
        <v>46065.3819444444</v>
      </c>
      <c r="E807" s="58" t="n">
        <v>46065.3819444444</v>
      </c>
      <c r="F807" s="58" t="n">
        <v>46065.5138888889</v>
      </c>
      <c r="G807" s="59" t="n">
        <f aca="false">F807-E807</f>
        <v>0.131944444490741</v>
      </c>
      <c r="H807" s="57" t="s">
        <v>252</v>
      </c>
      <c r="I807" s="57"/>
      <c r="J807" s="57" t="s">
        <v>253</v>
      </c>
      <c r="K807" s="57" t="s">
        <v>266</v>
      </c>
      <c r="L807" s="60" t="s">
        <v>1604</v>
      </c>
      <c r="M807" s="57" t="s">
        <v>255</v>
      </c>
      <c r="N807" s="57" t="s">
        <v>256</v>
      </c>
      <c r="O807" s="57" t="s">
        <v>1605</v>
      </c>
      <c r="P807" s="57" t="s">
        <v>1675</v>
      </c>
      <c r="Q807" s="57" t="s">
        <v>706</v>
      </c>
    </row>
    <row r="808" s="50" customFormat="true" ht="14.25" hidden="false" customHeight="true" outlineLevel="0" collapsed="false">
      <c r="A808" s="50" t="s">
        <v>410</v>
      </c>
      <c r="B808" s="57" t="s">
        <v>410</v>
      </c>
      <c r="C808" s="57" t="s">
        <v>416</v>
      </c>
      <c r="D808" s="58" t="n">
        <v>46065.3819444444</v>
      </c>
      <c r="E808" s="58" t="n">
        <v>46065.3819444444</v>
      </c>
      <c r="F808" s="58" t="n">
        <v>46065.5138888889</v>
      </c>
      <c r="G808" s="59" t="n">
        <f aca="false">F808-E808</f>
        <v>0.131944444490741</v>
      </c>
      <c r="H808" s="57" t="s">
        <v>252</v>
      </c>
      <c r="I808" s="57"/>
      <c r="J808" s="57" t="s">
        <v>253</v>
      </c>
      <c r="K808" s="57" t="s">
        <v>266</v>
      </c>
      <c r="L808" s="60" t="s">
        <v>1604</v>
      </c>
      <c r="M808" s="57" t="s">
        <v>255</v>
      </c>
      <c r="N808" s="57" t="s">
        <v>256</v>
      </c>
      <c r="O808" s="57" t="s">
        <v>1605</v>
      </c>
      <c r="P808" s="57" t="s">
        <v>1676</v>
      </c>
      <c r="Q808" s="57" t="s">
        <v>706</v>
      </c>
    </row>
    <row r="809" s="50" customFormat="true" ht="14.25" hidden="false" customHeight="true" outlineLevel="0" collapsed="false">
      <c r="A809" s="50" t="s">
        <v>410</v>
      </c>
      <c r="B809" s="57" t="s">
        <v>410</v>
      </c>
      <c r="C809" s="57" t="s">
        <v>417</v>
      </c>
      <c r="D809" s="58" t="n">
        <v>46065.3819444444</v>
      </c>
      <c r="E809" s="58" t="n">
        <v>46065.3819444444</v>
      </c>
      <c r="F809" s="58" t="n">
        <v>46065.5138888889</v>
      </c>
      <c r="G809" s="59" t="n">
        <f aca="false">F809-E809</f>
        <v>0.131944444490741</v>
      </c>
      <c r="H809" s="57" t="s">
        <v>252</v>
      </c>
      <c r="I809" s="57"/>
      <c r="J809" s="57" t="s">
        <v>253</v>
      </c>
      <c r="K809" s="57" t="s">
        <v>266</v>
      </c>
      <c r="L809" s="60" t="s">
        <v>1604</v>
      </c>
      <c r="M809" s="57" t="s">
        <v>255</v>
      </c>
      <c r="N809" s="57" t="s">
        <v>256</v>
      </c>
      <c r="O809" s="57" t="s">
        <v>1605</v>
      </c>
      <c r="P809" s="57" t="s">
        <v>1677</v>
      </c>
      <c r="Q809" s="57" t="s">
        <v>706</v>
      </c>
    </row>
    <row r="810" s="50" customFormat="true" ht="14.25" hidden="false" customHeight="true" outlineLevel="0" collapsed="false">
      <c r="A810" s="50" t="s">
        <v>323</v>
      </c>
      <c r="B810" s="57" t="s">
        <v>323</v>
      </c>
      <c r="C810" s="57" t="s">
        <v>324</v>
      </c>
      <c r="D810" s="58" t="n">
        <v>46065.5833333333</v>
      </c>
      <c r="E810" s="58" t="n">
        <v>46065.5833333333</v>
      </c>
      <c r="F810" s="58" t="n">
        <v>46065.5868055556</v>
      </c>
      <c r="G810" s="59" t="n">
        <f aca="false">F810-E810</f>
        <v>0.00347222230324074</v>
      </c>
      <c r="H810" s="57" t="s">
        <v>252</v>
      </c>
      <c r="I810" s="57"/>
      <c r="J810" s="57" t="s">
        <v>253</v>
      </c>
      <c r="K810" s="57" t="s">
        <v>266</v>
      </c>
      <c r="L810" s="57" t="s">
        <v>1678</v>
      </c>
      <c r="M810" s="57" t="s">
        <v>255</v>
      </c>
      <c r="N810" s="57" t="s">
        <v>268</v>
      </c>
      <c r="O810" s="57" t="s">
        <v>1679</v>
      </c>
      <c r="P810" s="57" t="s">
        <v>1680</v>
      </c>
      <c r="Q810" s="57" t="s">
        <v>706</v>
      </c>
    </row>
    <row r="811" s="50" customFormat="true" ht="14.25" hidden="false" customHeight="true" outlineLevel="0" collapsed="false">
      <c r="A811" s="50" t="s">
        <v>323</v>
      </c>
      <c r="B811" s="57" t="s">
        <v>323</v>
      </c>
      <c r="C811" s="57" t="s">
        <v>326</v>
      </c>
      <c r="D811" s="58" t="n">
        <v>46065.5833333333</v>
      </c>
      <c r="E811" s="58" t="n">
        <v>46065.5833333333</v>
      </c>
      <c r="F811" s="58" t="n">
        <v>46065.5868055556</v>
      </c>
      <c r="G811" s="59" t="n">
        <f aca="false">F811-E811</f>
        <v>0.00347222230324074</v>
      </c>
      <c r="H811" s="57" t="s">
        <v>252</v>
      </c>
      <c r="I811" s="57"/>
      <c r="J811" s="57" t="s">
        <v>253</v>
      </c>
      <c r="K811" s="57" t="s">
        <v>266</v>
      </c>
      <c r="L811" s="57" t="s">
        <v>1678</v>
      </c>
      <c r="M811" s="57" t="s">
        <v>255</v>
      </c>
      <c r="N811" s="57" t="s">
        <v>268</v>
      </c>
      <c r="O811" s="57" t="s">
        <v>1679</v>
      </c>
      <c r="P811" s="57" t="s">
        <v>1681</v>
      </c>
      <c r="Q811" s="57" t="s">
        <v>706</v>
      </c>
    </row>
    <row r="812" s="50" customFormat="true" ht="14.25" hidden="false" customHeight="true" outlineLevel="0" collapsed="false">
      <c r="A812" s="50" t="s">
        <v>323</v>
      </c>
      <c r="B812" s="57" t="s">
        <v>323</v>
      </c>
      <c r="C812" s="57" t="s">
        <v>327</v>
      </c>
      <c r="D812" s="58" t="n">
        <v>46065.5833333333</v>
      </c>
      <c r="E812" s="58" t="n">
        <v>46065.5833333333</v>
      </c>
      <c r="F812" s="58" t="n">
        <v>46065.5868055556</v>
      </c>
      <c r="G812" s="59" t="n">
        <f aca="false">F812-E812</f>
        <v>0.00347222230324074</v>
      </c>
      <c r="H812" s="57" t="s">
        <v>252</v>
      </c>
      <c r="I812" s="57"/>
      <c r="J812" s="57" t="s">
        <v>253</v>
      </c>
      <c r="K812" s="57" t="s">
        <v>266</v>
      </c>
      <c r="L812" s="57" t="s">
        <v>1678</v>
      </c>
      <c r="M812" s="57" t="s">
        <v>255</v>
      </c>
      <c r="N812" s="57" t="s">
        <v>268</v>
      </c>
      <c r="O812" s="57" t="s">
        <v>1679</v>
      </c>
      <c r="P812" s="57" t="s">
        <v>1682</v>
      </c>
      <c r="Q812" s="57" t="s">
        <v>706</v>
      </c>
    </row>
    <row r="813" s="50" customFormat="true" ht="14.25" hidden="false" customHeight="true" outlineLevel="0" collapsed="false">
      <c r="A813" s="50" t="s">
        <v>323</v>
      </c>
      <c r="B813" s="57" t="s">
        <v>323</v>
      </c>
      <c r="C813" s="57" t="s">
        <v>328</v>
      </c>
      <c r="D813" s="58" t="n">
        <v>46065.5833333333</v>
      </c>
      <c r="E813" s="58" t="n">
        <v>46065.5833333333</v>
      </c>
      <c r="F813" s="58" t="n">
        <v>46065.5868055556</v>
      </c>
      <c r="G813" s="59" t="n">
        <f aca="false">F813-E813</f>
        <v>0.00347222230324074</v>
      </c>
      <c r="H813" s="57" t="s">
        <v>252</v>
      </c>
      <c r="I813" s="57"/>
      <c r="J813" s="57" t="s">
        <v>253</v>
      </c>
      <c r="K813" s="57" t="s">
        <v>266</v>
      </c>
      <c r="L813" s="57" t="s">
        <v>1678</v>
      </c>
      <c r="M813" s="57" t="s">
        <v>255</v>
      </c>
      <c r="N813" s="57" t="s">
        <v>268</v>
      </c>
      <c r="O813" s="57" t="s">
        <v>1679</v>
      </c>
      <c r="P813" s="57" t="s">
        <v>1683</v>
      </c>
      <c r="Q813" s="57" t="s">
        <v>706</v>
      </c>
    </row>
    <row r="814" s="50" customFormat="true" ht="14.25" hidden="false" customHeight="true" outlineLevel="0" collapsed="false">
      <c r="A814" s="50" t="s">
        <v>329</v>
      </c>
      <c r="B814" s="57" t="s">
        <v>329</v>
      </c>
      <c r="C814" s="57" t="s">
        <v>324</v>
      </c>
      <c r="D814" s="58" t="n">
        <v>46065.5833333333</v>
      </c>
      <c r="E814" s="58" t="n">
        <v>46065.5833333333</v>
      </c>
      <c r="F814" s="58" t="n">
        <v>46065.5868055556</v>
      </c>
      <c r="G814" s="59" t="n">
        <f aca="false">F814-E814</f>
        <v>0.00347222230324074</v>
      </c>
      <c r="H814" s="57" t="s">
        <v>252</v>
      </c>
      <c r="I814" s="57"/>
      <c r="J814" s="57" t="s">
        <v>253</v>
      </c>
      <c r="K814" s="57" t="s">
        <v>266</v>
      </c>
      <c r="L814" s="57" t="s">
        <v>1678</v>
      </c>
      <c r="M814" s="57" t="s">
        <v>255</v>
      </c>
      <c r="N814" s="57" t="s">
        <v>268</v>
      </c>
      <c r="O814" s="57" t="s">
        <v>1679</v>
      </c>
      <c r="P814" s="57" t="s">
        <v>1684</v>
      </c>
      <c r="Q814" s="57" t="s">
        <v>706</v>
      </c>
    </row>
    <row r="815" s="50" customFormat="true" ht="14.25" hidden="false" customHeight="true" outlineLevel="0" collapsed="false">
      <c r="A815" s="50" t="s">
        <v>329</v>
      </c>
      <c r="B815" s="57" t="s">
        <v>329</v>
      </c>
      <c r="C815" s="57" t="s">
        <v>326</v>
      </c>
      <c r="D815" s="58" t="n">
        <v>46065.5833333333</v>
      </c>
      <c r="E815" s="58" t="n">
        <v>46065.5833333333</v>
      </c>
      <c r="F815" s="58" t="n">
        <v>46065.5868055556</v>
      </c>
      <c r="G815" s="59" t="n">
        <f aca="false">F815-E815</f>
        <v>0.00347222230324074</v>
      </c>
      <c r="H815" s="57" t="s">
        <v>252</v>
      </c>
      <c r="I815" s="57"/>
      <c r="J815" s="57" t="s">
        <v>253</v>
      </c>
      <c r="K815" s="57" t="s">
        <v>266</v>
      </c>
      <c r="L815" s="57" t="s">
        <v>1678</v>
      </c>
      <c r="M815" s="57" t="s">
        <v>255</v>
      </c>
      <c r="N815" s="57" t="s">
        <v>268</v>
      </c>
      <c r="O815" s="57" t="s">
        <v>1679</v>
      </c>
      <c r="P815" s="57" t="s">
        <v>1685</v>
      </c>
      <c r="Q815" s="57" t="s">
        <v>706</v>
      </c>
    </row>
    <row r="816" s="50" customFormat="true" ht="14.25" hidden="false" customHeight="true" outlineLevel="0" collapsed="false">
      <c r="A816" s="50" t="s">
        <v>329</v>
      </c>
      <c r="B816" s="57" t="s">
        <v>329</v>
      </c>
      <c r="C816" s="57" t="s">
        <v>327</v>
      </c>
      <c r="D816" s="58" t="n">
        <v>46065.5833333333</v>
      </c>
      <c r="E816" s="58" t="n">
        <v>46065.5833333333</v>
      </c>
      <c r="F816" s="58" t="n">
        <v>46065.5868055556</v>
      </c>
      <c r="G816" s="59" t="n">
        <f aca="false">F816-E816</f>
        <v>0.00347222230324074</v>
      </c>
      <c r="H816" s="57" t="s">
        <v>252</v>
      </c>
      <c r="I816" s="57"/>
      <c r="J816" s="57" t="s">
        <v>253</v>
      </c>
      <c r="K816" s="57" t="s">
        <v>266</v>
      </c>
      <c r="L816" s="57" t="s">
        <v>1678</v>
      </c>
      <c r="M816" s="57" t="s">
        <v>255</v>
      </c>
      <c r="N816" s="57" t="s">
        <v>268</v>
      </c>
      <c r="O816" s="57" t="s">
        <v>1679</v>
      </c>
      <c r="P816" s="57" t="s">
        <v>1686</v>
      </c>
      <c r="Q816" s="57" t="s">
        <v>706</v>
      </c>
    </row>
    <row r="817" s="50" customFormat="true" ht="14.25" hidden="false" customHeight="true" outlineLevel="0" collapsed="false">
      <c r="A817" s="50" t="s">
        <v>329</v>
      </c>
      <c r="B817" s="57" t="s">
        <v>329</v>
      </c>
      <c r="C817" s="57" t="s">
        <v>328</v>
      </c>
      <c r="D817" s="58" t="n">
        <v>46065.5833333333</v>
      </c>
      <c r="E817" s="58" t="n">
        <v>46065.5833333333</v>
      </c>
      <c r="F817" s="58" t="n">
        <v>46065.5868055556</v>
      </c>
      <c r="G817" s="59" t="n">
        <f aca="false">F817-E817</f>
        <v>0.00347222230324074</v>
      </c>
      <c r="H817" s="57" t="s">
        <v>252</v>
      </c>
      <c r="I817" s="57"/>
      <c r="J817" s="57" t="s">
        <v>253</v>
      </c>
      <c r="K817" s="57" t="s">
        <v>266</v>
      </c>
      <c r="L817" s="57" t="s">
        <v>1678</v>
      </c>
      <c r="M817" s="57" t="s">
        <v>255</v>
      </c>
      <c r="N817" s="57" t="s">
        <v>268</v>
      </c>
      <c r="O817" s="57" t="s">
        <v>1679</v>
      </c>
      <c r="P817" s="57" t="s">
        <v>1687</v>
      </c>
      <c r="Q817" s="57" t="s">
        <v>706</v>
      </c>
    </row>
    <row r="818" s="50" customFormat="true" ht="14.25" hidden="false" customHeight="true" outlineLevel="0" collapsed="false">
      <c r="A818" s="50" t="s">
        <v>727</v>
      </c>
      <c r="B818" s="57" t="s">
        <v>727</v>
      </c>
      <c r="C818" s="57" t="s">
        <v>265</v>
      </c>
      <c r="D818" s="58" t="n">
        <v>46065.6111111111</v>
      </c>
      <c r="E818" s="58" t="n">
        <v>46065.6111111111</v>
      </c>
      <c r="F818" s="58" t="n">
        <v>46066.3125</v>
      </c>
      <c r="G818" s="59" t="n">
        <f aca="false">F818-E818</f>
        <v>0.701388888888889</v>
      </c>
      <c r="H818" s="57" t="s">
        <v>384</v>
      </c>
      <c r="I818" s="57"/>
      <c r="J818" s="57" t="s">
        <v>234</v>
      </c>
      <c r="K818" s="57" t="s">
        <v>234</v>
      </c>
      <c r="L818" s="57" t="s">
        <v>1688</v>
      </c>
      <c r="M818" s="57" t="s">
        <v>386</v>
      </c>
      <c r="N818" s="57" t="s">
        <v>440</v>
      </c>
      <c r="O818" s="57" t="s">
        <v>1689</v>
      </c>
      <c r="P818" s="57" t="s">
        <v>1690</v>
      </c>
      <c r="Q818" s="57" t="s">
        <v>1141</v>
      </c>
    </row>
    <row r="819" s="50" customFormat="true" ht="14.25" hidden="false" customHeight="true" outlineLevel="0" collapsed="false">
      <c r="A819" s="50" t="s">
        <v>450</v>
      </c>
      <c r="B819" s="57" t="s">
        <v>450</v>
      </c>
      <c r="C819" s="57" t="s">
        <v>326</v>
      </c>
      <c r="D819" s="58" t="n">
        <v>46065.7013888889</v>
      </c>
      <c r="E819" s="58" t="n">
        <v>46065.7013888889</v>
      </c>
      <c r="F819" s="58" t="n">
        <v>46065.8881944444</v>
      </c>
      <c r="G819" s="59" t="n">
        <f aca="false">F819-E819</f>
        <v>0.186805555497685</v>
      </c>
      <c r="H819" s="57" t="s">
        <v>252</v>
      </c>
      <c r="I819" s="57"/>
      <c r="J819" s="57" t="s">
        <v>253</v>
      </c>
      <c r="K819" s="57" t="s">
        <v>266</v>
      </c>
      <c r="L819" s="57" t="s">
        <v>1691</v>
      </c>
      <c r="M819" s="57" t="s">
        <v>255</v>
      </c>
      <c r="N819" s="57" t="s">
        <v>268</v>
      </c>
      <c r="O819" s="57" t="s">
        <v>1692</v>
      </c>
      <c r="P819" s="57" t="s">
        <v>1693</v>
      </c>
      <c r="Q819" s="57" t="s">
        <v>706</v>
      </c>
    </row>
    <row r="820" s="50" customFormat="true" ht="14.25" hidden="false" customHeight="true" outlineLevel="0" collapsed="false">
      <c r="A820" s="50" t="s">
        <v>450</v>
      </c>
      <c r="B820" s="57" t="s">
        <v>450</v>
      </c>
      <c r="C820" s="57" t="s">
        <v>324</v>
      </c>
      <c r="D820" s="58" t="n">
        <v>46065.7013888889</v>
      </c>
      <c r="E820" s="58" t="n">
        <v>46065.7013888889</v>
      </c>
      <c r="F820" s="58" t="n">
        <v>46065.8881944444</v>
      </c>
      <c r="G820" s="59" t="n">
        <f aca="false">F820-E820</f>
        <v>0.186805555497685</v>
      </c>
      <c r="H820" s="57" t="s">
        <v>252</v>
      </c>
      <c r="I820" s="57"/>
      <c r="J820" s="57" t="s">
        <v>253</v>
      </c>
      <c r="K820" s="57" t="s">
        <v>266</v>
      </c>
      <c r="L820" s="57" t="s">
        <v>1691</v>
      </c>
      <c r="M820" s="57" t="s">
        <v>255</v>
      </c>
      <c r="N820" s="57" t="s">
        <v>268</v>
      </c>
      <c r="O820" s="57" t="s">
        <v>1692</v>
      </c>
      <c r="P820" s="57" t="s">
        <v>1694</v>
      </c>
      <c r="Q820" s="57" t="s">
        <v>706</v>
      </c>
    </row>
    <row r="821" s="50" customFormat="true" ht="14.25" hidden="false" customHeight="true" outlineLevel="0" collapsed="false">
      <c r="A821" s="50" t="s">
        <v>450</v>
      </c>
      <c r="B821" s="57" t="s">
        <v>450</v>
      </c>
      <c r="C821" s="57" t="s">
        <v>328</v>
      </c>
      <c r="D821" s="58" t="n">
        <v>46065.7013888889</v>
      </c>
      <c r="E821" s="58" t="n">
        <v>46065.7013888889</v>
      </c>
      <c r="F821" s="58" t="n">
        <v>46065.8881944444</v>
      </c>
      <c r="G821" s="59" t="n">
        <f aca="false">F821-E821</f>
        <v>0.186805555497685</v>
      </c>
      <c r="H821" s="57" t="s">
        <v>252</v>
      </c>
      <c r="I821" s="57"/>
      <c r="J821" s="57" t="s">
        <v>253</v>
      </c>
      <c r="K821" s="57" t="s">
        <v>266</v>
      </c>
      <c r="L821" s="57" t="s">
        <v>1691</v>
      </c>
      <c r="M821" s="57" t="s">
        <v>255</v>
      </c>
      <c r="N821" s="57" t="s">
        <v>268</v>
      </c>
      <c r="O821" s="57" t="s">
        <v>1692</v>
      </c>
      <c r="P821" s="57" t="s">
        <v>1695</v>
      </c>
      <c r="Q821" s="57" t="s">
        <v>706</v>
      </c>
    </row>
    <row r="822" s="50" customFormat="true" ht="14.25" hidden="false" customHeight="true" outlineLevel="0" collapsed="false">
      <c r="A822" s="50" t="s">
        <v>450</v>
      </c>
      <c r="B822" s="57" t="s">
        <v>450</v>
      </c>
      <c r="C822" s="57" t="s">
        <v>327</v>
      </c>
      <c r="D822" s="58" t="n">
        <v>46065.7013888889</v>
      </c>
      <c r="E822" s="58" t="n">
        <v>46065.7013888889</v>
      </c>
      <c r="F822" s="58" t="n">
        <v>46065.8881944444</v>
      </c>
      <c r="G822" s="59" t="n">
        <f aca="false">F822-E822</f>
        <v>0.186805555497685</v>
      </c>
      <c r="H822" s="57" t="s">
        <v>252</v>
      </c>
      <c r="I822" s="57"/>
      <c r="J822" s="57" t="s">
        <v>253</v>
      </c>
      <c r="K822" s="57" t="s">
        <v>266</v>
      </c>
      <c r="L822" s="57" t="s">
        <v>1691</v>
      </c>
      <c r="M822" s="57" t="s">
        <v>255</v>
      </c>
      <c r="N822" s="57" t="s">
        <v>268</v>
      </c>
      <c r="O822" s="57" t="s">
        <v>1692</v>
      </c>
      <c r="P822" s="57" t="s">
        <v>1696</v>
      </c>
      <c r="Q822" s="57" t="s">
        <v>706</v>
      </c>
    </row>
    <row r="823" s="50" customFormat="true" ht="14.25" hidden="false" customHeight="true" outlineLevel="0" collapsed="false">
      <c r="A823" s="50" t="s">
        <v>337</v>
      </c>
      <c r="B823" s="57" t="s">
        <v>337</v>
      </c>
      <c r="C823" s="57" t="s">
        <v>326</v>
      </c>
      <c r="D823" s="58" t="n">
        <v>46065.7013888889</v>
      </c>
      <c r="E823" s="58" t="n">
        <v>46065.7013888889</v>
      </c>
      <c r="F823" s="58" t="n">
        <v>46065.8881944444</v>
      </c>
      <c r="G823" s="59" t="n">
        <f aca="false">F823-E823</f>
        <v>0.186805555497685</v>
      </c>
      <c r="H823" s="57" t="s">
        <v>252</v>
      </c>
      <c r="I823" s="57"/>
      <c r="J823" s="57" t="s">
        <v>253</v>
      </c>
      <c r="K823" s="57" t="s">
        <v>266</v>
      </c>
      <c r="L823" s="57" t="s">
        <v>1691</v>
      </c>
      <c r="M823" s="57" t="s">
        <v>255</v>
      </c>
      <c r="N823" s="57" t="s">
        <v>268</v>
      </c>
      <c r="O823" s="57" t="s">
        <v>1692</v>
      </c>
      <c r="P823" s="57" t="s">
        <v>1697</v>
      </c>
      <c r="Q823" s="57" t="s">
        <v>706</v>
      </c>
    </row>
    <row r="824" s="50" customFormat="true" ht="14.25" hidden="false" customHeight="true" outlineLevel="0" collapsed="false">
      <c r="A824" s="50" t="s">
        <v>337</v>
      </c>
      <c r="B824" s="57" t="s">
        <v>337</v>
      </c>
      <c r="C824" s="57" t="s">
        <v>324</v>
      </c>
      <c r="D824" s="58" t="n">
        <v>46065.7013888889</v>
      </c>
      <c r="E824" s="58" t="n">
        <v>46065.7013888889</v>
      </c>
      <c r="F824" s="58" t="n">
        <v>46065.8881944444</v>
      </c>
      <c r="G824" s="59" t="n">
        <f aca="false">F824-E824</f>
        <v>0.186805555497685</v>
      </c>
      <c r="H824" s="57" t="s">
        <v>252</v>
      </c>
      <c r="I824" s="57"/>
      <c r="J824" s="57" t="s">
        <v>253</v>
      </c>
      <c r="K824" s="57" t="s">
        <v>266</v>
      </c>
      <c r="L824" s="57" t="s">
        <v>1691</v>
      </c>
      <c r="M824" s="57" t="s">
        <v>255</v>
      </c>
      <c r="N824" s="57" t="s">
        <v>268</v>
      </c>
      <c r="O824" s="57" t="s">
        <v>1692</v>
      </c>
      <c r="P824" s="57" t="s">
        <v>1698</v>
      </c>
      <c r="Q824" s="57" t="s">
        <v>706</v>
      </c>
    </row>
    <row r="825" s="50" customFormat="true" ht="14.25" hidden="false" customHeight="true" outlineLevel="0" collapsed="false">
      <c r="A825" s="50" t="s">
        <v>337</v>
      </c>
      <c r="B825" s="57" t="s">
        <v>337</v>
      </c>
      <c r="C825" s="57" t="s">
        <v>328</v>
      </c>
      <c r="D825" s="58" t="n">
        <v>46065.7013888889</v>
      </c>
      <c r="E825" s="58" t="n">
        <v>46065.7013888889</v>
      </c>
      <c r="F825" s="58" t="n">
        <v>46065.8881944444</v>
      </c>
      <c r="G825" s="59" t="n">
        <f aca="false">F825-E825</f>
        <v>0.186805555497685</v>
      </c>
      <c r="H825" s="57" t="s">
        <v>252</v>
      </c>
      <c r="I825" s="57"/>
      <c r="J825" s="57" t="s">
        <v>253</v>
      </c>
      <c r="K825" s="57" t="s">
        <v>266</v>
      </c>
      <c r="L825" s="57" t="s">
        <v>1691</v>
      </c>
      <c r="M825" s="57" t="s">
        <v>255</v>
      </c>
      <c r="N825" s="57" t="s">
        <v>268</v>
      </c>
      <c r="O825" s="57" t="s">
        <v>1692</v>
      </c>
      <c r="P825" s="57" t="s">
        <v>1699</v>
      </c>
      <c r="Q825" s="57" t="s">
        <v>706</v>
      </c>
    </row>
    <row r="826" s="50" customFormat="true" ht="14.25" hidden="false" customHeight="true" outlineLevel="0" collapsed="false">
      <c r="A826" s="50" t="s">
        <v>337</v>
      </c>
      <c r="B826" s="57" t="s">
        <v>337</v>
      </c>
      <c r="C826" s="57" t="s">
        <v>327</v>
      </c>
      <c r="D826" s="58" t="n">
        <v>46065.7013888889</v>
      </c>
      <c r="E826" s="58" t="n">
        <v>46065.7013888889</v>
      </c>
      <c r="F826" s="58" t="n">
        <v>46065.8881944444</v>
      </c>
      <c r="G826" s="59" t="n">
        <f aca="false">F826-E826</f>
        <v>0.186805555497685</v>
      </c>
      <c r="H826" s="57" t="s">
        <v>252</v>
      </c>
      <c r="I826" s="57"/>
      <c r="J826" s="57" t="s">
        <v>253</v>
      </c>
      <c r="K826" s="57" t="s">
        <v>266</v>
      </c>
      <c r="L826" s="57" t="s">
        <v>1691</v>
      </c>
      <c r="M826" s="57" t="s">
        <v>255</v>
      </c>
      <c r="N826" s="57" t="s">
        <v>268</v>
      </c>
      <c r="O826" s="57" t="s">
        <v>1692</v>
      </c>
      <c r="P826" s="57" t="s">
        <v>1700</v>
      </c>
      <c r="Q826" s="57" t="s">
        <v>706</v>
      </c>
    </row>
    <row r="827" s="50" customFormat="true" ht="14.25" hidden="false" customHeight="true" outlineLevel="0" collapsed="false">
      <c r="A827" s="50" t="s">
        <v>451</v>
      </c>
      <c r="B827" s="57" t="s">
        <v>451</v>
      </c>
      <c r="C827" s="57" t="s">
        <v>326</v>
      </c>
      <c r="D827" s="58" t="n">
        <v>46065.7013888889</v>
      </c>
      <c r="E827" s="58" t="n">
        <v>46065.7013888889</v>
      </c>
      <c r="F827" s="58" t="n">
        <v>46065.8881944444</v>
      </c>
      <c r="G827" s="59" t="n">
        <f aca="false">F827-E827</f>
        <v>0.186805555497685</v>
      </c>
      <c r="H827" s="57" t="s">
        <v>252</v>
      </c>
      <c r="I827" s="57"/>
      <c r="J827" s="57" t="s">
        <v>253</v>
      </c>
      <c r="K827" s="57" t="s">
        <v>266</v>
      </c>
      <c r="L827" s="57" t="s">
        <v>1691</v>
      </c>
      <c r="M827" s="57" t="s">
        <v>255</v>
      </c>
      <c r="N827" s="57" t="s">
        <v>268</v>
      </c>
      <c r="O827" s="57" t="s">
        <v>1692</v>
      </c>
      <c r="P827" s="57" t="s">
        <v>1701</v>
      </c>
      <c r="Q827" s="57" t="s">
        <v>706</v>
      </c>
    </row>
    <row r="828" s="50" customFormat="true" ht="14.25" hidden="false" customHeight="true" outlineLevel="0" collapsed="false">
      <c r="A828" s="50" t="s">
        <v>451</v>
      </c>
      <c r="B828" s="57" t="s">
        <v>451</v>
      </c>
      <c r="C828" s="57" t="s">
        <v>324</v>
      </c>
      <c r="D828" s="58" t="n">
        <v>46065.7013888889</v>
      </c>
      <c r="E828" s="58" t="n">
        <v>46065.7013888889</v>
      </c>
      <c r="F828" s="58" t="n">
        <v>46065.8881944444</v>
      </c>
      <c r="G828" s="59" t="n">
        <f aca="false">F828-E828</f>
        <v>0.186805555497685</v>
      </c>
      <c r="H828" s="57" t="s">
        <v>252</v>
      </c>
      <c r="I828" s="57"/>
      <c r="J828" s="57" t="s">
        <v>253</v>
      </c>
      <c r="K828" s="57" t="s">
        <v>266</v>
      </c>
      <c r="L828" s="57" t="s">
        <v>1691</v>
      </c>
      <c r="M828" s="57" t="s">
        <v>255</v>
      </c>
      <c r="N828" s="57" t="s">
        <v>268</v>
      </c>
      <c r="O828" s="57" t="s">
        <v>1692</v>
      </c>
      <c r="P828" s="57" t="s">
        <v>1702</v>
      </c>
      <c r="Q828" s="57" t="s">
        <v>706</v>
      </c>
    </row>
    <row r="829" s="50" customFormat="true" ht="14.25" hidden="false" customHeight="true" outlineLevel="0" collapsed="false">
      <c r="A829" s="50" t="s">
        <v>339</v>
      </c>
      <c r="B829" s="57" t="s">
        <v>339</v>
      </c>
      <c r="C829" s="57" t="s">
        <v>324</v>
      </c>
      <c r="D829" s="58" t="n">
        <v>46065.7013888889</v>
      </c>
      <c r="E829" s="58" t="n">
        <v>46065.7013888889</v>
      </c>
      <c r="F829" s="58" t="n">
        <v>46065.8881944444</v>
      </c>
      <c r="G829" s="59" t="n">
        <f aca="false">F829-E829</f>
        <v>0.186805555497685</v>
      </c>
      <c r="H829" s="57" t="s">
        <v>252</v>
      </c>
      <c r="I829" s="57"/>
      <c r="J829" s="57" t="s">
        <v>253</v>
      </c>
      <c r="K829" s="57" t="s">
        <v>266</v>
      </c>
      <c r="L829" s="57" t="s">
        <v>1691</v>
      </c>
      <c r="M829" s="57" t="s">
        <v>255</v>
      </c>
      <c r="N829" s="57" t="s">
        <v>268</v>
      </c>
      <c r="O829" s="57" t="s">
        <v>1692</v>
      </c>
      <c r="P829" s="57" t="s">
        <v>1703</v>
      </c>
      <c r="Q829" s="57" t="s">
        <v>706</v>
      </c>
    </row>
    <row r="830" s="50" customFormat="true" ht="14.25" hidden="false" customHeight="true" outlineLevel="0" collapsed="false">
      <c r="A830" s="50" t="s">
        <v>339</v>
      </c>
      <c r="B830" s="57" t="s">
        <v>339</v>
      </c>
      <c r="C830" s="57" t="s">
        <v>327</v>
      </c>
      <c r="D830" s="58" t="n">
        <v>46065.7013888889</v>
      </c>
      <c r="E830" s="58" t="n">
        <v>46065.7013888889</v>
      </c>
      <c r="F830" s="58" t="n">
        <v>46065.8881944444</v>
      </c>
      <c r="G830" s="59" t="n">
        <f aca="false">F830-E830</f>
        <v>0.186805555497685</v>
      </c>
      <c r="H830" s="57" t="s">
        <v>252</v>
      </c>
      <c r="I830" s="57"/>
      <c r="J830" s="57" t="s">
        <v>253</v>
      </c>
      <c r="K830" s="57" t="s">
        <v>266</v>
      </c>
      <c r="L830" s="57" t="s">
        <v>1691</v>
      </c>
      <c r="M830" s="57" t="s">
        <v>255</v>
      </c>
      <c r="N830" s="57" t="s">
        <v>268</v>
      </c>
      <c r="O830" s="57" t="s">
        <v>1692</v>
      </c>
      <c r="P830" s="57" t="s">
        <v>1704</v>
      </c>
      <c r="Q830" s="57" t="s">
        <v>706</v>
      </c>
    </row>
    <row r="831" s="50" customFormat="true" ht="14.25" hidden="false" customHeight="true" outlineLevel="0" collapsed="false">
      <c r="A831" s="50" t="s">
        <v>339</v>
      </c>
      <c r="B831" s="57" t="s">
        <v>339</v>
      </c>
      <c r="C831" s="57" t="s">
        <v>326</v>
      </c>
      <c r="D831" s="58" t="n">
        <v>46065.7013888889</v>
      </c>
      <c r="E831" s="58" t="n">
        <v>46065.7013888889</v>
      </c>
      <c r="F831" s="58" t="n">
        <v>46065.8881944444</v>
      </c>
      <c r="G831" s="59" t="n">
        <f aca="false">F831-E831</f>
        <v>0.186805555497685</v>
      </c>
      <c r="H831" s="57" t="s">
        <v>252</v>
      </c>
      <c r="I831" s="57"/>
      <c r="J831" s="57" t="s">
        <v>253</v>
      </c>
      <c r="K831" s="57" t="s">
        <v>266</v>
      </c>
      <c r="L831" s="57" t="s">
        <v>1691</v>
      </c>
      <c r="M831" s="57" t="s">
        <v>255</v>
      </c>
      <c r="N831" s="57" t="s">
        <v>268</v>
      </c>
      <c r="O831" s="57" t="s">
        <v>1692</v>
      </c>
      <c r="P831" s="57" t="s">
        <v>1705</v>
      </c>
      <c r="Q831" s="57" t="s">
        <v>706</v>
      </c>
    </row>
    <row r="832" s="50" customFormat="true" ht="14.25" hidden="false" customHeight="true" outlineLevel="0" collapsed="false">
      <c r="A832" s="50" t="s">
        <v>339</v>
      </c>
      <c r="B832" s="57" t="s">
        <v>339</v>
      </c>
      <c r="C832" s="57" t="s">
        <v>265</v>
      </c>
      <c r="D832" s="58" t="n">
        <v>46065.7013888889</v>
      </c>
      <c r="E832" s="58" t="n">
        <v>46065.7013888889</v>
      </c>
      <c r="F832" s="58" t="n">
        <v>46065.8881944444</v>
      </c>
      <c r="G832" s="59" t="n">
        <f aca="false">F832-E832</f>
        <v>0.186805555497685</v>
      </c>
      <c r="H832" s="57" t="s">
        <v>252</v>
      </c>
      <c r="I832" s="57"/>
      <c r="J832" s="57" t="s">
        <v>253</v>
      </c>
      <c r="K832" s="57" t="s">
        <v>266</v>
      </c>
      <c r="L832" s="57" t="s">
        <v>1691</v>
      </c>
      <c r="M832" s="57" t="s">
        <v>255</v>
      </c>
      <c r="N832" s="57" t="s">
        <v>268</v>
      </c>
      <c r="O832" s="57" t="s">
        <v>1692</v>
      </c>
      <c r="P832" s="57" t="s">
        <v>1706</v>
      </c>
      <c r="Q832" s="57" t="s">
        <v>706</v>
      </c>
    </row>
    <row r="833" s="50" customFormat="true" ht="14.25" hidden="false" customHeight="true" outlineLevel="0" collapsed="false">
      <c r="A833" s="50" t="s">
        <v>340</v>
      </c>
      <c r="B833" s="57" t="s">
        <v>340</v>
      </c>
      <c r="C833" s="57" t="s">
        <v>327</v>
      </c>
      <c r="D833" s="58" t="n">
        <v>46065.7013888889</v>
      </c>
      <c r="E833" s="58" t="n">
        <v>46065.7013888889</v>
      </c>
      <c r="F833" s="58" t="n">
        <v>46065.8881944444</v>
      </c>
      <c r="G833" s="59" t="n">
        <f aca="false">F833-E833</f>
        <v>0.186805555497685</v>
      </c>
      <c r="H833" s="57" t="s">
        <v>252</v>
      </c>
      <c r="I833" s="57"/>
      <c r="J833" s="57" t="s">
        <v>253</v>
      </c>
      <c r="K833" s="57" t="s">
        <v>266</v>
      </c>
      <c r="L833" s="57" t="s">
        <v>1691</v>
      </c>
      <c r="M833" s="57" t="s">
        <v>255</v>
      </c>
      <c r="N833" s="57" t="s">
        <v>268</v>
      </c>
      <c r="O833" s="57" t="s">
        <v>1692</v>
      </c>
      <c r="P833" s="57" t="s">
        <v>1707</v>
      </c>
      <c r="Q833" s="57" t="s">
        <v>706</v>
      </c>
    </row>
    <row r="834" s="50" customFormat="true" ht="14.25" hidden="false" customHeight="true" outlineLevel="0" collapsed="false">
      <c r="A834" s="50" t="s">
        <v>340</v>
      </c>
      <c r="B834" s="57" t="s">
        <v>340</v>
      </c>
      <c r="C834" s="57" t="s">
        <v>326</v>
      </c>
      <c r="D834" s="58" t="n">
        <v>46065.7013888889</v>
      </c>
      <c r="E834" s="58" t="n">
        <v>46065.7013888889</v>
      </c>
      <c r="F834" s="58" t="n">
        <v>46065.8881944444</v>
      </c>
      <c r="G834" s="59" t="n">
        <f aca="false">F834-E834</f>
        <v>0.186805555497685</v>
      </c>
      <c r="H834" s="57" t="s">
        <v>252</v>
      </c>
      <c r="I834" s="57"/>
      <c r="J834" s="57" t="s">
        <v>253</v>
      </c>
      <c r="K834" s="57" t="s">
        <v>266</v>
      </c>
      <c r="L834" s="57" t="s">
        <v>1691</v>
      </c>
      <c r="M834" s="57" t="s">
        <v>255</v>
      </c>
      <c r="N834" s="57" t="s">
        <v>268</v>
      </c>
      <c r="O834" s="57" t="s">
        <v>1692</v>
      </c>
      <c r="P834" s="57" t="s">
        <v>1708</v>
      </c>
      <c r="Q834" s="57" t="s">
        <v>706</v>
      </c>
    </row>
    <row r="835" s="50" customFormat="true" ht="14.25" hidden="false" customHeight="true" outlineLevel="0" collapsed="false">
      <c r="A835" s="50" t="s">
        <v>340</v>
      </c>
      <c r="B835" s="57" t="s">
        <v>340</v>
      </c>
      <c r="C835" s="57" t="s">
        <v>324</v>
      </c>
      <c r="D835" s="58" t="n">
        <v>46065.7013888889</v>
      </c>
      <c r="E835" s="58" t="n">
        <v>46065.7013888889</v>
      </c>
      <c r="F835" s="58" t="n">
        <v>46065.8881944444</v>
      </c>
      <c r="G835" s="59" t="n">
        <f aca="false">F835-E835</f>
        <v>0.186805555497685</v>
      </c>
      <c r="H835" s="57" t="s">
        <v>252</v>
      </c>
      <c r="I835" s="57"/>
      <c r="J835" s="57" t="s">
        <v>253</v>
      </c>
      <c r="K835" s="57" t="s">
        <v>266</v>
      </c>
      <c r="L835" s="57" t="s">
        <v>1691</v>
      </c>
      <c r="M835" s="57" t="s">
        <v>255</v>
      </c>
      <c r="N835" s="57" t="s">
        <v>268</v>
      </c>
      <c r="O835" s="57" t="s">
        <v>1692</v>
      </c>
      <c r="P835" s="57" t="s">
        <v>1709</v>
      </c>
      <c r="Q835" s="57" t="s">
        <v>706</v>
      </c>
    </row>
    <row r="836" s="50" customFormat="true" ht="14.25" hidden="false" customHeight="true" outlineLevel="0" collapsed="false">
      <c r="A836" s="50" t="s">
        <v>340</v>
      </c>
      <c r="B836" s="57" t="s">
        <v>340</v>
      </c>
      <c r="C836" s="57" t="s">
        <v>265</v>
      </c>
      <c r="D836" s="58" t="n">
        <v>46065.7013888889</v>
      </c>
      <c r="E836" s="58" t="n">
        <v>46065.7013888889</v>
      </c>
      <c r="F836" s="58" t="n">
        <v>46065.8881944444</v>
      </c>
      <c r="G836" s="59" t="n">
        <f aca="false">F836-E836</f>
        <v>0.186805555497685</v>
      </c>
      <c r="H836" s="57" t="s">
        <v>252</v>
      </c>
      <c r="I836" s="57"/>
      <c r="J836" s="57" t="s">
        <v>253</v>
      </c>
      <c r="K836" s="57" t="s">
        <v>266</v>
      </c>
      <c r="L836" s="57" t="s">
        <v>1691</v>
      </c>
      <c r="M836" s="57" t="s">
        <v>255</v>
      </c>
      <c r="N836" s="57" t="s">
        <v>268</v>
      </c>
      <c r="O836" s="57" t="s">
        <v>1692</v>
      </c>
      <c r="P836" s="57" t="s">
        <v>1710</v>
      </c>
      <c r="Q836" s="57" t="s">
        <v>706</v>
      </c>
    </row>
    <row r="837" s="50" customFormat="true" ht="14.25" hidden="false" customHeight="true" outlineLevel="0" collapsed="false">
      <c r="A837" s="50" t="s">
        <v>341</v>
      </c>
      <c r="B837" s="57" t="s">
        <v>341</v>
      </c>
      <c r="C837" s="57" t="s">
        <v>326</v>
      </c>
      <c r="D837" s="58" t="n">
        <v>46065.7013888889</v>
      </c>
      <c r="E837" s="58" t="n">
        <v>46065.7013888889</v>
      </c>
      <c r="F837" s="58" t="n">
        <v>46065.8881944444</v>
      </c>
      <c r="G837" s="59" t="n">
        <f aca="false">F837-E837</f>
        <v>0.186805555497685</v>
      </c>
      <c r="H837" s="57" t="s">
        <v>252</v>
      </c>
      <c r="I837" s="57"/>
      <c r="J837" s="57" t="s">
        <v>253</v>
      </c>
      <c r="K837" s="57" t="s">
        <v>266</v>
      </c>
      <c r="L837" s="57" t="s">
        <v>1691</v>
      </c>
      <c r="M837" s="57" t="s">
        <v>255</v>
      </c>
      <c r="N837" s="57" t="s">
        <v>268</v>
      </c>
      <c r="O837" s="57" t="s">
        <v>1692</v>
      </c>
      <c r="P837" s="57" t="s">
        <v>1711</v>
      </c>
      <c r="Q837" s="57" t="s">
        <v>706</v>
      </c>
    </row>
    <row r="838" s="50" customFormat="true" ht="14.25" hidden="false" customHeight="true" outlineLevel="0" collapsed="false">
      <c r="A838" s="50" t="s">
        <v>341</v>
      </c>
      <c r="B838" s="57" t="s">
        <v>341</v>
      </c>
      <c r="C838" s="57" t="s">
        <v>324</v>
      </c>
      <c r="D838" s="58" t="n">
        <v>46065.7013888889</v>
      </c>
      <c r="E838" s="58" t="n">
        <v>46065.7013888889</v>
      </c>
      <c r="F838" s="58" t="n">
        <v>46065.8881944444</v>
      </c>
      <c r="G838" s="59" t="n">
        <f aca="false">F838-E838</f>
        <v>0.186805555497685</v>
      </c>
      <c r="H838" s="57" t="s">
        <v>252</v>
      </c>
      <c r="I838" s="57"/>
      <c r="J838" s="57" t="s">
        <v>253</v>
      </c>
      <c r="K838" s="57" t="s">
        <v>266</v>
      </c>
      <c r="L838" s="57" t="s">
        <v>1691</v>
      </c>
      <c r="M838" s="57" t="s">
        <v>255</v>
      </c>
      <c r="N838" s="57" t="s">
        <v>268</v>
      </c>
      <c r="O838" s="57" t="s">
        <v>1692</v>
      </c>
      <c r="P838" s="57" t="s">
        <v>1712</v>
      </c>
      <c r="Q838" s="57" t="s">
        <v>706</v>
      </c>
    </row>
    <row r="839" s="50" customFormat="true" ht="14.25" hidden="false" customHeight="true" outlineLevel="0" collapsed="false">
      <c r="A839" s="50" t="s">
        <v>762</v>
      </c>
      <c r="B839" s="57" t="s">
        <v>32</v>
      </c>
      <c r="C839" s="57" t="s">
        <v>576</v>
      </c>
      <c r="D839" s="58" t="n">
        <v>46065.8402777778</v>
      </c>
      <c r="E839" s="58" t="n">
        <v>46065.8402777778</v>
      </c>
      <c r="F839" s="58" t="n">
        <v>46066.2986111111</v>
      </c>
      <c r="G839" s="59" t="n">
        <f aca="false">F839-E839</f>
        <v>0.458333333298611</v>
      </c>
      <c r="H839" s="57" t="s">
        <v>252</v>
      </c>
      <c r="I839" s="57"/>
      <c r="J839" s="57" t="s">
        <v>253</v>
      </c>
      <c r="K839" s="57" t="s">
        <v>266</v>
      </c>
      <c r="L839" s="57" t="s">
        <v>1713</v>
      </c>
      <c r="M839" s="57" t="s">
        <v>255</v>
      </c>
      <c r="N839" s="57" t="s">
        <v>268</v>
      </c>
      <c r="O839" s="57" t="s">
        <v>1285</v>
      </c>
      <c r="P839" s="57" t="s">
        <v>1714</v>
      </c>
      <c r="Q839" s="57" t="s">
        <v>706</v>
      </c>
    </row>
    <row r="840" s="50" customFormat="true" ht="14.25" hidden="false" customHeight="true" outlineLevel="0" collapsed="false">
      <c r="A840" s="50" t="s">
        <v>762</v>
      </c>
      <c r="B840" s="57" t="s">
        <v>32</v>
      </c>
      <c r="C840" s="57" t="s">
        <v>577</v>
      </c>
      <c r="D840" s="58" t="n">
        <v>46065.8402777778</v>
      </c>
      <c r="E840" s="58" t="n">
        <v>46065.8402777778</v>
      </c>
      <c r="F840" s="58" t="n">
        <v>46066.2986111111</v>
      </c>
      <c r="G840" s="59" t="n">
        <f aca="false">F840-E840</f>
        <v>0.458333333298611</v>
      </c>
      <c r="H840" s="57" t="s">
        <v>252</v>
      </c>
      <c r="I840" s="57"/>
      <c r="J840" s="57" t="s">
        <v>253</v>
      </c>
      <c r="K840" s="57" t="s">
        <v>266</v>
      </c>
      <c r="L840" s="57" t="s">
        <v>1713</v>
      </c>
      <c r="M840" s="57" t="s">
        <v>255</v>
      </c>
      <c r="N840" s="57" t="s">
        <v>268</v>
      </c>
      <c r="O840" s="57" t="s">
        <v>1285</v>
      </c>
      <c r="P840" s="57" t="s">
        <v>1715</v>
      </c>
      <c r="Q840" s="57" t="s">
        <v>706</v>
      </c>
    </row>
    <row r="841" s="50" customFormat="true" ht="14.25" hidden="false" customHeight="true" outlineLevel="0" collapsed="false">
      <c r="A841" s="50" t="s">
        <v>762</v>
      </c>
      <c r="B841" s="57" t="s">
        <v>32</v>
      </c>
      <c r="C841" s="57" t="s">
        <v>578</v>
      </c>
      <c r="D841" s="58" t="n">
        <v>46065.8402777778</v>
      </c>
      <c r="E841" s="58" t="n">
        <v>46065.8402777778</v>
      </c>
      <c r="F841" s="58" t="n">
        <v>46066.2986111111</v>
      </c>
      <c r="G841" s="59" t="n">
        <f aca="false">F841-E841</f>
        <v>0.458333333298611</v>
      </c>
      <c r="H841" s="57" t="s">
        <v>252</v>
      </c>
      <c r="I841" s="57"/>
      <c r="J841" s="57" t="s">
        <v>253</v>
      </c>
      <c r="K841" s="57" t="s">
        <v>266</v>
      </c>
      <c r="L841" s="57" t="s">
        <v>1713</v>
      </c>
      <c r="M841" s="57" t="s">
        <v>255</v>
      </c>
      <c r="N841" s="57" t="s">
        <v>268</v>
      </c>
      <c r="O841" s="57" t="s">
        <v>1285</v>
      </c>
      <c r="P841" s="57" t="s">
        <v>1716</v>
      </c>
      <c r="Q841" s="57" t="s">
        <v>706</v>
      </c>
    </row>
    <row r="842" s="50" customFormat="true" ht="14.25" hidden="false" customHeight="true" outlineLevel="0" collapsed="false">
      <c r="A842" s="50" t="s">
        <v>762</v>
      </c>
      <c r="B842" s="57" t="s">
        <v>32</v>
      </c>
      <c r="C842" s="57" t="s">
        <v>579</v>
      </c>
      <c r="D842" s="58" t="n">
        <v>46065.8402777778</v>
      </c>
      <c r="E842" s="58" t="n">
        <v>46065.8402777778</v>
      </c>
      <c r="F842" s="58" t="n">
        <v>46066.2986111111</v>
      </c>
      <c r="G842" s="59" t="n">
        <f aca="false">F842-E842</f>
        <v>0.458333333298611</v>
      </c>
      <c r="H842" s="57" t="s">
        <v>252</v>
      </c>
      <c r="I842" s="57"/>
      <c r="J842" s="57" t="s">
        <v>253</v>
      </c>
      <c r="K842" s="57" t="s">
        <v>266</v>
      </c>
      <c r="L842" s="57" t="s">
        <v>1713</v>
      </c>
      <c r="M842" s="57" t="s">
        <v>255</v>
      </c>
      <c r="N842" s="57" t="s">
        <v>268</v>
      </c>
      <c r="O842" s="57" t="s">
        <v>1285</v>
      </c>
      <c r="P842" s="57" t="s">
        <v>1717</v>
      </c>
      <c r="Q842" s="57" t="s">
        <v>706</v>
      </c>
    </row>
    <row r="843" s="50" customFormat="true" ht="14.25" hidden="false" customHeight="true" outlineLevel="0" collapsed="false">
      <c r="A843" s="50" t="s">
        <v>264</v>
      </c>
      <c r="B843" s="57" t="s">
        <v>264</v>
      </c>
      <c r="C843" s="57" t="s">
        <v>265</v>
      </c>
      <c r="D843" s="58" t="n">
        <v>46065.8402777778</v>
      </c>
      <c r="E843" s="58" t="n">
        <v>46065.8402777778</v>
      </c>
      <c r="F843" s="58" t="n">
        <v>46066.2986111111</v>
      </c>
      <c r="G843" s="59" t="n">
        <f aca="false">F843-E843</f>
        <v>0.458333333298611</v>
      </c>
      <c r="H843" s="57" t="s">
        <v>252</v>
      </c>
      <c r="I843" s="57"/>
      <c r="J843" s="57" t="s">
        <v>253</v>
      </c>
      <c r="K843" s="57" t="s">
        <v>266</v>
      </c>
      <c r="L843" s="57" t="s">
        <v>1718</v>
      </c>
      <c r="M843" s="57" t="s">
        <v>255</v>
      </c>
      <c r="N843" s="57" t="s">
        <v>268</v>
      </c>
      <c r="O843" s="57" t="s">
        <v>1719</v>
      </c>
      <c r="P843" s="57" t="s">
        <v>1720</v>
      </c>
      <c r="Q843" s="57" t="s">
        <v>706</v>
      </c>
    </row>
    <row r="844" s="50" customFormat="true" ht="14.25" hidden="false" customHeight="true" outlineLevel="0" collapsed="false">
      <c r="A844" s="50" t="s">
        <v>271</v>
      </c>
      <c r="B844" s="57" t="s">
        <v>271</v>
      </c>
      <c r="C844" s="57" t="s">
        <v>265</v>
      </c>
      <c r="D844" s="58" t="n">
        <v>46065.8402777778</v>
      </c>
      <c r="E844" s="58" t="n">
        <v>46065.8402777778</v>
      </c>
      <c r="F844" s="58" t="n">
        <v>46066.2986111111</v>
      </c>
      <c r="G844" s="59" t="n">
        <f aca="false">F844-E844</f>
        <v>0.458333333298611</v>
      </c>
      <c r="H844" s="57" t="s">
        <v>252</v>
      </c>
      <c r="I844" s="57"/>
      <c r="J844" s="57" t="s">
        <v>253</v>
      </c>
      <c r="K844" s="57" t="s">
        <v>266</v>
      </c>
      <c r="L844" s="57" t="s">
        <v>1718</v>
      </c>
      <c r="M844" s="57" t="s">
        <v>255</v>
      </c>
      <c r="N844" s="57" t="s">
        <v>268</v>
      </c>
      <c r="O844" s="57" t="s">
        <v>1719</v>
      </c>
      <c r="P844" s="57" t="s">
        <v>1721</v>
      </c>
      <c r="Q844" s="57" t="s">
        <v>706</v>
      </c>
    </row>
    <row r="845" s="50" customFormat="true" ht="14.25" hidden="false" customHeight="true" outlineLevel="0" collapsed="false">
      <c r="A845" s="50" t="s">
        <v>272</v>
      </c>
      <c r="B845" s="57" t="s">
        <v>272</v>
      </c>
      <c r="C845" s="57" t="s">
        <v>265</v>
      </c>
      <c r="D845" s="58" t="n">
        <v>46065.8402777778</v>
      </c>
      <c r="E845" s="58" t="n">
        <v>46065.8402777778</v>
      </c>
      <c r="F845" s="58" t="n">
        <v>46066.2986111111</v>
      </c>
      <c r="G845" s="59" t="n">
        <f aca="false">F845-E845</f>
        <v>0.458333333298611</v>
      </c>
      <c r="H845" s="57" t="s">
        <v>252</v>
      </c>
      <c r="I845" s="57"/>
      <c r="J845" s="57" t="s">
        <v>253</v>
      </c>
      <c r="K845" s="57" t="s">
        <v>266</v>
      </c>
      <c r="L845" s="57" t="s">
        <v>1718</v>
      </c>
      <c r="M845" s="57" t="s">
        <v>255</v>
      </c>
      <c r="N845" s="57" t="s">
        <v>268</v>
      </c>
      <c r="O845" s="57" t="s">
        <v>1719</v>
      </c>
      <c r="P845" s="57" t="s">
        <v>1722</v>
      </c>
      <c r="Q845" s="57" t="s">
        <v>706</v>
      </c>
    </row>
    <row r="846" s="50" customFormat="true" ht="14.25" hidden="false" customHeight="true" outlineLevel="0" collapsed="false">
      <c r="A846" s="50" t="s">
        <v>273</v>
      </c>
      <c r="B846" s="57" t="s">
        <v>273</v>
      </c>
      <c r="C846" s="57" t="s">
        <v>265</v>
      </c>
      <c r="D846" s="58" t="n">
        <v>46065.8402777778</v>
      </c>
      <c r="E846" s="58" t="n">
        <v>46065.8402777778</v>
      </c>
      <c r="F846" s="58" t="n">
        <v>46066.2986111111</v>
      </c>
      <c r="G846" s="59" t="n">
        <f aca="false">F846-E846</f>
        <v>0.458333333298611</v>
      </c>
      <c r="H846" s="57" t="s">
        <v>252</v>
      </c>
      <c r="I846" s="57"/>
      <c r="J846" s="57" t="s">
        <v>253</v>
      </c>
      <c r="K846" s="57" t="s">
        <v>266</v>
      </c>
      <c r="L846" s="57" t="s">
        <v>1718</v>
      </c>
      <c r="M846" s="57" t="s">
        <v>255</v>
      </c>
      <c r="N846" s="57" t="s">
        <v>268</v>
      </c>
      <c r="O846" s="57" t="s">
        <v>1719</v>
      </c>
      <c r="P846" s="57" t="s">
        <v>1723</v>
      </c>
      <c r="Q846" s="57" t="s">
        <v>706</v>
      </c>
    </row>
    <row r="847" s="50" customFormat="true" ht="14.25" hidden="false" customHeight="true" outlineLevel="0" collapsed="false">
      <c r="A847" s="50" t="s">
        <v>429</v>
      </c>
      <c r="B847" s="57" t="s">
        <v>429</v>
      </c>
      <c r="C847" s="57" t="s">
        <v>261</v>
      </c>
      <c r="D847" s="58" t="n">
        <v>46066.4548611111</v>
      </c>
      <c r="E847" s="58" t="n">
        <v>46066.4548611111</v>
      </c>
      <c r="F847" s="58" t="n">
        <v>46066.4618055556</v>
      </c>
      <c r="G847" s="59" t="n">
        <f aca="false">F847-E847</f>
        <v>0.00694444449074074</v>
      </c>
      <c r="H847" s="57" t="s">
        <v>283</v>
      </c>
      <c r="I847" s="57" t="s">
        <v>284</v>
      </c>
      <c r="J847" s="57" t="s">
        <v>285</v>
      </c>
      <c r="K847" s="57" t="s">
        <v>286</v>
      </c>
      <c r="L847" s="57" t="s">
        <v>710</v>
      </c>
      <c r="M847" s="57" t="s">
        <v>288</v>
      </c>
      <c r="N847" s="57" t="s">
        <v>289</v>
      </c>
      <c r="O847" s="57" t="s">
        <v>1724</v>
      </c>
      <c r="P847" s="57" t="s">
        <v>1725</v>
      </c>
      <c r="Q847" s="57" t="s">
        <v>694</v>
      </c>
    </row>
    <row r="848" s="50" customFormat="true" ht="14.25" hidden="false" customHeight="true" outlineLevel="0" collapsed="false">
      <c r="A848" s="50" t="s">
        <v>429</v>
      </c>
      <c r="B848" s="57" t="s">
        <v>429</v>
      </c>
      <c r="C848" s="57" t="s">
        <v>259</v>
      </c>
      <c r="D848" s="58" t="n">
        <v>46066.4548611111</v>
      </c>
      <c r="E848" s="58" t="n">
        <v>46066.4548611111</v>
      </c>
      <c r="F848" s="58" t="n">
        <v>46066.4618055556</v>
      </c>
      <c r="G848" s="59" t="n">
        <f aca="false">F848-E848</f>
        <v>0.00694444449074074</v>
      </c>
      <c r="H848" s="57" t="s">
        <v>283</v>
      </c>
      <c r="I848" s="57" t="s">
        <v>284</v>
      </c>
      <c r="J848" s="57" t="s">
        <v>285</v>
      </c>
      <c r="K848" s="57" t="s">
        <v>286</v>
      </c>
      <c r="L848" s="57" t="s">
        <v>710</v>
      </c>
      <c r="M848" s="57" t="s">
        <v>288</v>
      </c>
      <c r="N848" s="57" t="s">
        <v>289</v>
      </c>
      <c r="O848" s="57" t="s">
        <v>1724</v>
      </c>
      <c r="P848" s="57" t="s">
        <v>1726</v>
      </c>
      <c r="Q848" s="57" t="s">
        <v>694</v>
      </c>
    </row>
    <row r="849" s="50" customFormat="true" ht="14.25" hidden="false" customHeight="true" outlineLevel="0" collapsed="false">
      <c r="A849" s="50" t="s">
        <v>429</v>
      </c>
      <c r="B849" s="57" t="s">
        <v>429</v>
      </c>
      <c r="C849" s="57" t="s">
        <v>260</v>
      </c>
      <c r="D849" s="58" t="n">
        <v>46066.4548611111</v>
      </c>
      <c r="E849" s="58" t="n">
        <v>46066.4548611111</v>
      </c>
      <c r="F849" s="58" t="n">
        <v>46066.4618055556</v>
      </c>
      <c r="G849" s="59" t="n">
        <f aca="false">F849-E849</f>
        <v>0.00694444449074074</v>
      </c>
      <c r="H849" s="57" t="s">
        <v>283</v>
      </c>
      <c r="I849" s="57" t="s">
        <v>284</v>
      </c>
      <c r="J849" s="57" t="s">
        <v>285</v>
      </c>
      <c r="K849" s="57" t="s">
        <v>286</v>
      </c>
      <c r="L849" s="57" t="s">
        <v>710</v>
      </c>
      <c r="M849" s="57" t="s">
        <v>288</v>
      </c>
      <c r="N849" s="57" t="s">
        <v>289</v>
      </c>
      <c r="O849" s="57" t="s">
        <v>1724</v>
      </c>
      <c r="P849" s="57" t="s">
        <v>1727</v>
      </c>
      <c r="Q849" s="57" t="s">
        <v>694</v>
      </c>
    </row>
    <row r="850" s="50" customFormat="true" ht="14.25" hidden="false" customHeight="true" outlineLevel="0" collapsed="false">
      <c r="A850" s="50" t="s">
        <v>429</v>
      </c>
      <c r="B850" s="57" t="s">
        <v>429</v>
      </c>
      <c r="C850" s="57" t="s">
        <v>251</v>
      </c>
      <c r="D850" s="58" t="n">
        <v>46066.4548611111</v>
      </c>
      <c r="E850" s="58" t="n">
        <v>46066.4548611111</v>
      </c>
      <c r="F850" s="58" t="n">
        <v>46066.4618055556</v>
      </c>
      <c r="G850" s="59" t="n">
        <f aca="false">F850-E850</f>
        <v>0.00694444449074074</v>
      </c>
      <c r="H850" s="57" t="s">
        <v>283</v>
      </c>
      <c r="I850" s="57" t="s">
        <v>284</v>
      </c>
      <c r="J850" s="57" t="s">
        <v>285</v>
      </c>
      <c r="K850" s="57" t="s">
        <v>286</v>
      </c>
      <c r="L850" s="57" t="s">
        <v>710</v>
      </c>
      <c r="M850" s="57" t="s">
        <v>288</v>
      </c>
      <c r="N850" s="57" t="s">
        <v>289</v>
      </c>
      <c r="O850" s="57" t="s">
        <v>1724</v>
      </c>
      <c r="P850" s="57" t="s">
        <v>1728</v>
      </c>
      <c r="Q850" s="57" t="s">
        <v>694</v>
      </c>
    </row>
    <row r="851" s="50" customFormat="true" ht="14.25" hidden="false" customHeight="true" outlineLevel="0" collapsed="false">
      <c r="A851" s="50" t="s">
        <v>429</v>
      </c>
      <c r="B851" s="57" t="s">
        <v>429</v>
      </c>
      <c r="C851" s="57" t="s">
        <v>258</v>
      </c>
      <c r="D851" s="58" t="n">
        <v>46066.4548611111</v>
      </c>
      <c r="E851" s="58" t="n">
        <v>46066.4548611111</v>
      </c>
      <c r="F851" s="58" t="n">
        <v>46066.4618055556</v>
      </c>
      <c r="G851" s="59" t="n">
        <f aca="false">F851-E851</f>
        <v>0.00694444449074074</v>
      </c>
      <c r="H851" s="57" t="s">
        <v>283</v>
      </c>
      <c r="I851" s="57" t="s">
        <v>284</v>
      </c>
      <c r="J851" s="57" t="s">
        <v>285</v>
      </c>
      <c r="K851" s="57" t="s">
        <v>286</v>
      </c>
      <c r="L851" s="57" t="s">
        <v>710</v>
      </c>
      <c r="M851" s="57" t="s">
        <v>288</v>
      </c>
      <c r="N851" s="57" t="s">
        <v>289</v>
      </c>
      <c r="O851" s="57" t="s">
        <v>1724</v>
      </c>
      <c r="P851" s="57" t="s">
        <v>1729</v>
      </c>
      <c r="Q851" s="57" t="s">
        <v>694</v>
      </c>
    </row>
    <row r="852" s="50" customFormat="true" ht="14.25" hidden="false" customHeight="true" outlineLevel="0" collapsed="false">
      <c r="A852" s="50" t="s">
        <v>739</v>
      </c>
      <c r="B852" s="57" t="s">
        <v>45</v>
      </c>
      <c r="C852" s="57" t="s">
        <v>447</v>
      </c>
      <c r="D852" s="58" t="n">
        <v>46066.4791666667</v>
      </c>
      <c r="E852" s="58" t="n">
        <v>46066.4791666667</v>
      </c>
      <c r="F852" s="58" t="n">
        <v>46066.5138888889</v>
      </c>
      <c r="G852" s="59" t="n">
        <f aca="false">F852-E852</f>
        <v>0.0347222221990741</v>
      </c>
      <c r="H852" s="57" t="s">
        <v>283</v>
      </c>
      <c r="I852" s="57" t="s">
        <v>284</v>
      </c>
      <c r="J852" s="57" t="s">
        <v>285</v>
      </c>
      <c r="K852" s="57" t="s">
        <v>286</v>
      </c>
      <c r="L852" s="57" t="s">
        <v>1730</v>
      </c>
      <c r="M852" s="57" t="s">
        <v>288</v>
      </c>
      <c r="N852" s="57" t="s">
        <v>289</v>
      </c>
      <c r="O852" s="57" t="s">
        <v>1731</v>
      </c>
      <c r="P852" s="57" t="s">
        <v>1732</v>
      </c>
      <c r="Q852" s="57" t="s">
        <v>694</v>
      </c>
    </row>
    <row r="853" s="50" customFormat="true" ht="14.25" hidden="false" customHeight="true" outlineLevel="0" collapsed="false">
      <c r="A853" s="50" t="s">
        <v>832</v>
      </c>
      <c r="B853" s="57" t="s">
        <v>112</v>
      </c>
      <c r="C853" s="57" t="s">
        <v>551</v>
      </c>
      <c r="D853" s="58" t="n">
        <v>46066.5465277778</v>
      </c>
      <c r="E853" s="58" t="n">
        <v>46066.5465277778</v>
      </c>
      <c r="F853" s="58" t="n">
        <v>46066.7083333333</v>
      </c>
      <c r="G853" s="59" t="n">
        <f aca="false">F853-E853</f>
        <v>0.161805555497685</v>
      </c>
      <c r="H853" s="57" t="s">
        <v>384</v>
      </c>
      <c r="I853" s="57"/>
      <c r="J853" s="57" t="s">
        <v>377</v>
      </c>
      <c r="K853" s="57" t="s">
        <v>378</v>
      </c>
      <c r="L853" s="57" t="s">
        <v>1733</v>
      </c>
      <c r="M853" s="57" t="s">
        <v>386</v>
      </c>
      <c r="N853" s="57" t="s">
        <v>440</v>
      </c>
      <c r="O853" s="57" t="s">
        <v>1734</v>
      </c>
      <c r="P853" s="57" t="s">
        <v>1735</v>
      </c>
      <c r="Q853" s="57" t="s">
        <v>1736</v>
      </c>
    </row>
    <row r="854" s="50" customFormat="true" ht="14.25" hidden="false" customHeight="true" outlineLevel="0" collapsed="false">
      <c r="A854" s="50" t="s">
        <v>832</v>
      </c>
      <c r="B854" s="57" t="s">
        <v>112</v>
      </c>
      <c r="C854" s="57" t="s">
        <v>552</v>
      </c>
      <c r="D854" s="58" t="n">
        <v>46066.5465277778</v>
      </c>
      <c r="E854" s="58" t="n">
        <v>46066.5465277778</v>
      </c>
      <c r="F854" s="58" t="n">
        <v>46066.7083333333</v>
      </c>
      <c r="G854" s="59" t="n">
        <f aca="false">F854-E854</f>
        <v>0.161805555497685</v>
      </c>
      <c r="H854" s="57" t="s">
        <v>384</v>
      </c>
      <c r="I854" s="57"/>
      <c r="J854" s="57" t="s">
        <v>377</v>
      </c>
      <c r="K854" s="57" t="s">
        <v>378</v>
      </c>
      <c r="L854" s="57" t="s">
        <v>1733</v>
      </c>
      <c r="M854" s="57" t="s">
        <v>386</v>
      </c>
      <c r="N854" s="57" t="s">
        <v>440</v>
      </c>
      <c r="O854" s="57" t="s">
        <v>1734</v>
      </c>
      <c r="P854" s="57" t="s">
        <v>1737</v>
      </c>
      <c r="Q854" s="57" t="s">
        <v>1736</v>
      </c>
    </row>
    <row r="855" s="50" customFormat="true" ht="14.25" hidden="false" customHeight="true" outlineLevel="0" collapsed="false">
      <c r="A855" s="50" t="s">
        <v>832</v>
      </c>
      <c r="B855" s="57" t="s">
        <v>112</v>
      </c>
      <c r="C855" s="57" t="s">
        <v>553</v>
      </c>
      <c r="D855" s="58" t="n">
        <v>46066.5465277778</v>
      </c>
      <c r="E855" s="58" t="n">
        <v>46066.5465277778</v>
      </c>
      <c r="F855" s="58" t="n">
        <v>46066.7083333333</v>
      </c>
      <c r="G855" s="59" t="n">
        <f aca="false">F855-E855</f>
        <v>0.161805555497685</v>
      </c>
      <c r="H855" s="57" t="s">
        <v>384</v>
      </c>
      <c r="I855" s="57"/>
      <c r="J855" s="57" t="s">
        <v>377</v>
      </c>
      <c r="K855" s="57" t="s">
        <v>378</v>
      </c>
      <c r="L855" s="57" t="s">
        <v>1733</v>
      </c>
      <c r="M855" s="57" t="s">
        <v>386</v>
      </c>
      <c r="N855" s="57" t="s">
        <v>440</v>
      </c>
      <c r="O855" s="57" t="s">
        <v>1734</v>
      </c>
      <c r="P855" s="57" t="s">
        <v>1738</v>
      </c>
      <c r="Q855" s="57" t="s">
        <v>1736</v>
      </c>
    </row>
    <row r="856" s="50" customFormat="true" ht="14.25" hidden="false" customHeight="true" outlineLevel="0" collapsed="false">
      <c r="A856" s="50" t="s">
        <v>339</v>
      </c>
      <c r="B856" s="57" t="s">
        <v>339</v>
      </c>
      <c r="C856" s="57" t="s">
        <v>324</v>
      </c>
      <c r="D856" s="58" t="n">
        <v>46067.6888888889</v>
      </c>
      <c r="E856" s="58" t="n">
        <v>46067.6888888889</v>
      </c>
      <c r="F856" s="58" t="n">
        <v>46071.3541666667</v>
      </c>
      <c r="G856" s="59" t="n">
        <f aca="false">F856-E856</f>
        <v>3.66527777780093</v>
      </c>
      <c r="H856" s="57" t="s">
        <v>252</v>
      </c>
      <c r="I856" s="57"/>
      <c r="J856" s="57" t="s">
        <v>253</v>
      </c>
      <c r="K856" s="57" t="s">
        <v>266</v>
      </c>
      <c r="L856" s="57" t="s">
        <v>1739</v>
      </c>
      <c r="M856" s="57" t="s">
        <v>255</v>
      </c>
      <c r="N856" s="57" t="s">
        <v>268</v>
      </c>
      <c r="O856" s="57" t="s">
        <v>1740</v>
      </c>
      <c r="P856" s="57" t="s">
        <v>1741</v>
      </c>
      <c r="Q856" s="57" t="s">
        <v>706</v>
      </c>
    </row>
    <row r="857" s="50" customFormat="true" ht="14.25" hidden="false" customHeight="true" outlineLevel="0" collapsed="false">
      <c r="A857" s="50" t="s">
        <v>339</v>
      </c>
      <c r="B857" s="57" t="s">
        <v>339</v>
      </c>
      <c r="C857" s="57" t="s">
        <v>327</v>
      </c>
      <c r="D857" s="58" t="n">
        <v>46067.6888888889</v>
      </c>
      <c r="E857" s="58" t="n">
        <v>46067.6888888889</v>
      </c>
      <c r="F857" s="58" t="n">
        <v>46071.3541666667</v>
      </c>
      <c r="G857" s="59" t="n">
        <f aca="false">F857-E857</f>
        <v>3.66527777780093</v>
      </c>
      <c r="H857" s="57" t="s">
        <v>252</v>
      </c>
      <c r="I857" s="57"/>
      <c r="J857" s="57" t="s">
        <v>253</v>
      </c>
      <c r="K857" s="57" t="s">
        <v>266</v>
      </c>
      <c r="L857" s="57" t="s">
        <v>1739</v>
      </c>
      <c r="M857" s="57" t="s">
        <v>255</v>
      </c>
      <c r="N857" s="57" t="s">
        <v>268</v>
      </c>
      <c r="O857" s="57" t="s">
        <v>1740</v>
      </c>
      <c r="P857" s="57" t="s">
        <v>1742</v>
      </c>
      <c r="Q857" s="57" t="s">
        <v>706</v>
      </c>
    </row>
    <row r="858" s="50" customFormat="true" ht="14.25" hidden="false" customHeight="true" outlineLevel="0" collapsed="false">
      <c r="A858" s="50" t="s">
        <v>339</v>
      </c>
      <c r="B858" s="57" t="s">
        <v>339</v>
      </c>
      <c r="C858" s="57" t="s">
        <v>326</v>
      </c>
      <c r="D858" s="58" t="n">
        <v>46067.6888888889</v>
      </c>
      <c r="E858" s="58" t="n">
        <v>46067.6888888889</v>
      </c>
      <c r="F858" s="58" t="n">
        <v>46071.3541666667</v>
      </c>
      <c r="G858" s="59" t="n">
        <f aca="false">F858-E858</f>
        <v>3.66527777780093</v>
      </c>
      <c r="H858" s="57" t="s">
        <v>252</v>
      </c>
      <c r="I858" s="57"/>
      <c r="J858" s="57" t="s">
        <v>253</v>
      </c>
      <c r="K858" s="57" t="s">
        <v>266</v>
      </c>
      <c r="L858" s="57" t="s">
        <v>1739</v>
      </c>
      <c r="M858" s="57" t="s">
        <v>255</v>
      </c>
      <c r="N858" s="57" t="s">
        <v>268</v>
      </c>
      <c r="O858" s="57" t="s">
        <v>1740</v>
      </c>
      <c r="P858" s="57" t="s">
        <v>1743</v>
      </c>
      <c r="Q858" s="57" t="s">
        <v>706</v>
      </c>
    </row>
    <row r="859" s="50" customFormat="true" ht="14.25" hidden="false" customHeight="true" outlineLevel="0" collapsed="false">
      <c r="A859" s="50" t="s">
        <v>339</v>
      </c>
      <c r="B859" s="57" t="s">
        <v>339</v>
      </c>
      <c r="C859" s="57" t="s">
        <v>265</v>
      </c>
      <c r="D859" s="58" t="n">
        <v>46067.6888888889</v>
      </c>
      <c r="E859" s="58" t="n">
        <v>46067.6888888889</v>
      </c>
      <c r="F859" s="58" t="n">
        <v>46071.3541666667</v>
      </c>
      <c r="G859" s="59" t="n">
        <f aca="false">F859-E859</f>
        <v>3.66527777780093</v>
      </c>
      <c r="H859" s="57" t="s">
        <v>252</v>
      </c>
      <c r="I859" s="57"/>
      <c r="J859" s="57" t="s">
        <v>253</v>
      </c>
      <c r="K859" s="57" t="s">
        <v>266</v>
      </c>
      <c r="L859" s="57" t="s">
        <v>1739</v>
      </c>
      <c r="M859" s="57" t="s">
        <v>255</v>
      </c>
      <c r="N859" s="57" t="s">
        <v>268</v>
      </c>
      <c r="O859" s="57" t="s">
        <v>1740</v>
      </c>
      <c r="P859" s="57" t="s">
        <v>1744</v>
      </c>
      <c r="Q859" s="57" t="s">
        <v>706</v>
      </c>
    </row>
    <row r="860" s="50" customFormat="true" ht="14.25" hidden="false" customHeight="true" outlineLevel="0" collapsed="false">
      <c r="A860" s="50" t="s">
        <v>340</v>
      </c>
      <c r="B860" s="57" t="s">
        <v>340</v>
      </c>
      <c r="C860" s="57" t="s">
        <v>327</v>
      </c>
      <c r="D860" s="58" t="n">
        <v>46067.6888888889</v>
      </c>
      <c r="E860" s="58" t="n">
        <v>46067.6888888889</v>
      </c>
      <c r="F860" s="58" t="n">
        <v>46071.3541666667</v>
      </c>
      <c r="G860" s="59" t="n">
        <f aca="false">F860-E860</f>
        <v>3.66527777780093</v>
      </c>
      <c r="H860" s="57" t="s">
        <v>252</v>
      </c>
      <c r="I860" s="57"/>
      <c r="J860" s="57" t="s">
        <v>253</v>
      </c>
      <c r="K860" s="57" t="s">
        <v>266</v>
      </c>
      <c r="L860" s="57" t="s">
        <v>1739</v>
      </c>
      <c r="M860" s="57" t="s">
        <v>255</v>
      </c>
      <c r="N860" s="57" t="s">
        <v>268</v>
      </c>
      <c r="O860" s="57" t="s">
        <v>1740</v>
      </c>
      <c r="P860" s="57" t="s">
        <v>1745</v>
      </c>
      <c r="Q860" s="57" t="s">
        <v>706</v>
      </c>
    </row>
    <row r="861" s="50" customFormat="true" ht="14.25" hidden="false" customHeight="true" outlineLevel="0" collapsed="false">
      <c r="A861" s="50" t="s">
        <v>340</v>
      </c>
      <c r="B861" s="57" t="s">
        <v>340</v>
      </c>
      <c r="C861" s="57" t="s">
        <v>326</v>
      </c>
      <c r="D861" s="58" t="n">
        <v>46067.6888888889</v>
      </c>
      <c r="E861" s="58" t="n">
        <v>46067.6888888889</v>
      </c>
      <c r="F861" s="58" t="n">
        <v>46071.3541666667</v>
      </c>
      <c r="G861" s="59" t="n">
        <f aca="false">F861-E861</f>
        <v>3.66527777780093</v>
      </c>
      <c r="H861" s="57" t="s">
        <v>252</v>
      </c>
      <c r="I861" s="57"/>
      <c r="J861" s="57" t="s">
        <v>253</v>
      </c>
      <c r="K861" s="57" t="s">
        <v>266</v>
      </c>
      <c r="L861" s="57" t="s">
        <v>1739</v>
      </c>
      <c r="M861" s="57" t="s">
        <v>255</v>
      </c>
      <c r="N861" s="57" t="s">
        <v>268</v>
      </c>
      <c r="O861" s="57" t="s">
        <v>1740</v>
      </c>
      <c r="P861" s="57" t="s">
        <v>1746</v>
      </c>
      <c r="Q861" s="57" t="s">
        <v>706</v>
      </c>
    </row>
    <row r="862" s="50" customFormat="true" ht="14.25" hidden="false" customHeight="true" outlineLevel="0" collapsed="false">
      <c r="A862" s="50" t="s">
        <v>340</v>
      </c>
      <c r="B862" s="57" t="s">
        <v>340</v>
      </c>
      <c r="C862" s="57" t="s">
        <v>324</v>
      </c>
      <c r="D862" s="58" t="n">
        <v>46067.6888888889</v>
      </c>
      <c r="E862" s="58" t="n">
        <v>46067.6888888889</v>
      </c>
      <c r="F862" s="58" t="n">
        <v>46071.3541666667</v>
      </c>
      <c r="G862" s="59" t="n">
        <f aca="false">F862-E862</f>
        <v>3.66527777780093</v>
      </c>
      <c r="H862" s="57" t="s">
        <v>252</v>
      </c>
      <c r="I862" s="57"/>
      <c r="J862" s="57" t="s">
        <v>253</v>
      </c>
      <c r="K862" s="57" t="s">
        <v>266</v>
      </c>
      <c r="L862" s="57" t="s">
        <v>1739</v>
      </c>
      <c r="M862" s="57" t="s">
        <v>255</v>
      </c>
      <c r="N862" s="57" t="s">
        <v>268</v>
      </c>
      <c r="O862" s="57" t="s">
        <v>1740</v>
      </c>
      <c r="P862" s="57" t="s">
        <v>1747</v>
      </c>
      <c r="Q862" s="57" t="s">
        <v>706</v>
      </c>
    </row>
    <row r="863" s="50" customFormat="true" ht="14.25" hidden="false" customHeight="true" outlineLevel="0" collapsed="false">
      <c r="A863" s="50" t="s">
        <v>340</v>
      </c>
      <c r="B863" s="57" t="s">
        <v>340</v>
      </c>
      <c r="C863" s="57" t="s">
        <v>265</v>
      </c>
      <c r="D863" s="58" t="n">
        <v>46067.6888888889</v>
      </c>
      <c r="E863" s="58" t="n">
        <v>46067.6888888889</v>
      </c>
      <c r="F863" s="58" t="n">
        <v>46071.3541666667</v>
      </c>
      <c r="G863" s="59" t="n">
        <f aca="false">F863-E863</f>
        <v>3.66527777780093</v>
      </c>
      <c r="H863" s="57" t="s">
        <v>252</v>
      </c>
      <c r="I863" s="57"/>
      <c r="J863" s="57" t="s">
        <v>253</v>
      </c>
      <c r="K863" s="57" t="s">
        <v>266</v>
      </c>
      <c r="L863" s="57" t="s">
        <v>1739</v>
      </c>
      <c r="M863" s="57" t="s">
        <v>255</v>
      </c>
      <c r="N863" s="57" t="s">
        <v>268</v>
      </c>
      <c r="O863" s="57" t="s">
        <v>1740</v>
      </c>
      <c r="P863" s="57" t="s">
        <v>1748</v>
      </c>
      <c r="Q863" s="57" t="s">
        <v>706</v>
      </c>
    </row>
    <row r="864" s="50" customFormat="true" ht="14.25" hidden="false" customHeight="true" outlineLevel="0" collapsed="false">
      <c r="A864" s="50" t="s">
        <v>341</v>
      </c>
      <c r="B864" s="57" t="s">
        <v>341</v>
      </c>
      <c r="C864" s="57" t="s">
        <v>326</v>
      </c>
      <c r="D864" s="58" t="n">
        <v>46067.6888888889</v>
      </c>
      <c r="E864" s="58" t="n">
        <v>46067.6888888889</v>
      </c>
      <c r="F864" s="58" t="n">
        <v>46071.3541666667</v>
      </c>
      <c r="G864" s="59" t="n">
        <f aca="false">F864-E864</f>
        <v>3.66527777780093</v>
      </c>
      <c r="H864" s="57" t="s">
        <v>252</v>
      </c>
      <c r="I864" s="57"/>
      <c r="J864" s="57" t="s">
        <v>253</v>
      </c>
      <c r="K864" s="57" t="s">
        <v>266</v>
      </c>
      <c r="L864" s="57" t="s">
        <v>1739</v>
      </c>
      <c r="M864" s="57" t="s">
        <v>255</v>
      </c>
      <c r="N864" s="57" t="s">
        <v>268</v>
      </c>
      <c r="O864" s="57" t="s">
        <v>1740</v>
      </c>
      <c r="P864" s="57" t="s">
        <v>1749</v>
      </c>
      <c r="Q864" s="57" t="s">
        <v>706</v>
      </c>
    </row>
    <row r="865" s="50" customFormat="true" ht="14.25" hidden="false" customHeight="true" outlineLevel="0" collapsed="false">
      <c r="A865" s="50" t="s">
        <v>341</v>
      </c>
      <c r="B865" s="57" t="s">
        <v>341</v>
      </c>
      <c r="C865" s="57" t="s">
        <v>324</v>
      </c>
      <c r="D865" s="58" t="n">
        <v>46067.6888888889</v>
      </c>
      <c r="E865" s="58" t="n">
        <v>46067.6888888889</v>
      </c>
      <c r="F865" s="58" t="n">
        <v>46071.3541666667</v>
      </c>
      <c r="G865" s="59" t="n">
        <f aca="false">F865-E865</f>
        <v>3.66527777780093</v>
      </c>
      <c r="H865" s="57" t="s">
        <v>252</v>
      </c>
      <c r="I865" s="57"/>
      <c r="J865" s="57" t="s">
        <v>253</v>
      </c>
      <c r="K865" s="57" t="s">
        <v>266</v>
      </c>
      <c r="L865" s="57" t="s">
        <v>1739</v>
      </c>
      <c r="M865" s="57" t="s">
        <v>255</v>
      </c>
      <c r="N865" s="57" t="s">
        <v>268</v>
      </c>
      <c r="O865" s="57" t="s">
        <v>1740</v>
      </c>
      <c r="P865" s="57" t="s">
        <v>1750</v>
      </c>
      <c r="Q865" s="57" t="s">
        <v>706</v>
      </c>
    </row>
    <row r="866" s="50" customFormat="true" ht="14.25" hidden="false" customHeight="true" outlineLevel="0" collapsed="false">
      <c r="A866" s="50" t="s">
        <v>263</v>
      </c>
      <c r="B866" s="57" t="s">
        <v>263</v>
      </c>
      <c r="C866" s="57" t="s">
        <v>259</v>
      </c>
      <c r="D866" s="58" t="n">
        <v>46068.2986111111</v>
      </c>
      <c r="E866" s="58" t="n">
        <v>46068.2986111111</v>
      </c>
      <c r="F866" s="58" t="n">
        <v>46068.5111111111</v>
      </c>
      <c r="G866" s="59" t="n">
        <f aca="false">F866-E866</f>
        <v>0.2125</v>
      </c>
      <c r="H866" s="57" t="s">
        <v>252</v>
      </c>
      <c r="I866" s="57"/>
      <c r="J866" s="57" t="s">
        <v>333</v>
      </c>
      <c r="K866" s="57" t="s">
        <v>334</v>
      </c>
      <c r="L866" s="57" t="s">
        <v>1751</v>
      </c>
      <c r="M866" s="57" t="s">
        <v>336</v>
      </c>
      <c r="N866" s="57" t="s">
        <v>289</v>
      </c>
      <c r="O866" s="57" t="s">
        <v>1752</v>
      </c>
      <c r="P866" s="57" t="s">
        <v>1753</v>
      </c>
      <c r="Q866" s="57" t="s">
        <v>698</v>
      </c>
    </row>
    <row r="867" s="50" customFormat="true" ht="14.25" hidden="false" customHeight="true" outlineLevel="0" collapsed="false">
      <c r="A867" s="50" t="s">
        <v>424</v>
      </c>
      <c r="B867" s="57" t="s">
        <v>424</v>
      </c>
      <c r="C867" s="57" t="s">
        <v>265</v>
      </c>
      <c r="D867" s="58" t="n">
        <v>46068.3159722222</v>
      </c>
      <c r="E867" s="58" t="n">
        <v>46068.3159722222</v>
      </c>
      <c r="F867" s="58" t="n">
        <v>46068.4076388889</v>
      </c>
      <c r="G867" s="59" t="n">
        <f aca="false">F867-E867</f>
        <v>0.0916666667013889</v>
      </c>
      <c r="H867" s="57" t="s">
        <v>252</v>
      </c>
      <c r="I867" s="57"/>
      <c r="J867" s="57" t="s">
        <v>253</v>
      </c>
      <c r="K867" s="57" t="s">
        <v>266</v>
      </c>
      <c r="L867" s="57" t="s">
        <v>1754</v>
      </c>
      <c r="M867" s="57" t="s">
        <v>255</v>
      </c>
      <c r="N867" s="57" t="s">
        <v>268</v>
      </c>
      <c r="O867" s="57" t="s">
        <v>1755</v>
      </c>
      <c r="P867" s="57" t="s">
        <v>1756</v>
      </c>
      <c r="Q867" s="57" t="s">
        <v>706</v>
      </c>
    </row>
    <row r="868" s="50" customFormat="true" ht="14.25" hidden="false" customHeight="true" outlineLevel="0" collapsed="false">
      <c r="A868" s="50" t="s">
        <v>424</v>
      </c>
      <c r="B868" s="57" t="s">
        <v>424</v>
      </c>
      <c r="C868" s="57" t="s">
        <v>251</v>
      </c>
      <c r="D868" s="58" t="n">
        <v>46068.3159722222</v>
      </c>
      <c r="E868" s="58" t="n">
        <v>46068.3159722222</v>
      </c>
      <c r="F868" s="58" t="n">
        <v>46068.4076388889</v>
      </c>
      <c r="G868" s="59" t="n">
        <f aca="false">F868-E868</f>
        <v>0.0916666667013889</v>
      </c>
      <c r="H868" s="57" t="s">
        <v>252</v>
      </c>
      <c r="I868" s="57"/>
      <c r="J868" s="57" t="s">
        <v>253</v>
      </c>
      <c r="K868" s="57" t="s">
        <v>266</v>
      </c>
      <c r="L868" s="57" t="s">
        <v>1754</v>
      </c>
      <c r="M868" s="57" t="s">
        <v>255</v>
      </c>
      <c r="N868" s="57" t="s">
        <v>268</v>
      </c>
      <c r="O868" s="57" t="s">
        <v>1755</v>
      </c>
      <c r="P868" s="57" t="s">
        <v>1757</v>
      </c>
      <c r="Q868" s="57" t="s">
        <v>706</v>
      </c>
    </row>
    <row r="869" s="50" customFormat="true" ht="14.25" hidden="false" customHeight="true" outlineLevel="0" collapsed="false">
      <c r="A869" s="50" t="s">
        <v>424</v>
      </c>
      <c r="B869" s="57" t="s">
        <v>424</v>
      </c>
      <c r="C869" s="57" t="s">
        <v>258</v>
      </c>
      <c r="D869" s="58" t="n">
        <v>46068.3159722222</v>
      </c>
      <c r="E869" s="58" t="n">
        <v>46068.3159722222</v>
      </c>
      <c r="F869" s="58" t="n">
        <v>46068.4076388889</v>
      </c>
      <c r="G869" s="59" t="n">
        <f aca="false">F869-E869</f>
        <v>0.0916666667013889</v>
      </c>
      <c r="H869" s="57" t="s">
        <v>252</v>
      </c>
      <c r="I869" s="57"/>
      <c r="J869" s="57" t="s">
        <v>253</v>
      </c>
      <c r="K869" s="57" t="s">
        <v>266</v>
      </c>
      <c r="L869" s="57" t="s">
        <v>1754</v>
      </c>
      <c r="M869" s="57" t="s">
        <v>255</v>
      </c>
      <c r="N869" s="57" t="s">
        <v>268</v>
      </c>
      <c r="O869" s="57" t="s">
        <v>1755</v>
      </c>
      <c r="P869" s="57" t="s">
        <v>1758</v>
      </c>
      <c r="Q869" s="57" t="s">
        <v>706</v>
      </c>
    </row>
    <row r="870" s="50" customFormat="true" ht="14.25" hidden="false" customHeight="true" outlineLevel="0" collapsed="false">
      <c r="A870" s="50" t="s">
        <v>424</v>
      </c>
      <c r="B870" s="57" t="s">
        <v>424</v>
      </c>
      <c r="C870" s="57" t="s">
        <v>261</v>
      </c>
      <c r="D870" s="58" t="n">
        <v>46068.3159722222</v>
      </c>
      <c r="E870" s="58" t="n">
        <v>46068.3159722222</v>
      </c>
      <c r="F870" s="58" t="n">
        <v>46068.4076388889</v>
      </c>
      <c r="G870" s="59" t="n">
        <f aca="false">F870-E870</f>
        <v>0.0916666667013889</v>
      </c>
      <c r="H870" s="57" t="s">
        <v>252</v>
      </c>
      <c r="I870" s="57"/>
      <c r="J870" s="57" t="s">
        <v>253</v>
      </c>
      <c r="K870" s="57" t="s">
        <v>266</v>
      </c>
      <c r="L870" s="57" t="s">
        <v>1754</v>
      </c>
      <c r="M870" s="57" t="s">
        <v>255</v>
      </c>
      <c r="N870" s="57" t="s">
        <v>268</v>
      </c>
      <c r="O870" s="57" t="s">
        <v>1755</v>
      </c>
      <c r="P870" s="57" t="s">
        <v>1759</v>
      </c>
      <c r="Q870" s="57" t="s">
        <v>706</v>
      </c>
    </row>
    <row r="871" s="50" customFormat="true" ht="14.25" hidden="false" customHeight="true" outlineLevel="0" collapsed="false">
      <c r="A871" s="50" t="s">
        <v>424</v>
      </c>
      <c r="B871" s="57" t="s">
        <v>424</v>
      </c>
      <c r="C871" s="57" t="s">
        <v>260</v>
      </c>
      <c r="D871" s="58" t="n">
        <v>46068.3159722222</v>
      </c>
      <c r="E871" s="58" t="n">
        <v>46068.3159722222</v>
      </c>
      <c r="F871" s="58" t="n">
        <v>46068.4076388889</v>
      </c>
      <c r="G871" s="59" t="n">
        <f aca="false">F871-E871</f>
        <v>0.0916666667013889</v>
      </c>
      <c r="H871" s="57" t="s">
        <v>252</v>
      </c>
      <c r="I871" s="57"/>
      <c r="J871" s="57" t="s">
        <v>253</v>
      </c>
      <c r="K871" s="57" t="s">
        <v>266</v>
      </c>
      <c r="L871" s="57" t="s">
        <v>1754</v>
      </c>
      <c r="M871" s="57" t="s">
        <v>255</v>
      </c>
      <c r="N871" s="57" t="s">
        <v>268</v>
      </c>
      <c r="O871" s="57" t="s">
        <v>1755</v>
      </c>
      <c r="P871" s="57" t="s">
        <v>1760</v>
      </c>
      <c r="Q871" s="57" t="s">
        <v>706</v>
      </c>
    </row>
    <row r="872" s="50" customFormat="true" ht="14.25" hidden="false" customHeight="true" outlineLevel="0" collapsed="false">
      <c r="A872" s="50" t="s">
        <v>425</v>
      </c>
      <c r="B872" s="57" t="s">
        <v>425</v>
      </c>
      <c r="C872" s="57" t="s">
        <v>265</v>
      </c>
      <c r="D872" s="58" t="n">
        <v>46068.3159722222</v>
      </c>
      <c r="E872" s="58" t="n">
        <v>46068.3159722222</v>
      </c>
      <c r="F872" s="58" t="n">
        <v>46068.4076388889</v>
      </c>
      <c r="G872" s="59" t="n">
        <f aca="false">F872-E872</f>
        <v>0.0916666667013889</v>
      </c>
      <c r="H872" s="57" t="s">
        <v>252</v>
      </c>
      <c r="I872" s="57"/>
      <c r="J872" s="57" t="s">
        <v>253</v>
      </c>
      <c r="K872" s="57" t="s">
        <v>266</v>
      </c>
      <c r="L872" s="57" t="s">
        <v>1754</v>
      </c>
      <c r="M872" s="57" t="s">
        <v>255</v>
      </c>
      <c r="N872" s="57" t="s">
        <v>268</v>
      </c>
      <c r="O872" s="57" t="s">
        <v>1755</v>
      </c>
      <c r="P872" s="57" t="s">
        <v>1761</v>
      </c>
      <c r="Q872" s="57" t="s">
        <v>706</v>
      </c>
    </row>
    <row r="873" s="50" customFormat="true" ht="14.25" hidden="false" customHeight="true" outlineLevel="0" collapsed="false">
      <c r="A873" s="50" t="s">
        <v>425</v>
      </c>
      <c r="B873" s="57" t="s">
        <v>425</v>
      </c>
      <c r="C873" s="57" t="s">
        <v>426</v>
      </c>
      <c r="D873" s="58" t="n">
        <v>46068.3159722222</v>
      </c>
      <c r="E873" s="58" t="n">
        <v>46068.3159722222</v>
      </c>
      <c r="F873" s="58" t="n">
        <v>46068.4076388889</v>
      </c>
      <c r="G873" s="59" t="n">
        <f aca="false">F873-E873</f>
        <v>0.0916666667013889</v>
      </c>
      <c r="H873" s="57" t="s">
        <v>252</v>
      </c>
      <c r="I873" s="57"/>
      <c r="J873" s="57" t="s">
        <v>253</v>
      </c>
      <c r="K873" s="57" t="s">
        <v>266</v>
      </c>
      <c r="L873" s="57" t="s">
        <v>1754</v>
      </c>
      <c r="M873" s="57" t="s">
        <v>255</v>
      </c>
      <c r="N873" s="57" t="s">
        <v>268</v>
      </c>
      <c r="O873" s="57" t="s">
        <v>1755</v>
      </c>
      <c r="P873" s="57" t="s">
        <v>1762</v>
      </c>
      <c r="Q873" s="57" t="s">
        <v>706</v>
      </c>
    </row>
    <row r="874" s="50" customFormat="true" ht="14.25" hidden="false" customHeight="true" outlineLevel="0" collapsed="false">
      <c r="A874" s="50" t="s">
        <v>425</v>
      </c>
      <c r="B874" s="57" t="s">
        <v>425</v>
      </c>
      <c r="C874" s="57" t="s">
        <v>427</v>
      </c>
      <c r="D874" s="58" t="n">
        <v>46068.3159722222</v>
      </c>
      <c r="E874" s="58" t="n">
        <v>46068.3159722222</v>
      </c>
      <c r="F874" s="58" t="n">
        <v>46068.4076388889</v>
      </c>
      <c r="G874" s="59" t="n">
        <f aca="false">F874-E874</f>
        <v>0.0916666667013889</v>
      </c>
      <c r="H874" s="57" t="s">
        <v>252</v>
      </c>
      <c r="I874" s="57"/>
      <c r="J874" s="57" t="s">
        <v>253</v>
      </c>
      <c r="K874" s="57" t="s">
        <v>266</v>
      </c>
      <c r="L874" s="57" t="s">
        <v>1754</v>
      </c>
      <c r="M874" s="57" t="s">
        <v>255</v>
      </c>
      <c r="N874" s="57" t="s">
        <v>268</v>
      </c>
      <c r="O874" s="57" t="s">
        <v>1755</v>
      </c>
      <c r="P874" s="57" t="s">
        <v>1763</v>
      </c>
      <c r="Q874" s="57" t="s">
        <v>706</v>
      </c>
    </row>
    <row r="875" s="50" customFormat="true" ht="14.25" hidden="false" customHeight="true" outlineLevel="0" collapsed="false">
      <c r="A875" s="50" t="s">
        <v>425</v>
      </c>
      <c r="B875" s="57" t="s">
        <v>425</v>
      </c>
      <c r="C875" s="57" t="s">
        <v>428</v>
      </c>
      <c r="D875" s="58" t="n">
        <v>46068.3159722222</v>
      </c>
      <c r="E875" s="58" t="n">
        <v>46068.3159722222</v>
      </c>
      <c r="F875" s="58" t="n">
        <v>46068.4076388889</v>
      </c>
      <c r="G875" s="59" t="n">
        <f aca="false">F875-E875</f>
        <v>0.0916666667013889</v>
      </c>
      <c r="H875" s="57" t="s">
        <v>252</v>
      </c>
      <c r="I875" s="57"/>
      <c r="J875" s="57" t="s">
        <v>253</v>
      </c>
      <c r="K875" s="57" t="s">
        <v>266</v>
      </c>
      <c r="L875" s="57" t="s">
        <v>1754</v>
      </c>
      <c r="M875" s="57" t="s">
        <v>255</v>
      </c>
      <c r="N875" s="57" t="s">
        <v>268</v>
      </c>
      <c r="O875" s="57" t="s">
        <v>1755</v>
      </c>
      <c r="P875" s="57" t="s">
        <v>1764</v>
      </c>
      <c r="Q875" s="57" t="s">
        <v>706</v>
      </c>
    </row>
    <row r="876" s="50" customFormat="true" ht="14.25" hidden="false" customHeight="true" outlineLevel="0" collapsed="false">
      <c r="A876" s="50" t="s">
        <v>425</v>
      </c>
      <c r="B876" s="57" t="s">
        <v>425</v>
      </c>
      <c r="C876" s="57" t="s">
        <v>324</v>
      </c>
      <c r="D876" s="58" t="n">
        <v>46068.3159722222</v>
      </c>
      <c r="E876" s="58" t="n">
        <v>46068.3159722222</v>
      </c>
      <c r="F876" s="58" t="n">
        <v>46068.4076388889</v>
      </c>
      <c r="G876" s="59" t="n">
        <f aca="false">F876-E876</f>
        <v>0.0916666667013889</v>
      </c>
      <c r="H876" s="57" t="s">
        <v>252</v>
      </c>
      <c r="I876" s="57"/>
      <c r="J876" s="57" t="s">
        <v>253</v>
      </c>
      <c r="K876" s="57" t="s">
        <v>266</v>
      </c>
      <c r="L876" s="57" t="s">
        <v>1754</v>
      </c>
      <c r="M876" s="57" t="s">
        <v>255</v>
      </c>
      <c r="N876" s="57" t="s">
        <v>268</v>
      </c>
      <c r="O876" s="57" t="s">
        <v>1755</v>
      </c>
      <c r="P876" s="57" t="s">
        <v>1765</v>
      </c>
      <c r="Q876" s="57" t="s">
        <v>706</v>
      </c>
    </row>
    <row r="877" s="50" customFormat="true" ht="14.25" hidden="false" customHeight="true" outlineLevel="0" collapsed="false">
      <c r="A877" s="50" t="s">
        <v>429</v>
      </c>
      <c r="B877" s="57" t="s">
        <v>429</v>
      </c>
      <c r="C877" s="57" t="s">
        <v>261</v>
      </c>
      <c r="D877" s="58" t="n">
        <v>46068.3159722222</v>
      </c>
      <c r="E877" s="58" t="n">
        <v>46068.3159722222</v>
      </c>
      <c r="F877" s="58" t="n">
        <v>46068.4076388889</v>
      </c>
      <c r="G877" s="59" t="n">
        <f aca="false">F877-E877</f>
        <v>0.0916666667013889</v>
      </c>
      <c r="H877" s="57" t="s">
        <v>252</v>
      </c>
      <c r="I877" s="57"/>
      <c r="J877" s="57" t="s">
        <v>253</v>
      </c>
      <c r="K877" s="57" t="s">
        <v>266</v>
      </c>
      <c r="L877" s="57" t="s">
        <v>1754</v>
      </c>
      <c r="M877" s="57" t="s">
        <v>255</v>
      </c>
      <c r="N877" s="57" t="s">
        <v>268</v>
      </c>
      <c r="O877" s="57" t="s">
        <v>1755</v>
      </c>
      <c r="P877" s="57" t="s">
        <v>1766</v>
      </c>
      <c r="Q877" s="57" t="s">
        <v>706</v>
      </c>
    </row>
    <row r="878" s="50" customFormat="true" ht="14.25" hidden="false" customHeight="true" outlineLevel="0" collapsed="false">
      <c r="A878" s="50" t="s">
        <v>429</v>
      </c>
      <c r="B878" s="57" t="s">
        <v>429</v>
      </c>
      <c r="C878" s="57" t="s">
        <v>259</v>
      </c>
      <c r="D878" s="58" t="n">
        <v>46068.3159722222</v>
      </c>
      <c r="E878" s="58" t="n">
        <v>46068.3159722222</v>
      </c>
      <c r="F878" s="58" t="n">
        <v>46068.4076388889</v>
      </c>
      <c r="G878" s="59" t="n">
        <f aca="false">F878-E878</f>
        <v>0.0916666667013889</v>
      </c>
      <c r="H878" s="57" t="s">
        <v>252</v>
      </c>
      <c r="I878" s="57"/>
      <c r="J878" s="57" t="s">
        <v>253</v>
      </c>
      <c r="K878" s="57" t="s">
        <v>266</v>
      </c>
      <c r="L878" s="57" t="s">
        <v>1754</v>
      </c>
      <c r="M878" s="57" t="s">
        <v>255</v>
      </c>
      <c r="N878" s="57" t="s">
        <v>268</v>
      </c>
      <c r="O878" s="57" t="s">
        <v>1755</v>
      </c>
      <c r="P878" s="57" t="s">
        <v>1767</v>
      </c>
      <c r="Q878" s="57" t="s">
        <v>706</v>
      </c>
    </row>
    <row r="879" s="50" customFormat="true" ht="14.25" hidden="false" customHeight="true" outlineLevel="0" collapsed="false">
      <c r="A879" s="50" t="s">
        <v>429</v>
      </c>
      <c r="B879" s="57" t="s">
        <v>429</v>
      </c>
      <c r="C879" s="57" t="s">
        <v>260</v>
      </c>
      <c r="D879" s="58" t="n">
        <v>46068.3159722222</v>
      </c>
      <c r="E879" s="58" t="n">
        <v>46068.3159722222</v>
      </c>
      <c r="F879" s="58" t="n">
        <v>46068.4076388889</v>
      </c>
      <c r="G879" s="59" t="n">
        <f aca="false">F879-E879</f>
        <v>0.0916666667013889</v>
      </c>
      <c r="H879" s="57" t="s">
        <v>252</v>
      </c>
      <c r="I879" s="57"/>
      <c r="J879" s="57" t="s">
        <v>253</v>
      </c>
      <c r="K879" s="57" t="s">
        <v>266</v>
      </c>
      <c r="L879" s="57" t="s">
        <v>1754</v>
      </c>
      <c r="M879" s="57" t="s">
        <v>255</v>
      </c>
      <c r="N879" s="57" t="s">
        <v>268</v>
      </c>
      <c r="O879" s="57" t="s">
        <v>1755</v>
      </c>
      <c r="P879" s="57" t="s">
        <v>1768</v>
      </c>
      <c r="Q879" s="57" t="s">
        <v>706</v>
      </c>
    </row>
    <row r="880" s="50" customFormat="true" ht="14.25" hidden="false" customHeight="true" outlineLevel="0" collapsed="false">
      <c r="A880" s="50" t="s">
        <v>429</v>
      </c>
      <c r="B880" s="57" t="s">
        <v>429</v>
      </c>
      <c r="C880" s="57" t="s">
        <v>251</v>
      </c>
      <c r="D880" s="58" t="n">
        <v>46068.3159722222</v>
      </c>
      <c r="E880" s="58" t="n">
        <v>46068.3159722222</v>
      </c>
      <c r="F880" s="58" t="n">
        <v>46068.4076388889</v>
      </c>
      <c r="G880" s="59" t="n">
        <f aca="false">F880-E880</f>
        <v>0.0916666667013889</v>
      </c>
      <c r="H880" s="57" t="s">
        <v>252</v>
      </c>
      <c r="I880" s="57"/>
      <c r="J880" s="57" t="s">
        <v>253</v>
      </c>
      <c r="K880" s="57" t="s">
        <v>266</v>
      </c>
      <c r="L880" s="57" t="s">
        <v>1754</v>
      </c>
      <c r="M880" s="57" t="s">
        <v>255</v>
      </c>
      <c r="N880" s="57" t="s">
        <v>268</v>
      </c>
      <c r="O880" s="57" t="s">
        <v>1755</v>
      </c>
      <c r="P880" s="57" t="s">
        <v>1769</v>
      </c>
      <c r="Q880" s="57" t="s">
        <v>706</v>
      </c>
    </row>
    <row r="881" s="50" customFormat="true" ht="14.25" hidden="false" customHeight="true" outlineLevel="0" collapsed="false">
      <c r="A881" s="50" t="s">
        <v>429</v>
      </c>
      <c r="B881" s="57" t="s">
        <v>429</v>
      </c>
      <c r="C881" s="57" t="s">
        <v>258</v>
      </c>
      <c r="D881" s="58" t="n">
        <v>46068.3159722222</v>
      </c>
      <c r="E881" s="58" t="n">
        <v>46068.3159722222</v>
      </c>
      <c r="F881" s="58" t="n">
        <v>46068.4076388889</v>
      </c>
      <c r="G881" s="59" t="n">
        <f aca="false">F881-E881</f>
        <v>0.0916666667013889</v>
      </c>
      <c r="H881" s="57" t="s">
        <v>252</v>
      </c>
      <c r="I881" s="57"/>
      <c r="J881" s="57" t="s">
        <v>253</v>
      </c>
      <c r="K881" s="57" t="s">
        <v>266</v>
      </c>
      <c r="L881" s="57" t="s">
        <v>1754</v>
      </c>
      <c r="M881" s="57" t="s">
        <v>255</v>
      </c>
      <c r="N881" s="57" t="s">
        <v>268</v>
      </c>
      <c r="O881" s="57" t="s">
        <v>1755</v>
      </c>
      <c r="P881" s="57" t="s">
        <v>1770</v>
      </c>
      <c r="Q881" s="57" t="s">
        <v>706</v>
      </c>
    </row>
    <row r="882" s="50" customFormat="true" ht="14.25" hidden="false" customHeight="true" outlineLevel="0" collapsed="false">
      <c r="A882" s="50" t="s">
        <v>364</v>
      </c>
      <c r="B882" s="57" t="s">
        <v>364</v>
      </c>
      <c r="C882" s="57" t="s">
        <v>365</v>
      </c>
      <c r="D882" s="58" t="n">
        <v>46068.3159722222</v>
      </c>
      <c r="E882" s="58" t="n">
        <v>46068.3159722222</v>
      </c>
      <c r="F882" s="58" t="n">
        <v>46068.4076388889</v>
      </c>
      <c r="G882" s="59" t="n">
        <f aca="false">F882-E882</f>
        <v>0.0916666667013889</v>
      </c>
      <c r="H882" s="57" t="s">
        <v>252</v>
      </c>
      <c r="I882" s="57"/>
      <c r="J882" s="57" t="s">
        <v>253</v>
      </c>
      <c r="K882" s="57" t="s">
        <v>266</v>
      </c>
      <c r="L882" s="57" t="s">
        <v>1754</v>
      </c>
      <c r="M882" s="57" t="s">
        <v>255</v>
      </c>
      <c r="N882" s="57" t="s">
        <v>268</v>
      </c>
      <c r="O882" s="57" t="s">
        <v>1755</v>
      </c>
      <c r="P882" s="57" t="s">
        <v>1771</v>
      </c>
      <c r="Q882" s="57" t="s">
        <v>706</v>
      </c>
    </row>
    <row r="883" s="50" customFormat="true" ht="14.25" hidden="false" customHeight="true" outlineLevel="0" collapsed="false">
      <c r="A883" s="50" t="s">
        <v>364</v>
      </c>
      <c r="B883" s="57" t="s">
        <v>364</v>
      </c>
      <c r="C883" s="57" t="s">
        <v>259</v>
      </c>
      <c r="D883" s="58" t="n">
        <v>46068.3159722222</v>
      </c>
      <c r="E883" s="58" t="n">
        <v>46068.3159722222</v>
      </c>
      <c r="F883" s="58" t="n">
        <v>46068.4076388889</v>
      </c>
      <c r="G883" s="59" t="n">
        <f aca="false">F883-E883</f>
        <v>0.0916666667013889</v>
      </c>
      <c r="H883" s="57" t="s">
        <v>252</v>
      </c>
      <c r="I883" s="57"/>
      <c r="J883" s="57" t="s">
        <v>253</v>
      </c>
      <c r="K883" s="57" t="s">
        <v>266</v>
      </c>
      <c r="L883" s="57" t="s">
        <v>1754</v>
      </c>
      <c r="M883" s="57" t="s">
        <v>255</v>
      </c>
      <c r="N883" s="57" t="s">
        <v>268</v>
      </c>
      <c r="O883" s="57" t="s">
        <v>1755</v>
      </c>
      <c r="P883" s="57" t="s">
        <v>1772</v>
      </c>
      <c r="Q883" s="57" t="s">
        <v>706</v>
      </c>
    </row>
    <row r="884" s="50" customFormat="true" ht="14.25" hidden="false" customHeight="true" outlineLevel="0" collapsed="false">
      <c r="A884" s="50" t="s">
        <v>364</v>
      </c>
      <c r="B884" s="57" t="s">
        <v>364</v>
      </c>
      <c r="C884" s="57" t="s">
        <v>258</v>
      </c>
      <c r="D884" s="58" t="n">
        <v>46068.3159722222</v>
      </c>
      <c r="E884" s="58" t="n">
        <v>46068.3159722222</v>
      </c>
      <c r="F884" s="58" t="n">
        <v>46068.4076388889</v>
      </c>
      <c r="G884" s="59" t="n">
        <f aca="false">F884-E884</f>
        <v>0.0916666667013889</v>
      </c>
      <c r="H884" s="57" t="s">
        <v>252</v>
      </c>
      <c r="I884" s="57"/>
      <c r="J884" s="57" t="s">
        <v>253</v>
      </c>
      <c r="K884" s="57" t="s">
        <v>266</v>
      </c>
      <c r="L884" s="57" t="s">
        <v>1754</v>
      </c>
      <c r="M884" s="57" t="s">
        <v>255</v>
      </c>
      <c r="N884" s="57" t="s">
        <v>268</v>
      </c>
      <c r="O884" s="57" t="s">
        <v>1755</v>
      </c>
      <c r="P884" s="57" t="s">
        <v>1773</v>
      </c>
      <c r="Q884" s="57" t="s">
        <v>706</v>
      </c>
    </row>
    <row r="885" s="50" customFormat="true" ht="14.25" hidden="false" customHeight="true" outlineLevel="0" collapsed="false">
      <c r="A885" s="50" t="s">
        <v>364</v>
      </c>
      <c r="B885" s="57" t="s">
        <v>364</v>
      </c>
      <c r="C885" s="57" t="s">
        <v>261</v>
      </c>
      <c r="D885" s="58" t="n">
        <v>46068.3159722222</v>
      </c>
      <c r="E885" s="58" t="n">
        <v>46068.3159722222</v>
      </c>
      <c r="F885" s="58" t="n">
        <v>46068.4076388889</v>
      </c>
      <c r="G885" s="59" t="n">
        <f aca="false">F885-E885</f>
        <v>0.0916666667013889</v>
      </c>
      <c r="H885" s="57" t="s">
        <v>252</v>
      </c>
      <c r="I885" s="57"/>
      <c r="J885" s="57" t="s">
        <v>253</v>
      </c>
      <c r="K885" s="57" t="s">
        <v>266</v>
      </c>
      <c r="L885" s="57" t="s">
        <v>1754</v>
      </c>
      <c r="M885" s="57" t="s">
        <v>255</v>
      </c>
      <c r="N885" s="57" t="s">
        <v>268</v>
      </c>
      <c r="O885" s="57" t="s">
        <v>1755</v>
      </c>
      <c r="P885" s="57" t="s">
        <v>1774</v>
      </c>
      <c r="Q885" s="57" t="s">
        <v>706</v>
      </c>
    </row>
    <row r="886" s="50" customFormat="true" ht="14.25" hidden="false" customHeight="true" outlineLevel="0" collapsed="false">
      <c r="A886" s="50" t="s">
        <v>364</v>
      </c>
      <c r="B886" s="57" t="s">
        <v>364</v>
      </c>
      <c r="C886" s="57" t="s">
        <v>260</v>
      </c>
      <c r="D886" s="58" t="n">
        <v>46068.3159722222</v>
      </c>
      <c r="E886" s="58" t="n">
        <v>46068.3159722222</v>
      </c>
      <c r="F886" s="58" t="n">
        <v>46068.4076388889</v>
      </c>
      <c r="G886" s="59" t="n">
        <f aca="false">F886-E886</f>
        <v>0.0916666667013889</v>
      </c>
      <c r="H886" s="57" t="s">
        <v>252</v>
      </c>
      <c r="I886" s="57"/>
      <c r="J886" s="57" t="s">
        <v>253</v>
      </c>
      <c r="K886" s="57" t="s">
        <v>266</v>
      </c>
      <c r="L886" s="57" t="s">
        <v>1754</v>
      </c>
      <c r="M886" s="57" t="s">
        <v>255</v>
      </c>
      <c r="N886" s="57" t="s">
        <v>268</v>
      </c>
      <c r="O886" s="57" t="s">
        <v>1755</v>
      </c>
      <c r="P886" s="57" t="s">
        <v>1775</v>
      </c>
      <c r="Q886" s="57" t="s">
        <v>706</v>
      </c>
    </row>
    <row r="887" s="50" customFormat="true" ht="14.25" hidden="false" customHeight="true" outlineLevel="0" collapsed="false">
      <c r="A887" s="50" t="s">
        <v>430</v>
      </c>
      <c r="B887" s="57" t="s">
        <v>430</v>
      </c>
      <c r="C887" s="57" t="s">
        <v>260</v>
      </c>
      <c r="D887" s="58" t="n">
        <v>46068.3159722222</v>
      </c>
      <c r="E887" s="58" t="n">
        <v>46068.3159722222</v>
      </c>
      <c r="F887" s="58" t="n">
        <v>46068.4076388889</v>
      </c>
      <c r="G887" s="59" t="n">
        <f aca="false">F887-E887</f>
        <v>0.0916666667013889</v>
      </c>
      <c r="H887" s="57" t="s">
        <v>252</v>
      </c>
      <c r="I887" s="57"/>
      <c r="J887" s="57" t="s">
        <v>253</v>
      </c>
      <c r="K887" s="57" t="s">
        <v>266</v>
      </c>
      <c r="L887" s="57" t="s">
        <v>1754</v>
      </c>
      <c r="M887" s="57" t="s">
        <v>255</v>
      </c>
      <c r="N887" s="57" t="s">
        <v>268</v>
      </c>
      <c r="O887" s="57" t="s">
        <v>1755</v>
      </c>
      <c r="P887" s="57" t="s">
        <v>1776</v>
      </c>
      <c r="Q887" s="57" t="s">
        <v>706</v>
      </c>
    </row>
    <row r="888" s="50" customFormat="true" ht="14.25" hidden="false" customHeight="true" outlineLevel="0" collapsed="false">
      <c r="A888" s="50" t="s">
        <v>430</v>
      </c>
      <c r="B888" s="57" t="s">
        <v>430</v>
      </c>
      <c r="C888" s="57" t="s">
        <v>258</v>
      </c>
      <c r="D888" s="58" t="n">
        <v>46068.3159722222</v>
      </c>
      <c r="E888" s="58" t="n">
        <v>46068.3159722222</v>
      </c>
      <c r="F888" s="58" t="n">
        <v>46068.4076388889</v>
      </c>
      <c r="G888" s="59" t="n">
        <f aca="false">F888-E888</f>
        <v>0.0916666667013889</v>
      </c>
      <c r="H888" s="57" t="s">
        <v>252</v>
      </c>
      <c r="I888" s="57"/>
      <c r="J888" s="57" t="s">
        <v>253</v>
      </c>
      <c r="K888" s="57" t="s">
        <v>266</v>
      </c>
      <c r="L888" s="57" t="s">
        <v>1754</v>
      </c>
      <c r="M888" s="57" t="s">
        <v>255</v>
      </c>
      <c r="N888" s="57" t="s">
        <v>268</v>
      </c>
      <c r="O888" s="57" t="s">
        <v>1755</v>
      </c>
      <c r="P888" s="57" t="s">
        <v>1777</v>
      </c>
      <c r="Q888" s="57" t="s">
        <v>706</v>
      </c>
    </row>
    <row r="889" s="50" customFormat="true" ht="14.25" hidden="false" customHeight="true" outlineLevel="0" collapsed="false">
      <c r="A889" s="50" t="s">
        <v>430</v>
      </c>
      <c r="B889" s="57" t="s">
        <v>430</v>
      </c>
      <c r="C889" s="57" t="s">
        <v>251</v>
      </c>
      <c r="D889" s="58" t="n">
        <v>46068.3159722222</v>
      </c>
      <c r="E889" s="58" t="n">
        <v>46068.3159722222</v>
      </c>
      <c r="F889" s="58" t="n">
        <v>46068.4076388889</v>
      </c>
      <c r="G889" s="59" t="n">
        <f aca="false">F889-E889</f>
        <v>0.0916666667013889</v>
      </c>
      <c r="H889" s="57" t="s">
        <v>252</v>
      </c>
      <c r="I889" s="57"/>
      <c r="J889" s="57" t="s">
        <v>253</v>
      </c>
      <c r="K889" s="57" t="s">
        <v>266</v>
      </c>
      <c r="L889" s="57" t="s">
        <v>1754</v>
      </c>
      <c r="M889" s="57" t="s">
        <v>255</v>
      </c>
      <c r="N889" s="57" t="s">
        <v>268</v>
      </c>
      <c r="O889" s="57" t="s">
        <v>1755</v>
      </c>
      <c r="P889" s="57" t="s">
        <v>1778</v>
      </c>
      <c r="Q889" s="57" t="s">
        <v>706</v>
      </c>
    </row>
    <row r="890" s="50" customFormat="true" ht="14.25" hidden="false" customHeight="true" outlineLevel="0" collapsed="false">
      <c r="A890" s="50" t="s">
        <v>430</v>
      </c>
      <c r="B890" s="57" t="s">
        <v>430</v>
      </c>
      <c r="C890" s="57" t="s">
        <v>431</v>
      </c>
      <c r="D890" s="58" t="n">
        <v>46068.3159722222</v>
      </c>
      <c r="E890" s="58" t="n">
        <v>46068.3159722222</v>
      </c>
      <c r="F890" s="58" t="n">
        <v>46068.4076388889</v>
      </c>
      <c r="G890" s="59" t="n">
        <f aca="false">F890-E890</f>
        <v>0.0916666667013889</v>
      </c>
      <c r="H890" s="57" t="s">
        <v>252</v>
      </c>
      <c r="I890" s="57"/>
      <c r="J890" s="57" t="s">
        <v>253</v>
      </c>
      <c r="K890" s="57" t="s">
        <v>266</v>
      </c>
      <c r="L890" s="57" t="s">
        <v>1754</v>
      </c>
      <c r="M890" s="57" t="s">
        <v>255</v>
      </c>
      <c r="N890" s="57" t="s">
        <v>268</v>
      </c>
      <c r="O890" s="57" t="s">
        <v>1755</v>
      </c>
      <c r="P890" s="57" t="s">
        <v>1779</v>
      </c>
      <c r="Q890" s="57" t="s">
        <v>706</v>
      </c>
    </row>
    <row r="891" s="50" customFormat="true" ht="14.25" hidden="false" customHeight="true" outlineLevel="0" collapsed="false">
      <c r="A891" s="50" t="s">
        <v>430</v>
      </c>
      <c r="B891" s="57" t="s">
        <v>430</v>
      </c>
      <c r="C891" s="57" t="s">
        <v>259</v>
      </c>
      <c r="D891" s="58" t="n">
        <v>46068.3159722222</v>
      </c>
      <c r="E891" s="58" t="n">
        <v>46068.3159722222</v>
      </c>
      <c r="F891" s="58" t="n">
        <v>46068.4076388889</v>
      </c>
      <c r="G891" s="59" t="n">
        <f aca="false">F891-E891</f>
        <v>0.0916666667013889</v>
      </c>
      <c r="H891" s="57" t="s">
        <v>252</v>
      </c>
      <c r="I891" s="57"/>
      <c r="J891" s="57" t="s">
        <v>253</v>
      </c>
      <c r="K891" s="57" t="s">
        <v>266</v>
      </c>
      <c r="L891" s="57" t="s">
        <v>1754</v>
      </c>
      <c r="M891" s="57" t="s">
        <v>255</v>
      </c>
      <c r="N891" s="57" t="s">
        <v>268</v>
      </c>
      <c r="O891" s="57" t="s">
        <v>1755</v>
      </c>
      <c r="P891" s="57" t="s">
        <v>1780</v>
      </c>
      <c r="Q891" s="57" t="s">
        <v>706</v>
      </c>
    </row>
    <row r="892" s="50" customFormat="true" ht="14.25" hidden="false" customHeight="true" outlineLevel="0" collapsed="false">
      <c r="A892" s="50" t="s">
        <v>739</v>
      </c>
      <c r="B892" s="57" t="s">
        <v>45</v>
      </c>
      <c r="C892" s="57" t="s">
        <v>447</v>
      </c>
      <c r="D892" s="58" t="n">
        <v>46068.3159722222</v>
      </c>
      <c r="E892" s="58" t="n">
        <v>46068.3159722222</v>
      </c>
      <c r="F892" s="58" t="n">
        <v>46068.4819444444</v>
      </c>
      <c r="G892" s="59" t="n">
        <f aca="false">F892-E892</f>
        <v>0.165972222199074</v>
      </c>
      <c r="H892" s="57" t="s">
        <v>283</v>
      </c>
      <c r="I892" s="57" t="s">
        <v>284</v>
      </c>
      <c r="J892" s="57" t="s">
        <v>369</v>
      </c>
      <c r="K892" s="57" t="s">
        <v>754</v>
      </c>
      <c r="L892" s="57" t="s">
        <v>1662</v>
      </c>
      <c r="M892" s="57" t="s">
        <v>371</v>
      </c>
      <c r="N892" s="57" t="s">
        <v>289</v>
      </c>
      <c r="O892" s="57" t="s">
        <v>1781</v>
      </c>
      <c r="P892" s="57" t="s">
        <v>1782</v>
      </c>
      <c r="Q892" s="57" t="s">
        <v>1227</v>
      </c>
    </row>
    <row r="893" s="50" customFormat="true" ht="14.25" hidden="false" customHeight="true" outlineLevel="0" collapsed="false">
      <c r="A893" s="50" t="s">
        <v>739</v>
      </c>
      <c r="B893" s="57" t="s">
        <v>45</v>
      </c>
      <c r="C893" s="57" t="s">
        <v>594</v>
      </c>
      <c r="D893" s="58" t="n">
        <v>46068.3159722222</v>
      </c>
      <c r="E893" s="58" t="n">
        <v>46068.3159722222</v>
      </c>
      <c r="F893" s="58" t="n">
        <v>46068.4819444444</v>
      </c>
      <c r="G893" s="59" t="n">
        <f aca="false">F893-E893</f>
        <v>0.165972222199074</v>
      </c>
      <c r="H893" s="57" t="s">
        <v>283</v>
      </c>
      <c r="I893" s="57" t="s">
        <v>284</v>
      </c>
      <c r="J893" s="57" t="s">
        <v>369</v>
      </c>
      <c r="K893" s="57" t="s">
        <v>754</v>
      </c>
      <c r="L893" s="57" t="s">
        <v>1662</v>
      </c>
      <c r="M893" s="57" t="s">
        <v>371</v>
      </c>
      <c r="N893" s="57" t="s">
        <v>289</v>
      </c>
      <c r="O893" s="57" t="s">
        <v>1781</v>
      </c>
      <c r="P893" s="57" t="s">
        <v>1783</v>
      </c>
      <c r="Q893" s="57" t="s">
        <v>1227</v>
      </c>
    </row>
    <row r="894" s="50" customFormat="true" ht="14.25" hidden="false" customHeight="true" outlineLevel="0" collapsed="false">
      <c r="A894" s="50" t="s">
        <v>739</v>
      </c>
      <c r="B894" s="57" t="s">
        <v>45</v>
      </c>
      <c r="C894" s="57" t="s">
        <v>595</v>
      </c>
      <c r="D894" s="58" t="n">
        <v>46068.3159722222</v>
      </c>
      <c r="E894" s="58" t="n">
        <v>46068.3159722222</v>
      </c>
      <c r="F894" s="58" t="n">
        <v>46068.4819444444</v>
      </c>
      <c r="G894" s="59" t="n">
        <f aca="false">F894-E894</f>
        <v>0.165972222199074</v>
      </c>
      <c r="H894" s="57" t="s">
        <v>283</v>
      </c>
      <c r="I894" s="57" t="s">
        <v>284</v>
      </c>
      <c r="J894" s="57" t="s">
        <v>369</v>
      </c>
      <c r="K894" s="57" t="s">
        <v>754</v>
      </c>
      <c r="L894" s="57" t="s">
        <v>1662</v>
      </c>
      <c r="M894" s="57" t="s">
        <v>371</v>
      </c>
      <c r="N894" s="57" t="s">
        <v>289</v>
      </c>
      <c r="O894" s="57" t="s">
        <v>1781</v>
      </c>
      <c r="P894" s="57" t="s">
        <v>1784</v>
      </c>
      <c r="Q894" s="57" t="s">
        <v>1227</v>
      </c>
    </row>
    <row r="895" s="50" customFormat="true" ht="14.25" hidden="false" customHeight="true" outlineLevel="0" collapsed="false">
      <c r="A895" s="50" t="s">
        <v>739</v>
      </c>
      <c r="B895" s="57" t="s">
        <v>45</v>
      </c>
      <c r="C895" s="57" t="s">
        <v>596</v>
      </c>
      <c r="D895" s="58" t="n">
        <v>46068.3159722222</v>
      </c>
      <c r="E895" s="58" t="n">
        <v>46068.3159722222</v>
      </c>
      <c r="F895" s="58" t="n">
        <v>46068.4819444444</v>
      </c>
      <c r="G895" s="59" t="n">
        <f aca="false">F895-E895</f>
        <v>0.165972222199074</v>
      </c>
      <c r="H895" s="57" t="s">
        <v>283</v>
      </c>
      <c r="I895" s="57" t="s">
        <v>284</v>
      </c>
      <c r="J895" s="57" t="s">
        <v>369</v>
      </c>
      <c r="K895" s="57" t="s">
        <v>754</v>
      </c>
      <c r="L895" s="57" t="s">
        <v>1662</v>
      </c>
      <c r="M895" s="57" t="s">
        <v>371</v>
      </c>
      <c r="N895" s="57" t="s">
        <v>289</v>
      </c>
      <c r="O895" s="57" t="s">
        <v>1781</v>
      </c>
      <c r="P895" s="57" t="s">
        <v>1785</v>
      </c>
      <c r="Q895" s="57" t="s">
        <v>1227</v>
      </c>
    </row>
    <row r="896" s="50" customFormat="true" ht="14.25" hidden="false" customHeight="true" outlineLevel="0" collapsed="false">
      <c r="A896" s="50" t="s">
        <v>739</v>
      </c>
      <c r="B896" s="57" t="s">
        <v>45</v>
      </c>
      <c r="C896" s="57" t="s">
        <v>597</v>
      </c>
      <c r="D896" s="58" t="n">
        <v>46068.3159722222</v>
      </c>
      <c r="E896" s="58" t="n">
        <v>46068.3159722222</v>
      </c>
      <c r="F896" s="58" t="n">
        <v>46068.4819444444</v>
      </c>
      <c r="G896" s="59" t="n">
        <f aca="false">F896-E896</f>
        <v>0.165972222199074</v>
      </c>
      <c r="H896" s="57" t="s">
        <v>283</v>
      </c>
      <c r="I896" s="57" t="s">
        <v>284</v>
      </c>
      <c r="J896" s="57" t="s">
        <v>369</v>
      </c>
      <c r="K896" s="57" t="s">
        <v>754</v>
      </c>
      <c r="L896" s="57" t="s">
        <v>1662</v>
      </c>
      <c r="M896" s="57" t="s">
        <v>371</v>
      </c>
      <c r="N896" s="57" t="s">
        <v>289</v>
      </c>
      <c r="O896" s="57" t="s">
        <v>1781</v>
      </c>
      <c r="P896" s="57" t="s">
        <v>1786</v>
      </c>
      <c r="Q896" s="57" t="s">
        <v>1227</v>
      </c>
    </row>
    <row r="897" s="50" customFormat="true" ht="14.25" hidden="false" customHeight="true" outlineLevel="0" collapsed="false">
      <c r="A897" s="50" t="s">
        <v>739</v>
      </c>
      <c r="B897" s="57" t="s">
        <v>45</v>
      </c>
      <c r="C897" s="57" t="s">
        <v>598</v>
      </c>
      <c r="D897" s="58" t="n">
        <v>46068.3159722222</v>
      </c>
      <c r="E897" s="58" t="n">
        <v>46068.3159722222</v>
      </c>
      <c r="F897" s="58" t="n">
        <v>46068.4819444444</v>
      </c>
      <c r="G897" s="59" t="n">
        <f aca="false">F897-E897</f>
        <v>0.165972222199074</v>
      </c>
      <c r="H897" s="57" t="s">
        <v>283</v>
      </c>
      <c r="I897" s="57" t="s">
        <v>284</v>
      </c>
      <c r="J897" s="57" t="s">
        <v>369</v>
      </c>
      <c r="K897" s="57" t="s">
        <v>754</v>
      </c>
      <c r="L897" s="57" t="s">
        <v>1662</v>
      </c>
      <c r="M897" s="57" t="s">
        <v>371</v>
      </c>
      <c r="N897" s="57" t="s">
        <v>289</v>
      </c>
      <c r="O897" s="57" t="s">
        <v>1781</v>
      </c>
      <c r="P897" s="57" t="s">
        <v>1787</v>
      </c>
      <c r="Q897" s="57" t="s">
        <v>1227</v>
      </c>
    </row>
    <row r="898" s="50" customFormat="true" ht="14.25" hidden="false" customHeight="true" outlineLevel="0" collapsed="false">
      <c r="A898" s="50" t="s">
        <v>739</v>
      </c>
      <c r="B898" s="57" t="s">
        <v>45</v>
      </c>
      <c r="C898" s="57" t="s">
        <v>599</v>
      </c>
      <c r="D898" s="58" t="n">
        <v>46068.3159722222</v>
      </c>
      <c r="E898" s="58" t="n">
        <v>46068.3159722222</v>
      </c>
      <c r="F898" s="58" t="n">
        <v>46068.4819444444</v>
      </c>
      <c r="G898" s="59" t="n">
        <f aca="false">F898-E898</f>
        <v>0.165972222199074</v>
      </c>
      <c r="H898" s="57" t="s">
        <v>283</v>
      </c>
      <c r="I898" s="57" t="s">
        <v>284</v>
      </c>
      <c r="J898" s="57" t="s">
        <v>369</v>
      </c>
      <c r="K898" s="57" t="s">
        <v>754</v>
      </c>
      <c r="L898" s="57" t="s">
        <v>1662</v>
      </c>
      <c r="M898" s="57" t="s">
        <v>371</v>
      </c>
      <c r="N898" s="57" t="s">
        <v>289</v>
      </c>
      <c r="O898" s="57" t="s">
        <v>1781</v>
      </c>
      <c r="P898" s="57" t="s">
        <v>1788</v>
      </c>
      <c r="Q898" s="57" t="s">
        <v>1227</v>
      </c>
    </row>
    <row r="899" s="50" customFormat="true" ht="14.25" hidden="false" customHeight="true" outlineLevel="0" collapsed="false">
      <c r="A899" s="50" t="s">
        <v>739</v>
      </c>
      <c r="B899" s="57" t="s">
        <v>45</v>
      </c>
      <c r="C899" s="57" t="s">
        <v>600</v>
      </c>
      <c r="D899" s="58" t="n">
        <v>46068.3159722222</v>
      </c>
      <c r="E899" s="58" t="n">
        <v>46068.3159722222</v>
      </c>
      <c r="F899" s="58" t="n">
        <v>46068.4819444444</v>
      </c>
      <c r="G899" s="59" t="n">
        <f aca="false">F899-E899</f>
        <v>0.165972222199074</v>
      </c>
      <c r="H899" s="57" t="s">
        <v>283</v>
      </c>
      <c r="I899" s="57" t="s">
        <v>284</v>
      </c>
      <c r="J899" s="57" t="s">
        <v>369</v>
      </c>
      <c r="K899" s="57" t="s">
        <v>754</v>
      </c>
      <c r="L899" s="57" t="s">
        <v>1662</v>
      </c>
      <c r="M899" s="57" t="s">
        <v>371</v>
      </c>
      <c r="N899" s="57" t="s">
        <v>289</v>
      </c>
      <c r="O899" s="57" t="s">
        <v>1781</v>
      </c>
      <c r="P899" s="57" t="s">
        <v>1789</v>
      </c>
      <c r="Q899" s="57" t="s">
        <v>1227</v>
      </c>
    </row>
    <row r="900" s="50" customFormat="true" ht="14.25" hidden="false" customHeight="true" outlineLevel="0" collapsed="false">
      <c r="A900" s="50" t="s">
        <v>739</v>
      </c>
      <c r="B900" s="57" t="s">
        <v>45</v>
      </c>
      <c r="C900" s="57" t="s">
        <v>601</v>
      </c>
      <c r="D900" s="58" t="n">
        <v>46068.3159722222</v>
      </c>
      <c r="E900" s="58" t="n">
        <v>46068.3159722222</v>
      </c>
      <c r="F900" s="58" t="n">
        <v>46068.4819444444</v>
      </c>
      <c r="G900" s="59" t="n">
        <f aca="false">F900-E900</f>
        <v>0.165972222199074</v>
      </c>
      <c r="H900" s="57" t="s">
        <v>283</v>
      </c>
      <c r="I900" s="57" t="s">
        <v>284</v>
      </c>
      <c r="J900" s="57" t="s">
        <v>369</v>
      </c>
      <c r="K900" s="57" t="s">
        <v>754</v>
      </c>
      <c r="L900" s="57" t="s">
        <v>1662</v>
      </c>
      <c r="M900" s="57" t="s">
        <v>371</v>
      </c>
      <c r="N900" s="57" t="s">
        <v>289</v>
      </c>
      <c r="O900" s="57" t="s">
        <v>1781</v>
      </c>
      <c r="P900" s="57" t="s">
        <v>1790</v>
      </c>
      <c r="Q900" s="57" t="s">
        <v>1227</v>
      </c>
    </row>
    <row r="901" s="50" customFormat="true" ht="14.25" hidden="false" customHeight="true" outlineLevel="0" collapsed="false">
      <c r="A901" s="50" t="s">
        <v>739</v>
      </c>
      <c r="B901" s="57" t="s">
        <v>45</v>
      </c>
      <c r="C901" s="57" t="s">
        <v>602</v>
      </c>
      <c r="D901" s="58" t="n">
        <v>46068.3159722222</v>
      </c>
      <c r="E901" s="58" t="n">
        <v>46068.3159722222</v>
      </c>
      <c r="F901" s="58" t="n">
        <v>46068.4819444444</v>
      </c>
      <c r="G901" s="59" t="n">
        <f aca="false">F901-E901</f>
        <v>0.165972222199074</v>
      </c>
      <c r="H901" s="57" t="s">
        <v>283</v>
      </c>
      <c r="I901" s="57" t="s">
        <v>284</v>
      </c>
      <c r="J901" s="57" t="s">
        <v>369</v>
      </c>
      <c r="K901" s="57" t="s">
        <v>754</v>
      </c>
      <c r="L901" s="57" t="s">
        <v>1662</v>
      </c>
      <c r="M901" s="57" t="s">
        <v>371</v>
      </c>
      <c r="N901" s="57" t="s">
        <v>289</v>
      </c>
      <c r="O901" s="57" t="s">
        <v>1781</v>
      </c>
      <c r="P901" s="57" t="s">
        <v>1791</v>
      </c>
      <c r="Q901" s="57" t="s">
        <v>1227</v>
      </c>
    </row>
    <row r="902" s="50" customFormat="true" ht="14.25" hidden="false" customHeight="true" outlineLevel="0" collapsed="false">
      <c r="A902" s="50" t="s">
        <v>739</v>
      </c>
      <c r="B902" s="57" t="s">
        <v>45</v>
      </c>
      <c r="C902" s="57" t="s">
        <v>603</v>
      </c>
      <c r="D902" s="58" t="n">
        <v>46068.3159722222</v>
      </c>
      <c r="E902" s="58" t="n">
        <v>46068.3159722222</v>
      </c>
      <c r="F902" s="58" t="n">
        <v>46068.4819444444</v>
      </c>
      <c r="G902" s="59" t="n">
        <f aca="false">F902-E902</f>
        <v>0.165972222199074</v>
      </c>
      <c r="H902" s="57" t="s">
        <v>283</v>
      </c>
      <c r="I902" s="57" t="s">
        <v>284</v>
      </c>
      <c r="J902" s="57" t="s">
        <v>369</v>
      </c>
      <c r="K902" s="57" t="s">
        <v>754</v>
      </c>
      <c r="L902" s="57" t="s">
        <v>1662</v>
      </c>
      <c r="M902" s="57" t="s">
        <v>371</v>
      </c>
      <c r="N902" s="57" t="s">
        <v>289</v>
      </c>
      <c r="O902" s="57" t="s">
        <v>1781</v>
      </c>
      <c r="P902" s="57" t="s">
        <v>1792</v>
      </c>
      <c r="Q902" s="57" t="s">
        <v>1227</v>
      </c>
    </row>
    <row r="903" s="50" customFormat="true" ht="14.25" hidden="false" customHeight="true" outlineLevel="0" collapsed="false">
      <c r="A903" s="50" t="s">
        <v>739</v>
      </c>
      <c r="B903" s="57" t="s">
        <v>45</v>
      </c>
      <c r="C903" s="57" t="s">
        <v>604</v>
      </c>
      <c r="D903" s="58" t="n">
        <v>46068.3159722222</v>
      </c>
      <c r="E903" s="58" t="n">
        <v>46068.3159722222</v>
      </c>
      <c r="F903" s="58" t="n">
        <v>46068.4819444444</v>
      </c>
      <c r="G903" s="59" t="n">
        <f aca="false">F903-E903</f>
        <v>0.165972222199074</v>
      </c>
      <c r="H903" s="57" t="s">
        <v>283</v>
      </c>
      <c r="I903" s="57" t="s">
        <v>284</v>
      </c>
      <c r="J903" s="57" t="s">
        <v>369</v>
      </c>
      <c r="K903" s="57" t="s">
        <v>754</v>
      </c>
      <c r="L903" s="57" t="s">
        <v>1662</v>
      </c>
      <c r="M903" s="57" t="s">
        <v>371</v>
      </c>
      <c r="N903" s="57" t="s">
        <v>289</v>
      </c>
      <c r="O903" s="57" t="s">
        <v>1781</v>
      </c>
      <c r="P903" s="57" t="s">
        <v>1793</v>
      </c>
      <c r="Q903" s="57" t="s">
        <v>1227</v>
      </c>
    </row>
    <row r="904" s="50" customFormat="true" ht="14.25" hidden="false" customHeight="true" outlineLevel="0" collapsed="false">
      <c r="A904" s="50" t="s">
        <v>358</v>
      </c>
      <c r="B904" s="57" t="s">
        <v>358</v>
      </c>
      <c r="C904" s="57" t="s">
        <v>324</v>
      </c>
      <c r="D904" s="58" t="n">
        <v>46068.3923611111</v>
      </c>
      <c r="E904" s="58" t="n">
        <v>46068.3923611111</v>
      </c>
      <c r="F904" s="58" t="n">
        <v>46068.4465277778</v>
      </c>
      <c r="G904" s="59" t="n">
        <f aca="false">F904-E904</f>
        <v>0.0541666667013889</v>
      </c>
      <c r="H904" s="57" t="s">
        <v>252</v>
      </c>
      <c r="I904" s="57"/>
      <c r="J904" s="57" t="s">
        <v>253</v>
      </c>
      <c r="K904" s="57" t="s">
        <v>266</v>
      </c>
      <c r="L904" s="57" t="s">
        <v>1794</v>
      </c>
      <c r="M904" s="57" t="s">
        <v>255</v>
      </c>
      <c r="N904" s="57" t="s">
        <v>268</v>
      </c>
      <c r="O904" s="57" t="s">
        <v>1795</v>
      </c>
      <c r="P904" s="57" t="s">
        <v>1796</v>
      </c>
      <c r="Q904" s="57" t="s">
        <v>706</v>
      </c>
    </row>
    <row r="905" s="50" customFormat="true" ht="14.25" hidden="false" customHeight="true" outlineLevel="0" collapsed="false">
      <c r="A905" s="50" t="s">
        <v>358</v>
      </c>
      <c r="B905" s="57" t="s">
        <v>358</v>
      </c>
      <c r="C905" s="57" t="s">
        <v>326</v>
      </c>
      <c r="D905" s="58" t="n">
        <v>46068.3923611111</v>
      </c>
      <c r="E905" s="58" t="n">
        <v>46068.3923611111</v>
      </c>
      <c r="F905" s="58" t="n">
        <v>46068.4465277778</v>
      </c>
      <c r="G905" s="59" t="n">
        <f aca="false">F905-E905</f>
        <v>0.0541666667013889</v>
      </c>
      <c r="H905" s="57" t="s">
        <v>252</v>
      </c>
      <c r="I905" s="57"/>
      <c r="J905" s="57" t="s">
        <v>253</v>
      </c>
      <c r="K905" s="57" t="s">
        <v>266</v>
      </c>
      <c r="L905" s="57" t="s">
        <v>1794</v>
      </c>
      <c r="M905" s="57" t="s">
        <v>255</v>
      </c>
      <c r="N905" s="57" t="s">
        <v>268</v>
      </c>
      <c r="O905" s="57" t="s">
        <v>1795</v>
      </c>
      <c r="P905" s="57" t="s">
        <v>1797</v>
      </c>
      <c r="Q905" s="57" t="s">
        <v>706</v>
      </c>
    </row>
    <row r="906" s="50" customFormat="true" ht="14.25" hidden="false" customHeight="true" outlineLevel="0" collapsed="false">
      <c r="A906" s="50" t="s">
        <v>358</v>
      </c>
      <c r="B906" s="57" t="s">
        <v>358</v>
      </c>
      <c r="C906" s="57" t="s">
        <v>327</v>
      </c>
      <c r="D906" s="58" t="n">
        <v>46068.3923611111</v>
      </c>
      <c r="E906" s="58" t="n">
        <v>46068.3923611111</v>
      </c>
      <c r="F906" s="58" t="n">
        <v>46068.4465277778</v>
      </c>
      <c r="G906" s="59" t="n">
        <f aca="false">F906-E906</f>
        <v>0.0541666667013889</v>
      </c>
      <c r="H906" s="57" t="s">
        <v>252</v>
      </c>
      <c r="I906" s="57"/>
      <c r="J906" s="57" t="s">
        <v>253</v>
      </c>
      <c r="K906" s="57" t="s">
        <v>266</v>
      </c>
      <c r="L906" s="57" t="s">
        <v>1794</v>
      </c>
      <c r="M906" s="57" t="s">
        <v>255</v>
      </c>
      <c r="N906" s="57" t="s">
        <v>268</v>
      </c>
      <c r="O906" s="57" t="s">
        <v>1795</v>
      </c>
      <c r="P906" s="57" t="s">
        <v>1798</v>
      </c>
      <c r="Q906" s="57" t="s">
        <v>706</v>
      </c>
    </row>
    <row r="907" s="50" customFormat="true" ht="14.25" hidden="false" customHeight="true" outlineLevel="0" collapsed="false">
      <c r="A907" s="50" t="s">
        <v>358</v>
      </c>
      <c r="B907" s="57" t="s">
        <v>358</v>
      </c>
      <c r="C907" s="57" t="s">
        <v>328</v>
      </c>
      <c r="D907" s="58" t="n">
        <v>46068.3923611111</v>
      </c>
      <c r="E907" s="58" t="n">
        <v>46068.3923611111</v>
      </c>
      <c r="F907" s="58" t="n">
        <v>46068.4465277778</v>
      </c>
      <c r="G907" s="59" t="n">
        <f aca="false">F907-E907</f>
        <v>0.0541666667013889</v>
      </c>
      <c r="H907" s="57" t="s">
        <v>252</v>
      </c>
      <c r="I907" s="57"/>
      <c r="J907" s="57" t="s">
        <v>253</v>
      </c>
      <c r="K907" s="57" t="s">
        <v>266</v>
      </c>
      <c r="L907" s="57" t="s">
        <v>1794</v>
      </c>
      <c r="M907" s="57" t="s">
        <v>255</v>
      </c>
      <c r="N907" s="57" t="s">
        <v>268</v>
      </c>
      <c r="O907" s="57" t="s">
        <v>1795</v>
      </c>
      <c r="P907" s="57" t="s">
        <v>1799</v>
      </c>
      <c r="Q907" s="57" t="s">
        <v>706</v>
      </c>
    </row>
    <row r="908" s="50" customFormat="true" ht="14.25" hidden="false" customHeight="true" outlineLevel="0" collapsed="false">
      <c r="A908" s="50" t="s">
        <v>361</v>
      </c>
      <c r="B908" s="57" t="s">
        <v>361</v>
      </c>
      <c r="C908" s="57" t="s">
        <v>324</v>
      </c>
      <c r="D908" s="58" t="n">
        <v>46068.3923611111</v>
      </c>
      <c r="E908" s="58" t="n">
        <v>46068.3923611111</v>
      </c>
      <c r="F908" s="58" t="n">
        <v>46068.4465277778</v>
      </c>
      <c r="G908" s="59" t="n">
        <f aca="false">F908-E908</f>
        <v>0.0541666667013889</v>
      </c>
      <c r="H908" s="57" t="s">
        <v>252</v>
      </c>
      <c r="I908" s="57"/>
      <c r="J908" s="57" t="s">
        <v>253</v>
      </c>
      <c r="K908" s="57" t="s">
        <v>266</v>
      </c>
      <c r="L908" s="57" t="s">
        <v>1794</v>
      </c>
      <c r="M908" s="57" t="s">
        <v>255</v>
      </c>
      <c r="N908" s="57" t="s">
        <v>268</v>
      </c>
      <c r="O908" s="57" t="s">
        <v>1795</v>
      </c>
      <c r="P908" s="57" t="s">
        <v>1800</v>
      </c>
      <c r="Q908" s="57" t="s">
        <v>706</v>
      </c>
    </row>
    <row r="909" s="50" customFormat="true" ht="14.25" hidden="false" customHeight="true" outlineLevel="0" collapsed="false">
      <c r="A909" s="50" t="s">
        <v>361</v>
      </c>
      <c r="B909" s="57" t="s">
        <v>361</v>
      </c>
      <c r="C909" s="57" t="s">
        <v>326</v>
      </c>
      <c r="D909" s="58" t="n">
        <v>46068.3923611111</v>
      </c>
      <c r="E909" s="58" t="n">
        <v>46068.3923611111</v>
      </c>
      <c r="F909" s="58" t="n">
        <v>46068.4465277778</v>
      </c>
      <c r="G909" s="59" t="n">
        <f aca="false">F909-E909</f>
        <v>0.0541666667013889</v>
      </c>
      <c r="H909" s="57" t="s">
        <v>252</v>
      </c>
      <c r="I909" s="57"/>
      <c r="J909" s="57" t="s">
        <v>253</v>
      </c>
      <c r="K909" s="57" t="s">
        <v>266</v>
      </c>
      <c r="L909" s="57" t="s">
        <v>1794</v>
      </c>
      <c r="M909" s="57" t="s">
        <v>255</v>
      </c>
      <c r="N909" s="57" t="s">
        <v>268</v>
      </c>
      <c r="O909" s="57" t="s">
        <v>1795</v>
      </c>
      <c r="P909" s="57" t="s">
        <v>1801</v>
      </c>
      <c r="Q909" s="57" t="s">
        <v>706</v>
      </c>
    </row>
    <row r="910" s="50" customFormat="true" ht="14.25" hidden="false" customHeight="true" outlineLevel="0" collapsed="false">
      <c r="A910" s="50" t="s">
        <v>361</v>
      </c>
      <c r="B910" s="57" t="s">
        <v>361</v>
      </c>
      <c r="C910" s="57" t="s">
        <v>327</v>
      </c>
      <c r="D910" s="58" t="n">
        <v>46068.3923611111</v>
      </c>
      <c r="E910" s="58" t="n">
        <v>46068.3923611111</v>
      </c>
      <c r="F910" s="58" t="n">
        <v>46068.4465277778</v>
      </c>
      <c r="G910" s="59" t="n">
        <f aca="false">F910-E910</f>
        <v>0.0541666667013889</v>
      </c>
      <c r="H910" s="57" t="s">
        <v>252</v>
      </c>
      <c r="I910" s="57"/>
      <c r="J910" s="57" t="s">
        <v>253</v>
      </c>
      <c r="K910" s="57" t="s">
        <v>266</v>
      </c>
      <c r="L910" s="57" t="s">
        <v>1794</v>
      </c>
      <c r="M910" s="57" t="s">
        <v>255</v>
      </c>
      <c r="N910" s="57" t="s">
        <v>268</v>
      </c>
      <c r="O910" s="57" t="s">
        <v>1795</v>
      </c>
      <c r="P910" s="57" t="s">
        <v>1802</v>
      </c>
      <c r="Q910" s="57" t="s">
        <v>706</v>
      </c>
    </row>
    <row r="911" s="50" customFormat="true" ht="14.25" hidden="false" customHeight="true" outlineLevel="0" collapsed="false">
      <c r="A911" s="50" t="s">
        <v>361</v>
      </c>
      <c r="B911" s="57" t="s">
        <v>361</v>
      </c>
      <c r="C911" s="57" t="s">
        <v>328</v>
      </c>
      <c r="D911" s="58" t="n">
        <v>46068.3923611111</v>
      </c>
      <c r="E911" s="58" t="n">
        <v>46068.3923611111</v>
      </c>
      <c r="F911" s="58" t="n">
        <v>46068.4465277778</v>
      </c>
      <c r="G911" s="59" t="n">
        <f aca="false">F911-E911</f>
        <v>0.0541666667013889</v>
      </c>
      <c r="H911" s="57" t="s">
        <v>252</v>
      </c>
      <c r="I911" s="57"/>
      <c r="J911" s="57" t="s">
        <v>253</v>
      </c>
      <c r="K911" s="57" t="s">
        <v>266</v>
      </c>
      <c r="L911" s="57" t="s">
        <v>1794</v>
      </c>
      <c r="M911" s="57" t="s">
        <v>255</v>
      </c>
      <c r="N911" s="57" t="s">
        <v>268</v>
      </c>
      <c r="O911" s="57" t="s">
        <v>1795</v>
      </c>
      <c r="P911" s="57" t="s">
        <v>1803</v>
      </c>
      <c r="Q911" s="57" t="s">
        <v>706</v>
      </c>
    </row>
    <row r="912" s="50" customFormat="true" ht="14.25" hidden="false" customHeight="true" outlineLevel="0" collapsed="false">
      <c r="A912" s="50" t="s">
        <v>264</v>
      </c>
      <c r="B912" s="57" t="s">
        <v>264</v>
      </c>
      <c r="C912" s="57" t="s">
        <v>265</v>
      </c>
      <c r="D912" s="58" t="n">
        <v>46068.6388888889</v>
      </c>
      <c r="E912" s="58" t="n">
        <v>46068.6388888889</v>
      </c>
      <c r="F912" s="58" t="n">
        <v>46069.2979166667</v>
      </c>
      <c r="G912" s="59" t="n">
        <f aca="false">F912-E912</f>
        <v>0.659027777800926</v>
      </c>
      <c r="H912" s="57" t="s">
        <v>252</v>
      </c>
      <c r="I912" s="57"/>
      <c r="J912" s="57" t="s">
        <v>253</v>
      </c>
      <c r="K912" s="57" t="s">
        <v>266</v>
      </c>
      <c r="L912" s="57" t="s">
        <v>1804</v>
      </c>
      <c r="M912" s="57" t="s">
        <v>255</v>
      </c>
      <c r="N912" s="57" t="s">
        <v>268</v>
      </c>
      <c r="O912" s="57" t="s">
        <v>1795</v>
      </c>
      <c r="P912" s="57" t="s">
        <v>1805</v>
      </c>
      <c r="Q912" s="57" t="s">
        <v>706</v>
      </c>
    </row>
    <row r="913" s="50" customFormat="true" ht="14.25" hidden="false" customHeight="true" outlineLevel="0" collapsed="false">
      <c r="A913" s="50" t="s">
        <v>271</v>
      </c>
      <c r="B913" s="57" t="s">
        <v>271</v>
      </c>
      <c r="C913" s="57" t="s">
        <v>265</v>
      </c>
      <c r="D913" s="58" t="n">
        <v>46068.6388888889</v>
      </c>
      <c r="E913" s="58" t="n">
        <v>46068.6388888889</v>
      </c>
      <c r="F913" s="58" t="n">
        <v>46069.2979166667</v>
      </c>
      <c r="G913" s="59" t="n">
        <f aca="false">F913-E913</f>
        <v>0.659027777800926</v>
      </c>
      <c r="H913" s="57" t="s">
        <v>252</v>
      </c>
      <c r="I913" s="57"/>
      <c r="J913" s="57" t="s">
        <v>253</v>
      </c>
      <c r="K913" s="57" t="s">
        <v>266</v>
      </c>
      <c r="L913" s="57" t="s">
        <v>1804</v>
      </c>
      <c r="M913" s="57" t="s">
        <v>255</v>
      </c>
      <c r="N913" s="57" t="s">
        <v>268</v>
      </c>
      <c r="O913" s="57" t="s">
        <v>1795</v>
      </c>
      <c r="P913" s="57" t="s">
        <v>1806</v>
      </c>
      <c r="Q913" s="57" t="s">
        <v>706</v>
      </c>
    </row>
    <row r="914" s="50" customFormat="true" ht="14.25" hidden="false" customHeight="true" outlineLevel="0" collapsed="false">
      <c r="A914" s="50" t="s">
        <v>272</v>
      </c>
      <c r="B914" s="57" t="s">
        <v>272</v>
      </c>
      <c r="C914" s="57" t="s">
        <v>265</v>
      </c>
      <c r="D914" s="58" t="n">
        <v>46068.6388888889</v>
      </c>
      <c r="E914" s="58" t="n">
        <v>46068.6388888889</v>
      </c>
      <c r="F914" s="58" t="n">
        <v>46069.2979166667</v>
      </c>
      <c r="G914" s="59" t="n">
        <f aca="false">F914-E914</f>
        <v>0.659027777800926</v>
      </c>
      <c r="H914" s="57" t="s">
        <v>252</v>
      </c>
      <c r="I914" s="57"/>
      <c r="J914" s="57" t="s">
        <v>253</v>
      </c>
      <c r="K914" s="57" t="s">
        <v>266</v>
      </c>
      <c r="L914" s="57" t="s">
        <v>1804</v>
      </c>
      <c r="M914" s="57" t="s">
        <v>255</v>
      </c>
      <c r="N914" s="57" t="s">
        <v>268</v>
      </c>
      <c r="O914" s="57" t="s">
        <v>1795</v>
      </c>
      <c r="P914" s="57" t="s">
        <v>1807</v>
      </c>
      <c r="Q914" s="57" t="s">
        <v>706</v>
      </c>
    </row>
    <row r="915" s="50" customFormat="true" ht="14.25" hidden="false" customHeight="true" outlineLevel="0" collapsed="false">
      <c r="A915" s="50" t="s">
        <v>273</v>
      </c>
      <c r="B915" s="57" t="s">
        <v>273</v>
      </c>
      <c r="C915" s="57" t="s">
        <v>265</v>
      </c>
      <c r="D915" s="58" t="n">
        <v>46068.6388888889</v>
      </c>
      <c r="E915" s="58" t="n">
        <v>46068.6388888889</v>
      </c>
      <c r="F915" s="58" t="n">
        <v>46069.2979166667</v>
      </c>
      <c r="G915" s="59" t="n">
        <f aca="false">F915-E915</f>
        <v>0.659027777800926</v>
      </c>
      <c r="H915" s="57" t="s">
        <v>252</v>
      </c>
      <c r="I915" s="57"/>
      <c r="J915" s="57" t="s">
        <v>253</v>
      </c>
      <c r="K915" s="57" t="s">
        <v>266</v>
      </c>
      <c r="L915" s="57" t="s">
        <v>1804</v>
      </c>
      <c r="M915" s="57" t="s">
        <v>255</v>
      </c>
      <c r="N915" s="57" t="s">
        <v>268</v>
      </c>
      <c r="O915" s="57" t="s">
        <v>1795</v>
      </c>
      <c r="P915" s="57" t="s">
        <v>1808</v>
      </c>
      <c r="Q915" s="57" t="s">
        <v>706</v>
      </c>
    </row>
    <row r="916" s="50" customFormat="true" ht="14.25" hidden="false" customHeight="true" outlineLevel="0" collapsed="false">
      <c r="A916" s="50" t="s">
        <v>358</v>
      </c>
      <c r="B916" s="57" t="s">
        <v>358</v>
      </c>
      <c r="C916" s="57" t="s">
        <v>324</v>
      </c>
      <c r="D916" s="58" t="n">
        <v>46069.2513888889</v>
      </c>
      <c r="E916" s="58" t="n">
        <v>46069.2513888889</v>
      </c>
      <c r="F916" s="58" t="n">
        <v>46069.3611111111</v>
      </c>
      <c r="G916" s="59" t="n">
        <f aca="false">F916-E916</f>
        <v>0.109722222199074</v>
      </c>
      <c r="H916" s="57" t="s">
        <v>252</v>
      </c>
      <c r="I916" s="57"/>
      <c r="J916" s="57" t="s">
        <v>253</v>
      </c>
      <c r="K916" s="57" t="s">
        <v>266</v>
      </c>
      <c r="L916" s="57" t="s">
        <v>1809</v>
      </c>
      <c r="M916" s="57" t="s">
        <v>255</v>
      </c>
      <c r="N916" s="57" t="s">
        <v>268</v>
      </c>
      <c r="O916" s="57" t="s">
        <v>1795</v>
      </c>
      <c r="P916" s="57" t="s">
        <v>1810</v>
      </c>
      <c r="Q916" s="57" t="s">
        <v>706</v>
      </c>
    </row>
    <row r="917" s="50" customFormat="true" ht="14.25" hidden="false" customHeight="true" outlineLevel="0" collapsed="false">
      <c r="A917" s="50" t="s">
        <v>358</v>
      </c>
      <c r="B917" s="57" t="s">
        <v>358</v>
      </c>
      <c r="C917" s="57" t="s">
        <v>326</v>
      </c>
      <c r="D917" s="58" t="n">
        <v>46069.2513888889</v>
      </c>
      <c r="E917" s="58" t="n">
        <v>46069.2513888889</v>
      </c>
      <c r="F917" s="58" t="n">
        <v>46069.3611111111</v>
      </c>
      <c r="G917" s="59" t="n">
        <f aca="false">F917-E917</f>
        <v>0.109722222199074</v>
      </c>
      <c r="H917" s="57" t="s">
        <v>252</v>
      </c>
      <c r="I917" s="57"/>
      <c r="J917" s="57" t="s">
        <v>253</v>
      </c>
      <c r="K917" s="57" t="s">
        <v>266</v>
      </c>
      <c r="L917" s="57" t="s">
        <v>1809</v>
      </c>
      <c r="M917" s="57" t="s">
        <v>255</v>
      </c>
      <c r="N917" s="57" t="s">
        <v>268</v>
      </c>
      <c r="O917" s="57" t="s">
        <v>1795</v>
      </c>
      <c r="P917" s="57" t="s">
        <v>1811</v>
      </c>
      <c r="Q917" s="57" t="s">
        <v>706</v>
      </c>
    </row>
    <row r="918" s="50" customFormat="true" ht="14.25" hidden="false" customHeight="true" outlineLevel="0" collapsed="false">
      <c r="A918" s="50" t="s">
        <v>358</v>
      </c>
      <c r="B918" s="57" t="s">
        <v>358</v>
      </c>
      <c r="C918" s="57" t="s">
        <v>327</v>
      </c>
      <c r="D918" s="58" t="n">
        <v>46069.2513888889</v>
      </c>
      <c r="E918" s="58" t="n">
        <v>46069.2513888889</v>
      </c>
      <c r="F918" s="58" t="n">
        <v>46069.3611111111</v>
      </c>
      <c r="G918" s="59" t="n">
        <f aca="false">F918-E918</f>
        <v>0.109722222199074</v>
      </c>
      <c r="H918" s="57" t="s">
        <v>252</v>
      </c>
      <c r="I918" s="57"/>
      <c r="J918" s="57" t="s">
        <v>253</v>
      </c>
      <c r="K918" s="57" t="s">
        <v>266</v>
      </c>
      <c r="L918" s="57" t="s">
        <v>1809</v>
      </c>
      <c r="M918" s="57" t="s">
        <v>255</v>
      </c>
      <c r="N918" s="57" t="s">
        <v>268</v>
      </c>
      <c r="O918" s="57" t="s">
        <v>1795</v>
      </c>
      <c r="P918" s="57" t="s">
        <v>1812</v>
      </c>
      <c r="Q918" s="57" t="s">
        <v>706</v>
      </c>
    </row>
    <row r="919" s="50" customFormat="true" ht="14.25" hidden="false" customHeight="true" outlineLevel="0" collapsed="false">
      <c r="A919" s="50" t="s">
        <v>358</v>
      </c>
      <c r="B919" s="57" t="s">
        <v>358</v>
      </c>
      <c r="C919" s="57" t="s">
        <v>328</v>
      </c>
      <c r="D919" s="58" t="n">
        <v>46069.2513888889</v>
      </c>
      <c r="E919" s="58" t="n">
        <v>46069.2513888889</v>
      </c>
      <c r="F919" s="58" t="n">
        <v>46069.3611111111</v>
      </c>
      <c r="G919" s="59" t="n">
        <f aca="false">F919-E919</f>
        <v>0.109722222199074</v>
      </c>
      <c r="H919" s="57" t="s">
        <v>252</v>
      </c>
      <c r="I919" s="57"/>
      <c r="J919" s="57" t="s">
        <v>253</v>
      </c>
      <c r="K919" s="57" t="s">
        <v>266</v>
      </c>
      <c r="L919" s="57" t="s">
        <v>1809</v>
      </c>
      <c r="M919" s="57" t="s">
        <v>255</v>
      </c>
      <c r="N919" s="57" t="s">
        <v>268</v>
      </c>
      <c r="O919" s="57" t="s">
        <v>1795</v>
      </c>
      <c r="P919" s="57" t="s">
        <v>1813</v>
      </c>
      <c r="Q919" s="57" t="s">
        <v>706</v>
      </c>
    </row>
    <row r="920" s="50" customFormat="true" ht="14.25" hidden="false" customHeight="true" outlineLevel="0" collapsed="false">
      <c r="A920" s="50" t="s">
        <v>361</v>
      </c>
      <c r="B920" s="57" t="s">
        <v>361</v>
      </c>
      <c r="C920" s="57" t="s">
        <v>324</v>
      </c>
      <c r="D920" s="58" t="n">
        <v>46069.2513888889</v>
      </c>
      <c r="E920" s="58" t="n">
        <v>46069.2513888889</v>
      </c>
      <c r="F920" s="58" t="n">
        <v>46069.3611111111</v>
      </c>
      <c r="G920" s="59" t="n">
        <f aca="false">F920-E920</f>
        <v>0.109722222199074</v>
      </c>
      <c r="H920" s="57" t="s">
        <v>252</v>
      </c>
      <c r="I920" s="57"/>
      <c r="J920" s="57" t="s">
        <v>253</v>
      </c>
      <c r="K920" s="57" t="s">
        <v>266</v>
      </c>
      <c r="L920" s="57" t="s">
        <v>1809</v>
      </c>
      <c r="M920" s="57" t="s">
        <v>255</v>
      </c>
      <c r="N920" s="57" t="s">
        <v>268</v>
      </c>
      <c r="O920" s="57" t="s">
        <v>1795</v>
      </c>
      <c r="P920" s="57" t="s">
        <v>1814</v>
      </c>
      <c r="Q920" s="57" t="s">
        <v>706</v>
      </c>
    </row>
    <row r="921" s="50" customFormat="true" ht="14.25" hidden="false" customHeight="true" outlineLevel="0" collapsed="false">
      <c r="A921" s="50" t="s">
        <v>361</v>
      </c>
      <c r="B921" s="57" t="s">
        <v>361</v>
      </c>
      <c r="C921" s="57" t="s">
        <v>326</v>
      </c>
      <c r="D921" s="58" t="n">
        <v>46069.2513888889</v>
      </c>
      <c r="E921" s="58" t="n">
        <v>46069.2513888889</v>
      </c>
      <c r="F921" s="58" t="n">
        <v>46069.3611111111</v>
      </c>
      <c r="G921" s="59" t="n">
        <f aca="false">F921-E921</f>
        <v>0.109722222199074</v>
      </c>
      <c r="H921" s="57" t="s">
        <v>252</v>
      </c>
      <c r="I921" s="57"/>
      <c r="J921" s="57" t="s">
        <v>253</v>
      </c>
      <c r="K921" s="57" t="s">
        <v>266</v>
      </c>
      <c r="L921" s="57" t="s">
        <v>1809</v>
      </c>
      <c r="M921" s="57" t="s">
        <v>255</v>
      </c>
      <c r="N921" s="57" t="s">
        <v>268</v>
      </c>
      <c r="O921" s="57" t="s">
        <v>1795</v>
      </c>
      <c r="P921" s="57" t="s">
        <v>1815</v>
      </c>
      <c r="Q921" s="57" t="s">
        <v>706</v>
      </c>
    </row>
    <row r="922" s="50" customFormat="true" ht="14.25" hidden="false" customHeight="true" outlineLevel="0" collapsed="false">
      <c r="A922" s="50" t="s">
        <v>361</v>
      </c>
      <c r="B922" s="57" t="s">
        <v>361</v>
      </c>
      <c r="C922" s="57" t="s">
        <v>327</v>
      </c>
      <c r="D922" s="58" t="n">
        <v>46069.2513888889</v>
      </c>
      <c r="E922" s="58" t="n">
        <v>46069.2513888889</v>
      </c>
      <c r="F922" s="58" t="n">
        <v>46069.3611111111</v>
      </c>
      <c r="G922" s="59" t="n">
        <f aca="false">F922-E922</f>
        <v>0.109722222199074</v>
      </c>
      <c r="H922" s="57" t="s">
        <v>252</v>
      </c>
      <c r="I922" s="57"/>
      <c r="J922" s="57" t="s">
        <v>253</v>
      </c>
      <c r="K922" s="57" t="s">
        <v>266</v>
      </c>
      <c r="L922" s="57" t="s">
        <v>1809</v>
      </c>
      <c r="M922" s="57" t="s">
        <v>255</v>
      </c>
      <c r="N922" s="57" t="s">
        <v>268</v>
      </c>
      <c r="O922" s="57" t="s">
        <v>1795</v>
      </c>
      <c r="P922" s="57" t="s">
        <v>1816</v>
      </c>
      <c r="Q922" s="57" t="s">
        <v>706</v>
      </c>
    </row>
    <row r="923" s="50" customFormat="true" ht="14.25" hidden="false" customHeight="true" outlineLevel="0" collapsed="false">
      <c r="A923" s="50" t="s">
        <v>361</v>
      </c>
      <c r="B923" s="57" t="s">
        <v>361</v>
      </c>
      <c r="C923" s="57" t="s">
        <v>328</v>
      </c>
      <c r="D923" s="58" t="n">
        <v>46069.2513888889</v>
      </c>
      <c r="E923" s="58" t="n">
        <v>46069.2513888889</v>
      </c>
      <c r="F923" s="58" t="n">
        <v>46069.3611111111</v>
      </c>
      <c r="G923" s="59" t="n">
        <f aca="false">F923-E923</f>
        <v>0.109722222199074</v>
      </c>
      <c r="H923" s="57" t="s">
        <v>252</v>
      </c>
      <c r="I923" s="57"/>
      <c r="J923" s="57" t="s">
        <v>253</v>
      </c>
      <c r="K923" s="57" t="s">
        <v>266</v>
      </c>
      <c r="L923" s="57" t="s">
        <v>1809</v>
      </c>
      <c r="M923" s="57" t="s">
        <v>255</v>
      </c>
      <c r="N923" s="57" t="s">
        <v>268</v>
      </c>
      <c r="O923" s="57" t="s">
        <v>1795</v>
      </c>
      <c r="P923" s="57" t="s">
        <v>1817</v>
      </c>
      <c r="Q923" s="57" t="s">
        <v>706</v>
      </c>
    </row>
    <row r="924" s="50" customFormat="true" ht="14.25" hidden="false" customHeight="true" outlineLevel="0" collapsed="false">
      <c r="A924" s="50" t="s">
        <v>362</v>
      </c>
      <c r="B924" s="57" t="s">
        <v>362</v>
      </c>
      <c r="C924" s="57" t="s">
        <v>363</v>
      </c>
      <c r="D924" s="58" t="n">
        <v>46069.2513888889</v>
      </c>
      <c r="E924" s="58" t="n">
        <v>46069.2513888889</v>
      </c>
      <c r="F924" s="58" t="n">
        <v>46069.3611111111</v>
      </c>
      <c r="G924" s="59" t="n">
        <f aca="false">F924-E924</f>
        <v>0.109722222199074</v>
      </c>
      <c r="H924" s="57" t="s">
        <v>252</v>
      </c>
      <c r="I924" s="57"/>
      <c r="J924" s="57" t="s">
        <v>253</v>
      </c>
      <c r="K924" s="57" t="s">
        <v>266</v>
      </c>
      <c r="L924" s="57" t="s">
        <v>1809</v>
      </c>
      <c r="M924" s="57" t="s">
        <v>255</v>
      </c>
      <c r="N924" s="57" t="s">
        <v>268</v>
      </c>
      <c r="O924" s="57" t="s">
        <v>1795</v>
      </c>
      <c r="P924" s="57" t="s">
        <v>1818</v>
      </c>
      <c r="Q924" s="57" t="s">
        <v>706</v>
      </c>
    </row>
    <row r="925" s="50" customFormat="true" ht="14.25" hidden="false" customHeight="true" outlineLevel="0" collapsed="false">
      <c r="A925" s="50" t="s">
        <v>362</v>
      </c>
      <c r="B925" s="57" t="s">
        <v>362</v>
      </c>
      <c r="C925" s="57" t="s">
        <v>265</v>
      </c>
      <c r="D925" s="58" t="n">
        <v>46069.7013888889</v>
      </c>
      <c r="E925" s="58" t="n">
        <v>46069.7013888889</v>
      </c>
      <c r="F925" s="58" t="n">
        <v>46069.8020833333</v>
      </c>
      <c r="G925" s="59" t="n">
        <f aca="false">F925-E925</f>
        <v>0.100694444398148</v>
      </c>
      <c r="H925" s="57" t="s">
        <v>252</v>
      </c>
      <c r="I925" s="57"/>
      <c r="J925" s="57" t="s">
        <v>253</v>
      </c>
      <c r="K925" s="57" t="s">
        <v>266</v>
      </c>
      <c r="L925" s="57" t="s">
        <v>1809</v>
      </c>
      <c r="M925" s="57" t="s">
        <v>255</v>
      </c>
      <c r="N925" s="57" t="s">
        <v>268</v>
      </c>
      <c r="O925" s="57" t="s">
        <v>1795</v>
      </c>
      <c r="P925" s="57" t="s">
        <v>1819</v>
      </c>
      <c r="Q925" s="57" t="s">
        <v>706</v>
      </c>
    </row>
    <row r="926" s="50" customFormat="true" ht="14.25" hidden="false" customHeight="true" outlineLevel="0" collapsed="false">
      <c r="A926" s="50" t="s">
        <v>461</v>
      </c>
      <c r="B926" s="57" t="s">
        <v>461</v>
      </c>
      <c r="C926" s="57" t="s">
        <v>324</v>
      </c>
      <c r="D926" s="58" t="n">
        <v>46069.7013888889</v>
      </c>
      <c r="E926" s="58" t="n">
        <v>46069.7013888889</v>
      </c>
      <c r="F926" s="58" t="n">
        <v>46069.8020833333</v>
      </c>
      <c r="G926" s="59" t="n">
        <f aca="false">F926-E926</f>
        <v>0.100694444398148</v>
      </c>
      <c r="H926" s="57" t="s">
        <v>384</v>
      </c>
      <c r="I926" s="57"/>
      <c r="J926" s="57" t="s">
        <v>234</v>
      </c>
      <c r="K926" s="57" t="s">
        <v>234</v>
      </c>
      <c r="L926" s="57" t="s">
        <v>1820</v>
      </c>
      <c r="M926" s="57" t="s">
        <v>386</v>
      </c>
      <c r="N926" s="57" t="s">
        <v>440</v>
      </c>
      <c r="O926" s="57" t="s">
        <v>1821</v>
      </c>
      <c r="P926" s="57" t="s">
        <v>1822</v>
      </c>
      <c r="Q926" s="57" t="s">
        <v>1141</v>
      </c>
    </row>
    <row r="927" s="50" customFormat="true" ht="14.25" hidden="false" customHeight="true" outlineLevel="0" collapsed="false">
      <c r="A927" s="50" t="s">
        <v>461</v>
      </c>
      <c r="B927" s="57" t="s">
        <v>461</v>
      </c>
      <c r="C927" s="57" t="s">
        <v>326</v>
      </c>
      <c r="D927" s="58" t="n">
        <v>46069.7013888889</v>
      </c>
      <c r="E927" s="58" t="n">
        <v>46069.7013888889</v>
      </c>
      <c r="F927" s="58" t="n">
        <v>46069.8020833333</v>
      </c>
      <c r="G927" s="59" t="n">
        <f aca="false">F927-E927</f>
        <v>0.100694444398148</v>
      </c>
      <c r="H927" s="57" t="s">
        <v>384</v>
      </c>
      <c r="I927" s="57"/>
      <c r="J927" s="57" t="s">
        <v>234</v>
      </c>
      <c r="K927" s="57" t="s">
        <v>234</v>
      </c>
      <c r="L927" s="57" t="s">
        <v>1820</v>
      </c>
      <c r="M927" s="57" t="s">
        <v>386</v>
      </c>
      <c r="N927" s="57" t="s">
        <v>440</v>
      </c>
      <c r="O927" s="57" t="s">
        <v>1821</v>
      </c>
      <c r="P927" s="57" t="s">
        <v>1823</v>
      </c>
      <c r="Q927" s="57" t="s">
        <v>1141</v>
      </c>
    </row>
    <row r="928" s="50" customFormat="true" ht="14.25" hidden="false" customHeight="true" outlineLevel="0" collapsed="false">
      <c r="A928" s="50" t="s">
        <v>358</v>
      </c>
      <c r="B928" s="57" t="s">
        <v>358</v>
      </c>
      <c r="C928" s="57" t="s">
        <v>324</v>
      </c>
      <c r="D928" s="58" t="n">
        <v>46069.8159722222</v>
      </c>
      <c r="E928" s="58" t="n">
        <v>46069.8159722222</v>
      </c>
      <c r="F928" s="58" t="n">
        <v>46070.4013888889</v>
      </c>
      <c r="G928" s="59" t="n">
        <f aca="false">F928-E928</f>
        <v>0.585416666701389</v>
      </c>
      <c r="H928" s="57" t="s">
        <v>252</v>
      </c>
      <c r="I928" s="57"/>
      <c r="J928" s="57" t="s">
        <v>253</v>
      </c>
      <c r="K928" s="57" t="s">
        <v>266</v>
      </c>
      <c r="L928" s="57" t="s">
        <v>1824</v>
      </c>
      <c r="M928" s="57" t="s">
        <v>255</v>
      </c>
      <c r="N928" s="57" t="s">
        <v>268</v>
      </c>
      <c r="O928" s="57" t="s">
        <v>1825</v>
      </c>
      <c r="P928" s="57" t="s">
        <v>1826</v>
      </c>
      <c r="Q928" s="57" t="s">
        <v>706</v>
      </c>
    </row>
    <row r="929" s="50" customFormat="true" ht="14.25" hidden="false" customHeight="true" outlineLevel="0" collapsed="false">
      <c r="A929" s="50" t="s">
        <v>358</v>
      </c>
      <c r="B929" s="57" t="s">
        <v>358</v>
      </c>
      <c r="C929" s="57" t="s">
        <v>326</v>
      </c>
      <c r="D929" s="58" t="n">
        <v>46069.8159722222</v>
      </c>
      <c r="E929" s="58" t="n">
        <v>46069.8159722222</v>
      </c>
      <c r="F929" s="58" t="n">
        <v>46070.4013888889</v>
      </c>
      <c r="G929" s="59" t="n">
        <f aca="false">F929-E929</f>
        <v>0.585416666701389</v>
      </c>
      <c r="H929" s="57" t="s">
        <v>252</v>
      </c>
      <c r="I929" s="57"/>
      <c r="J929" s="57" t="s">
        <v>253</v>
      </c>
      <c r="K929" s="57" t="s">
        <v>266</v>
      </c>
      <c r="L929" s="57" t="s">
        <v>1824</v>
      </c>
      <c r="M929" s="57" t="s">
        <v>255</v>
      </c>
      <c r="N929" s="57" t="s">
        <v>268</v>
      </c>
      <c r="O929" s="57" t="s">
        <v>1825</v>
      </c>
      <c r="P929" s="57" t="s">
        <v>1827</v>
      </c>
      <c r="Q929" s="57" t="s">
        <v>706</v>
      </c>
    </row>
    <row r="930" s="50" customFormat="true" ht="14.25" hidden="false" customHeight="true" outlineLevel="0" collapsed="false">
      <c r="A930" s="50" t="s">
        <v>358</v>
      </c>
      <c r="B930" s="57" t="s">
        <v>358</v>
      </c>
      <c r="C930" s="57" t="s">
        <v>327</v>
      </c>
      <c r="D930" s="58" t="n">
        <v>46069.8159722222</v>
      </c>
      <c r="E930" s="58" t="n">
        <v>46069.8159722222</v>
      </c>
      <c r="F930" s="58" t="n">
        <v>46070.4013888889</v>
      </c>
      <c r="G930" s="59" t="n">
        <f aca="false">F930-E930</f>
        <v>0.585416666701389</v>
      </c>
      <c r="H930" s="57" t="s">
        <v>252</v>
      </c>
      <c r="I930" s="57"/>
      <c r="J930" s="57" t="s">
        <v>253</v>
      </c>
      <c r="K930" s="57" t="s">
        <v>266</v>
      </c>
      <c r="L930" s="57" t="s">
        <v>1824</v>
      </c>
      <c r="M930" s="57" t="s">
        <v>255</v>
      </c>
      <c r="N930" s="57" t="s">
        <v>268</v>
      </c>
      <c r="O930" s="57" t="s">
        <v>1825</v>
      </c>
      <c r="P930" s="57" t="s">
        <v>1828</v>
      </c>
      <c r="Q930" s="57" t="s">
        <v>706</v>
      </c>
    </row>
    <row r="931" s="50" customFormat="true" ht="14.25" hidden="false" customHeight="true" outlineLevel="0" collapsed="false">
      <c r="A931" s="50" t="s">
        <v>358</v>
      </c>
      <c r="B931" s="57" t="s">
        <v>358</v>
      </c>
      <c r="C931" s="57" t="s">
        <v>328</v>
      </c>
      <c r="D931" s="58" t="n">
        <v>46069.8159722222</v>
      </c>
      <c r="E931" s="58" t="n">
        <v>46069.8159722222</v>
      </c>
      <c r="F931" s="58" t="n">
        <v>46070.4013888889</v>
      </c>
      <c r="G931" s="59" t="n">
        <f aca="false">F931-E931</f>
        <v>0.585416666701389</v>
      </c>
      <c r="H931" s="57" t="s">
        <v>252</v>
      </c>
      <c r="I931" s="57"/>
      <c r="J931" s="57" t="s">
        <v>253</v>
      </c>
      <c r="K931" s="57" t="s">
        <v>266</v>
      </c>
      <c r="L931" s="57" t="s">
        <v>1824</v>
      </c>
      <c r="M931" s="57" t="s">
        <v>255</v>
      </c>
      <c r="N931" s="57" t="s">
        <v>268</v>
      </c>
      <c r="O931" s="57" t="s">
        <v>1825</v>
      </c>
      <c r="P931" s="57" t="s">
        <v>1829</v>
      </c>
      <c r="Q931" s="57" t="s">
        <v>706</v>
      </c>
    </row>
    <row r="932" s="50" customFormat="true" ht="14.25" hidden="false" customHeight="true" outlineLevel="0" collapsed="false">
      <c r="A932" s="50" t="s">
        <v>361</v>
      </c>
      <c r="B932" s="57" t="s">
        <v>361</v>
      </c>
      <c r="C932" s="57" t="s">
        <v>324</v>
      </c>
      <c r="D932" s="58" t="n">
        <v>46069.8159722222</v>
      </c>
      <c r="E932" s="58" t="n">
        <v>46069.8159722222</v>
      </c>
      <c r="F932" s="58" t="n">
        <v>46070.4013888889</v>
      </c>
      <c r="G932" s="59" t="n">
        <f aca="false">F932-E932</f>
        <v>0.585416666701389</v>
      </c>
      <c r="H932" s="57" t="s">
        <v>252</v>
      </c>
      <c r="I932" s="57"/>
      <c r="J932" s="57" t="s">
        <v>253</v>
      </c>
      <c r="K932" s="57" t="s">
        <v>266</v>
      </c>
      <c r="L932" s="57" t="s">
        <v>1824</v>
      </c>
      <c r="M932" s="57" t="s">
        <v>255</v>
      </c>
      <c r="N932" s="57" t="s">
        <v>268</v>
      </c>
      <c r="O932" s="57" t="s">
        <v>1825</v>
      </c>
      <c r="P932" s="57" t="s">
        <v>1830</v>
      </c>
      <c r="Q932" s="57" t="s">
        <v>706</v>
      </c>
    </row>
    <row r="933" s="50" customFormat="true" ht="14.25" hidden="false" customHeight="true" outlineLevel="0" collapsed="false">
      <c r="A933" s="50" t="s">
        <v>361</v>
      </c>
      <c r="B933" s="57" t="s">
        <v>361</v>
      </c>
      <c r="C933" s="57" t="s">
        <v>326</v>
      </c>
      <c r="D933" s="58" t="n">
        <v>46069.8159722222</v>
      </c>
      <c r="E933" s="58" t="n">
        <v>46069.8159722222</v>
      </c>
      <c r="F933" s="58" t="n">
        <v>46070.4013888889</v>
      </c>
      <c r="G933" s="59" t="n">
        <f aca="false">F933-E933</f>
        <v>0.585416666701389</v>
      </c>
      <c r="H933" s="57" t="s">
        <v>252</v>
      </c>
      <c r="I933" s="57"/>
      <c r="J933" s="57" t="s">
        <v>253</v>
      </c>
      <c r="K933" s="57" t="s">
        <v>266</v>
      </c>
      <c r="L933" s="57" t="s">
        <v>1824</v>
      </c>
      <c r="M933" s="57" t="s">
        <v>255</v>
      </c>
      <c r="N933" s="57" t="s">
        <v>268</v>
      </c>
      <c r="O933" s="57" t="s">
        <v>1825</v>
      </c>
      <c r="P933" s="57" t="s">
        <v>1831</v>
      </c>
      <c r="Q933" s="57" t="s">
        <v>706</v>
      </c>
    </row>
    <row r="934" s="50" customFormat="true" ht="14.25" hidden="false" customHeight="true" outlineLevel="0" collapsed="false">
      <c r="A934" s="50" t="s">
        <v>361</v>
      </c>
      <c r="B934" s="57" t="s">
        <v>361</v>
      </c>
      <c r="C934" s="57" t="s">
        <v>327</v>
      </c>
      <c r="D934" s="58" t="n">
        <v>46069.8159722222</v>
      </c>
      <c r="E934" s="58" t="n">
        <v>46069.8159722222</v>
      </c>
      <c r="F934" s="58" t="n">
        <v>46070.4013888889</v>
      </c>
      <c r="G934" s="59" t="n">
        <f aca="false">F934-E934</f>
        <v>0.585416666701389</v>
      </c>
      <c r="H934" s="57" t="s">
        <v>252</v>
      </c>
      <c r="I934" s="57"/>
      <c r="J934" s="57" t="s">
        <v>253</v>
      </c>
      <c r="K934" s="57" t="s">
        <v>266</v>
      </c>
      <c r="L934" s="57" t="s">
        <v>1824</v>
      </c>
      <c r="M934" s="57" t="s">
        <v>255</v>
      </c>
      <c r="N934" s="57" t="s">
        <v>268</v>
      </c>
      <c r="O934" s="57" t="s">
        <v>1825</v>
      </c>
      <c r="P934" s="57" t="s">
        <v>1832</v>
      </c>
      <c r="Q934" s="57" t="s">
        <v>706</v>
      </c>
    </row>
    <row r="935" s="50" customFormat="true" ht="14.25" hidden="false" customHeight="true" outlineLevel="0" collapsed="false">
      <c r="A935" s="50" t="s">
        <v>361</v>
      </c>
      <c r="B935" s="57" t="s">
        <v>361</v>
      </c>
      <c r="C935" s="57" t="s">
        <v>328</v>
      </c>
      <c r="D935" s="58" t="n">
        <v>46069.8159722222</v>
      </c>
      <c r="E935" s="58" t="n">
        <v>46069.8159722222</v>
      </c>
      <c r="F935" s="58" t="n">
        <v>46070.4013888889</v>
      </c>
      <c r="G935" s="59" t="n">
        <f aca="false">F935-E935</f>
        <v>0.585416666701389</v>
      </c>
      <c r="H935" s="57" t="s">
        <v>252</v>
      </c>
      <c r="I935" s="57"/>
      <c r="J935" s="57" t="s">
        <v>253</v>
      </c>
      <c r="K935" s="57" t="s">
        <v>266</v>
      </c>
      <c r="L935" s="57" t="s">
        <v>1824</v>
      </c>
      <c r="M935" s="57" t="s">
        <v>255</v>
      </c>
      <c r="N935" s="57" t="s">
        <v>268</v>
      </c>
      <c r="O935" s="57" t="s">
        <v>1825</v>
      </c>
      <c r="P935" s="57" t="s">
        <v>1833</v>
      </c>
      <c r="Q935" s="57" t="s">
        <v>706</v>
      </c>
    </row>
    <row r="936" s="50" customFormat="true" ht="14.25" hidden="false" customHeight="true" outlineLevel="0" collapsed="false">
      <c r="A936" s="50" t="s">
        <v>362</v>
      </c>
      <c r="B936" s="57" t="s">
        <v>362</v>
      </c>
      <c r="C936" s="57" t="s">
        <v>363</v>
      </c>
      <c r="D936" s="58" t="n">
        <v>46069.8159722222</v>
      </c>
      <c r="E936" s="58" t="n">
        <v>46069.8159722222</v>
      </c>
      <c r="F936" s="58" t="n">
        <v>46070.4013888889</v>
      </c>
      <c r="G936" s="59" t="n">
        <f aca="false">F936-E936</f>
        <v>0.585416666701389</v>
      </c>
      <c r="H936" s="57" t="s">
        <v>252</v>
      </c>
      <c r="I936" s="57"/>
      <c r="J936" s="57" t="s">
        <v>253</v>
      </c>
      <c r="K936" s="57" t="s">
        <v>266</v>
      </c>
      <c r="L936" s="57" t="s">
        <v>1824</v>
      </c>
      <c r="M936" s="57" t="s">
        <v>255</v>
      </c>
      <c r="N936" s="57" t="s">
        <v>268</v>
      </c>
      <c r="O936" s="57" t="s">
        <v>1825</v>
      </c>
      <c r="P936" s="57" t="s">
        <v>1834</v>
      </c>
      <c r="Q936" s="57" t="s">
        <v>706</v>
      </c>
    </row>
    <row r="937" s="50" customFormat="true" ht="14.25" hidden="false" customHeight="true" outlineLevel="0" collapsed="false">
      <c r="A937" s="50" t="s">
        <v>362</v>
      </c>
      <c r="B937" s="57" t="s">
        <v>362</v>
      </c>
      <c r="C937" s="57" t="s">
        <v>265</v>
      </c>
      <c r="D937" s="58" t="n">
        <v>46069.8159722222</v>
      </c>
      <c r="E937" s="58" t="n">
        <v>46069.8159722222</v>
      </c>
      <c r="F937" s="58" t="n">
        <v>46070.4013888889</v>
      </c>
      <c r="G937" s="59" t="n">
        <f aca="false">F937-E937</f>
        <v>0.585416666701389</v>
      </c>
      <c r="H937" s="57" t="s">
        <v>252</v>
      </c>
      <c r="I937" s="57"/>
      <c r="J937" s="57" t="s">
        <v>253</v>
      </c>
      <c r="K937" s="57" t="s">
        <v>266</v>
      </c>
      <c r="L937" s="57" t="s">
        <v>1824</v>
      </c>
      <c r="M937" s="57" t="s">
        <v>255</v>
      </c>
      <c r="N937" s="57" t="s">
        <v>268</v>
      </c>
      <c r="O937" s="57" t="s">
        <v>1825</v>
      </c>
      <c r="P937" s="57" t="s">
        <v>1835</v>
      </c>
      <c r="Q937" s="57" t="s">
        <v>706</v>
      </c>
    </row>
    <row r="938" s="50" customFormat="true" ht="14.25" hidden="false" customHeight="true" outlineLevel="0" collapsed="false">
      <c r="A938" s="50" t="s">
        <v>367</v>
      </c>
      <c r="B938" s="57" t="s">
        <v>367</v>
      </c>
      <c r="C938" s="57" t="s">
        <v>324</v>
      </c>
      <c r="D938" s="58" t="n">
        <v>46069.8159722222</v>
      </c>
      <c r="E938" s="58" t="n">
        <v>46069.8159722222</v>
      </c>
      <c r="F938" s="58" t="n">
        <v>46070.4013888889</v>
      </c>
      <c r="G938" s="59" t="n">
        <f aca="false">F938-E938</f>
        <v>0.585416666701389</v>
      </c>
      <c r="H938" s="57" t="s">
        <v>252</v>
      </c>
      <c r="I938" s="57"/>
      <c r="J938" s="57" t="s">
        <v>253</v>
      </c>
      <c r="K938" s="57" t="s">
        <v>266</v>
      </c>
      <c r="L938" s="57" t="s">
        <v>1824</v>
      </c>
      <c r="M938" s="57" t="s">
        <v>255</v>
      </c>
      <c r="N938" s="57" t="s">
        <v>268</v>
      </c>
      <c r="O938" s="57" t="s">
        <v>1825</v>
      </c>
      <c r="P938" s="57" t="s">
        <v>1836</v>
      </c>
      <c r="Q938" s="57" t="s">
        <v>706</v>
      </c>
    </row>
    <row r="939" s="50" customFormat="true" ht="14.25" hidden="false" customHeight="true" outlineLevel="0" collapsed="false">
      <c r="A939" s="50" t="s">
        <v>367</v>
      </c>
      <c r="B939" s="57" t="s">
        <v>367</v>
      </c>
      <c r="C939" s="57" t="s">
        <v>328</v>
      </c>
      <c r="D939" s="58" t="n">
        <v>46069.8159722222</v>
      </c>
      <c r="E939" s="58" t="n">
        <v>46069.8159722222</v>
      </c>
      <c r="F939" s="58" t="n">
        <v>46070.4013888889</v>
      </c>
      <c r="G939" s="59" t="n">
        <f aca="false">F939-E939</f>
        <v>0.585416666701389</v>
      </c>
      <c r="H939" s="57" t="s">
        <v>252</v>
      </c>
      <c r="I939" s="57"/>
      <c r="J939" s="57" t="s">
        <v>253</v>
      </c>
      <c r="K939" s="57" t="s">
        <v>266</v>
      </c>
      <c r="L939" s="57" t="s">
        <v>1824</v>
      </c>
      <c r="M939" s="57" t="s">
        <v>255</v>
      </c>
      <c r="N939" s="57" t="s">
        <v>268</v>
      </c>
      <c r="O939" s="57" t="s">
        <v>1825</v>
      </c>
      <c r="P939" s="57" t="s">
        <v>1837</v>
      </c>
      <c r="Q939" s="57" t="s">
        <v>706</v>
      </c>
    </row>
    <row r="940" s="50" customFormat="true" ht="14.25" hidden="false" customHeight="true" outlineLevel="0" collapsed="false">
      <c r="A940" s="50" t="s">
        <v>367</v>
      </c>
      <c r="B940" s="57" t="s">
        <v>367</v>
      </c>
      <c r="C940" s="57" t="s">
        <v>327</v>
      </c>
      <c r="D940" s="58" t="n">
        <v>46069.8159722222</v>
      </c>
      <c r="E940" s="58" t="n">
        <v>46069.8159722222</v>
      </c>
      <c r="F940" s="58" t="n">
        <v>46070.4013888889</v>
      </c>
      <c r="G940" s="59" t="n">
        <f aca="false">F940-E940</f>
        <v>0.585416666701389</v>
      </c>
      <c r="H940" s="57" t="s">
        <v>252</v>
      </c>
      <c r="I940" s="57"/>
      <c r="J940" s="57" t="s">
        <v>253</v>
      </c>
      <c r="K940" s="57" t="s">
        <v>266</v>
      </c>
      <c r="L940" s="57" t="s">
        <v>1824</v>
      </c>
      <c r="M940" s="57" t="s">
        <v>255</v>
      </c>
      <c r="N940" s="57" t="s">
        <v>268</v>
      </c>
      <c r="O940" s="57" t="s">
        <v>1825</v>
      </c>
      <c r="P940" s="57" t="s">
        <v>1838</v>
      </c>
      <c r="Q940" s="57" t="s">
        <v>706</v>
      </c>
    </row>
    <row r="941" s="50" customFormat="true" ht="14.25" hidden="false" customHeight="true" outlineLevel="0" collapsed="false">
      <c r="A941" s="50" t="s">
        <v>367</v>
      </c>
      <c r="B941" s="57" t="s">
        <v>367</v>
      </c>
      <c r="C941" s="57" t="s">
        <v>265</v>
      </c>
      <c r="D941" s="58" t="n">
        <v>46069.8159722222</v>
      </c>
      <c r="E941" s="58" t="n">
        <v>46069.8159722222</v>
      </c>
      <c r="F941" s="58" t="n">
        <v>46070.4013888889</v>
      </c>
      <c r="G941" s="59" t="n">
        <f aca="false">F941-E941</f>
        <v>0.585416666701389</v>
      </c>
      <c r="H941" s="57" t="s">
        <v>252</v>
      </c>
      <c r="I941" s="57"/>
      <c r="J941" s="57" t="s">
        <v>253</v>
      </c>
      <c r="K941" s="57" t="s">
        <v>266</v>
      </c>
      <c r="L941" s="57" t="s">
        <v>1824</v>
      </c>
      <c r="M941" s="57" t="s">
        <v>255</v>
      </c>
      <c r="N941" s="57" t="s">
        <v>268</v>
      </c>
      <c r="O941" s="57" t="s">
        <v>1825</v>
      </c>
      <c r="P941" s="57" t="s">
        <v>1839</v>
      </c>
      <c r="Q941" s="57" t="s">
        <v>706</v>
      </c>
    </row>
    <row r="942" s="50" customFormat="true" ht="14.25" hidden="false" customHeight="true" outlineLevel="0" collapsed="false">
      <c r="A942" s="50" t="s">
        <v>460</v>
      </c>
      <c r="B942" s="57" t="s">
        <v>460</v>
      </c>
      <c r="C942" s="57" t="s">
        <v>328</v>
      </c>
      <c r="D942" s="58" t="n">
        <v>46069.8159722222</v>
      </c>
      <c r="E942" s="58" t="n">
        <v>46069.8159722222</v>
      </c>
      <c r="F942" s="58" t="n">
        <v>46070.4013888889</v>
      </c>
      <c r="G942" s="59" t="n">
        <f aca="false">F942-E942</f>
        <v>0.585416666701389</v>
      </c>
      <c r="H942" s="57" t="s">
        <v>252</v>
      </c>
      <c r="I942" s="57"/>
      <c r="J942" s="57" t="s">
        <v>253</v>
      </c>
      <c r="K942" s="57" t="s">
        <v>266</v>
      </c>
      <c r="L942" s="57" t="s">
        <v>1824</v>
      </c>
      <c r="M942" s="57" t="s">
        <v>255</v>
      </c>
      <c r="N942" s="57" t="s">
        <v>268</v>
      </c>
      <c r="O942" s="57" t="s">
        <v>1825</v>
      </c>
      <c r="P942" s="57" t="s">
        <v>1840</v>
      </c>
      <c r="Q942" s="57" t="s">
        <v>706</v>
      </c>
    </row>
    <row r="943" s="50" customFormat="true" ht="14.25" hidden="false" customHeight="true" outlineLevel="0" collapsed="false">
      <c r="A943" s="50" t="s">
        <v>460</v>
      </c>
      <c r="B943" s="57" t="s">
        <v>460</v>
      </c>
      <c r="C943" s="57" t="s">
        <v>326</v>
      </c>
      <c r="D943" s="58" t="n">
        <v>46069.8159722222</v>
      </c>
      <c r="E943" s="58" t="n">
        <v>46069.8159722222</v>
      </c>
      <c r="F943" s="58" t="n">
        <v>46070.4013888889</v>
      </c>
      <c r="G943" s="59" t="n">
        <f aca="false">F943-E943</f>
        <v>0.585416666701389</v>
      </c>
      <c r="H943" s="57" t="s">
        <v>252</v>
      </c>
      <c r="I943" s="57"/>
      <c r="J943" s="57" t="s">
        <v>253</v>
      </c>
      <c r="K943" s="57" t="s">
        <v>266</v>
      </c>
      <c r="L943" s="57" t="s">
        <v>1824</v>
      </c>
      <c r="M943" s="57" t="s">
        <v>255</v>
      </c>
      <c r="N943" s="57" t="s">
        <v>268</v>
      </c>
      <c r="O943" s="57" t="s">
        <v>1825</v>
      </c>
      <c r="P943" s="57" t="s">
        <v>1841</v>
      </c>
      <c r="Q943" s="57" t="s">
        <v>706</v>
      </c>
    </row>
    <row r="944" s="50" customFormat="true" ht="14.25" hidden="false" customHeight="true" outlineLevel="0" collapsed="false">
      <c r="A944" s="50" t="s">
        <v>460</v>
      </c>
      <c r="B944" s="57" t="s">
        <v>460</v>
      </c>
      <c r="C944" s="57" t="s">
        <v>327</v>
      </c>
      <c r="D944" s="58" t="n">
        <v>46069.8159722222</v>
      </c>
      <c r="E944" s="58" t="n">
        <v>46069.8159722222</v>
      </c>
      <c r="F944" s="58" t="n">
        <v>46070.4013888889</v>
      </c>
      <c r="G944" s="59" t="n">
        <f aca="false">F944-E944</f>
        <v>0.585416666701389</v>
      </c>
      <c r="H944" s="57" t="s">
        <v>252</v>
      </c>
      <c r="I944" s="57"/>
      <c r="J944" s="57" t="s">
        <v>253</v>
      </c>
      <c r="K944" s="57" t="s">
        <v>266</v>
      </c>
      <c r="L944" s="57" t="s">
        <v>1824</v>
      </c>
      <c r="M944" s="57" t="s">
        <v>255</v>
      </c>
      <c r="N944" s="57" t="s">
        <v>268</v>
      </c>
      <c r="O944" s="57" t="s">
        <v>1825</v>
      </c>
      <c r="P944" s="57" t="s">
        <v>1842</v>
      </c>
      <c r="Q944" s="57" t="s">
        <v>706</v>
      </c>
    </row>
    <row r="945" s="50" customFormat="true" ht="14.25" hidden="false" customHeight="true" outlineLevel="0" collapsed="false">
      <c r="A945" s="50" t="s">
        <v>460</v>
      </c>
      <c r="B945" s="57" t="s">
        <v>460</v>
      </c>
      <c r="C945" s="57" t="s">
        <v>324</v>
      </c>
      <c r="D945" s="58" t="n">
        <v>46069.8159722222</v>
      </c>
      <c r="E945" s="58" t="n">
        <v>46069.8159722222</v>
      </c>
      <c r="F945" s="58" t="n">
        <v>46070.4013888889</v>
      </c>
      <c r="G945" s="59" t="n">
        <f aca="false">F945-E945</f>
        <v>0.585416666701389</v>
      </c>
      <c r="H945" s="57" t="s">
        <v>252</v>
      </c>
      <c r="I945" s="57"/>
      <c r="J945" s="57" t="s">
        <v>253</v>
      </c>
      <c r="K945" s="57" t="s">
        <v>266</v>
      </c>
      <c r="L945" s="57" t="s">
        <v>1824</v>
      </c>
      <c r="M945" s="57" t="s">
        <v>255</v>
      </c>
      <c r="N945" s="57" t="s">
        <v>268</v>
      </c>
      <c r="O945" s="57" t="s">
        <v>1825</v>
      </c>
      <c r="P945" s="57" t="s">
        <v>1843</v>
      </c>
      <c r="Q945" s="57" t="s">
        <v>706</v>
      </c>
    </row>
    <row r="946" s="50" customFormat="true" ht="14.25" hidden="false" customHeight="true" outlineLevel="0" collapsed="false">
      <c r="A946" s="50" t="s">
        <v>461</v>
      </c>
      <c r="B946" s="57" t="s">
        <v>461</v>
      </c>
      <c r="C946" s="57" t="s">
        <v>324</v>
      </c>
      <c r="D946" s="58" t="n">
        <v>46069.8159722222</v>
      </c>
      <c r="E946" s="58" t="n">
        <v>46069.8159722222</v>
      </c>
      <c r="F946" s="58" t="n">
        <v>46070.4013888889</v>
      </c>
      <c r="G946" s="59" t="n">
        <f aca="false">F946-E946</f>
        <v>0.585416666701389</v>
      </c>
      <c r="H946" s="57" t="s">
        <v>252</v>
      </c>
      <c r="I946" s="57"/>
      <c r="J946" s="57" t="s">
        <v>253</v>
      </c>
      <c r="K946" s="57" t="s">
        <v>266</v>
      </c>
      <c r="L946" s="57" t="s">
        <v>1824</v>
      </c>
      <c r="M946" s="57" t="s">
        <v>255</v>
      </c>
      <c r="N946" s="57" t="s">
        <v>268</v>
      </c>
      <c r="O946" s="57" t="s">
        <v>1825</v>
      </c>
      <c r="P946" s="57" t="s">
        <v>1844</v>
      </c>
      <c r="Q946" s="57" t="s">
        <v>706</v>
      </c>
    </row>
    <row r="947" s="50" customFormat="true" ht="14.25" hidden="false" customHeight="true" outlineLevel="0" collapsed="false">
      <c r="A947" s="50" t="s">
        <v>461</v>
      </c>
      <c r="B947" s="57" t="s">
        <v>461</v>
      </c>
      <c r="C947" s="57" t="s">
        <v>326</v>
      </c>
      <c r="D947" s="58" t="n">
        <v>46069.8159722222</v>
      </c>
      <c r="E947" s="58" t="n">
        <v>46069.8159722222</v>
      </c>
      <c r="F947" s="58" t="n">
        <v>46070.4013888889</v>
      </c>
      <c r="G947" s="59" t="n">
        <f aca="false">F947-E947</f>
        <v>0.585416666701389</v>
      </c>
      <c r="H947" s="57" t="s">
        <v>252</v>
      </c>
      <c r="I947" s="57"/>
      <c r="J947" s="57" t="s">
        <v>253</v>
      </c>
      <c r="K947" s="57" t="s">
        <v>266</v>
      </c>
      <c r="L947" s="57" t="s">
        <v>1824</v>
      </c>
      <c r="M947" s="57" t="s">
        <v>255</v>
      </c>
      <c r="N947" s="57" t="s">
        <v>268</v>
      </c>
      <c r="O947" s="57" t="s">
        <v>1825</v>
      </c>
      <c r="P947" s="57" t="s">
        <v>1845</v>
      </c>
      <c r="Q947" s="57" t="s">
        <v>706</v>
      </c>
    </row>
    <row r="948" s="50" customFormat="true" ht="14.25" hidden="false" customHeight="true" outlineLevel="0" collapsed="false">
      <c r="A948" s="50" t="s">
        <v>1521</v>
      </c>
      <c r="B948" s="57" t="s">
        <v>1522</v>
      </c>
      <c r="C948" s="57" t="s">
        <v>1554</v>
      </c>
      <c r="D948" s="58" t="n">
        <v>46070.5166666667</v>
      </c>
      <c r="E948" s="58" t="n">
        <v>46070.5166666667</v>
      </c>
      <c r="F948" s="58" t="n">
        <v>46070.6006944444</v>
      </c>
      <c r="G948" s="59" t="n">
        <f aca="false">F948-E948</f>
        <v>0.0840277776967593</v>
      </c>
      <c r="H948" s="57" t="s">
        <v>252</v>
      </c>
      <c r="I948" s="57"/>
      <c r="J948" s="57" t="s">
        <v>253</v>
      </c>
      <c r="K948" s="57" t="s">
        <v>266</v>
      </c>
      <c r="L948" s="57" t="s">
        <v>1846</v>
      </c>
      <c r="M948" s="57" t="s">
        <v>255</v>
      </c>
      <c r="N948" s="57" t="s">
        <v>256</v>
      </c>
      <c r="O948" s="57" t="s">
        <v>719</v>
      </c>
      <c r="P948" s="57" t="s">
        <v>1847</v>
      </c>
      <c r="Q948" s="57" t="s">
        <v>706</v>
      </c>
    </row>
    <row r="949" s="50" customFormat="true" ht="14.25" hidden="false" customHeight="true" outlineLevel="0" collapsed="false">
      <c r="A949" s="50" t="s">
        <v>410</v>
      </c>
      <c r="B949" s="57" t="s">
        <v>410</v>
      </c>
      <c r="C949" s="57" t="s">
        <v>411</v>
      </c>
      <c r="D949" s="58" t="n">
        <v>46070.6909722222</v>
      </c>
      <c r="E949" s="58" t="n">
        <v>46070.6909722222</v>
      </c>
      <c r="F949" s="58" t="n">
        <v>46070.7083333333</v>
      </c>
      <c r="G949" s="59" t="n">
        <f aca="false">F949-E949</f>
        <v>0.0173611111111111</v>
      </c>
      <c r="H949" s="57" t="s">
        <v>283</v>
      </c>
      <c r="I949" s="57" t="s">
        <v>284</v>
      </c>
      <c r="J949" s="57" t="s">
        <v>285</v>
      </c>
      <c r="K949" s="57" t="s">
        <v>286</v>
      </c>
      <c r="L949" s="57" t="s">
        <v>1848</v>
      </c>
      <c r="M949" s="57" t="s">
        <v>288</v>
      </c>
      <c r="N949" s="57" t="s">
        <v>589</v>
      </c>
      <c r="O949" s="57" t="s">
        <v>1849</v>
      </c>
      <c r="P949" s="57" t="s">
        <v>1850</v>
      </c>
      <c r="Q949" s="57" t="s">
        <v>694</v>
      </c>
    </row>
    <row r="950" s="50" customFormat="true" ht="14.25" hidden="false" customHeight="true" outlineLevel="0" collapsed="false">
      <c r="A950" s="50" t="s">
        <v>410</v>
      </c>
      <c r="B950" s="57" t="s">
        <v>410</v>
      </c>
      <c r="C950" s="57" t="s">
        <v>414</v>
      </c>
      <c r="D950" s="58" t="n">
        <v>46070.6909722222</v>
      </c>
      <c r="E950" s="58" t="n">
        <v>46070.6909722222</v>
      </c>
      <c r="F950" s="58" t="n">
        <v>46070.7083333333</v>
      </c>
      <c r="G950" s="59" t="n">
        <f aca="false">F950-E950</f>
        <v>0.0173611111111111</v>
      </c>
      <c r="H950" s="57" t="s">
        <v>283</v>
      </c>
      <c r="I950" s="57" t="s">
        <v>284</v>
      </c>
      <c r="J950" s="57" t="s">
        <v>285</v>
      </c>
      <c r="K950" s="57" t="s">
        <v>286</v>
      </c>
      <c r="L950" s="57" t="s">
        <v>1848</v>
      </c>
      <c r="M950" s="57" t="s">
        <v>288</v>
      </c>
      <c r="N950" s="57" t="s">
        <v>589</v>
      </c>
      <c r="O950" s="57" t="s">
        <v>1849</v>
      </c>
      <c r="P950" s="57" t="s">
        <v>1851</v>
      </c>
      <c r="Q950" s="57" t="s">
        <v>694</v>
      </c>
    </row>
    <row r="951" s="50" customFormat="true" ht="14.25" hidden="false" customHeight="true" outlineLevel="0" collapsed="false">
      <c r="A951" s="50" t="s">
        <v>410</v>
      </c>
      <c r="B951" s="57" t="s">
        <v>410</v>
      </c>
      <c r="C951" s="57" t="s">
        <v>415</v>
      </c>
      <c r="D951" s="58" t="n">
        <v>46070.6909722222</v>
      </c>
      <c r="E951" s="58" t="n">
        <v>46070.6909722222</v>
      </c>
      <c r="F951" s="58" t="n">
        <v>46070.7083333333</v>
      </c>
      <c r="G951" s="59" t="n">
        <f aca="false">F951-E951</f>
        <v>0.0173611111111111</v>
      </c>
      <c r="H951" s="57" t="s">
        <v>283</v>
      </c>
      <c r="I951" s="57" t="s">
        <v>284</v>
      </c>
      <c r="J951" s="57" t="s">
        <v>285</v>
      </c>
      <c r="K951" s="57" t="s">
        <v>286</v>
      </c>
      <c r="L951" s="57" t="s">
        <v>1848</v>
      </c>
      <c r="M951" s="57" t="s">
        <v>288</v>
      </c>
      <c r="N951" s="57" t="s">
        <v>589</v>
      </c>
      <c r="O951" s="57" t="s">
        <v>1849</v>
      </c>
      <c r="P951" s="57" t="s">
        <v>1852</v>
      </c>
      <c r="Q951" s="57" t="s">
        <v>694</v>
      </c>
    </row>
    <row r="952" s="50" customFormat="true" ht="14.25" hidden="false" customHeight="true" outlineLevel="0" collapsed="false">
      <c r="A952" s="50" t="s">
        <v>410</v>
      </c>
      <c r="B952" s="57" t="s">
        <v>410</v>
      </c>
      <c r="C952" s="57" t="s">
        <v>416</v>
      </c>
      <c r="D952" s="58" t="n">
        <v>46070.6909722222</v>
      </c>
      <c r="E952" s="58" t="n">
        <v>46070.6909722222</v>
      </c>
      <c r="F952" s="58" t="n">
        <v>46070.7083333333</v>
      </c>
      <c r="G952" s="59" t="n">
        <f aca="false">F952-E952</f>
        <v>0.0173611111111111</v>
      </c>
      <c r="H952" s="57" t="s">
        <v>283</v>
      </c>
      <c r="I952" s="57" t="s">
        <v>284</v>
      </c>
      <c r="J952" s="57" t="s">
        <v>285</v>
      </c>
      <c r="K952" s="57" t="s">
        <v>286</v>
      </c>
      <c r="L952" s="57" t="s">
        <v>1848</v>
      </c>
      <c r="M952" s="57" t="s">
        <v>288</v>
      </c>
      <c r="N952" s="57" t="s">
        <v>589</v>
      </c>
      <c r="O952" s="57" t="s">
        <v>1849</v>
      </c>
      <c r="P952" s="57" t="s">
        <v>1853</v>
      </c>
      <c r="Q952" s="57" t="s">
        <v>694</v>
      </c>
    </row>
    <row r="953" s="50" customFormat="true" ht="14.25" hidden="false" customHeight="true" outlineLevel="0" collapsed="false">
      <c r="A953" s="50" t="s">
        <v>410</v>
      </c>
      <c r="B953" s="57" t="s">
        <v>410</v>
      </c>
      <c r="C953" s="57" t="s">
        <v>417</v>
      </c>
      <c r="D953" s="58" t="n">
        <v>46070.6909722222</v>
      </c>
      <c r="E953" s="58" t="n">
        <v>46070.6909722222</v>
      </c>
      <c r="F953" s="58" t="n">
        <v>46070.7083333333</v>
      </c>
      <c r="G953" s="59" t="n">
        <f aca="false">F953-E953</f>
        <v>0.0173611111111111</v>
      </c>
      <c r="H953" s="57" t="s">
        <v>283</v>
      </c>
      <c r="I953" s="57" t="s">
        <v>284</v>
      </c>
      <c r="J953" s="57" t="s">
        <v>285</v>
      </c>
      <c r="K953" s="57" t="s">
        <v>286</v>
      </c>
      <c r="L953" s="57" t="s">
        <v>1848</v>
      </c>
      <c r="M953" s="57" t="s">
        <v>288</v>
      </c>
      <c r="N953" s="57" t="s">
        <v>589</v>
      </c>
      <c r="O953" s="57" t="s">
        <v>1849</v>
      </c>
      <c r="P953" s="57" t="s">
        <v>1854</v>
      </c>
      <c r="Q953" s="57" t="s">
        <v>694</v>
      </c>
    </row>
    <row r="954" s="50" customFormat="true" ht="14.25" hidden="false" customHeight="true" outlineLevel="0" collapsed="false">
      <c r="A954" s="50" t="s">
        <v>418</v>
      </c>
      <c r="B954" s="57" t="s">
        <v>418</v>
      </c>
      <c r="C954" s="57" t="s">
        <v>414</v>
      </c>
      <c r="D954" s="58" t="n">
        <v>46070.6909722222</v>
      </c>
      <c r="E954" s="58" t="n">
        <v>46070.6909722222</v>
      </c>
      <c r="F954" s="58" t="n">
        <v>46070.7083333333</v>
      </c>
      <c r="G954" s="59" t="n">
        <f aca="false">F954-E954</f>
        <v>0.0173611111111111</v>
      </c>
      <c r="H954" s="57" t="s">
        <v>283</v>
      </c>
      <c r="I954" s="57" t="s">
        <v>284</v>
      </c>
      <c r="J954" s="57" t="s">
        <v>285</v>
      </c>
      <c r="K954" s="57" t="s">
        <v>286</v>
      </c>
      <c r="L954" s="57" t="s">
        <v>1848</v>
      </c>
      <c r="M954" s="57" t="s">
        <v>288</v>
      </c>
      <c r="N954" s="57" t="s">
        <v>589</v>
      </c>
      <c r="O954" s="57" t="s">
        <v>1849</v>
      </c>
      <c r="P954" s="57" t="s">
        <v>1855</v>
      </c>
      <c r="Q954" s="57" t="s">
        <v>694</v>
      </c>
    </row>
    <row r="955" s="50" customFormat="true" ht="14.25" hidden="false" customHeight="true" outlineLevel="0" collapsed="false">
      <c r="A955" s="50" t="s">
        <v>418</v>
      </c>
      <c r="B955" s="57" t="s">
        <v>418</v>
      </c>
      <c r="C955" s="57" t="s">
        <v>415</v>
      </c>
      <c r="D955" s="58" t="n">
        <v>46070.6909722222</v>
      </c>
      <c r="E955" s="58" t="n">
        <v>46070.6909722222</v>
      </c>
      <c r="F955" s="58" t="n">
        <v>46070.7083333333</v>
      </c>
      <c r="G955" s="59" t="n">
        <f aca="false">F955-E955</f>
        <v>0.0173611111111111</v>
      </c>
      <c r="H955" s="57" t="s">
        <v>283</v>
      </c>
      <c r="I955" s="57" t="s">
        <v>284</v>
      </c>
      <c r="J955" s="57" t="s">
        <v>285</v>
      </c>
      <c r="K955" s="57" t="s">
        <v>286</v>
      </c>
      <c r="L955" s="57" t="s">
        <v>1848</v>
      </c>
      <c r="M955" s="57" t="s">
        <v>288</v>
      </c>
      <c r="N955" s="57" t="s">
        <v>589</v>
      </c>
      <c r="O955" s="57" t="s">
        <v>1849</v>
      </c>
      <c r="P955" s="57" t="s">
        <v>1856</v>
      </c>
      <c r="Q955" s="57" t="s">
        <v>694</v>
      </c>
    </row>
    <row r="956" s="50" customFormat="true" ht="14.25" hidden="false" customHeight="true" outlineLevel="0" collapsed="false">
      <c r="A956" s="50" t="s">
        <v>418</v>
      </c>
      <c r="B956" s="57" t="s">
        <v>418</v>
      </c>
      <c r="C956" s="57" t="s">
        <v>416</v>
      </c>
      <c r="D956" s="58" t="n">
        <v>46070.6909722222</v>
      </c>
      <c r="E956" s="58" t="n">
        <v>46070.6909722222</v>
      </c>
      <c r="F956" s="58" t="n">
        <v>46070.7083333333</v>
      </c>
      <c r="G956" s="59" t="n">
        <f aca="false">F956-E956</f>
        <v>0.0173611111111111</v>
      </c>
      <c r="H956" s="57" t="s">
        <v>283</v>
      </c>
      <c r="I956" s="57" t="s">
        <v>284</v>
      </c>
      <c r="J956" s="57" t="s">
        <v>285</v>
      </c>
      <c r="K956" s="57" t="s">
        <v>286</v>
      </c>
      <c r="L956" s="57" t="s">
        <v>1848</v>
      </c>
      <c r="M956" s="57" t="s">
        <v>288</v>
      </c>
      <c r="N956" s="57" t="s">
        <v>589</v>
      </c>
      <c r="O956" s="57" t="s">
        <v>1849</v>
      </c>
      <c r="P956" s="57" t="s">
        <v>1857</v>
      </c>
      <c r="Q956" s="57" t="s">
        <v>694</v>
      </c>
    </row>
    <row r="957" s="50" customFormat="true" ht="14.25" hidden="false" customHeight="true" outlineLevel="0" collapsed="false">
      <c r="A957" s="50" t="s">
        <v>418</v>
      </c>
      <c r="B957" s="57" t="s">
        <v>418</v>
      </c>
      <c r="C957" s="57" t="s">
        <v>417</v>
      </c>
      <c r="D957" s="58" t="n">
        <v>46070.6909722222</v>
      </c>
      <c r="E957" s="58" t="n">
        <v>46070.6909722222</v>
      </c>
      <c r="F957" s="58" t="n">
        <v>46070.7083333333</v>
      </c>
      <c r="G957" s="59" t="n">
        <f aca="false">F957-E957</f>
        <v>0.0173611111111111</v>
      </c>
      <c r="H957" s="57" t="s">
        <v>283</v>
      </c>
      <c r="I957" s="57" t="s">
        <v>284</v>
      </c>
      <c r="J957" s="57" t="s">
        <v>285</v>
      </c>
      <c r="K957" s="57" t="s">
        <v>286</v>
      </c>
      <c r="L957" s="57" t="s">
        <v>1848</v>
      </c>
      <c r="M957" s="57" t="s">
        <v>288</v>
      </c>
      <c r="N957" s="57" t="s">
        <v>589</v>
      </c>
      <c r="O957" s="57" t="s">
        <v>1849</v>
      </c>
      <c r="P957" s="57" t="s">
        <v>1858</v>
      </c>
      <c r="Q957" s="57" t="s">
        <v>694</v>
      </c>
    </row>
    <row r="958" s="50" customFormat="true" ht="14.25" hidden="false" customHeight="true" outlineLevel="0" collapsed="false">
      <c r="A958" s="50" t="s">
        <v>418</v>
      </c>
      <c r="B958" s="57" t="s">
        <v>418</v>
      </c>
      <c r="C958" s="57" t="s">
        <v>411</v>
      </c>
      <c r="D958" s="58" t="n">
        <v>46070.6909722222</v>
      </c>
      <c r="E958" s="58" t="n">
        <v>46070.6909722222</v>
      </c>
      <c r="F958" s="58" t="n">
        <v>46070.7083333333</v>
      </c>
      <c r="G958" s="59" t="n">
        <f aca="false">F958-E958</f>
        <v>0.0173611111111111</v>
      </c>
      <c r="H958" s="57" t="s">
        <v>283</v>
      </c>
      <c r="I958" s="57" t="s">
        <v>284</v>
      </c>
      <c r="J958" s="57" t="s">
        <v>285</v>
      </c>
      <c r="K958" s="57" t="s">
        <v>286</v>
      </c>
      <c r="L958" s="57" t="s">
        <v>1848</v>
      </c>
      <c r="M958" s="57" t="s">
        <v>288</v>
      </c>
      <c r="N958" s="57" t="s">
        <v>589</v>
      </c>
      <c r="O958" s="57" t="s">
        <v>1849</v>
      </c>
      <c r="P958" s="57" t="s">
        <v>1859</v>
      </c>
      <c r="Q958" s="57" t="s">
        <v>694</v>
      </c>
    </row>
    <row r="959" s="50" customFormat="true" ht="14.25" hidden="false" customHeight="true" outlineLevel="0" collapsed="false">
      <c r="A959" s="50" t="s">
        <v>419</v>
      </c>
      <c r="B959" s="57" t="s">
        <v>419</v>
      </c>
      <c r="C959" s="57" t="s">
        <v>420</v>
      </c>
      <c r="D959" s="58" t="n">
        <v>46070.6909722222</v>
      </c>
      <c r="E959" s="58" t="n">
        <v>46070.6909722222</v>
      </c>
      <c r="F959" s="58" t="n">
        <v>46070.7083333333</v>
      </c>
      <c r="G959" s="59" t="n">
        <f aca="false">F959-E959</f>
        <v>0.0173611111111111</v>
      </c>
      <c r="H959" s="57" t="s">
        <v>283</v>
      </c>
      <c r="I959" s="57" t="s">
        <v>284</v>
      </c>
      <c r="J959" s="57" t="s">
        <v>285</v>
      </c>
      <c r="K959" s="57" t="s">
        <v>286</v>
      </c>
      <c r="L959" s="57" t="s">
        <v>1848</v>
      </c>
      <c r="M959" s="57" t="s">
        <v>288</v>
      </c>
      <c r="N959" s="57" t="s">
        <v>589</v>
      </c>
      <c r="O959" s="57" t="s">
        <v>1849</v>
      </c>
      <c r="P959" s="57" t="s">
        <v>1860</v>
      </c>
      <c r="Q959" s="57" t="s">
        <v>694</v>
      </c>
    </row>
    <row r="960" s="50" customFormat="true" ht="14.25" hidden="false" customHeight="true" outlineLevel="0" collapsed="false">
      <c r="A960" s="50" t="s">
        <v>419</v>
      </c>
      <c r="B960" s="57" t="s">
        <v>419</v>
      </c>
      <c r="C960" s="57" t="s">
        <v>414</v>
      </c>
      <c r="D960" s="58" t="n">
        <v>46070.6909722222</v>
      </c>
      <c r="E960" s="58" t="n">
        <v>46070.6909722222</v>
      </c>
      <c r="F960" s="58" t="n">
        <v>46070.7083333333</v>
      </c>
      <c r="G960" s="59" t="n">
        <f aca="false">F960-E960</f>
        <v>0.0173611111111111</v>
      </c>
      <c r="H960" s="57" t="s">
        <v>283</v>
      </c>
      <c r="I960" s="57" t="s">
        <v>284</v>
      </c>
      <c r="J960" s="57" t="s">
        <v>285</v>
      </c>
      <c r="K960" s="57" t="s">
        <v>286</v>
      </c>
      <c r="L960" s="57" t="s">
        <v>1848</v>
      </c>
      <c r="M960" s="57" t="s">
        <v>288</v>
      </c>
      <c r="N960" s="57" t="s">
        <v>589</v>
      </c>
      <c r="O960" s="57" t="s">
        <v>1849</v>
      </c>
      <c r="P960" s="57" t="s">
        <v>1861</v>
      </c>
      <c r="Q960" s="57" t="s">
        <v>694</v>
      </c>
    </row>
    <row r="961" s="50" customFormat="true" ht="14.25" hidden="false" customHeight="true" outlineLevel="0" collapsed="false">
      <c r="A961" s="50" t="s">
        <v>419</v>
      </c>
      <c r="B961" s="57" t="s">
        <v>419</v>
      </c>
      <c r="C961" s="57" t="s">
        <v>411</v>
      </c>
      <c r="D961" s="58" t="n">
        <v>46070.6909722222</v>
      </c>
      <c r="E961" s="58" t="n">
        <v>46070.6909722222</v>
      </c>
      <c r="F961" s="58" t="n">
        <v>46070.7083333333</v>
      </c>
      <c r="G961" s="59" t="n">
        <f aca="false">F961-E961</f>
        <v>0.0173611111111111</v>
      </c>
      <c r="H961" s="57" t="s">
        <v>283</v>
      </c>
      <c r="I961" s="57" t="s">
        <v>284</v>
      </c>
      <c r="J961" s="57" t="s">
        <v>285</v>
      </c>
      <c r="K961" s="57" t="s">
        <v>286</v>
      </c>
      <c r="L961" s="57" t="s">
        <v>1848</v>
      </c>
      <c r="M961" s="57" t="s">
        <v>288</v>
      </c>
      <c r="N961" s="57" t="s">
        <v>589</v>
      </c>
      <c r="O961" s="57" t="s">
        <v>1849</v>
      </c>
      <c r="P961" s="57" t="s">
        <v>1862</v>
      </c>
      <c r="Q961" s="57" t="s">
        <v>694</v>
      </c>
    </row>
    <row r="962" s="50" customFormat="true" ht="14.25" hidden="false" customHeight="true" outlineLevel="0" collapsed="false">
      <c r="A962" s="50" t="s">
        <v>467</v>
      </c>
      <c r="B962" s="57" t="s">
        <v>467</v>
      </c>
      <c r="C962" s="57" t="s">
        <v>468</v>
      </c>
      <c r="D962" s="58" t="n">
        <v>46070.9451388889</v>
      </c>
      <c r="E962" s="58" t="n">
        <v>46070.9451388889</v>
      </c>
      <c r="F962" s="58" t="n">
        <v>46071.3263888889</v>
      </c>
      <c r="G962" s="59" t="n">
        <f aca="false">F962-E962</f>
        <v>0.38125</v>
      </c>
      <c r="H962" s="57" t="s">
        <v>283</v>
      </c>
      <c r="I962" s="57" t="s">
        <v>284</v>
      </c>
      <c r="J962" s="57" t="s">
        <v>285</v>
      </c>
      <c r="K962" s="57" t="s">
        <v>286</v>
      </c>
      <c r="L962" s="57" t="s">
        <v>1863</v>
      </c>
      <c r="M962" s="57" t="s">
        <v>288</v>
      </c>
      <c r="N962" s="57" t="s">
        <v>289</v>
      </c>
      <c r="O962" s="57" t="s">
        <v>1864</v>
      </c>
      <c r="P962" s="57" t="s">
        <v>1865</v>
      </c>
      <c r="Q962" s="57" t="s">
        <v>694</v>
      </c>
    </row>
    <row r="963" s="50" customFormat="true" ht="14.25" hidden="false" customHeight="true" outlineLevel="0" collapsed="false">
      <c r="A963" s="50" t="s">
        <v>467</v>
      </c>
      <c r="B963" s="57" t="s">
        <v>467</v>
      </c>
      <c r="C963" s="57" t="s">
        <v>470</v>
      </c>
      <c r="D963" s="58" t="n">
        <v>46070.9451388889</v>
      </c>
      <c r="E963" s="58" t="n">
        <v>46070.9451388889</v>
      </c>
      <c r="F963" s="58" t="n">
        <v>46071.3263888889</v>
      </c>
      <c r="G963" s="59" t="n">
        <f aca="false">F963-E963</f>
        <v>0.38125</v>
      </c>
      <c r="H963" s="57" t="s">
        <v>283</v>
      </c>
      <c r="I963" s="57" t="s">
        <v>284</v>
      </c>
      <c r="J963" s="57" t="s">
        <v>285</v>
      </c>
      <c r="K963" s="57" t="s">
        <v>286</v>
      </c>
      <c r="L963" s="57" t="s">
        <v>1863</v>
      </c>
      <c r="M963" s="57" t="s">
        <v>288</v>
      </c>
      <c r="N963" s="57" t="s">
        <v>289</v>
      </c>
      <c r="O963" s="57" t="s">
        <v>1864</v>
      </c>
      <c r="P963" s="57" t="s">
        <v>1866</v>
      </c>
      <c r="Q963" s="57" t="s">
        <v>694</v>
      </c>
    </row>
    <row r="964" s="50" customFormat="true" ht="14.25" hidden="false" customHeight="true" outlineLevel="0" collapsed="false">
      <c r="A964" s="50" t="s">
        <v>467</v>
      </c>
      <c r="B964" s="57" t="s">
        <v>467</v>
      </c>
      <c r="C964" s="57" t="s">
        <v>471</v>
      </c>
      <c r="D964" s="58" t="n">
        <v>46070.9451388889</v>
      </c>
      <c r="E964" s="58" t="n">
        <v>46070.9451388889</v>
      </c>
      <c r="F964" s="58" t="n">
        <v>46071.3263888889</v>
      </c>
      <c r="G964" s="59" t="n">
        <f aca="false">F964-E964</f>
        <v>0.38125</v>
      </c>
      <c r="H964" s="57" t="s">
        <v>283</v>
      </c>
      <c r="I964" s="57" t="s">
        <v>284</v>
      </c>
      <c r="J964" s="57" t="s">
        <v>285</v>
      </c>
      <c r="K964" s="57" t="s">
        <v>286</v>
      </c>
      <c r="L964" s="57" t="s">
        <v>1863</v>
      </c>
      <c r="M964" s="57" t="s">
        <v>288</v>
      </c>
      <c r="N964" s="57" t="s">
        <v>289</v>
      </c>
      <c r="O964" s="57" t="s">
        <v>1864</v>
      </c>
      <c r="P964" s="57" t="s">
        <v>1867</v>
      </c>
      <c r="Q964" s="57" t="s">
        <v>694</v>
      </c>
    </row>
    <row r="965" s="50" customFormat="true" ht="14.25" hidden="false" customHeight="true" outlineLevel="0" collapsed="false">
      <c r="A965" s="50" t="s">
        <v>467</v>
      </c>
      <c r="B965" s="57" t="s">
        <v>467</v>
      </c>
      <c r="C965" s="57" t="s">
        <v>472</v>
      </c>
      <c r="D965" s="58" t="n">
        <v>46070.9451388889</v>
      </c>
      <c r="E965" s="58" t="n">
        <v>46070.9451388889</v>
      </c>
      <c r="F965" s="58" t="n">
        <v>46071.3263888889</v>
      </c>
      <c r="G965" s="59" t="n">
        <f aca="false">F965-E965</f>
        <v>0.38125</v>
      </c>
      <c r="H965" s="57" t="s">
        <v>283</v>
      </c>
      <c r="I965" s="57" t="s">
        <v>284</v>
      </c>
      <c r="J965" s="57" t="s">
        <v>285</v>
      </c>
      <c r="K965" s="57" t="s">
        <v>286</v>
      </c>
      <c r="L965" s="57" t="s">
        <v>1863</v>
      </c>
      <c r="M965" s="57" t="s">
        <v>288</v>
      </c>
      <c r="N965" s="57" t="s">
        <v>289</v>
      </c>
      <c r="O965" s="57" t="s">
        <v>1864</v>
      </c>
      <c r="P965" s="57" t="s">
        <v>1868</v>
      </c>
      <c r="Q965" s="57" t="s">
        <v>694</v>
      </c>
    </row>
    <row r="966" s="50" customFormat="true" ht="14.25" hidden="false" customHeight="true" outlineLevel="0" collapsed="false">
      <c r="A966" s="50" t="s">
        <v>467</v>
      </c>
      <c r="B966" s="57" t="s">
        <v>467</v>
      </c>
      <c r="C966" s="57" t="s">
        <v>473</v>
      </c>
      <c r="D966" s="58" t="n">
        <v>46070.9451388889</v>
      </c>
      <c r="E966" s="58" t="n">
        <v>46070.9451388889</v>
      </c>
      <c r="F966" s="58" t="n">
        <v>46071.3263888889</v>
      </c>
      <c r="G966" s="59" t="n">
        <f aca="false">F966-E966</f>
        <v>0.38125</v>
      </c>
      <c r="H966" s="57" t="s">
        <v>283</v>
      </c>
      <c r="I966" s="57" t="s">
        <v>284</v>
      </c>
      <c r="J966" s="57" t="s">
        <v>285</v>
      </c>
      <c r="K966" s="57" t="s">
        <v>286</v>
      </c>
      <c r="L966" s="57" t="s">
        <v>1863</v>
      </c>
      <c r="M966" s="57" t="s">
        <v>288</v>
      </c>
      <c r="N966" s="57" t="s">
        <v>289</v>
      </c>
      <c r="O966" s="57" t="s">
        <v>1864</v>
      </c>
      <c r="P966" s="57" t="s">
        <v>1869</v>
      </c>
      <c r="Q966" s="57" t="s">
        <v>694</v>
      </c>
    </row>
    <row r="967" s="50" customFormat="true" ht="14.25" hidden="false" customHeight="true" outlineLevel="0" collapsed="false">
      <c r="A967" s="50" t="s">
        <v>519</v>
      </c>
      <c r="B967" s="57" t="s">
        <v>519</v>
      </c>
      <c r="C967" s="57" t="s">
        <v>411</v>
      </c>
      <c r="D967" s="58" t="n">
        <v>46070.9451388889</v>
      </c>
      <c r="E967" s="58" t="n">
        <v>46070.9451388889</v>
      </c>
      <c r="F967" s="58" t="n">
        <v>46071.3263888889</v>
      </c>
      <c r="G967" s="59" t="n">
        <f aca="false">F967-E967</f>
        <v>0.38125</v>
      </c>
      <c r="H967" s="57" t="s">
        <v>283</v>
      </c>
      <c r="I967" s="57" t="s">
        <v>284</v>
      </c>
      <c r="J967" s="57" t="s">
        <v>285</v>
      </c>
      <c r="K967" s="57" t="s">
        <v>286</v>
      </c>
      <c r="L967" s="57" t="s">
        <v>1863</v>
      </c>
      <c r="M967" s="57" t="s">
        <v>288</v>
      </c>
      <c r="N967" s="57" t="s">
        <v>289</v>
      </c>
      <c r="O967" s="57" t="s">
        <v>1864</v>
      </c>
      <c r="P967" s="57" t="s">
        <v>1870</v>
      </c>
      <c r="Q967" s="57" t="s">
        <v>694</v>
      </c>
    </row>
    <row r="968" s="50" customFormat="true" ht="14.25" hidden="false" customHeight="true" outlineLevel="0" collapsed="false">
      <c r="A968" s="50" t="s">
        <v>519</v>
      </c>
      <c r="B968" s="57" t="s">
        <v>519</v>
      </c>
      <c r="C968" s="57" t="s">
        <v>414</v>
      </c>
      <c r="D968" s="58" t="n">
        <v>46070.9451388889</v>
      </c>
      <c r="E968" s="58" t="n">
        <v>46070.9451388889</v>
      </c>
      <c r="F968" s="58" t="n">
        <v>46071.3263888889</v>
      </c>
      <c r="G968" s="59" t="n">
        <f aca="false">F968-E968</f>
        <v>0.38125</v>
      </c>
      <c r="H968" s="57" t="s">
        <v>283</v>
      </c>
      <c r="I968" s="57" t="s">
        <v>284</v>
      </c>
      <c r="J968" s="57" t="s">
        <v>285</v>
      </c>
      <c r="K968" s="57" t="s">
        <v>286</v>
      </c>
      <c r="L968" s="57" t="s">
        <v>1863</v>
      </c>
      <c r="M968" s="57" t="s">
        <v>288</v>
      </c>
      <c r="N968" s="57" t="s">
        <v>289</v>
      </c>
      <c r="O968" s="57" t="s">
        <v>1864</v>
      </c>
      <c r="P968" s="57" t="s">
        <v>1871</v>
      </c>
      <c r="Q968" s="57" t="s">
        <v>694</v>
      </c>
    </row>
    <row r="969" s="50" customFormat="true" ht="14.25" hidden="false" customHeight="true" outlineLevel="0" collapsed="false">
      <c r="A969" s="50" t="s">
        <v>519</v>
      </c>
      <c r="B969" s="57" t="s">
        <v>519</v>
      </c>
      <c r="C969" s="57" t="s">
        <v>415</v>
      </c>
      <c r="D969" s="58" t="n">
        <v>46070.9451388889</v>
      </c>
      <c r="E969" s="58" t="n">
        <v>46070.9451388889</v>
      </c>
      <c r="F969" s="58" t="n">
        <v>46071.3263888889</v>
      </c>
      <c r="G969" s="59" t="n">
        <f aca="false">F969-E969</f>
        <v>0.38125</v>
      </c>
      <c r="H969" s="57" t="s">
        <v>283</v>
      </c>
      <c r="I969" s="57" t="s">
        <v>284</v>
      </c>
      <c r="J969" s="57" t="s">
        <v>285</v>
      </c>
      <c r="K969" s="57" t="s">
        <v>286</v>
      </c>
      <c r="L969" s="57" t="s">
        <v>1863</v>
      </c>
      <c r="M969" s="57" t="s">
        <v>288</v>
      </c>
      <c r="N969" s="57" t="s">
        <v>289</v>
      </c>
      <c r="O969" s="57" t="s">
        <v>1864</v>
      </c>
      <c r="P969" s="57" t="s">
        <v>1872</v>
      </c>
      <c r="Q969" s="57" t="s">
        <v>694</v>
      </c>
    </row>
    <row r="970" s="50" customFormat="true" ht="14.25" hidden="false" customHeight="true" outlineLevel="0" collapsed="false">
      <c r="A970" s="50" t="s">
        <v>519</v>
      </c>
      <c r="B970" s="57" t="s">
        <v>519</v>
      </c>
      <c r="C970" s="57" t="s">
        <v>416</v>
      </c>
      <c r="D970" s="58" t="n">
        <v>46070.9451388889</v>
      </c>
      <c r="E970" s="58" t="n">
        <v>46070.9451388889</v>
      </c>
      <c r="F970" s="58" t="n">
        <v>46071.3263888889</v>
      </c>
      <c r="G970" s="59" t="n">
        <f aca="false">F970-E970</f>
        <v>0.38125</v>
      </c>
      <c r="H970" s="57" t="s">
        <v>283</v>
      </c>
      <c r="I970" s="57" t="s">
        <v>284</v>
      </c>
      <c r="J970" s="57" t="s">
        <v>285</v>
      </c>
      <c r="K970" s="57" t="s">
        <v>286</v>
      </c>
      <c r="L970" s="57" t="s">
        <v>1863</v>
      </c>
      <c r="M970" s="57" t="s">
        <v>288</v>
      </c>
      <c r="N970" s="57" t="s">
        <v>289</v>
      </c>
      <c r="O970" s="57" t="s">
        <v>1864</v>
      </c>
      <c r="P970" s="57" t="s">
        <v>1873</v>
      </c>
      <c r="Q970" s="57" t="s">
        <v>694</v>
      </c>
    </row>
    <row r="971" s="50" customFormat="true" ht="14.25" hidden="false" customHeight="true" outlineLevel="0" collapsed="false">
      <c r="A971" s="50" t="s">
        <v>519</v>
      </c>
      <c r="B971" s="57" t="s">
        <v>519</v>
      </c>
      <c r="C971" s="57" t="s">
        <v>417</v>
      </c>
      <c r="D971" s="58" t="n">
        <v>46070.9451388889</v>
      </c>
      <c r="E971" s="58" t="n">
        <v>46070.9451388889</v>
      </c>
      <c r="F971" s="58" t="n">
        <v>46071.3263888889</v>
      </c>
      <c r="G971" s="59" t="n">
        <f aca="false">F971-E971</f>
        <v>0.38125</v>
      </c>
      <c r="H971" s="57" t="s">
        <v>283</v>
      </c>
      <c r="I971" s="57" t="s">
        <v>284</v>
      </c>
      <c r="J971" s="57" t="s">
        <v>285</v>
      </c>
      <c r="K971" s="57" t="s">
        <v>286</v>
      </c>
      <c r="L971" s="57" t="s">
        <v>1863</v>
      </c>
      <c r="M971" s="57" t="s">
        <v>288</v>
      </c>
      <c r="N971" s="57" t="s">
        <v>289</v>
      </c>
      <c r="O971" s="57" t="s">
        <v>1864</v>
      </c>
      <c r="P971" s="57" t="s">
        <v>1874</v>
      </c>
      <c r="Q971" s="57" t="s">
        <v>694</v>
      </c>
    </row>
    <row r="972" s="50" customFormat="true" ht="14.25" hidden="false" customHeight="true" outlineLevel="0" collapsed="false">
      <c r="A972" s="50" t="s">
        <v>727</v>
      </c>
      <c r="B972" s="57" t="s">
        <v>727</v>
      </c>
      <c r="C972" s="57" t="s">
        <v>265</v>
      </c>
      <c r="D972" s="58" t="n">
        <v>46070.9451388889</v>
      </c>
      <c r="E972" s="58" t="n">
        <v>46070.9451388889</v>
      </c>
      <c r="F972" s="58" t="n">
        <v>46071.3263888889</v>
      </c>
      <c r="G972" s="59" t="n">
        <f aca="false">F972-E972</f>
        <v>0.38125</v>
      </c>
      <c r="H972" s="57" t="s">
        <v>283</v>
      </c>
      <c r="I972" s="57" t="s">
        <v>284</v>
      </c>
      <c r="J972" s="57" t="s">
        <v>285</v>
      </c>
      <c r="K972" s="57" t="s">
        <v>286</v>
      </c>
      <c r="L972" s="57" t="s">
        <v>1863</v>
      </c>
      <c r="M972" s="57" t="s">
        <v>288</v>
      </c>
      <c r="N972" s="57" t="s">
        <v>289</v>
      </c>
      <c r="O972" s="57" t="s">
        <v>1864</v>
      </c>
      <c r="P972" s="57" t="s">
        <v>1875</v>
      </c>
      <c r="Q972" s="57" t="s">
        <v>694</v>
      </c>
    </row>
    <row r="973" s="50" customFormat="true" ht="14.25" hidden="false" customHeight="true" outlineLevel="0" collapsed="false">
      <c r="A973" s="50" t="s">
        <v>727</v>
      </c>
      <c r="B973" s="57" t="s">
        <v>727</v>
      </c>
      <c r="C973" s="57" t="s">
        <v>1338</v>
      </c>
      <c r="D973" s="58" t="n">
        <v>46070.9451388889</v>
      </c>
      <c r="E973" s="58" t="n">
        <v>46070.9451388889</v>
      </c>
      <c r="F973" s="58" t="n">
        <v>46071.3263888889</v>
      </c>
      <c r="G973" s="59" t="n">
        <f aca="false">F973-E973</f>
        <v>0.38125</v>
      </c>
      <c r="H973" s="57" t="s">
        <v>283</v>
      </c>
      <c r="I973" s="57" t="s">
        <v>284</v>
      </c>
      <c r="J973" s="57" t="s">
        <v>285</v>
      </c>
      <c r="K973" s="57" t="s">
        <v>286</v>
      </c>
      <c r="L973" s="57" t="s">
        <v>1863</v>
      </c>
      <c r="M973" s="57" t="s">
        <v>288</v>
      </c>
      <c r="N973" s="57" t="s">
        <v>289</v>
      </c>
      <c r="O973" s="57" t="s">
        <v>1864</v>
      </c>
      <c r="P973" s="57" t="s">
        <v>1876</v>
      </c>
      <c r="Q973" s="57" t="s">
        <v>694</v>
      </c>
    </row>
    <row r="974" s="50" customFormat="true" ht="14.25" hidden="false" customHeight="true" outlineLevel="0" collapsed="false">
      <c r="A974" s="50" t="s">
        <v>727</v>
      </c>
      <c r="B974" s="57" t="s">
        <v>727</v>
      </c>
      <c r="C974" s="57" t="s">
        <v>415</v>
      </c>
      <c r="D974" s="58" t="n">
        <v>46070.9451388889</v>
      </c>
      <c r="E974" s="58" t="n">
        <v>46070.9451388889</v>
      </c>
      <c r="F974" s="58" t="n">
        <v>46071.3263888889</v>
      </c>
      <c r="G974" s="59" t="n">
        <f aca="false">F974-E974</f>
        <v>0.38125</v>
      </c>
      <c r="H974" s="57" t="s">
        <v>283</v>
      </c>
      <c r="I974" s="57" t="s">
        <v>284</v>
      </c>
      <c r="J974" s="57" t="s">
        <v>285</v>
      </c>
      <c r="K974" s="57" t="s">
        <v>286</v>
      </c>
      <c r="L974" s="57" t="s">
        <v>1863</v>
      </c>
      <c r="M974" s="57" t="s">
        <v>288</v>
      </c>
      <c r="N974" s="57" t="s">
        <v>289</v>
      </c>
      <c r="O974" s="57" t="s">
        <v>1864</v>
      </c>
      <c r="P974" s="57" t="s">
        <v>1877</v>
      </c>
      <c r="Q974" s="57" t="s">
        <v>694</v>
      </c>
    </row>
    <row r="975" s="50" customFormat="true" ht="14.25" hidden="false" customHeight="true" outlineLevel="0" collapsed="false">
      <c r="A975" s="50" t="s">
        <v>435</v>
      </c>
      <c r="B975" s="57" t="s">
        <v>435</v>
      </c>
      <c r="C975" s="57" t="s">
        <v>436</v>
      </c>
      <c r="D975" s="58" t="n">
        <v>46071.1506944444</v>
      </c>
      <c r="E975" s="58" t="n">
        <v>46071.1506944444</v>
      </c>
      <c r="F975" s="58" t="n">
        <v>46071.2659722222</v>
      </c>
      <c r="G975" s="59" t="n">
        <f aca="false">F975-E975</f>
        <v>0.115277777800926</v>
      </c>
      <c r="H975" s="57" t="s">
        <v>283</v>
      </c>
      <c r="I975" s="57" t="s">
        <v>284</v>
      </c>
      <c r="J975" s="57" t="s">
        <v>285</v>
      </c>
      <c r="K975" s="57" t="s">
        <v>286</v>
      </c>
      <c r="L975" s="61" t="s">
        <v>1878</v>
      </c>
      <c r="M975" s="57" t="s">
        <v>288</v>
      </c>
      <c r="N975" s="57" t="s">
        <v>289</v>
      </c>
      <c r="O975" s="57" t="s">
        <v>1879</v>
      </c>
      <c r="P975" s="57" t="s">
        <v>1880</v>
      </c>
      <c r="Q975" s="57" t="s">
        <v>694</v>
      </c>
    </row>
    <row r="976" s="50" customFormat="true" ht="14.25" hidden="false" customHeight="true" outlineLevel="0" collapsed="false">
      <c r="A976" s="50" t="s">
        <v>435</v>
      </c>
      <c r="B976" s="57" t="s">
        <v>435</v>
      </c>
      <c r="C976" s="57" t="s">
        <v>442</v>
      </c>
      <c r="D976" s="58" t="n">
        <v>46071.1506944444</v>
      </c>
      <c r="E976" s="58" t="n">
        <v>46071.1506944444</v>
      </c>
      <c r="F976" s="58" t="n">
        <v>46071.2659722222</v>
      </c>
      <c r="G976" s="59" t="n">
        <f aca="false">F976-E976</f>
        <v>0.115277777800926</v>
      </c>
      <c r="H976" s="57" t="s">
        <v>283</v>
      </c>
      <c r="I976" s="57" t="s">
        <v>284</v>
      </c>
      <c r="J976" s="57" t="s">
        <v>285</v>
      </c>
      <c r="K976" s="57" t="s">
        <v>286</v>
      </c>
      <c r="L976" s="61" t="s">
        <v>1878</v>
      </c>
      <c r="M976" s="57" t="s">
        <v>288</v>
      </c>
      <c r="N976" s="57" t="s">
        <v>289</v>
      </c>
      <c r="O976" s="57" t="s">
        <v>1879</v>
      </c>
      <c r="P976" s="57" t="s">
        <v>1881</v>
      </c>
      <c r="Q976" s="57" t="s">
        <v>694</v>
      </c>
    </row>
    <row r="977" s="50" customFormat="true" ht="14.25" hidden="false" customHeight="true" outlineLevel="0" collapsed="false">
      <c r="A977" s="50" t="s">
        <v>435</v>
      </c>
      <c r="B977" s="57" t="s">
        <v>435</v>
      </c>
      <c r="C977" s="57" t="s">
        <v>443</v>
      </c>
      <c r="D977" s="58" t="n">
        <v>46071.1506944444</v>
      </c>
      <c r="E977" s="58" t="n">
        <v>46071.1506944444</v>
      </c>
      <c r="F977" s="58" t="n">
        <v>46071.2659722222</v>
      </c>
      <c r="G977" s="59" t="n">
        <f aca="false">F977-E977</f>
        <v>0.115277777800926</v>
      </c>
      <c r="H977" s="57" t="s">
        <v>283</v>
      </c>
      <c r="I977" s="57" t="s">
        <v>284</v>
      </c>
      <c r="J977" s="57" t="s">
        <v>285</v>
      </c>
      <c r="K977" s="57" t="s">
        <v>286</v>
      </c>
      <c r="L977" s="61" t="s">
        <v>1878</v>
      </c>
      <c r="M977" s="57" t="s">
        <v>288</v>
      </c>
      <c r="N977" s="57" t="s">
        <v>289</v>
      </c>
      <c r="O977" s="57" t="s">
        <v>1879</v>
      </c>
      <c r="P977" s="57" t="s">
        <v>1882</v>
      </c>
      <c r="Q977" s="57" t="s">
        <v>694</v>
      </c>
    </row>
    <row r="978" s="50" customFormat="true" ht="14.25" hidden="false" customHeight="true" outlineLevel="0" collapsed="false">
      <c r="A978" s="50" t="s">
        <v>435</v>
      </c>
      <c r="B978" s="57" t="s">
        <v>435</v>
      </c>
      <c r="C978" s="57" t="s">
        <v>444</v>
      </c>
      <c r="D978" s="58" t="n">
        <v>46071.1506944444</v>
      </c>
      <c r="E978" s="58" t="n">
        <v>46071.1506944444</v>
      </c>
      <c r="F978" s="58" t="n">
        <v>46071.2659722222</v>
      </c>
      <c r="G978" s="59" t="n">
        <f aca="false">F978-E978</f>
        <v>0.115277777800926</v>
      </c>
      <c r="H978" s="57" t="s">
        <v>283</v>
      </c>
      <c r="I978" s="57" t="s">
        <v>284</v>
      </c>
      <c r="J978" s="57" t="s">
        <v>285</v>
      </c>
      <c r="K978" s="57" t="s">
        <v>286</v>
      </c>
      <c r="L978" s="61" t="s">
        <v>1878</v>
      </c>
      <c r="M978" s="57" t="s">
        <v>288</v>
      </c>
      <c r="N978" s="57" t="s">
        <v>289</v>
      </c>
      <c r="O978" s="57" t="s">
        <v>1879</v>
      </c>
      <c r="P978" s="57" t="s">
        <v>1883</v>
      </c>
      <c r="Q978" s="57" t="s">
        <v>694</v>
      </c>
    </row>
    <row r="979" s="50" customFormat="true" ht="14.25" hidden="false" customHeight="true" outlineLevel="0" collapsed="false">
      <c r="A979" s="50" t="s">
        <v>435</v>
      </c>
      <c r="B979" s="57" t="s">
        <v>435</v>
      </c>
      <c r="C979" s="57" t="s">
        <v>445</v>
      </c>
      <c r="D979" s="58" t="n">
        <v>46071.1506944444</v>
      </c>
      <c r="E979" s="58" t="n">
        <v>46071.1506944444</v>
      </c>
      <c r="F979" s="58" t="n">
        <v>46071.2659722222</v>
      </c>
      <c r="G979" s="59" t="n">
        <f aca="false">F979-E979</f>
        <v>0.115277777800926</v>
      </c>
      <c r="H979" s="57" t="s">
        <v>283</v>
      </c>
      <c r="I979" s="57" t="s">
        <v>284</v>
      </c>
      <c r="J979" s="57" t="s">
        <v>285</v>
      </c>
      <c r="K979" s="57" t="s">
        <v>286</v>
      </c>
      <c r="L979" s="61" t="s">
        <v>1878</v>
      </c>
      <c r="M979" s="57" t="s">
        <v>288</v>
      </c>
      <c r="N979" s="57" t="s">
        <v>289</v>
      </c>
      <c r="O979" s="57" t="s">
        <v>1879</v>
      </c>
      <c r="P979" s="57" t="s">
        <v>1884</v>
      </c>
      <c r="Q979" s="57" t="s">
        <v>694</v>
      </c>
    </row>
    <row r="980" s="50" customFormat="true" ht="14.25" hidden="false" customHeight="true" outlineLevel="0" collapsed="false">
      <c r="A980" s="50" t="s">
        <v>487</v>
      </c>
      <c r="B980" s="57" t="s">
        <v>487</v>
      </c>
      <c r="C980" s="57" t="s">
        <v>488</v>
      </c>
      <c r="D980" s="58" t="n">
        <v>46071.1506944444</v>
      </c>
      <c r="E980" s="58" t="n">
        <v>46071.1506944444</v>
      </c>
      <c r="F980" s="58" t="n">
        <v>46071.2659722222</v>
      </c>
      <c r="G980" s="59" t="n">
        <f aca="false">F980-E980</f>
        <v>0.115277777800926</v>
      </c>
      <c r="H980" s="57" t="s">
        <v>283</v>
      </c>
      <c r="I980" s="57" t="s">
        <v>284</v>
      </c>
      <c r="J980" s="57" t="s">
        <v>285</v>
      </c>
      <c r="K980" s="57" t="s">
        <v>286</v>
      </c>
      <c r="L980" s="61" t="s">
        <v>1878</v>
      </c>
      <c r="M980" s="57" t="s">
        <v>288</v>
      </c>
      <c r="N980" s="57" t="s">
        <v>289</v>
      </c>
      <c r="O980" s="57" t="s">
        <v>1879</v>
      </c>
      <c r="P980" s="57" t="s">
        <v>1885</v>
      </c>
      <c r="Q980" s="57" t="s">
        <v>694</v>
      </c>
    </row>
    <row r="981" s="50" customFormat="true" ht="14.25" hidden="false" customHeight="true" outlineLevel="0" collapsed="false">
      <c r="A981" s="50" t="s">
        <v>487</v>
      </c>
      <c r="B981" s="57" t="s">
        <v>487</v>
      </c>
      <c r="C981" s="57" t="s">
        <v>489</v>
      </c>
      <c r="D981" s="58" t="n">
        <v>46071.1506944444</v>
      </c>
      <c r="E981" s="58" t="n">
        <v>46071.1506944444</v>
      </c>
      <c r="F981" s="58" t="n">
        <v>46071.2659722222</v>
      </c>
      <c r="G981" s="59" t="n">
        <f aca="false">F981-E981</f>
        <v>0.115277777800926</v>
      </c>
      <c r="H981" s="57" t="s">
        <v>283</v>
      </c>
      <c r="I981" s="57" t="s">
        <v>284</v>
      </c>
      <c r="J981" s="57" t="s">
        <v>285</v>
      </c>
      <c r="K981" s="57" t="s">
        <v>286</v>
      </c>
      <c r="L981" s="61" t="s">
        <v>1878</v>
      </c>
      <c r="M981" s="57" t="s">
        <v>288</v>
      </c>
      <c r="N981" s="57" t="s">
        <v>289</v>
      </c>
      <c r="O981" s="57" t="s">
        <v>1879</v>
      </c>
      <c r="P981" s="57" t="s">
        <v>1886</v>
      </c>
      <c r="Q981" s="57" t="s">
        <v>694</v>
      </c>
    </row>
    <row r="982" s="50" customFormat="true" ht="14.25" hidden="false" customHeight="true" outlineLevel="0" collapsed="false">
      <c r="A982" s="50" t="s">
        <v>487</v>
      </c>
      <c r="B982" s="57" t="s">
        <v>487</v>
      </c>
      <c r="C982" s="57" t="s">
        <v>490</v>
      </c>
      <c r="D982" s="58" t="n">
        <v>46071.1506944444</v>
      </c>
      <c r="E982" s="58" t="n">
        <v>46071.1506944444</v>
      </c>
      <c r="F982" s="58" t="n">
        <v>46071.2659722222</v>
      </c>
      <c r="G982" s="59" t="n">
        <f aca="false">F982-E982</f>
        <v>0.115277777800926</v>
      </c>
      <c r="H982" s="57" t="s">
        <v>283</v>
      </c>
      <c r="I982" s="57" t="s">
        <v>284</v>
      </c>
      <c r="J982" s="57" t="s">
        <v>285</v>
      </c>
      <c r="K982" s="57" t="s">
        <v>286</v>
      </c>
      <c r="L982" s="61" t="s">
        <v>1878</v>
      </c>
      <c r="M982" s="57" t="s">
        <v>288</v>
      </c>
      <c r="N982" s="57" t="s">
        <v>289</v>
      </c>
      <c r="O982" s="57" t="s">
        <v>1879</v>
      </c>
      <c r="P982" s="57" t="s">
        <v>1887</v>
      </c>
      <c r="Q982" s="57" t="s">
        <v>694</v>
      </c>
    </row>
    <row r="983" s="50" customFormat="true" ht="14.25" hidden="false" customHeight="true" outlineLevel="0" collapsed="false">
      <c r="A983" s="50" t="s">
        <v>487</v>
      </c>
      <c r="B983" s="57" t="s">
        <v>487</v>
      </c>
      <c r="C983" s="57" t="s">
        <v>491</v>
      </c>
      <c r="D983" s="58" t="n">
        <v>46071.1506944444</v>
      </c>
      <c r="E983" s="58" t="n">
        <v>46071.1506944444</v>
      </c>
      <c r="F983" s="58" t="n">
        <v>46071.2659722222</v>
      </c>
      <c r="G983" s="59" t="n">
        <f aca="false">F983-E983</f>
        <v>0.115277777800926</v>
      </c>
      <c r="H983" s="57" t="s">
        <v>283</v>
      </c>
      <c r="I983" s="57" t="s">
        <v>284</v>
      </c>
      <c r="J983" s="57" t="s">
        <v>285</v>
      </c>
      <c r="K983" s="57" t="s">
        <v>286</v>
      </c>
      <c r="L983" s="61" t="s">
        <v>1878</v>
      </c>
      <c r="M983" s="57" t="s">
        <v>288</v>
      </c>
      <c r="N983" s="57" t="s">
        <v>289</v>
      </c>
      <c r="O983" s="57" t="s">
        <v>1879</v>
      </c>
      <c r="P983" s="57" t="s">
        <v>1888</v>
      </c>
      <c r="Q983" s="57" t="s">
        <v>694</v>
      </c>
    </row>
    <row r="984" s="50" customFormat="true" ht="14.25" hidden="false" customHeight="true" outlineLevel="0" collapsed="false">
      <c r="A984" s="50" t="s">
        <v>487</v>
      </c>
      <c r="B984" s="57" t="s">
        <v>487</v>
      </c>
      <c r="C984" s="57" t="s">
        <v>492</v>
      </c>
      <c r="D984" s="58" t="n">
        <v>46071.1506944444</v>
      </c>
      <c r="E984" s="58" t="n">
        <v>46071.1506944444</v>
      </c>
      <c r="F984" s="58" t="n">
        <v>46071.2659722222</v>
      </c>
      <c r="G984" s="59" t="n">
        <f aca="false">F984-E984</f>
        <v>0.115277777800926</v>
      </c>
      <c r="H984" s="57" t="s">
        <v>283</v>
      </c>
      <c r="I984" s="57" t="s">
        <v>284</v>
      </c>
      <c r="J984" s="57" t="s">
        <v>285</v>
      </c>
      <c r="K984" s="57" t="s">
        <v>286</v>
      </c>
      <c r="L984" s="61" t="s">
        <v>1878</v>
      </c>
      <c r="M984" s="57" t="s">
        <v>288</v>
      </c>
      <c r="N984" s="57" t="s">
        <v>289</v>
      </c>
      <c r="O984" s="57" t="s">
        <v>1879</v>
      </c>
      <c r="P984" s="57" t="s">
        <v>1889</v>
      </c>
      <c r="Q984" s="57" t="s">
        <v>694</v>
      </c>
    </row>
    <row r="985" s="50" customFormat="true" ht="14.25" hidden="false" customHeight="true" outlineLevel="0" collapsed="false">
      <c r="A985" s="50" t="s">
        <v>493</v>
      </c>
      <c r="B985" s="57" t="s">
        <v>493</v>
      </c>
      <c r="C985" s="57" t="s">
        <v>494</v>
      </c>
      <c r="D985" s="58" t="n">
        <v>46071.1506944444</v>
      </c>
      <c r="E985" s="58" t="n">
        <v>46071.1506944444</v>
      </c>
      <c r="F985" s="58" t="n">
        <v>46071.2659722222</v>
      </c>
      <c r="G985" s="59" t="n">
        <f aca="false">F985-E985</f>
        <v>0.115277777800926</v>
      </c>
      <c r="H985" s="57" t="s">
        <v>283</v>
      </c>
      <c r="I985" s="57" t="s">
        <v>284</v>
      </c>
      <c r="J985" s="57" t="s">
        <v>285</v>
      </c>
      <c r="K985" s="57" t="s">
        <v>286</v>
      </c>
      <c r="L985" s="61" t="s">
        <v>1878</v>
      </c>
      <c r="M985" s="57" t="s">
        <v>288</v>
      </c>
      <c r="N985" s="57" t="s">
        <v>289</v>
      </c>
      <c r="O985" s="57" t="s">
        <v>1879</v>
      </c>
      <c r="P985" s="57" t="s">
        <v>1890</v>
      </c>
      <c r="Q985" s="57" t="s">
        <v>694</v>
      </c>
    </row>
    <row r="986" s="50" customFormat="true" ht="14.25" hidden="false" customHeight="true" outlineLevel="0" collapsed="false">
      <c r="A986" s="50" t="s">
        <v>493</v>
      </c>
      <c r="B986" s="57" t="s">
        <v>493</v>
      </c>
      <c r="C986" s="57" t="s">
        <v>495</v>
      </c>
      <c r="D986" s="58" t="n">
        <v>46071.1506944444</v>
      </c>
      <c r="E986" s="58" t="n">
        <v>46071.1506944444</v>
      </c>
      <c r="F986" s="58" t="n">
        <v>46071.2659722222</v>
      </c>
      <c r="G986" s="59" t="n">
        <f aca="false">F986-E986</f>
        <v>0.115277777800926</v>
      </c>
      <c r="H986" s="57" t="s">
        <v>283</v>
      </c>
      <c r="I986" s="57" t="s">
        <v>284</v>
      </c>
      <c r="J986" s="57" t="s">
        <v>285</v>
      </c>
      <c r="K986" s="57" t="s">
        <v>286</v>
      </c>
      <c r="L986" s="61" t="s">
        <v>1878</v>
      </c>
      <c r="M986" s="57" t="s">
        <v>288</v>
      </c>
      <c r="N986" s="57" t="s">
        <v>289</v>
      </c>
      <c r="O986" s="57" t="s">
        <v>1879</v>
      </c>
      <c r="P986" s="57" t="s">
        <v>1891</v>
      </c>
      <c r="Q986" s="57" t="s">
        <v>694</v>
      </c>
    </row>
    <row r="987" s="50" customFormat="true" ht="14.25" hidden="false" customHeight="true" outlineLevel="0" collapsed="false">
      <c r="A987" s="50" t="s">
        <v>493</v>
      </c>
      <c r="B987" s="57" t="s">
        <v>493</v>
      </c>
      <c r="C987" s="57" t="s">
        <v>496</v>
      </c>
      <c r="D987" s="58" t="n">
        <v>46071.1506944444</v>
      </c>
      <c r="E987" s="58" t="n">
        <v>46071.1506944444</v>
      </c>
      <c r="F987" s="58" t="n">
        <v>46071.2659722222</v>
      </c>
      <c r="G987" s="59" t="n">
        <f aca="false">F987-E987</f>
        <v>0.115277777800926</v>
      </c>
      <c r="H987" s="57" t="s">
        <v>283</v>
      </c>
      <c r="I987" s="57" t="s">
        <v>284</v>
      </c>
      <c r="J987" s="57" t="s">
        <v>285</v>
      </c>
      <c r="K987" s="57" t="s">
        <v>286</v>
      </c>
      <c r="L987" s="61" t="s">
        <v>1878</v>
      </c>
      <c r="M987" s="57" t="s">
        <v>288</v>
      </c>
      <c r="N987" s="57" t="s">
        <v>289</v>
      </c>
      <c r="O987" s="57" t="s">
        <v>1879</v>
      </c>
      <c r="P987" s="57" t="s">
        <v>1892</v>
      </c>
      <c r="Q987" s="57" t="s">
        <v>694</v>
      </c>
    </row>
    <row r="988" s="50" customFormat="true" ht="14.25" hidden="false" customHeight="true" outlineLevel="0" collapsed="false">
      <c r="A988" s="50" t="s">
        <v>497</v>
      </c>
      <c r="B988" s="57" t="s">
        <v>497</v>
      </c>
      <c r="C988" s="57" t="s">
        <v>327</v>
      </c>
      <c r="D988" s="58" t="n">
        <v>46071.1506944444</v>
      </c>
      <c r="E988" s="58" t="n">
        <v>46071.1506944444</v>
      </c>
      <c r="F988" s="58" t="n">
        <v>46071.2659722222</v>
      </c>
      <c r="G988" s="59" t="n">
        <f aca="false">F988-E988</f>
        <v>0.115277777800926</v>
      </c>
      <c r="H988" s="57" t="s">
        <v>283</v>
      </c>
      <c r="I988" s="57" t="s">
        <v>284</v>
      </c>
      <c r="J988" s="57" t="s">
        <v>285</v>
      </c>
      <c r="K988" s="57" t="s">
        <v>286</v>
      </c>
      <c r="L988" s="61" t="s">
        <v>1878</v>
      </c>
      <c r="M988" s="57" t="s">
        <v>288</v>
      </c>
      <c r="N988" s="57" t="s">
        <v>289</v>
      </c>
      <c r="O988" s="57" t="s">
        <v>1879</v>
      </c>
      <c r="P988" s="57" t="s">
        <v>1893</v>
      </c>
      <c r="Q988" s="57" t="s">
        <v>694</v>
      </c>
    </row>
    <row r="989" s="50" customFormat="true" ht="14.25" hidden="false" customHeight="true" outlineLevel="0" collapsed="false">
      <c r="A989" s="50" t="s">
        <v>497</v>
      </c>
      <c r="B989" s="57" t="s">
        <v>497</v>
      </c>
      <c r="C989" s="57" t="s">
        <v>328</v>
      </c>
      <c r="D989" s="58" t="n">
        <v>46071.1506944444</v>
      </c>
      <c r="E989" s="58" t="n">
        <v>46071.1506944444</v>
      </c>
      <c r="F989" s="58" t="n">
        <v>46071.2659722222</v>
      </c>
      <c r="G989" s="59" t="n">
        <f aca="false">F989-E989</f>
        <v>0.115277777800926</v>
      </c>
      <c r="H989" s="57" t="s">
        <v>283</v>
      </c>
      <c r="I989" s="57" t="s">
        <v>284</v>
      </c>
      <c r="J989" s="57" t="s">
        <v>285</v>
      </c>
      <c r="K989" s="57" t="s">
        <v>286</v>
      </c>
      <c r="L989" s="61" t="s">
        <v>1878</v>
      </c>
      <c r="M989" s="57" t="s">
        <v>288</v>
      </c>
      <c r="N989" s="57" t="s">
        <v>289</v>
      </c>
      <c r="O989" s="57" t="s">
        <v>1879</v>
      </c>
      <c r="P989" s="57" t="s">
        <v>1894</v>
      </c>
      <c r="Q989" s="57" t="s">
        <v>694</v>
      </c>
    </row>
    <row r="990" s="50" customFormat="true" ht="14.25" hidden="false" customHeight="true" outlineLevel="0" collapsed="false">
      <c r="A990" s="50" t="s">
        <v>497</v>
      </c>
      <c r="B990" s="57" t="s">
        <v>497</v>
      </c>
      <c r="C990" s="57" t="s">
        <v>428</v>
      </c>
      <c r="D990" s="58" t="n">
        <v>46071.1506944444</v>
      </c>
      <c r="E990" s="58" t="n">
        <v>46071.1506944444</v>
      </c>
      <c r="F990" s="58" t="n">
        <v>46071.2659722222</v>
      </c>
      <c r="G990" s="59" t="n">
        <f aca="false">F990-E990</f>
        <v>0.115277777800926</v>
      </c>
      <c r="H990" s="57" t="s">
        <v>283</v>
      </c>
      <c r="I990" s="57" t="s">
        <v>284</v>
      </c>
      <c r="J990" s="57" t="s">
        <v>285</v>
      </c>
      <c r="K990" s="57" t="s">
        <v>286</v>
      </c>
      <c r="L990" s="61" t="s">
        <v>1878</v>
      </c>
      <c r="M990" s="57" t="s">
        <v>288</v>
      </c>
      <c r="N990" s="57" t="s">
        <v>289</v>
      </c>
      <c r="O990" s="57" t="s">
        <v>1879</v>
      </c>
      <c r="P990" s="57" t="s">
        <v>1895</v>
      </c>
      <c r="Q990" s="57" t="s">
        <v>694</v>
      </c>
    </row>
    <row r="991" s="50" customFormat="true" ht="14.25" hidden="false" customHeight="true" outlineLevel="0" collapsed="false">
      <c r="A991" s="50" t="s">
        <v>497</v>
      </c>
      <c r="B991" s="57" t="s">
        <v>497</v>
      </c>
      <c r="C991" s="57" t="s">
        <v>498</v>
      </c>
      <c r="D991" s="58" t="n">
        <v>46071.1506944444</v>
      </c>
      <c r="E991" s="58" t="n">
        <v>46071.1506944444</v>
      </c>
      <c r="F991" s="58" t="n">
        <v>46071.2659722222</v>
      </c>
      <c r="G991" s="59" t="n">
        <f aca="false">F991-E991</f>
        <v>0.115277777800926</v>
      </c>
      <c r="H991" s="57" t="s">
        <v>283</v>
      </c>
      <c r="I991" s="57" t="s">
        <v>284</v>
      </c>
      <c r="J991" s="57" t="s">
        <v>285</v>
      </c>
      <c r="K991" s="57" t="s">
        <v>286</v>
      </c>
      <c r="L991" s="61" t="s">
        <v>1878</v>
      </c>
      <c r="M991" s="57" t="s">
        <v>288</v>
      </c>
      <c r="N991" s="57" t="s">
        <v>289</v>
      </c>
      <c r="O991" s="57" t="s">
        <v>1879</v>
      </c>
      <c r="P991" s="57" t="s">
        <v>1896</v>
      </c>
      <c r="Q991" s="57" t="s">
        <v>694</v>
      </c>
    </row>
    <row r="992" s="50" customFormat="true" ht="14.25" hidden="false" customHeight="true" outlineLevel="0" collapsed="false">
      <c r="A992" s="50" t="s">
        <v>497</v>
      </c>
      <c r="B992" s="57" t="s">
        <v>497</v>
      </c>
      <c r="C992" s="57" t="s">
        <v>499</v>
      </c>
      <c r="D992" s="58" t="n">
        <v>46071.1506944444</v>
      </c>
      <c r="E992" s="58" t="n">
        <v>46071.1506944444</v>
      </c>
      <c r="F992" s="58" t="n">
        <v>46071.2659722222</v>
      </c>
      <c r="G992" s="59" t="n">
        <f aca="false">F992-E992</f>
        <v>0.115277777800926</v>
      </c>
      <c r="H992" s="57" t="s">
        <v>283</v>
      </c>
      <c r="I992" s="57" t="s">
        <v>284</v>
      </c>
      <c r="J992" s="57" t="s">
        <v>285</v>
      </c>
      <c r="K992" s="57" t="s">
        <v>286</v>
      </c>
      <c r="L992" s="61" t="s">
        <v>1878</v>
      </c>
      <c r="M992" s="57" t="s">
        <v>288</v>
      </c>
      <c r="N992" s="57" t="s">
        <v>289</v>
      </c>
      <c r="O992" s="57" t="s">
        <v>1879</v>
      </c>
      <c r="P992" s="57" t="s">
        <v>1897</v>
      </c>
      <c r="Q992" s="57" t="s">
        <v>694</v>
      </c>
    </row>
    <row r="993" s="50" customFormat="true" ht="14.25" hidden="false" customHeight="true" outlineLevel="0" collapsed="false">
      <c r="A993" s="50" t="s">
        <v>500</v>
      </c>
      <c r="B993" s="57" t="s">
        <v>500</v>
      </c>
      <c r="C993" s="57" t="s">
        <v>488</v>
      </c>
      <c r="D993" s="58" t="n">
        <v>46071.1506944444</v>
      </c>
      <c r="E993" s="58" t="n">
        <v>46071.1506944444</v>
      </c>
      <c r="F993" s="58" t="n">
        <v>46071.2659722222</v>
      </c>
      <c r="G993" s="59" t="n">
        <f aca="false">F993-E993</f>
        <v>0.115277777800926</v>
      </c>
      <c r="H993" s="57" t="s">
        <v>283</v>
      </c>
      <c r="I993" s="57" t="s">
        <v>284</v>
      </c>
      <c r="J993" s="57" t="s">
        <v>285</v>
      </c>
      <c r="K993" s="57" t="s">
        <v>286</v>
      </c>
      <c r="L993" s="61" t="s">
        <v>1878</v>
      </c>
      <c r="M993" s="57" t="s">
        <v>288</v>
      </c>
      <c r="N993" s="57" t="s">
        <v>289</v>
      </c>
      <c r="O993" s="57" t="s">
        <v>1879</v>
      </c>
      <c r="P993" s="57" t="s">
        <v>1898</v>
      </c>
      <c r="Q993" s="57" t="s">
        <v>694</v>
      </c>
    </row>
    <row r="994" s="50" customFormat="true" ht="14.25" hidden="false" customHeight="true" outlineLevel="0" collapsed="false">
      <c r="A994" s="50" t="s">
        <v>500</v>
      </c>
      <c r="B994" s="57" t="s">
        <v>500</v>
      </c>
      <c r="C994" s="57" t="s">
        <v>489</v>
      </c>
      <c r="D994" s="58" t="n">
        <v>46071.1506944444</v>
      </c>
      <c r="E994" s="58" t="n">
        <v>46071.1506944444</v>
      </c>
      <c r="F994" s="58" t="n">
        <v>46071.2659722222</v>
      </c>
      <c r="G994" s="59" t="n">
        <f aca="false">F994-E994</f>
        <v>0.115277777800926</v>
      </c>
      <c r="H994" s="57" t="s">
        <v>283</v>
      </c>
      <c r="I994" s="57" t="s">
        <v>284</v>
      </c>
      <c r="J994" s="57" t="s">
        <v>285</v>
      </c>
      <c r="K994" s="57" t="s">
        <v>286</v>
      </c>
      <c r="L994" s="61" t="s">
        <v>1878</v>
      </c>
      <c r="M994" s="57" t="s">
        <v>288</v>
      </c>
      <c r="N994" s="57" t="s">
        <v>289</v>
      </c>
      <c r="O994" s="57" t="s">
        <v>1879</v>
      </c>
      <c r="P994" s="57" t="s">
        <v>1899</v>
      </c>
      <c r="Q994" s="57" t="s">
        <v>694</v>
      </c>
    </row>
    <row r="995" s="50" customFormat="true" ht="14.25" hidden="false" customHeight="true" outlineLevel="0" collapsed="false">
      <c r="A995" s="50" t="s">
        <v>500</v>
      </c>
      <c r="B995" s="57" t="s">
        <v>500</v>
      </c>
      <c r="C995" s="57" t="s">
        <v>490</v>
      </c>
      <c r="D995" s="58" t="n">
        <v>46071.1506944444</v>
      </c>
      <c r="E995" s="58" t="n">
        <v>46071.1506944444</v>
      </c>
      <c r="F995" s="58" t="n">
        <v>46071.2659722222</v>
      </c>
      <c r="G995" s="59" t="n">
        <f aca="false">F995-E995</f>
        <v>0.115277777800926</v>
      </c>
      <c r="H995" s="57" t="s">
        <v>283</v>
      </c>
      <c r="I995" s="57" t="s">
        <v>284</v>
      </c>
      <c r="J995" s="57" t="s">
        <v>285</v>
      </c>
      <c r="K995" s="57" t="s">
        <v>286</v>
      </c>
      <c r="L995" s="61" t="s">
        <v>1878</v>
      </c>
      <c r="M995" s="57" t="s">
        <v>288</v>
      </c>
      <c r="N995" s="57" t="s">
        <v>289</v>
      </c>
      <c r="O995" s="57" t="s">
        <v>1879</v>
      </c>
      <c r="P995" s="57" t="s">
        <v>1900</v>
      </c>
      <c r="Q995" s="57" t="s">
        <v>694</v>
      </c>
    </row>
    <row r="996" s="50" customFormat="true" ht="14.25" hidden="false" customHeight="true" outlineLevel="0" collapsed="false">
      <c r="A996" s="50" t="s">
        <v>500</v>
      </c>
      <c r="B996" s="57" t="s">
        <v>500</v>
      </c>
      <c r="C996" s="57" t="s">
        <v>491</v>
      </c>
      <c r="D996" s="58" t="n">
        <v>46071.1506944444</v>
      </c>
      <c r="E996" s="58" t="n">
        <v>46071.1506944444</v>
      </c>
      <c r="F996" s="58" t="n">
        <v>46071.2659722222</v>
      </c>
      <c r="G996" s="59" t="n">
        <f aca="false">F996-E996</f>
        <v>0.115277777800926</v>
      </c>
      <c r="H996" s="57" t="s">
        <v>283</v>
      </c>
      <c r="I996" s="57" t="s">
        <v>284</v>
      </c>
      <c r="J996" s="57" t="s">
        <v>285</v>
      </c>
      <c r="K996" s="57" t="s">
        <v>286</v>
      </c>
      <c r="L996" s="61" t="s">
        <v>1878</v>
      </c>
      <c r="M996" s="57" t="s">
        <v>288</v>
      </c>
      <c r="N996" s="57" t="s">
        <v>289</v>
      </c>
      <c r="O996" s="57" t="s">
        <v>1879</v>
      </c>
      <c r="P996" s="57" t="s">
        <v>1901</v>
      </c>
      <c r="Q996" s="57" t="s">
        <v>694</v>
      </c>
    </row>
    <row r="997" s="50" customFormat="true" ht="14.25" hidden="false" customHeight="true" outlineLevel="0" collapsed="false">
      <c r="A997" s="50" t="s">
        <v>500</v>
      </c>
      <c r="B997" s="57" t="s">
        <v>500</v>
      </c>
      <c r="C997" s="57" t="s">
        <v>492</v>
      </c>
      <c r="D997" s="58" t="n">
        <v>46071.1506944444</v>
      </c>
      <c r="E997" s="58" t="n">
        <v>46071.1506944444</v>
      </c>
      <c r="F997" s="58" t="n">
        <v>46071.2659722222</v>
      </c>
      <c r="G997" s="59" t="n">
        <f aca="false">F997-E997</f>
        <v>0.115277777800926</v>
      </c>
      <c r="H997" s="57" t="s">
        <v>283</v>
      </c>
      <c r="I997" s="57" t="s">
        <v>284</v>
      </c>
      <c r="J997" s="57" t="s">
        <v>285</v>
      </c>
      <c r="K997" s="57" t="s">
        <v>286</v>
      </c>
      <c r="L997" s="61" t="s">
        <v>1878</v>
      </c>
      <c r="M997" s="57" t="s">
        <v>288</v>
      </c>
      <c r="N997" s="57" t="s">
        <v>289</v>
      </c>
      <c r="O997" s="57" t="s">
        <v>1879</v>
      </c>
      <c r="P997" s="57" t="s">
        <v>1902</v>
      </c>
      <c r="Q997" s="57" t="s">
        <v>694</v>
      </c>
    </row>
    <row r="998" s="50" customFormat="true" ht="14.25" hidden="false" customHeight="true" outlineLevel="0" collapsed="false">
      <c r="A998" s="50" t="s">
        <v>501</v>
      </c>
      <c r="B998" s="57" t="s">
        <v>501</v>
      </c>
      <c r="C998" s="57" t="s">
        <v>494</v>
      </c>
      <c r="D998" s="58" t="n">
        <v>46071.1506944444</v>
      </c>
      <c r="E998" s="58" t="n">
        <v>46071.1506944444</v>
      </c>
      <c r="F998" s="58" t="n">
        <v>46071.2659722222</v>
      </c>
      <c r="G998" s="59" t="n">
        <f aca="false">F998-E998</f>
        <v>0.115277777800926</v>
      </c>
      <c r="H998" s="57" t="s">
        <v>283</v>
      </c>
      <c r="I998" s="57" t="s">
        <v>284</v>
      </c>
      <c r="J998" s="57" t="s">
        <v>285</v>
      </c>
      <c r="K998" s="57" t="s">
        <v>286</v>
      </c>
      <c r="L998" s="61" t="s">
        <v>1878</v>
      </c>
      <c r="M998" s="57" t="s">
        <v>288</v>
      </c>
      <c r="N998" s="57" t="s">
        <v>289</v>
      </c>
      <c r="O998" s="57" t="s">
        <v>1879</v>
      </c>
      <c r="P998" s="57" t="s">
        <v>1903</v>
      </c>
      <c r="Q998" s="57" t="s">
        <v>694</v>
      </c>
    </row>
    <row r="999" s="50" customFormat="true" ht="14.25" hidden="false" customHeight="true" outlineLevel="0" collapsed="false">
      <c r="A999" s="50" t="s">
        <v>501</v>
      </c>
      <c r="B999" s="57" t="s">
        <v>501</v>
      </c>
      <c r="C999" s="57" t="s">
        <v>495</v>
      </c>
      <c r="D999" s="58" t="n">
        <v>46071.1506944444</v>
      </c>
      <c r="E999" s="58" t="n">
        <v>46071.1506944444</v>
      </c>
      <c r="F999" s="58" t="n">
        <v>46071.2659722222</v>
      </c>
      <c r="G999" s="59" t="n">
        <f aca="false">F999-E999</f>
        <v>0.115277777800926</v>
      </c>
      <c r="H999" s="57" t="s">
        <v>283</v>
      </c>
      <c r="I999" s="57" t="s">
        <v>284</v>
      </c>
      <c r="J999" s="57" t="s">
        <v>285</v>
      </c>
      <c r="K999" s="57" t="s">
        <v>286</v>
      </c>
      <c r="L999" s="61" t="s">
        <v>1878</v>
      </c>
      <c r="M999" s="57" t="s">
        <v>288</v>
      </c>
      <c r="N999" s="57" t="s">
        <v>289</v>
      </c>
      <c r="O999" s="57" t="s">
        <v>1879</v>
      </c>
      <c r="P999" s="57" t="s">
        <v>1904</v>
      </c>
      <c r="Q999" s="57" t="s">
        <v>694</v>
      </c>
    </row>
    <row r="1000" s="50" customFormat="true" ht="14.25" hidden="false" customHeight="true" outlineLevel="0" collapsed="false">
      <c r="A1000" s="50" t="s">
        <v>501</v>
      </c>
      <c r="B1000" s="57" t="s">
        <v>501</v>
      </c>
      <c r="C1000" s="57" t="s">
        <v>496</v>
      </c>
      <c r="D1000" s="58" t="n">
        <v>46071.1506944444</v>
      </c>
      <c r="E1000" s="58" t="n">
        <v>46071.1506944444</v>
      </c>
      <c r="F1000" s="58" t="n">
        <v>46071.2659722222</v>
      </c>
      <c r="G1000" s="59" t="n">
        <f aca="false">F1000-E1000</f>
        <v>0.115277777800926</v>
      </c>
      <c r="H1000" s="57" t="s">
        <v>283</v>
      </c>
      <c r="I1000" s="57" t="s">
        <v>284</v>
      </c>
      <c r="J1000" s="57" t="s">
        <v>285</v>
      </c>
      <c r="K1000" s="57" t="s">
        <v>286</v>
      </c>
      <c r="L1000" s="61" t="s">
        <v>1878</v>
      </c>
      <c r="M1000" s="57" t="s">
        <v>288</v>
      </c>
      <c r="N1000" s="57" t="s">
        <v>289</v>
      </c>
      <c r="O1000" s="57" t="s">
        <v>1879</v>
      </c>
      <c r="P1000" s="57" t="s">
        <v>1905</v>
      </c>
      <c r="Q1000" s="57" t="s">
        <v>694</v>
      </c>
    </row>
    <row r="1001" s="50" customFormat="true" ht="28.5" hidden="false" customHeight="true" outlineLevel="0" collapsed="false">
      <c r="A1001" s="50" t="s">
        <v>264</v>
      </c>
      <c r="B1001" s="57" t="s">
        <v>264</v>
      </c>
      <c r="C1001" s="57" t="s">
        <v>265</v>
      </c>
      <c r="D1001" s="58" t="n">
        <v>46071.2763888889</v>
      </c>
      <c r="E1001" s="58" t="n">
        <v>46071.2763888889</v>
      </c>
      <c r="F1001" s="58" t="n">
        <v>46071.2979166667</v>
      </c>
      <c r="G1001" s="59" t="n">
        <f aca="false">F1001-E1001</f>
        <v>0.0215277778009259</v>
      </c>
      <c r="H1001" s="57" t="s">
        <v>252</v>
      </c>
      <c r="I1001" s="57"/>
      <c r="J1001" s="57" t="s">
        <v>253</v>
      </c>
      <c r="K1001" s="57" t="s">
        <v>266</v>
      </c>
      <c r="L1001" s="57" t="s">
        <v>1906</v>
      </c>
      <c r="M1001" s="57" t="s">
        <v>255</v>
      </c>
      <c r="N1001" s="57" t="s">
        <v>256</v>
      </c>
      <c r="O1001" s="60" t="s">
        <v>1907</v>
      </c>
      <c r="P1001" s="57" t="s">
        <v>1908</v>
      </c>
      <c r="Q1001" s="57" t="s">
        <v>706</v>
      </c>
    </row>
    <row r="1002" s="50" customFormat="true" ht="28.5" hidden="false" customHeight="true" outlineLevel="0" collapsed="false">
      <c r="A1002" s="50" t="s">
        <v>271</v>
      </c>
      <c r="B1002" s="57" t="s">
        <v>271</v>
      </c>
      <c r="C1002" s="57" t="s">
        <v>265</v>
      </c>
      <c r="D1002" s="58" t="n">
        <v>46071.2763888889</v>
      </c>
      <c r="E1002" s="58" t="n">
        <v>46071.2763888889</v>
      </c>
      <c r="F1002" s="58" t="n">
        <v>46071.2979166667</v>
      </c>
      <c r="G1002" s="59" t="n">
        <f aca="false">F1002-E1002</f>
        <v>0.0215277778009259</v>
      </c>
      <c r="H1002" s="57" t="s">
        <v>252</v>
      </c>
      <c r="I1002" s="57"/>
      <c r="J1002" s="57" t="s">
        <v>253</v>
      </c>
      <c r="K1002" s="57" t="s">
        <v>266</v>
      </c>
      <c r="L1002" s="57" t="s">
        <v>1906</v>
      </c>
      <c r="M1002" s="57" t="s">
        <v>255</v>
      </c>
      <c r="N1002" s="57" t="s">
        <v>256</v>
      </c>
      <c r="O1002" s="60" t="s">
        <v>1907</v>
      </c>
      <c r="P1002" s="57" t="s">
        <v>1909</v>
      </c>
      <c r="Q1002" s="57" t="s">
        <v>706</v>
      </c>
    </row>
    <row r="1003" s="50" customFormat="true" ht="28.5" hidden="false" customHeight="true" outlineLevel="0" collapsed="false">
      <c r="A1003" s="50" t="s">
        <v>272</v>
      </c>
      <c r="B1003" s="57" t="s">
        <v>272</v>
      </c>
      <c r="C1003" s="57" t="s">
        <v>265</v>
      </c>
      <c r="D1003" s="58" t="n">
        <v>46071.2763888889</v>
      </c>
      <c r="E1003" s="58" t="n">
        <v>46071.2763888889</v>
      </c>
      <c r="F1003" s="58" t="n">
        <v>46071.2979166667</v>
      </c>
      <c r="G1003" s="59" t="n">
        <f aca="false">F1003-E1003</f>
        <v>0.0215277778009259</v>
      </c>
      <c r="H1003" s="57" t="s">
        <v>252</v>
      </c>
      <c r="I1003" s="57"/>
      <c r="J1003" s="57" t="s">
        <v>253</v>
      </c>
      <c r="K1003" s="57" t="s">
        <v>266</v>
      </c>
      <c r="L1003" s="57" t="s">
        <v>1906</v>
      </c>
      <c r="M1003" s="57" t="s">
        <v>255</v>
      </c>
      <c r="N1003" s="57" t="s">
        <v>256</v>
      </c>
      <c r="O1003" s="60" t="s">
        <v>1907</v>
      </c>
      <c r="P1003" s="57" t="s">
        <v>1910</v>
      </c>
      <c r="Q1003" s="57" t="s">
        <v>706</v>
      </c>
    </row>
    <row r="1004" s="50" customFormat="true" ht="28.5" hidden="false" customHeight="true" outlineLevel="0" collapsed="false">
      <c r="A1004" s="50" t="s">
        <v>273</v>
      </c>
      <c r="B1004" s="57" t="s">
        <v>273</v>
      </c>
      <c r="C1004" s="57" t="s">
        <v>265</v>
      </c>
      <c r="D1004" s="58" t="n">
        <v>46071.2763888889</v>
      </c>
      <c r="E1004" s="58" t="n">
        <v>46071.2763888889</v>
      </c>
      <c r="F1004" s="58" t="n">
        <v>46071.2979166667</v>
      </c>
      <c r="G1004" s="59" t="n">
        <f aca="false">F1004-E1004</f>
        <v>0.0215277778009259</v>
      </c>
      <c r="H1004" s="57" t="s">
        <v>252</v>
      </c>
      <c r="I1004" s="57"/>
      <c r="J1004" s="57" t="s">
        <v>253</v>
      </c>
      <c r="K1004" s="57" t="s">
        <v>266</v>
      </c>
      <c r="L1004" s="57" t="s">
        <v>1906</v>
      </c>
      <c r="M1004" s="57" t="s">
        <v>255</v>
      </c>
      <c r="N1004" s="57" t="s">
        <v>256</v>
      </c>
      <c r="O1004" s="60" t="s">
        <v>1907</v>
      </c>
      <c r="P1004" s="57" t="s">
        <v>1911</v>
      </c>
      <c r="Q1004" s="57" t="s">
        <v>706</v>
      </c>
    </row>
    <row r="1005" s="50" customFormat="true" ht="28.5" hidden="false" customHeight="true" outlineLevel="0" collapsed="false">
      <c r="A1005" s="50" t="s">
        <v>367</v>
      </c>
      <c r="B1005" s="57" t="s">
        <v>367</v>
      </c>
      <c r="C1005" s="57" t="s">
        <v>324</v>
      </c>
      <c r="D1005" s="58" t="n">
        <v>46071.40625</v>
      </c>
      <c r="E1005" s="58" t="n">
        <v>46071.40625</v>
      </c>
      <c r="F1005" s="58" t="n">
        <v>46071.4388888889</v>
      </c>
      <c r="G1005" s="59" t="n">
        <f aca="false">F1005-E1005</f>
        <v>0.032638888900463</v>
      </c>
      <c r="H1005" s="57" t="s">
        <v>252</v>
      </c>
      <c r="I1005" s="57"/>
      <c r="J1005" s="57" t="s">
        <v>253</v>
      </c>
      <c r="K1005" s="57" t="s">
        <v>266</v>
      </c>
      <c r="L1005" s="57" t="s">
        <v>1912</v>
      </c>
      <c r="M1005" s="57" t="s">
        <v>255</v>
      </c>
      <c r="N1005" s="57" t="s">
        <v>256</v>
      </c>
      <c r="O1005" s="60" t="s">
        <v>1907</v>
      </c>
      <c r="P1005" s="57" t="s">
        <v>1913</v>
      </c>
      <c r="Q1005" s="57" t="s">
        <v>706</v>
      </c>
    </row>
    <row r="1006" s="50" customFormat="true" ht="28.5" hidden="false" customHeight="true" outlineLevel="0" collapsed="false">
      <c r="A1006" s="50" t="s">
        <v>367</v>
      </c>
      <c r="B1006" s="57" t="s">
        <v>367</v>
      </c>
      <c r="C1006" s="57" t="s">
        <v>328</v>
      </c>
      <c r="D1006" s="58" t="n">
        <v>46071.40625</v>
      </c>
      <c r="E1006" s="58" t="n">
        <v>46071.40625</v>
      </c>
      <c r="F1006" s="58" t="n">
        <v>46071.4388888889</v>
      </c>
      <c r="G1006" s="59" t="n">
        <f aca="false">F1006-E1006</f>
        <v>0.032638888900463</v>
      </c>
      <c r="H1006" s="57" t="s">
        <v>252</v>
      </c>
      <c r="I1006" s="57"/>
      <c r="J1006" s="57" t="s">
        <v>253</v>
      </c>
      <c r="K1006" s="57" t="s">
        <v>266</v>
      </c>
      <c r="L1006" s="57" t="s">
        <v>1912</v>
      </c>
      <c r="M1006" s="57" t="s">
        <v>255</v>
      </c>
      <c r="N1006" s="57" t="s">
        <v>256</v>
      </c>
      <c r="O1006" s="60" t="s">
        <v>1907</v>
      </c>
      <c r="P1006" s="57" t="s">
        <v>1914</v>
      </c>
      <c r="Q1006" s="57" t="s">
        <v>706</v>
      </c>
    </row>
    <row r="1007" s="50" customFormat="true" ht="28.5" hidden="false" customHeight="true" outlineLevel="0" collapsed="false">
      <c r="A1007" s="50" t="s">
        <v>367</v>
      </c>
      <c r="B1007" s="57" t="s">
        <v>367</v>
      </c>
      <c r="C1007" s="57" t="s">
        <v>327</v>
      </c>
      <c r="D1007" s="58" t="n">
        <v>46071.40625</v>
      </c>
      <c r="E1007" s="58" t="n">
        <v>46071.40625</v>
      </c>
      <c r="F1007" s="58" t="n">
        <v>46071.4388888889</v>
      </c>
      <c r="G1007" s="59" t="n">
        <f aca="false">F1007-E1007</f>
        <v>0.032638888900463</v>
      </c>
      <c r="H1007" s="57" t="s">
        <v>252</v>
      </c>
      <c r="I1007" s="57"/>
      <c r="J1007" s="57" t="s">
        <v>253</v>
      </c>
      <c r="K1007" s="57" t="s">
        <v>266</v>
      </c>
      <c r="L1007" s="57" t="s">
        <v>1912</v>
      </c>
      <c r="M1007" s="57" t="s">
        <v>255</v>
      </c>
      <c r="N1007" s="57" t="s">
        <v>256</v>
      </c>
      <c r="O1007" s="60" t="s">
        <v>1907</v>
      </c>
      <c r="P1007" s="57" t="s">
        <v>1915</v>
      </c>
      <c r="Q1007" s="57" t="s">
        <v>706</v>
      </c>
    </row>
    <row r="1008" s="50" customFormat="true" ht="28.5" hidden="false" customHeight="true" outlineLevel="0" collapsed="false">
      <c r="A1008" s="50" t="s">
        <v>367</v>
      </c>
      <c r="B1008" s="57" t="s">
        <v>367</v>
      </c>
      <c r="C1008" s="57" t="s">
        <v>265</v>
      </c>
      <c r="D1008" s="58" t="n">
        <v>46071.40625</v>
      </c>
      <c r="E1008" s="58" t="n">
        <v>46071.40625</v>
      </c>
      <c r="F1008" s="58" t="n">
        <v>46071.4388888889</v>
      </c>
      <c r="G1008" s="59" t="n">
        <f aca="false">F1008-E1008</f>
        <v>0.032638888900463</v>
      </c>
      <c r="H1008" s="57" t="s">
        <v>252</v>
      </c>
      <c r="I1008" s="57"/>
      <c r="J1008" s="57" t="s">
        <v>253</v>
      </c>
      <c r="K1008" s="57" t="s">
        <v>266</v>
      </c>
      <c r="L1008" s="57" t="s">
        <v>1912</v>
      </c>
      <c r="M1008" s="57" t="s">
        <v>255</v>
      </c>
      <c r="N1008" s="57" t="s">
        <v>256</v>
      </c>
      <c r="O1008" s="60" t="s">
        <v>1907</v>
      </c>
      <c r="P1008" s="57" t="s">
        <v>1916</v>
      </c>
      <c r="Q1008" s="57" t="s">
        <v>706</v>
      </c>
    </row>
    <row r="1009" s="50" customFormat="true" ht="28.5" hidden="false" customHeight="true" outlineLevel="0" collapsed="false">
      <c r="A1009" s="50" t="s">
        <v>460</v>
      </c>
      <c r="B1009" s="57" t="s">
        <v>460</v>
      </c>
      <c r="C1009" s="57" t="s">
        <v>328</v>
      </c>
      <c r="D1009" s="58" t="n">
        <v>46071.40625</v>
      </c>
      <c r="E1009" s="58" t="n">
        <v>46071.40625</v>
      </c>
      <c r="F1009" s="58" t="n">
        <v>46071.4388888889</v>
      </c>
      <c r="G1009" s="59" t="n">
        <f aca="false">F1009-E1009</f>
        <v>0.032638888900463</v>
      </c>
      <c r="H1009" s="57" t="s">
        <v>252</v>
      </c>
      <c r="I1009" s="57"/>
      <c r="J1009" s="57" t="s">
        <v>253</v>
      </c>
      <c r="K1009" s="57" t="s">
        <v>266</v>
      </c>
      <c r="L1009" s="57" t="s">
        <v>1912</v>
      </c>
      <c r="M1009" s="57" t="s">
        <v>255</v>
      </c>
      <c r="N1009" s="57" t="s">
        <v>256</v>
      </c>
      <c r="O1009" s="60" t="s">
        <v>1907</v>
      </c>
      <c r="P1009" s="57" t="s">
        <v>1917</v>
      </c>
      <c r="Q1009" s="57" t="s">
        <v>706</v>
      </c>
    </row>
    <row r="1010" s="50" customFormat="true" ht="28.5" hidden="false" customHeight="true" outlineLevel="0" collapsed="false">
      <c r="A1010" s="50" t="s">
        <v>460</v>
      </c>
      <c r="B1010" s="57" t="s">
        <v>460</v>
      </c>
      <c r="C1010" s="57" t="s">
        <v>326</v>
      </c>
      <c r="D1010" s="58" t="n">
        <v>46071.40625</v>
      </c>
      <c r="E1010" s="58" t="n">
        <v>46071.40625</v>
      </c>
      <c r="F1010" s="58" t="n">
        <v>46071.4388888889</v>
      </c>
      <c r="G1010" s="59" t="n">
        <f aca="false">F1010-E1010</f>
        <v>0.032638888900463</v>
      </c>
      <c r="H1010" s="57" t="s">
        <v>252</v>
      </c>
      <c r="I1010" s="57"/>
      <c r="J1010" s="57" t="s">
        <v>253</v>
      </c>
      <c r="K1010" s="57" t="s">
        <v>266</v>
      </c>
      <c r="L1010" s="57" t="s">
        <v>1912</v>
      </c>
      <c r="M1010" s="57" t="s">
        <v>255</v>
      </c>
      <c r="N1010" s="57" t="s">
        <v>256</v>
      </c>
      <c r="O1010" s="60" t="s">
        <v>1907</v>
      </c>
      <c r="P1010" s="57" t="s">
        <v>1918</v>
      </c>
      <c r="Q1010" s="57" t="s">
        <v>706</v>
      </c>
    </row>
    <row r="1011" s="50" customFormat="true" ht="28.5" hidden="false" customHeight="true" outlineLevel="0" collapsed="false">
      <c r="A1011" s="50" t="s">
        <v>460</v>
      </c>
      <c r="B1011" s="57" t="s">
        <v>460</v>
      </c>
      <c r="C1011" s="57" t="s">
        <v>327</v>
      </c>
      <c r="D1011" s="58" t="n">
        <v>46071.40625</v>
      </c>
      <c r="E1011" s="58" t="n">
        <v>46071.40625</v>
      </c>
      <c r="F1011" s="58" t="n">
        <v>46071.4388888889</v>
      </c>
      <c r="G1011" s="59" t="n">
        <f aca="false">F1011-E1011</f>
        <v>0.032638888900463</v>
      </c>
      <c r="H1011" s="57" t="s">
        <v>252</v>
      </c>
      <c r="I1011" s="57"/>
      <c r="J1011" s="57" t="s">
        <v>253</v>
      </c>
      <c r="K1011" s="57" t="s">
        <v>266</v>
      </c>
      <c r="L1011" s="57" t="s">
        <v>1912</v>
      </c>
      <c r="M1011" s="57" t="s">
        <v>255</v>
      </c>
      <c r="N1011" s="57" t="s">
        <v>256</v>
      </c>
      <c r="O1011" s="60" t="s">
        <v>1907</v>
      </c>
      <c r="P1011" s="57" t="s">
        <v>1919</v>
      </c>
      <c r="Q1011" s="57" t="s">
        <v>706</v>
      </c>
    </row>
    <row r="1012" s="50" customFormat="true" ht="28.5" hidden="false" customHeight="true" outlineLevel="0" collapsed="false">
      <c r="A1012" s="50" t="s">
        <v>460</v>
      </c>
      <c r="B1012" s="57" t="s">
        <v>460</v>
      </c>
      <c r="C1012" s="57" t="s">
        <v>324</v>
      </c>
      <c r="D1012" s="58" t="n">
        <v>46071.40625</v>
      </c>
      <c r="E1012" s="58" t="n">
        <v>46071.40625</v>
      </c>
      <c r="F1012" s="58" t="n">
        <v>46071.4388888889</v>
      </c>
      <c r="G1012" s="59" t="n">
        <f aca="false">F1012-E1012</f>
        <v>0.032638888900463</v>
      </c>
      <c r="H1012" s="57" t="s">
        <v>252</v>
      </c>
      <c r="I1012" s="57"/>
      <c r="J1012" s="57" t="s">
        <v>253</v>
      </c>
      <c r="K1012" s="57" t="s">
        <v>266</v>
      </c>
      <c r="L1012" s="57" t="s">
        <v>1912</v>
      </c>
      <c r="M1012" s="57" t="s">
        <v>255</v>
      </c>
      <c r="N1012" s="57" t="s">
        <v>256</v>
      </c>
      <c r="O1012" s="60" t="s">
        <v>1907</v>
      </c>
      <c r="P1012" s="57" t="s">
        <v>1920</v>
      </c>
      <c r="Q1012" s="57" t="s">
        <v>706</v>
      </c>
    </row>
    <row r="1013" s="50" customFormat="true" ht="28.5" hidden="false" customHeight="true" outlineLevel="0" collapsed="false">
      <c r="A1013" s="50" t="s">
        <v>461</v>
      </c>
      <c r="B1013" s="57" t="s">
        <v>461</v>
      </c>
      <c r="C1013" s="57" t="s">
        <v>324</v>
      </c>
      <c r="D1013" s="58" t="n">
        <v>46071.40625</v>
      </c>
      <c r="E1013" s="58" t="n">
        <v>46071.40625</v>
      </c>
      <c r="F1013" s="58" t="n">
        <v>46071.4388888889</v>
      </c>
      <c r="G1013" s="59" t="n">
        <f aca="false">F1013-E1013</f>
        <v>0.032638888900463</v>
      </c>
      <c r="H1013" s="57" t="s">
        <v>252</v>
      </c>
      <c r="I1013" s="57"/>
      <c r="J1013" s="57" t="s">
        <v>253</v>
      </c>
      <c r="K1013" s="57" t="s">
        <v>266</v>
      </c>
      <c r="L1013" s="57" t="s">
        <v>1912</v>
      </c>
      <c r="M1013" s="57" t="s">
        <v>255</v>
      </c>
      <c r="N1013" s="57" t="s">
        <v>256</v>
      </c>
      <c r="O1013" s="60" t="s">
        <v>1907</v>
      </c>
      <c r="P1013" s="57" t="s">
        <v>1921</v>
      </c>
      <c r="Q1013" s="57" t="s">
        <v>706</v>
      </c>
    </row>
    <row r="1014" s="50" customFormat="true" ht="28.5" hidden="false" customHeight="true" outlineLevel="0" collapsed="false">
      <c r="A1014" s="50" t="s">
        <v>461</v>
      </c>
      <c r="B1014" s="57" t="s">
        <v>461</v>
      </c>
      <c r="C1014" s="57" t="s">
        <v>326</v>
      </c>
      <c r="D1014" s="58" t="n">
        <v>46071.40625</v>
      </c>
      <c r="E1014" s="58" t="n">
        <v>46071.40625</v>
      </c>
      <c r="F1014" s="58" t="n">
        <v>46071.4388888889</v>
      </c>
      <c r="G1014" s="59" t="n">
        <f aca="false">F1014-E1014</f>
        <v>0.032638888900463</v>
      </c>
      <c r="H1014" s="57" t="s">
        <v>252</v>
      </c>
      <c r="I1014" s="57"/>
      <c r="J1014" s="57" t="s">
        <v>253</v>
      </c>
      <c r="K1014" s="57" t="s">
        <v>266</v>
      </c>
      <c r="L1014" s="57" t="s">
        <v>1912</v>
      </c>
      <c r="M1014" s="57" t="s">
        <v>255</v>
      </c>
      <c r="N1014" s="57" t="s">
        <v>256</v>
      </c>
      <c r="O1014" s="60" t="s">
        <v>1907</v>
      </c>
      <c r="P1014" s="57" t="s">
        <v>1922</v>
      </c>
      <c r="Q1014" s="57" t="s">
        <v>706</v>
      </c>
    </row>
    <row r="1015" s="50" customFormat="true" ht="14.25" hidden="false" customHeight="true" outlineLevel="0" collapsed="false">
      <c r="A1015" s="50" t="s">
        <v>358</v>
      </c>
      <c r="B1015" s="57" t="s">
        <v>358</v>
      </c>
      <c r="C1015" s="57" t="s">
        <v>324</v>
      </c>
      <c r="D1015" s="58" t="n">
        <v>46071.40625</v>
      </c>
      <c r="E1015" s="58" t="n">
        <v>46071.40625</v>
      </c>
      <c r="F1015" s="58" t="n">
        <v>46071.4388888889</v>
      </c>
      <c r="G1015" s="59" t="n">
        <f aca="false">F1015-E1015</f>
        <v>0.032638888900463</v>
      </c>
      <c r="H1015" s="57" t="s">
        <v>283</v>
      </c>
      <c r="I1015" s="57" t="s">
        <v>284</v>
      </c>
      <c r="J1015" s="57" t="s">
        <v>285</v>
      </c>
      <c r="K1015" s="57" t="s">
        <v>286</v>
      </c>
      <c r="L1015" s="57" t="s">
        <v>1923</v>
      </c>
      <c r="M1015" s="57" t="s">
        <v>288</v>
      </c>
      <c r="N1015" s="57" t="s">
        <v>289</v>
      </c>
      <c r="O1015" s="60" t="s">
        <v>1924</v>
      </c>
      <c r="P1015" s="57" t="s">
        <v>1925</v>
      </c>
      <c r="Q1015" s="57" t="s">
        <v>694</v>
      </c>
    </row>
    <row r="1016" s="50" customFormat="true" ht="14.25" hidden="false" customHeight="true" outlineLevel="0" collapsed="false">
      <c r="A1016" s="50" t="s">
        <v>358</v>
      </c>
      <c r="B1016" s="57" t="s">
        <v>358</v>
      </c>
      <c r="C1016" s="57" t="s">
        <v>326</v>
      </c>
      <c r="D1016" s="58" t="n">
        <v>46071.40625</v>
      </c>
      <c r="E1016" s="58" t="n">
        <v>46071.40625</v>
      </c>
      <c r="F1016" s="58" t="n">
        <v>46071.4388888889</v>
      </c>
      <c r="G1016" s="59" t="n">
        <f aca="false">F1016-E1016</f>
        <v>0.032638888900463</v>
      </c>
      <c r="H1016" s="57" t="s">
        <v>283</v>
      </c>
      <c r="I1016" s="57" t="s">
        <v>284</v>
      </c>
      <c r="J1016" s="57" t="s">
        <v>285</v>
      </c>
      <c r="K1016" s="57" t="s">
        <v>286</v>
      </c>
      <c r="L1016" s="57" t="s">
        <v>1923</v>
      </c>
      <c r="M1016" s="57" t="s">
        <v>288</v>
      </c>
      <c r="N1016" s="57" t="s">
        <v>289</v>
      </c>
      <c r="O1016" s="60" t="s">
        <v>1924</v>
      </c>
      <c r="P1016" s="57" t="s">
        <v>1926</v>
      </c>
      <c r="Q1016" s="57" t="s">
        <v>694</v>
      </c>
    </row>
    <row r="1017" s="50" customFormat="true" ht="14.25" hidden="false" customHeight="true" outlineLevel="0" collapsed="false">
      <c r="A1017" s="50" t="s">
        <v>358</v>
      </c>
      <c r="B1017" s="57" t="s">
        <v>358</v>
      </c>
      <c r="C1017" s="57" t="s">
        <v>327</v>
      </c>
      <c r="D1017" s="58" t="n">
        <v>46071.40625</v>
      </c>
      <c r="E1017" s="58" t="n">
        <v>46071.40625</v>
      </c>
      <c r="F1017" s="58" t="n">
        <v>46071.4388888889</v>
      </c>
      <c r="G1017" s="59" t="n">
        <f aca="false">F1017-E1017</f>
        <v>0.032638888900463</v>
      </c>
      <c r="H1017" s="57" t="s">
        <v>283</v>
      </c>
      <c r="I1017" s="57" t="s">
        <v>284</v>
      </c>
      <c r="J1017" s="57" t="s">
        <v>285</v>
      </c>
      <c r="K1017" s="57" t="s">
        <v>286</v>
      </c>
      <c r="L1017" s="57" t="s">
        <v>1923</v>
      </c>
      <c r="M1017" s="57" t="s">
        <v>288</v>
      </c>
      <c r="N1017" s="57" t="s">
        <v>289</v>
      </c>
      <c r="O1017" s="60" t="s">
        <v>1924</v>
      </c>
      <c r="P1017" s="57" t="s">
        <v>1927</v>
      </c>
      <c r="Q1017" s="57" t="s">
        <v>694</v>
      </c>
    </row>
    <row r="1018" s="50" customFormat="true" ht="14.25" hidden="false" customHeight="true" outlineLevel="0" collapsed="false">
      <c r="A1018" s="50" t="s">
        <v>358</v>
      </c>
      <c r="B1018" s="57" t="s">
        <v>358</v>
      </c>
      <c r="C1018" s="57" t="s">
        <v>328</v>
      </c>
      <c r="D1018" s="58" t="n">
        <v>46071.40625</v>
      </c>
      <c r="E1018" s="58" t="n">
        <v>46071.40625</v>
      </c>
      <c r="F1018" s="58" t="n">
        <v>46071.4388888889</v>
      </c>
      <c r="G1018" s="59" t="n">
        <f aca="false">F1018-E1018</f>
        <v>0.032638888900463</v>
      </c>
      <c r="H1018" s="57" t="s">
        <v>283</v>
      </c>
      <c r="I1018" s="57" t="s">
        <v>284</v>
      </c>
      <c r="J1018" s="57" t="s">
        <v>285</v>
      </c>
      <c r="K1018" s="57" t="s">
        <v>286</v>
      </c>
      <c r="L1018" s="57" t="s">
        <v>1923</v>
      </c>
      <c r="M1018" s="57" t="s">
        <v>288</v>
      </c>
      <c r="N1018" s="57" t="s">
        <v>289</v>
      </c>
      <c r="O1018" s="60" t="s">
        <v>1924</v>
      </c>
      <c r="P1018" s="57" t="s">
        <v>1928</v>
      </c>
      <c r="Q1018" s="57" t="s">
        <v>694</v>
      </c>
    </row>
    <row r="1019" s="50" customFormat="true" ht="28.5" hidden="false" customHeight="true" outlineLevel="0" collapsed="false">
      <c r="A1019" s="50" t="s">
        <v>937</v>
      </c>
      <c r="B1019" s="57" t="s">
        <v>48</v>
      </c>
      <c r="C1019" s="57" t="s">
        <v>294</v>
      </c>
      <c r="D1019" s="58" t="n">
        <v>46071.5993055556</v>
      </c>
      <c r="E1019" s="58" t="n">
        <v>46071.5993055556</v>
      </c>
      <c r="F1019" s="58" t="n">
        <v>46071.7013888889</v>
      </c>
      <c r="G1019" s="59" t="n">
        <f aca="false">F1019-E1019</f>
        <v>0.102083333298611</v>
      </c>
      <c r="H1019" s="57" t="s">
        <v>252</v>
      </c>
      <c r="I1019" s="57"/>
      <c r="J1019" s="57" t="s">
        <v>253</v>
      </c>
      <c r="K1019" s="57" t="s">
        <v>266</v>
      </c>
      <c r="L1019" s="57" t="s">
        <v>1929</v>
      </c>
      <c r="M1019" s="57" t="s">
        <v>255</v>
      </c>
      <c r="N1019" s="57" t="s">
        <v>256</v>
      </c>
      <c r="O1019" s="60" t="s">
        <v>1907</v>
      </c>
      <c r="P1019" s="57" t="s">
        <v>1930</v>
      </c>
      <c r="Q1019" s="57" t="s">
        <v>706</v>
      </c>
    </row>
    <row r="1020" s="50" customFormat="true" ht="28.5" hidden="false" customHeight="true" outlineLevel="0" collapsed="false">
      <c r="A1020" s="50" t="s">
        <v>937</v>
      </c>
      <c r="B1020" s="57" t="s">
        <v>48</v>
      </c>
      <c r="C1020" s="57" t="s">
        <v>295</v>
      </c>
      <c r="D1020" s="58" t="n">
        <v>46071.5993055556</v>
      </c>
      <c r="E1020" s="58" t="n">
        <v>46071.5993055556</v>
      </c>
      <c r="F1020" s="58" t="n">
        <v>46071.7013888889</v>
      </c>
      <c r="G1020" s="59" t="n">
        <f aca="false">F1020-E1020</f>
        <v>0.102083333298611</v>
      </c>
      <c r="H1020" s="57" t="s">
        <v>252</v>
      </c>
      <c r="I1020" s="57"/>
      <c r="J1020" s="57" t="s">
        <v>253</v>
      </c>
      <c r="K1020" s="57" t="s">
        <v>266</v>
      </c>
      <c r="L1020" s="57" t="s">
        <v>1929</v>
      </c>
      <c r="M1020" s="57" t="s">
        <v>255</v>
      </c>
      <c r="N1020" s="57" t="s">
        <v>256</v>
      </c>
      <c r="O1020" s="60" t="s">
        <v>1907</v>
      </c>
      <c r="P1020" s="57" t="s">
        <v>1931</v>
      </c>
      <c r="Q1020" s="57" t="s">
        <v>706</v>
      </c>
    </row>
    <row r="1021" s="50" customFormat="true" ht="28.5" hidden="false" customHeight="true" outlineLevel="0" collapsed="false">
      <c r="A1021" s="50" t="s">
        <v>937</v>
      </c>
      <c r="B1021" s="57" t="s">
        <v>48</v>
      </c>
      <c r="C1021" s="57" t="s">
        <v>296</v>
      </c>
      <c r="D1021" s="58" t="n">
        <v>46071.5993055556</v>
      </c>
      <c r="E1021" s="58" t="n">
        <v>46071.5993055556</v>
      </c>
      <c r="F1021" s="58" t="n">
        <v>46071.7013888889</v>
      </c>
      <c r="G1021" s="59" t="n">
        <f aca="false">F1021-E1021</f>
        <v>0.102083333298611</v>
      </c>
      <c r="H1021" s="57" t="s">
        <v>252</v>
      </c>
      <c r="I1021" s="57"/>
      <c r="J1021" s="57" t="s">
        <v>253</v>
      </c>
      <c r="K1021" s="57" t="s">
        <v>266</v>
      </c>
      <c r="L1021" s="57" t="s">
        <v>1929</v>
      </c>
      <c r="M1021" s="57" t="s">
        <v>255</v>
      </c>
      <c r="N1021" s="57" t="s">
        <v>256</v>
      </c>
      <c r="O1021" s="60" t="s">
        <v>1907</v>
      </c>
      <c r="P1021" s="57" t="s">
        <v>1932</v>
      </c>
      <c r="Q1021" s="57" t="s">
        <v>706</v>
      </c>
    </row>
    <row r="1022" s="50" customFormat="true" ht="28.5" hidden="false" customHeight="true" outlineLevel="0" collapsed="false">
      <c r="A1022" s="50" t="s">
        <v>937</v>
      </c>
      <c r="B1022" s="57" t="s">
        <v>48</v>
      </c>
      <c r="C1022" s="57" t="s">
        <v>297</v>
      </c>
      <c r="D1022" s="58" t="n">
        <v>46071.5993055556</v>
      </c>
      <c r="E1022" s="58" t="n">
        <v>46071.5993055556</v>
      </c>
      <c r="F1022" s="58" t="n">
        <v>46071.7013888889</v>
      </c>
      <c r="G1022" s="59" t="n">
        <f aca="false">F1022-E1022</f>
        <v>0.102083333298611</v>
      </c>
      <c r="H1022" s="57" t="s">
        <v>252</v>
      </c>
      <c r="I1022" s="57"/>
      <c r="J1022" s="57" t="s">
        <v>253</v>
      </c>
      <c r="K1022" s="57" t="s">
        <v>266</v>
      </c>
      <c r="L1022" s="57" t="s">
        <v>1929</v>
      </c>
      <c r="M1022" s="57" t="s">
        <v>255</v>
      </c>
      <c r="N1022" s="57" t="s">
        <v>256</v>
      </c>
      <c r="O1022" s="60" t="s">
        <v>1907</v>
      </c>
      <c r="P1022" s="57" t="s">
        <v>1933</v>
      </c>
      <c r="Q1022" s="57" t="s">
        <v>706</v>
      </c>
    </row>
    <row r="1023" s="50" customFormat="true" ht="28.5" hidden="false" customHeight="true" outlineLevel="0" collapsed="false">
      <c r="A1023" s="50" t="s">
        <v>937</v>
      </c>
      <c r="B1023" s="57" t="s">
        <v>48</v>
      </c>
      <c r="C1023" s="57" t="s">
        <v>298</v>
      </c>
      <c r="D1023" s="58" t="n">
        <v>46071.5993055556</v>
      </c>
      <c r="E1023" s="58" t="n">
        <v>46071.5993055556</v>
      </c>
      <c r="F1023" s="58" t="n">
        <v>46071.7013888889</v>
      </c>
      <c r="G1023" s="59" t="n">
        <f aca="false">F1023-E1023</f>
        <v>0.102083333298611</v>
      </c>
      <c r="H1023" s="57" t="s">
        <v>252</v>
      </c>
      <c r="I1023" s="57"/>
      <c r="J1023" s="57" t="s">
        <v>253</v>
      </c>
      <c r="K1023" s="57" t="s">
        <v>266</v>
      </c>
      <c r="L1023" s="57" t="s">
        <v>1929</v>
      </c>
      <c r="M1023" s="57" t="s">
        <v>255</v>
      </c>
      <c r="N1023" s="57" t="s">
        <v>256</v>
      </c>
      <c r="O1023" s="60" t="s">
        <v>1907</v>
      </c>
      <c r="P1023" s="57" t="s">
        <v>1934</v>
      </c>
      <c r="Q1023" s="57" t="s">
        <v>706</v>
      </c>
    </row>
    <row r="1024" s="50" customFormat="true" ht="28.5" hidden="false" customHeight="true" outlineLevel="0" collapsed="false">
      <c r="A1024" s="50" t="s">
        <v>937</v>
      </c>
      <c r="B1024" s="57" t="s">
        <v>48</v>
      </c>
      <c r="C1024" s="57" t="s">
        <v>299</v>
      </c>
      <c r="D1024" s="58" t="n">
        <v>46071.5993055556</v>
      </c>
      <c r="E1024" s="58" t="n">
        <v>46071.5993055556</v>
      </c>
      <c r="F1024" s="58" t="n">
        <v>46071.7013888889</v>
      </c>
      <c r="G1024" s="59" t="n">
        <f aca="false">F1024-E1024</f>
        <v>0.102083333298611</v>
      </c>
      <c r="H1024" s="57" t="s">
        <v>252</v>
      </c>
      <c r="I1024" s="57"/>
      <c r="J1024" s="57" t="s">
        <v>253</v>
      </c>
      <c r="K1024" s="57" t="s">
        <v>266</v>
      </c>
      <c r="L1024" s="57" t="s">
        <v>1929</v>
      </c>
      <c r="M1024" s="57" t="s">
        <v>255</v>
      </c>
      <c r="N1024" s="57" t="s">
        <v>256</v>
      </c>
      <c r="O1024" s="60" t="s">
        <v>1907</v>
      </c>
      <c r="P1024" s="57" t="s">
        <v>1935</v>
      </c>
      <c r="Q1024" s="57" t="s">
        <v>706</v>
      </c>
    </row>
    <row r="1025" s="50" customFormat="true" ht="28.5" hidden="false" customHeight="true" outlineLevel="0" collapsed="false">
      <c r="A1025" s="50" t="s">
        <v>937</v>
      </c>
      <c r="B1025" s="57" t="s">
        <v>48</v>
      </c>
      <c r="C1025" s="57" t="s">
        <v>300</v>
      </c>
      <c r="D1025" s="58" t="n">
        <v>46071.5993055556</v>
      </c>
      <c r="E1025" s="58" t="n">
        <v>46071.5993055556</v>
      </c>
      <c r="F1025" s="58" t="n">
        <v>46071.7013888889</v>
      </c>
      <c r="G1025" s="59" t="n">
        <f aca="false">F1025-E1025</f>
        <v>0.102083333298611</v>
      </c>
      <c r="H1025" s="57" t="s">
        <v>252</v>
      </c>
      <c r="I1025" s="57"/>
      <c r="J1025" s="57" t="s">
        <v>253</v>
      </c>
      <c r="K1025" s="57" t="s">
        <v>266</v>
      </c>
      <c r="L1025" s="57" t="s">
        <v>1929</v>
      </c>
      <c r="M1025" s="57" t="s">
        <v>255</v>
      </c>
      <c r="N1025" s="57" t="s">
        <v>256</v>
      </c>
      <c r="O1025" s="60" t="s">
        <v>1907</v>
      </c>
      <c r="P1025" s="57" t="s">
        <v>1936</v>
      </c>
      <c r="Q1025" s="57" t="s">
        <v>706</v>
      </c>
    </row>
    <row r="1026" s="50" customFormat="true" ht="28.5" hidden="false" customHeight="true" outlineLevel="0" collapsed="false">
      <c r="A1026" s="50" t="s">
        <v>937</v>
      </c>
      <c r="B1026" s="57" t="s">
        <v>48</v>
      </c>
      <c r="C1026" s="57" t="s">
        <v>301</v>
      </c>
      <c r="D1026" s="58" t="n">
        <v>46071.5993055556</v>
      </c>
      <c r="E1026" s="58" t="n">
        <v>46071.5993055556</v>
      </c>
      <c r="F1026" s="58" t="n">
        <v>46071.7013888889</v>
      </c>
      <c r="G1026" s="59" t="n">
        <f aca="false">F1026-E1026</f>
        <v>0.102083333298611</v>
      </c>
      <c r="H1026" s="57" t="s">
        <v>252</v>
      </c>
      <c r="I1026" s="57"/>
      <c r="J1026" s="57" t="s">
        <v>253</v>
      </c>
      <c r="K1026" s="57" t="s">
        <v>266</v>
      </c>
      <c r="L1026" s="57" t="s">
        <v>1929</v>
      </c>
      <c r="M1026" s="57" t="s">
        <v>255</v>
      </c>
      <c r="N1026" s="57" t="s">
        <v>256</v>
      </c>
      <c r="O1026" s="60" t="s">
        <v>1907</v>
      </c>
      <c r="P1026" s="57" t="s">
        <v>1937</v>
      </c>
      <c r="Q1026" s="57" t="s">
        <v>706</v>
      </c>
    </row>
    <row r="1027" s="50" customFormat="true" ht="28.5" hidden="false" customHeight="true" outlineLevel="0" collapsed="false">
      <c r="A1027" s="50" t="s">
        <v>946</v>
      </c>
      <c r="B1027" s="57" t="s">
        <v>48</v>
      </c>
      <c r="C1027" s="57" t="s">
        <v>302</v>
      </c>
      <c r="D1027" s="58" t="n">
        <v>46071.5993055556</v>
      </c>
      <c r="E1027" s="58" t="n">
        <v>46071.5993055556</v>
      </c>
      <c r="F1027" s="58" t="n">
        <v>46071.7013888889</v>
      </c>
      <c r="G1027" s="59" t="n">
        <f aca="false">F1027-E1027</f>
        <v>0.102083333298611</v>
      </c>
      <c r="H1027" s="57" t="s">
        <v>252</v>
      </c>
      <c r="I1027" s="57"/>
      <c r="J1027" s="57" t="s">
        <v>253</v>
      </c>
      <c r="K1027" s="57" t="s">
        <v>266</v>
      </c>
      <c r="L1027" s="57" t="s">
        <v>1929</v>
      </c>
      <c r="M1027" s="57" t="s">
        <v>255</v>
      </c>
      <c r="N1027" s="57" t="s">
        <v>256</v>
      </c>
      <c r="O1027" s="60" t="s">
        <v>1907</v>
      </c>
      <c r="P1027" s="57" t="s">
        <v>1938</v>
      </c>
      <c r="Q1027" s="57" t="s">
        <v>706</v>
      </c>
    </row>
    <row r="1028" s="50" customFormat="true" ht="28.5" hidden="false" customHeight="true" outlineLevel="0" collapsed="false">
      <c r="A1028" s="50" t="s">
        <v>946</v>
      </c>
      <c r="B1028" s="57" t="s">
        <v>48</v>
      </c>
      <c r="C1028" s="57" t="s">
        <v>303</v>
      </c>
      <c r="D1028" s="58" t="n">
        <v>46071.5993055556</v>
      </c>
      <c r="E1028" s="58" t="n">
        <v>46071.5993055556</v>
      </c>
      <c r="F1028" s="58" t="n">
        <v>46071.7013888889</v>
      </c>
      <c r="G1028" s="59" t="n">
        <f aca="false">F1028-E1028</f>
        <v>0.102083333298611</v>
      </c>
      <c r="H1028" s="57" t="s">
        <v>252</v>
      </c>
      <c r="I1028" s="57"/>
      <c r="J1028" s="57" t="s">
        <v>253</v>
      </c>
      <c r="K1028" s="57" t="s">
        <v>266</v>
      </c>
      <c r="L1028" s="57" t="s">
        <v>1929</v>
      </c>
      <c r="M1028" s="57" t="s">
        <v>255</v>
      </c>
      <c r="N1028" s="57" t="s">
        <v>256</v>
      </c>
      <c r="O1028" s="60" t="s">
        <v>1907</v>
      </c>
      <c r="P1028" s="57" t="s">
        <v>1939</v>
      </c>
      <c r="Q1028" s="57" t="s">
        <v>706</v>
      </c>
    </row>
    <row r="1029" s="50" customFormat="true" ht="28.5" hidden="false" customHeight="true" outlineLevel="0" collapsed="false">
      <c r="A1029" s="50" t="s">
        <v>946</v>
      </c>
      <c r="B1029" s="57" t="s">
        <v>48</v>
      </c>
      <c r="C1029" s="57" t="s">
        <v>304</v>
      </c>
      <c r="D1029" s="58" t="n">
        <v>46071.5993055556</v>
      </c>
      <c r="E1029" s="58" t="n">
        <v>46071.5993055556</v>
      </c>
      <c r="F1029" s="58" t="n">
        <v>46071.7013888889</v>
      </c>
      <c r="G1029" s="59" t="n">
        <f aca="false">F1029-E1029</f>
        <v>0.102083333298611</v>
      </c>
      <c r="H1029" s="57" t="s">
        <v>252</v>
      </c>
      <c r="I1029" s="57"/>
      <c r="J1029" s="57" t="s">
        <v>253</v>
      </c>
      <c r="K1029" s="57" t="s">
        <v>266</v>
      </c>
      <c r="L1029" s="57" t="s">
        <v>1929</v>
      </c>
      <c r="M1029" s="57" t="s">
        <v>255</v>
      </c>
      <c r="N1029" s="57" t="s">
        <v>256</v>
      </c>
      <c r="O1029" s="60" t="s">
        <v>1907</v>
      </c>
      <c r="P1029" s="57" t="s">
        <v>1940</v>
      </c>
      <c r="Q1029" s="57" t="s">
        <v>706</v>
      </c>
    </row>
    <row r="1030" s="50" customFormat="true" ht="28.5" hidden="false" customHeight="true" outlineLevel="0" collapsed="false">
      <c r="A1030" s="50" t="s">
        <v>946</v>
      </c>
      <c r="B1030" s="57" t="s">
        <v>48</v>
      </c>
      <c r="C1030" s="57" t="s">
        <v>305</v>
      </c>
      <c r="D1030" s="58" t="n">
        <v>46071.5993055556</v>
      </c>
      <c r="E1030" s="58" t="n">
        <v>46071.5993055556</v>
      </c>
      <c r="F1030" s="58" t="n">
        <v>46071.7013888889</v>
      </c>
      <c r="G1030" s="59" t="n">
        <f aca="false">F1030-E1030</f>
        <v>0.102083333298611</v>
      </c>
      <c r="H1030" s="57" t="s">
        <v>252</v>
      </c>
      <c r="I1030" s="57"/>
      <c r="J1030" s="57" t="s">
        <v>253</v>
      </c>
      <c r="K1030" s="57" t="s">
        <v>266</v>
      </c>
      <c r="L1030" s="57" t="s">
        <v>1929</v>
      </c>
      <c r="M1030" s="57" t="s">
        <v>255</v>
      </c>
      <c r="N1030" s="57" t="s">
        <v>256</v>
      </c>
      <c r="O1030" s="60" t="s">
        <v>1907</v>
      </c>
      <c r="P1030" s="57" t="s">
        <v>1941</v>
      </c>
      <c r="Q1030" s="57" t="s">
        <v>706</v>
      </c>
    </row>
    <row r="1031" s="50" customFormat="true" ht="28.5" hidden="false" customHeight="true" outlineLevel="0" collapsed="false">
      <c r="A1031" s="50" t="s">
        <v>946</v>
      </c>
      <c r="B1031" s="57" t="s">
        <v>48</v>
      </c>
      <c r="C1031" s="57" t="s">
        <v>306</v>
      </c>
      <c r="D1031" s="58" t="n">
        <v>46071.5993055556</v>
      </c>
      <c r="E1031" s="58" t="n">
        <v>46071.5993055556</v>
      </c>
      <c r="F1031" s="58" t="n">
        <v>46071.7013888889</v>
      </c>
      <c r="G1031" s="59" t="n">
        <f aca="false">F1031-E1031</f>
        <v>0.102083333298611</v>
      </c>
      <c r="H1031" s="57" t="s">
        <v>252</v>
      </c>
      <c r="I1031" s="57"/>
      <c r="J1031" s="57" t="s">
        <v>253</v>
      </c>
      <c r="K1031" s="57" t="s">
        <v>266</v>
      </c>
      <c r="L1031" s="57" t="s">
        <v>1929</v>
      </c>
      <c r="M1031" s="57" t="s">
        <v>255</v>
      </c>
      <c r="N1031" s="57" t="s">
        <v>256</v>
      </c>
      <c r="O1031" s="60" t="s">
        <v>1907</v>
      </c>
      <c r="P1031" s="57" t="s">
        <v>1942</v>
      </c>
      <c r="Q1031" s="57" t="s">
        <v>706</v>
      </c>
    </row>
    <row r="1032" s="50" customFormat="true" ht="28.5" hidden="false" customHeight="true" outlineLevel="0" collapsed="false">
      <c r="A1032" s="50" t="s">
        <v>946</v>
      </c>
      <c r="B1032" s="57" t="s">
        <v>48</v>
      </c>
      <c r="C1032" s="57" t="s">
        <v>307</v>
      </c>
      <c r="D1032" s="58" t="n">
        <v>46071.5993055556</v>
      </c>
      <c r="E1032" s="58" t="n">
        <v>46071.5993055556</v>
      </c>
      <c r="F1032" s="58" t="n">
        <v>46071.7013888889</v>
      </c>
      <c r="G1032" s="59" t="n">
        <f aca="false">F1032-E1032</f>
        <v>0.102083333298611</v>
      </c>
      <c r="H1032" s="57" t="s">
        <v>252</v>
      </c>
      <c r="I1032" s="57"/>
      <c r="J1032" s="57" t="s">
        <v>253</v>
      </c>
      <c r="K1032" s="57" t="s">
        <v>266</v>
      </c>
      <c r="L1032" s="57" t="s">
        <v>1929</v>
      </c>
      <c r="M1032" s="57" t="s">
        <v>255</v>
      </c>
      <c r="N1032" s="57" t="s">
        <v>256</v>
      </c>
      <c r="O1032" s="60" t="s">
        <v>1907</v>
      </c>
      <c r="P1032" s="57" t="s">
        <v>1943</v>
      </c>
      <c r="Q1032" s="57" t="s">
        <v>706</v>
      </c>
    </row>
    <row r="1033" s="50" customFormat="true" ht="28.5" hidden="false" customHeight="true" outlineLevel="0" collapsed="false">
      <c r="A1033" s="50" t="s">
        <v>946</v>
      </c>
      <c r="B1033" s="57" t="s">
        <v>48</v>
      </c>
      <c r="C1033" s="57" t="s">
        <v>308</v>
      </c>
      <c r="D1033" s="58" t="n">
        <v>46071.5993055556</v>
      </c>
      <c r="E1033" s="58" t="n">
        <v>46071.5993055556</v>
      </c>
      <c r="F1033" s="58" t="n">
        <v>46071.7013888889</v>
      </c>
      <c r="G1033" s="59" t="n">
        <f aca="false">F1033-E1033</f>
        <v>0.102083333298611</v>
      </c>
      <c r="H1033" s="57" t="s">
        <v>252</v>
      </c>
      <c r="I1033" s="57"/>
      <c r="J1033" s="57" t="s">
        <v>253</v>
      </c>
      <c r="K1033" s="57" t="s">
        <v>266</v>
      </c>
      <c r="L1033" s="57" t="s">
        <v>1929</v>
      </c>
      <c r="M1033" s="57" t="s">
        <v>255</v>
      </c>
      <c r="N1033" s="57" t="s">
        <v>256</v>
      </c>
      <c r="O1033" s="60" t="s">
        <v>1907</v>
      </c>
      <c r="P1033" s="57" t="s">
        <v>1944</v>
      </c>
      <c r="Q1033" s="57" t="s">
        <v>706</v>
      </c>
    </row>
    <row r="1034" s="50" customFormat="true" ht="28.5" hidden="false" customHeight="true" outlineLevel="0" collapsed="false">
      <c r="A1034" s="50" t="s">
        <v>954</v>
      </c>
      <c r="B1034" s="57" t="s">
        <v>48</v>
      </c>
      <c r="C1034" s="57" t="s">
        <v>309</v>
      </c>
      <c r="D1034" s="58" t="n">
        <v>46071.5993055556</v>
      </c>
      <c r="E1034" s="58" t="n">
        <v>46071.5993055556</v>
      </c>
      <c r="F1034" s="58" t="n">
        <v>46071.7013888889</v>
      </c>
      <c r="G1034" s="59" t="n">
        <f aca="false">F1034-E1034</f>
        <v>0.102083333298611</v>
      </c>
      <c r="H1034" s="57" t="s">
        <v>252</v>
      </c>
      <c r="I1034" s="57"/>
      <c r="J1034" s="57" t="s">
        <v>253</v>
      </c>
      <c r="K1034" s="57" t="s">
        <v>266</v>
      </c>
      <c r="L1034" s="57" t="s">
        <v>1929</v>
      </c>
      <c r="M1034" s="57" t="s">
        <v>255</v>
      </c>
      <c r="N1034" s="57" t="s">
        <v>256</v>
      </c>
      <c r="O1034" s="60" t="s">
        <v>1907</v>
      </c>
      <c r="P1034" s="57" t="s">
        <v>1945</v>
      </c>
      <c r="Q1034" s="57" t="s">
        <v>706</v>
      </c>
    </row>
    <row r="1035" s="50" customFormat="true" ht="28.5" hidden="false" customHeight="true" outlineLevel="0" collapsed="false">
      <c r="A1035" s="50" t="s">
        <v>954</v>
      </c>
      <c r="B1035" s="57" t="s">
        <v>48</v>
      </c>
      <c r="C1035" s="57" t="s">
        <v>310</v>
      </c>
      <c r="D1035" s="58" t="n">
        <v>46071.5993055556</v>
      </c>
      <c r="E1035" s="58" t="n">
        <v>46071.5993055556</v>
      </c>
      <c r="F1035" s="58" t="n">
        <v>46071.7013888889</v>
      </c>
      <c r="G1035" s="59" t="n">
        <f aca="false">F1035-E1035</f>
        <v>0.102083333298611</v>
      </c>
      <c r="H1035" s="57" t="s">
        <v>252</v>
      </c>
      <c r="I1035" s="57"/>
      <c r="J1035" s="57" t="s">
        <v>253</v>
      </c>
      <c r="K1035" s="57" t="s">
        <v>266</v>
      </c>
      <c r="L1035" s="57" t="s">
        <v>1929</v>
      </c>
      <c r="M1035" s="57" t="s">
        <v>255</v>
      </c>
      <c r="N1035" s="57" t="s">
        <v>256</v>
      </c>
      <c r="O1035" s="60" t="s">
        <v>1907</v>
      </c>
      <c r="P1035" s="57" t="s">
        <v>1946</v>
      </c>
      <c r="Q1035" s="57" t="s">
        <v>706</v>
      </c>
    </row>
    <row r="1036" s="50" customFormat="true" ht="28.5" hidden="false" customHeight="true" outlineLevel="0" collapsed="false">
      <c r="A1036" s="50" t="s">
        <v>954</v>
      </c>
      <c r="B1036" s="57" t="s">
        <v>48</v>
      </c>
      <c r="C1036" s="57" t="s">
        <v>311</v>
      </c>
      <c r="D1036" s="58" t="n">
        <v>46071.5993055556</v>
      </c>
      <c r="E1036" s="58" t="n">
        <v>46071.5993055556</v>
      </c>
      <c r="F1036" s="58" t="n">
        <v>46071.7013888889</v>
      </c>
      <c r="G1036" s="59" t="n">
        <f aca="false">F1036-E1036</f>
        <v>0.102083333298611</v>
      </c>
      <c r="H1036" s="57" t="s">
        <v>252</v>
      </c>
      <c r="I1036" s="57"/>
      <c r="J1036" s="57" t="s">
        <v>253</v>
      </c>
      <c r="K1036" s="57" t="s">
        <v>266</v>
      </c>
      <c r="L1036" s="57" t="s">
        <v>1929</v>
      </c>
      <c r="M1036" s="57" t="s">
        <v>255</v>
      </c>
      <c r="N1036" s="57" t="s">
        <v>256</v>
      </c>
      <c r="O1036" s="60" t="s">
        <v>1907</v>
      </c>
      <c r="P1036" s="57" t="s">
        <v>1947</v>
      </c>
      <c r="Q1036" s="57" t="s">
        <v>706</v>
      </c>
    </row>
    <row r="1037" s="50" customFormat="true" ht="28.5" hidden="false" customHeight="true" outlineLevel="0" collapsed="false">
      <c r="A1037" s="50" t="s">
        <v>954</v>
      </c>
      <c r="B1037" s="57" t="s">
        <v>48</v>
      </c>
      <c r="C1037" s="57" t="s">
        <v>312</v>
      </c>
      <c r="D1037" s="58" t="n">
        <v>46071.5993055556</v>
      </c>
      <c r="E1037" s="58" t="n">
        <v>46071.5993055556</v>
      </c>
      <c r="F1037" s="58" t="n">
        <v>46071.7013888889</v>
      </c>
      <c r="G1037" s="59" t="n">
        <f aca="false">F1037-E1037</f>
        <v>0.102083333298611</v>
      </c>
      <c r="H1037" s="57" t="s">
        <v>252</v>
      </c>
      <c r="I1037" s="57"/>
      <c r="J1037" s="57" t="s">
        <v>253</v>
      </c>
      <c r="K1037" s="57" t="s">
        <v>266</v>
      </c>
      <c r="L1037" s="57" t="s">
        <v>1929</v>
      </c>
      <c r="M1037" s="57" t="s">
        <v>255</v>
      </c>
      <c r="N1037" s="57" t="s">
        <v>256</v>
      </c>
      <c r="O1037" s="60" t="s">
        <v>1907</v>
      </c>
      <c r="P1037" s="57" t="s">
        <v>1948</v>
      </c>
      <c r="Q1037" s="57" t="s">
        <v>706</v>
      </c>
    </row>
    <row r="1038" s="50" customFormat="true" ht="28.5" hidden="false" customHeight="true" outlineLevel="0" collapsed="false">
      <c r="A1038" s="50" t="s">
        <v>954</v>
      </c>
      <c r="B1038" s="57" t="s">
        <v>48</v>
      </c>
      <c r="C1038" s="57" t="s">
        <v>313</v>
      </c>
      <c r="D1038" s="58" t="n">
        <v>46071.5993055556</v>
      </c>
      <c r="E1038" s="58" t="n">
        <v>46071.5993055556</v>
      </c>
      <c r="F1038" s="58" t="n">
        <v>46071.7013888889</v>
      </c>
      <c r="G1038" s="59" t="n">
        <f aca="false">F1038-E1038</f>
        <v>0.102083333298611</v>
      </c>
      <c r="H1038" s="57" t="s">
        <v>252</v>
      </c>
      <c r="I1038" s="57"/>
      <c r="J1038" s="57" t="s">
        <v>253</v>
      </c>
      <c r="K1038" s="57" t="s">
        <v>266</v>
      </c>
      <c r="L1038" s="57" t="s">
        <v>1929</v>
      </c>
      <c r="M1038" s="57" t="s">
        <v>255</v>
      </c>
      <c r="N1038" s="57" t="s">
        <v>256</v>
      </c>
      <c r="O1038" s="60" t="s">
        <v>1907</v>
      </c>
      <c r="P1038" s="57" t="s">
        <v>1949</v>
      </c>
      <c r="Q1038" s="57" t="s">
        <v>706</v>
      </c>
    </row>
    <row r="1039" s="50" customFormat="true" ht="28.5" hidden="false" customHeight="true" outlineLevel="0" collapsed="false">
      <c r="A1039" s="50" t="s">
        <v>960</v>
      </c>
      <c r="B1039" s="57" t="s">
        <v>48</v>
      </c>
      <c r="C1039" s="57" t="s">
        <v>314</v>
      </c>
      <c r="D1039" s="58" t="n">
        <v>46071.5993055556</v>
      </c>
      <c r="E1039" s="58" t="n">
        <v>46071.5993055556</v>
      </c>
      <c r="F1039" s="58" t="n">
        <v>46071.7013888889</v>
      </c>
      <c r="G1039" s="59" t="n">
        <f aca="false">F1039-E1039</f>
        <v>0.102083333298611</v>
      </c>
      <c r="H1039" s="57" t="s">
        <v>252</v>
      </c>
      <c r="I1039" s="57"/>
      <c r="J1039" s="57" t="s">
        <v>253</v>
      </c>
      <c r="K1039" s="57" t="s">
        <v>266</v>
      </c>
      <c r="L1039" s="57" t="s">
        <v>1929</v>
      </c>
      <c r="M1039" s="57" t="s">
        <v>255</v>
      </c>
      <c r="N1039" s="57" t="s">
        <v>256</v>
      </c>
      <c r="O1039" s="60" t="s">
        <v>1907</v>
      </c>
      <c r="P1039" s="57" t="s">
        <v>1950</v>
      </c>
      <c r="Q1039" s="57" t="s">
        <v>706</v>
      </c>
    </row>
    <row r="1040" s="50" customFormat="true" ht="28.5" hidden="false" customHeight="true" outlineLevel="0" collapsed="false">
      <c r="A1040" s="50" t="s">
        <v>960</v>
      </c>
      <c r="B1040" s="57" t="s">
        <v>48</v>
      </c>
      <c r="C1040" s="57" t="s">
        <v>315</v>
      </c>
      <c r="D1040" s="58" t="n">
        <v>46071.5993055556</v>
      </c>
      <c r="E1040" s="58" t="n">
        <v>46071.5993055556</v>
      </c>
      <c r="F1040" s="58" t="n">
        <v>46071.7013888889</v>
      </c>
      <c r="G1040" s="59" t="n">
        <f aca="false">F1040-E1040</f>
        <v>0.102083333298611</v>
      </c>
      <c r="H1040" s="57" t="s">
        <v>252</v>
      </c>
      <c r="I1040" s="57"/>
      <c r="J1040" s="57" t="s">
        <v>253</v>
      </c>
      <c r="K1040" s="57" t="s">
        <v>266</v>
      </c>
      <c r="L1040" s="57" t="s">
        <v>1929</v>
      </c>
      <c r="M1040" s="57" t="s">
        <v>255</v>
      </c>
      <c r="N1040" s="57" t="s">
        <v>256</v>
      </c>
      <c r="O1040" s="60" t="s">
        <v>1907</v>
      </c>
      <c r="P1040" s="57" t="s">
        <v>1951</v>
      </c>
      <c r="Q1040" s="57" t="s">
        <v>706</v>
      </c>
    </row>
    <row r="1041" s="50" customFormat="true" ht="28.5" hidden="false" customHeight="true" outlineLevel="0" collapsed="false">
      <c r="A1041" s="50" t="s">
        <v>960</v>
      </c>
      <c r="B1041" s="57" t="s">
        <v>48</v>
      </c>
      <c r="C1041" s="57" t="s">
        <v>316</v>
      </c>
      <c r="D1041" s="58" t="n">
        <v>46071.5993055556</v>
      </c>
      <c r="E1041" s="58" t="n">
        <v>46071.5993055556</v>
      </c>
      <c r="F1041" s="58" t="n">
        <v>46071.7013888889</v>
      </c>
      <c r="G1041" s="59" t="n">
        <f aca="false">F1041-E1041</f>
        <v>0.102083333298611</v>
      </c>
      <c r="H1041" s="57" t="s">
        <v>252</v>
      </c>
      <c r="I1041" s="57"/>
      <c r="J1041" s="57" t="s">
        <v>253</v>
      </c>
      <c r="K1041" s="57" t="s">
        <v>266</v>
      </c>
      <c r="L1041" s="57" t="s">
        <v>1929</v>
      </c>
      <c r="M1041" s="57" t="s">
        <v>255</v>
      </c>
      <c r="N1041" s="57" t="s">
        <v>256</v>
      </c>
      <c r="O1041" s="60" t="s">
        <v>1907</v>
      </c>
      <c r="P1041" s="57" t="s">
        <v>1952</v>
      </c>
      <c r="Q1041" s="57" t="s">
        <v>706</v>
      </c>
    </row>
    <row r="1042" s="50" customFormat="true" ht="28.5" hidden="false" customHeight="true" outlineLevel="0" collapsed="false">
      <c r="A1042" s="50" t="s">
        <v>960</v>
      </c>
      <c r="B1042" s="57" t="s">
        <v>48</v>
      </c>
      <c r="C1042" s="57" t="s">
        <v>317</v>
      </c>
      <c r="D1042" s="58" t="n">
        <v>46071.5993055556</v>
      </c>
      <c r="E1042" s="58" t="n">
        <v>46071.5993055556</v>
      </c>
      <c r="F1042" s="58" t="n">
        <v>46071.7013888889</v>
      </c>
      <c r="G1042" s="59" t="n">
        <f aca="false">F1042-E1042</f>
        <v>0.102083333298611</v>
      </c>
      <c r="H1042" s="57" t="s">
        <v>252</v>
      </c>
      <c r="I1042" s="57"/>
      <c r="J1042" s="57" t="s">
        <v>253</v>
      </c>
      <c r="K1042" s="57" t="s">
        <v>266</v>
      </c>
      <c r="L1042" s="57" t="s">
        <v>1929</v>
      </c>
      <c r="M1042" s="57" t="s">
        <v>255</v>
      </c>
      <c r="N1042" s="57" t="s">
        <v>256</v>
      </c>
      <c r="O1042" s="60" t="s">
        <v>1907</v>
      </c>
      <c r="P1042" s="57" t="s">
        <v>1953</v>
      </c>
      <c r="Q1042" s="57" t="s">
        <v>706</v>
      </c>
    </row>
    <row r="1043" s="50" customFormat="true" ht="28.5" hidden="false" customHeight="true" outlineLevel="0" collapsed="false">
      <c r="A1043" s="50" t="s">
        <v>965</v>
      </c>
      <c r="B1043" s="57" t="s">
        <v>48</v>
      </c>
      <c r="C1043" s="57" t="s">
        <v>318</v>
      </c>
      <c r="D1043" s="58" t="n">
        <v>46071.5993055556</v>
      </c>
      <c r="E1043" s="58" t="n">
        <v>46071.5993055556</v>
      </c>
      <c r="F1043" s="58" t="n">
        <v>46071.7013888889</v>
      </c>
      <c r="G1043" s="59" t="n">
        <f aca="false">F1043-E1043</f>
        <v>0.102083333298611</v>
      </c>
      <c r="H1043" s="57" t="s">
        <v>252</v>
      </c>
      <c r="I1043" s="57"/>
      <c r="J1043" s="57" t="s">
        <v>253</v>
      </c>
      <c r="K1043" s="57" t="s">
        <v>266</v>
      </c>
      <c r="L1043" s="57" t="s">
        <v>1929</v>
      </c>
      <c r="M1043" s="57" t="s">
        <v>255</v>
      </c>
      <c r="N1043" s="57" t="s">
        <v>256</v>
      </c>
      <c r="O1043" s="60" t="s">
        <v>1907</v>
      </c>
      <c r="P1043" s="57" t="s">
        <v>1954</v>
      </c>
      <c r="Q1043" s="57" t="s">
        <v>706</v>
      </c>
    </row>
    <row r="1044" s="50" customFormat="true" ht="28.5" hidden="false" customHeight="true" outlineLevel="0" collapsed="false">
      <c r="A1044" s="50" t="s">
        <v>965</v>
      </c>
      <c r="B1044" s="57" t="s">
        <v>48</v>
      </c>
      <c r="C1044" s="57" t="s">
        <v>319</v>
      </c>
      <c r="D1044" s="58" t="n">
        <v>46071.5993055556</v>
      </c>
      <c r="E1044" s="58" t="n">
        <v>46071.5993055556</v>
      </c>
      <c r="F1044" s="58" t="n">
        <v>46071.7013888889</v>
      </c>
      <c r="G1044" s="59" t="n">
        <f aca="false">F1044-E1044</f>
        <v>0.102083333298611</v>
      </c>
      <c r="H1044" s="57" t="s">
        <v>252</v>
      </c>
      <c r="I1044" s="57"/>
      <c r="J1044" s="57" t="s">
        <v>253</v>
      </c>
      <c r="K1044" s="57" t="s">
        <v>266</v>
      </c>
      <c r="L1044" s="57" t="s">
        <v>1929</v>
      </c>
      <c r="M1044" s="57" t="s">
        <v>255</v>
      </c>
      <c r="N1044" s="57" t="s">
        <v>256</v>
      </c>
      <c r="O1044" s="60" t="s">
        <v>1907</v>
      </c>
      <c r="P1044" s="57" t="s">
        <v>1955</v>
      </c>
      <c r="Q1044" s="57" t="s">
        <v>706</v>
      </c>
    </row>
    <row r="1045" s="50" customFormat="true" ht="28.5" hidden="false" customHeight="true" outlineLevel="0" collapsed="false">
      <c r="A1045" s="50" t="s">
        <v>965</v>
      </c>
      <c r="B1045" s="57" t="s">
        <v>48</v>
      </c>
      <c r="C1045" s="57" t="s">
        <v>320</v>
      </c>
      <c r="D1045" s="58" t="n">
        <v>46071.5993055556</v>
      </c>
      <c r="E1045" s="58" t="n">
        <v>46071.5993055556</v>
      </c>
      <c r="F1045" s="58" t="n">
        <v>46071.7013888889</v>
      </c>
      <c r="G1045" s="59" t="n">
        <f aca="false">F1045-E1045</f>
        <v>0.102083333298611</v>
      </c>
      <c r="H1045" s="57" t="s">
        <v>252</v>
      </c>
      <c r="I1045" s="57"/>
      <c r="J1045" s="57" t="s">
        <v>253</v>
      </c>
      <c r="K1045" s="57" t="s">
        <v>266</v>
      </c>
      <c r="L1045" s="57" t="s">
        <v>1929</v>
      </c>
      <c r="M1045" s="57" t="s">
        <v>255</v>
      </c>
      <c r="N1045" s="57" t="s">
        <v>256</v>
      </c>
      <c r="O1045" s="60" t="s">
        <v>1907</v>
      </c>
      <c r="P1045" s="57" t="s">
        <v>1956</v>
      </c>
      <c r="Q1045" s="57" t="s">
        <v>706</v>
      </c>
    </row>
    <row r="1046" s="50" customFormat="true" ht="28.5" hidden="false" customHeight="true" outlineLevel="0" collapsed="false">
      <c r="A1046" s="50" t="s">
        <v>965</v>
      </c>
      <c r="B1046" s="57" t="s">
        <v>48</v>
      </c>
      <c r="C1046" s="57" t="s">
        <v>321</v>
      </c>
      <c r="D1046" s="58" t="n">
        <v>46071.5993055556</v>
      </c>
      <c r="E1046" s="58" t="n">
        <v>46071.5993055556</v>
      </c>
      <c r="F1046" s="58" t="n">
        <v>46071.7013888889</v>
      </c>
      <c r="G1046" s="59" t="n">
        <f aca="false">F1046-E1046</f>
        <v>0.102083333298611</v>
      </c>
      <c r="H1046" s="57" t="s">
        <v>252</v>
      </c>
      <c r="I1046" s="57"/>
      <c r="J1046" s="57" t="s">
        <v>253</v>
      </c>
      <c r="K1046" s="57" t="s">
        <v>266</v>
      </c>
      <c r="L1046" s="57" t="s">
        <v>1929</v>
      </c>
      <c r="M1046" s="57" t="s">
        <v>255</v>
      </c>
      <c r="N1046" s="57" t="s">
        <v>256</v>
      </c>
      <c r="O1046" s="60" t="s">
        <v>1907</v>
      </c>
      <c r="P1046" s="57" t="s">
        <v>1957</v>
      </c>
      <c r="Q1046" s="57" t="s">
        <v>706</v>
      </c>
    </row>
    <row r="1047" s="50" customFormat="true" ht="28.5" hidden="false" customHeight="true" outlineLevel="0" collapsed="false">
      <c r="A1047" s="50" t="s">
        <v>965</v>
      </c>
      <c r="B1047" s="57" t="s">
        <v>48</v>
      </c>
      <c r="C1047" s="57" t="s">
        <v>322</v>
      </c>
      <c r="D1047" s="58" t="n">
        <v>46071.5993055556</v>
      </c>
      <c r="E1047" s="58" t="n">
        <v>46071.5993055556</v>
      </c>
      <c r="F1047" s="58" t="n">
        <v>46071.7013888889</v>
      </c>
      <c r="G1047" s="59" t="n">
        <f aca="false">F1047-E1047</f>
        <v>0.102083333298611</v>
      </c>
      <c r="H1047" s="57" t="s">
        <v>252</v>
      </c>
      <c r="I1047" s="57"/>
      <c r="J1047" s="57" t="s">
        <v>253</v>
      </c>
      <c r="K1047" s="57" t="s">
        <v>266</v>
      </c>
      <c r="L1047" s="57" t="s">
        <v>1929</v>
      </c>
      <c r="M1047" s="57" t="s">
        <v>255</v>
      </c>
      <c r="N1047" s="57" t="s">
        <v>256</v>
      </c>
      <c r="O1047" s="60" t="s">
        <v>1907</v>
      </c>
      <c r="P1047" s="57" t="s">
        <v>1958</v>
      </c>
      <c r="Q1047" s="57" t="s">
        <v>706</v>
      </c>
    </row>
    <row r="1048" s="50" customFormat="true" ht="28.5" hidden="false" customHeight="true" outlineLevel="0" collapsed="false">
      <c r="A1048" s="50" t="s">
        <v>250</v>
      </c>
      <c r="B1048" s="57" t="s">
        <v>250</v>
      </c>
      <c r="C1048" s="57" t="s">
        <v>251</v>
      </c>
      <c r="D1048" s="58" t="n">
        <v>46071.5993055556</v>
      </c>
      <c r="E1048" s="58" t="n">
        <v>46071.5993055556</v>
      </c>
      <c r="F1048" s="58" t="n">
        <v>46071.7013888889</v>
      </c>
      <c r="G1048" s="59" t="n">
        <f aca="false">F1048-E1048</f>
        <v>0.102083333298611</v>
      </c>
      <c r="H1048" s="57" t="s">
        <v>252</v>
      </c>
      <c r="I1048" s="57"/>
      <c r="J1048" s="57" t="s">
        <v>253</v>
      </c>
      <c r="K1048" s="57" t="s">
        <v>266</v>
      </c>
      <c r="L1048" s="57" t="s">
        <v>1929</v>
      </c>
      <c r="M1048" s="57" t="s">
        <v>255</v>
      </c>
      <c r="N1048" s="57" t="s">
        <v>256</v>
      </c>
      <c r="O1048" s="60" t="s">
        <v>1907</v>
      </c>
      <c r="P1048" s="57" t="s">
        <v>1959</v>
      </c>
      <c r="Q1048" s="57" t="s">
        <v>706</v>
      </c>
    </row>
    <row r="1049" s="50" customFormat="true" ht="28.5" hidden="false" customHeight="true" outlineLevel="0" collapsed="false">
      <c r="A1049" s="50" t="s">
        <v>250</v>
      </c>
      <c r="B1049" s="57" t="s">
        <v>250</v>
      </c>
      <c r="C1049" s="57" t="s">
        <v>258</v>
      </c>
      <c r="D1049" s="58" t="n">
        <v>46071.5993055556</v>
      </c>
      <c r="E1049" s="58" t="n">
        <v>46071.5993055556</v>
      </c>
      <c r="F1049" s="58" t="n">
        <v>46071.7013888889</v>
      </c>
      <c r="G1049" s="59" t="n">
        <f aca="false">F1049-E1049</f>
        <v>0.102083333298611</v>
      </c>
      <c r="H1049" s="57" t="s">
        <v>252</v>
      </c>
      <c r="I1049" s="57"/>
      <c r="J1049" s="57" t="s">
        <v>253</v>
      </c>
      <c r="K1049" s="57" t="s">
        <v>266</v>
      </c>
      <c r="L1049" s="57" t="s">
        <v>1929</v>
      </c>
      <c r="M1049" s="57" t="s">
        <v>255</v>
      </c>
      <c r="N1049" s="57" t="s">
        <v>256</v>
      </c>
      <c r="O1049" s="60" t="s">
        <v>1907</v>
      </c>
      <c r="P1049" s="57" t="s">
        <v>1960</v>
      </c>
      <c r="Q1049" s="57" t="s">
        <v>706</v>
      </c>
    </row>
    <row r="1050" s="50" customFormat="true" ht="28.5" hidden="false" customHeight="true" outlineLevel="0" collapsed="false">
      <c r="A1050" s="50" t="s">
        <v>250</v>
      </c>
      <c r="B1050" s="57" t="s">
        <v>250</v>
      </c>
      <c r="C1050" s="57" t="s">
        <v>259</v>
      </c>
      <c r="D1050" s="58" t="n">
        <v>46071.5993055556</v>
      </c>
      <c r="E1050" s="58" t="n">
        <v>46071.5993055556</v>
      </c>
      <c r="F1050" s="58" t="n">
        <v>46071.7013888889</v>
      </c>
      <c r="G1050" s="59" t="n">
        <f aca="false">F1050-E1050</f>
        <v>0.102083333298611</v>
      </c>
      <c r="H1050" s="57" t="s">
        <v>252</v>
      </c>
      <c r="I1050" s="57"/>
      <c r="J1050" s="57" t="s">
        <v>253</v>
      </c>
      <c r="K1050" s="57" t="s">
        <v>266</v>
      </c>
      <c r="L1050" s="57" t="s">
        <v>1929</v>
      </c>
      <c r="M1050" s="57" t="s">
        <v>255</v>
      </c>
      <c r="N1050" s="57" t="s">
        <v>256</v>
      </c>
      <c r="O1050" s="60" t="s">
        <v>1907</v>
      </c>
      <c r="P1050" s="57" t="s">
        <v>1961</v>
      </c>
      <c r="Q1050" s="57" t="s">
        <v>706</v>
      </c>
    </row>
    <row r="1051" s="50" customFormat="true" ht="28.5" hidden="false" customHeight="true" outlineLevel="0" collapsed="false">
      <c r="A1051" s="50" t="s">
        <v>250</v>
      </c>
      <c r="B1051" s="57" t="s">
        <v>250</v>
      </c>
      <c r="C1051" s="57" t="s">
        <v>260</v>
      </c>
      <c r="D1051" s="58" t="n">
        <v>46071.5993055556</v>
      </c>
      <c r="E1051" s="58" t="n">
        <v>46071.5993055556</v>
      </c>
      <c r="F1051" s="58" t="n">
        <v>46071.7013888889</v>
      </c>
      <c r="G1051" s="59" t="n">
        <f aca="false">F1051-E1051</f>
        <v>0.102083333298611</v>
      </c>
      <c r="H1051" s="57" t="s">
        <v>252</v>
      </c>
      <c r="I1051" s="57"/>
      <c r="J1051" s="57" t="s">
        <v>253</v>
      </c>
      <c r="K1051" s="57" t="s">
        <v>266</v>
      </c>
      <c r="L1051" s="57" t="s">
        <v>1929</v>
      </c>
      <c r="M1051" s="57" t="s">
        <v>255</v>
      </c>
      <c r="N1051" s="57" t="s">
        <v>256</v>
      </c>
      <c r="O1051" s="60" t="s">
        <v>1907</v>
      </c>
      <c r="P1051" s="57" t="s">
        <v>1962</v>
      </c>
      <c r="Q1051" s="57" t="s">
        <v>706</v>
      </c>
    </row>
    <row r="1052" s="50" customFormat="true" ht="28.5" hidden="false" customHeight="true" outlineLevel="0" collapsed="false">
      <c r="A1052" s="50" t="s">
        <v>250</v>
      </c>
      <c r="B1052" s="57" t="s">
        <v>250</v>
      </c>
      <c r="C1052" s="57" t="s">
        <v>261</v>
      </c>
      <c r="D1052" s="58" t="n">
        <v>46071.5993055556</v>
      </c>
      <c r="E1052" s="58" t="n">
        <v>46071.5993055556</v>
      </c>
      <c r="F1052" s="58" t="n">
        <v>46071.7013888889</v>
      </c>
      <c r="G1052" s="59" t="n">
        <f aca="false">F1052-E1052</f>
        <v>0.102083333298611</v>
      </c>
      <c r="H1052" s="57" t="s">
        <v>252</v>
      </c>
      <c r="I1052" s="57"/>
      <c r="J1052" s="57" t="s">
        <v>253</v>
      </c>
      <c r="K1052" s="57" t="s">
        <v>266</v>
      </c>
      <c r="L1052" s="57" t="s">
        <v>1929</v>
      </c>
      <c r="M1052" s="57" t="s">
        <v>255</v>
      </c>
      <c r="N1052" s="57" t="s">
        <v>256</v>
      </c>
      <c r="O1052" s="60" t="s">
        <v>1907</v>
      </c>
      <c r="P1052" s="57" t="s">
        <v>1963</v>
      </c>
      <c r="Q1052" s="57" t="s">
        <v>706</v>
      </c>
    </row>
    <row r="1053" s="50" customFormat="true" ht="28.5" hidden="false" customHeight="true" outlineLevel="0" collapsed="false">
      <c r="A1053" s="50" t="s">
        <v>262</v>
      </c>
      <c r="B1053" s="57" t="s">
        <v>262</v>
      </c>
      <c r="C1053" s="57" t="s">
        <v>251</v>
      </c>
      <c r="D1053" s="58" t="n">
        <v>46071.5993055556</v>
      </c>
      <c r="E1053" s="58" t="n">
        <v>46071.5993055556</v>
      </c>
      <c r="F1053" s="58" t="n">
        <v>46071.7013888889</v>
      </c>
      <c r="G1053" s="59" t="n">
        <f aca="false">F1053-E1053</f>
        <v>0.102083333298611</v>
      </c>
      <c r="H1053" s="57" t="s">
        <v>252</v>
      </c>
      <c r="I1053" s="57"/>
      <c r="J1053" s="57" t="s">
        <v>253</v>
      </c>
      <c r="K1053" s="57" t="s">
        <v>266</v>
      </c>
      <c r="L1053" s="57" t="s">
        <v>1929</v>
      </c>
      <c r="M1053" s="57" t="s">
        <v>255</v>
      </c>
      <c r="N1053" s="57" t="s">
        <v>256</v>
      </c>
      <c r="O1053" s="60" t="s">
        <v>1907</v>
      </c>
      <c r="P1053" s="57" t="s">
        <v>1964</v>
      </c>
      <c r="Q1053" s="57" t="s">
        <v>706</v>
      </c>
    </row>
    <row r="1054" s="50" customFormat="true" ht="28.5" hidden="false" customHeight="true" outlineLevel="0" collapsed="false">
      <c r="A1054" s="50" t="s">
        <v>262</v>
      </c>
      <c r="B1054" s="57" t="s">
        <v>262</v>
      </c>
      <c r="C1054" s="57" t="s">
        <v>258</v>
      </c>
      <c r="D1054" s="58" t="n">
        <v>46071.5993055556</v>
      </c>
      <c r="E1054" s="58" t="n">
        <v>46071.5993055556</v>
      </c>
      <c r="F1054" s="58" t="n">
        <v>46071.7013888889</v>
      </c>
      <c r="G1054" s="59" t="n">
        <f aca="false">F1054-E1054</f>
        <v>0.102083333298611</v>
      </c>
      <c r="H1054" s="57" t="s">
        <v>252</v>
      </c>
      <c r="I1054" s="57"/>
      <c r="J1054" s="57" t="s">
        <v>253</v>
      </c>
      <c r="K1054" s="57" t="s">
        <v>266</v>
      </c>
      <c r="L1054" s="57" t="s">
        <v>1929</v>
      </c>
      <c r="M1054" s="57" t="s">
        <v>255</v>
      </c>
      <c r="N1054" s="57" t="s">
        <v>256</v>
      </c>
      <c r="O1054" s="60" t="s">
        <v>1907</v>
      </c>
      <c r="P1054" s="57" t="s">
        <v>1965</v>
      </c>
      <c r="Q1054" s="57" t="s">
        <v>706</v>
      </c>
    </row>
    <row r="1055" s="50" customFormat="true" ht="28.5" hidden="false" customHeight="true" outlineLevel="0" collapsed="false">
      <c r="A1055" s="50" t="s">
        <v>262</v>
      </c>
      <c r="B1055" s="57" t="s">
        <v>262</v>
      </c>
      <c r="C1055" s="57" t="s">
        <v>259</v>
      </c>
      <c r="D1055" s="58" t="n">
        <v>46071.5993055556</v>
      </c>
      <c r="E1055" s="58" t="n">
        <v>46071.5993055556</v>
      </c>
      <c r="F1055" s="58" t="n">
        <v>46071.7013888889</v>
      </c>
      <c r="G1055" s="59" t="n">
        <f aca="false">F1055-E1055</f>
        <v>0.102083333298611</v>
      </c>
      <c r="H1055" s="57" t="s">
        <v>252</v>
      </c>
      <c r="I1055" s="57"/>
      <c r="J1055" s="57" t="s">
        <v>253</v>
      </c>
      <c r="K1055" s="57" t="s">
        <v>266</v>
      </c>
      <c r="L1055" s="57" t="s">
        <v>1929</v>
      </c>
      <c r="M1055" s="57" t="s">
        <v>255</v>
      </c>
      <c r="N1055" s="57" t="s">
        <v>256</v>
      </c>
      <c r="O1055" s="60" t="s">
        <v>1907</v>
      </c>
      <c r="P1055" s="57" t="s">
        <v>1966</v>
      </c>
      <c r="Q1055" s="57" t="s">
        <v>706</v>
      </c>
    </row>
    <row r="1056" s="50" customFormat="true" ht="28.5" hidden="false" customHeight="true" outlineLevel="0" collapsed="false">
      <c r="A1056" s="50" t="s">
        <v>262</v>
      </c>
      <c r="B1056" s="57" t="s">
        <v>262</v>
      </c>
      <c r="C1056" s="57" t="s">
        <v>260</v>
      </c>
      <c r="D1056" s="58" t="n">
        <v>46071.5993055556</v>
      </c>
      <c r="E1056" s="58" t="n">
        <v>46071.5993055556</v>
      </c>
      <c r="F1056" s="58" t="n">
        <v>46071.7013888889</v>
      </c>
      <c r="G1056" s="59" t="n">
        <f aca="false">F1056-E1056</f>
        <v>0.102083333298611</v>
      </c>
      <c r="H1056" s="57" t="s">
        <v>252</v>
      </c>
      <c r="I1056" s="57"/>
      <c r="J1056" s="57" t="s">
        <v>253</v>
      </c>
      <c r="K1056" s="57" t="s">
        <v>266</v>
      </c>
      <c r="L1056" s="57" t="s">
        <v>1929</v>
      </c>
      <c r="M1056" s="57" t="s">
        <v>255</v>
      </c>
      <c r="N1056" s="57" t="s">
        <v>256</v>
      </c>
      <c r="O1056" s="60" t="s">
        <v>1907</v>
      </c>
      <c r="P1056" s="57" t="s">
        <v>1967</v>
      </c>
      <c r="Q1056" s="57" t="s">
        <v>706</v>
      </c>
    </row>
    <row r="1057" s="50" customFormat="true" ht="28.5" hidden="false" customHeight="true" outlineLevel="0" collapsed="false">
      <c r="A1057" s="50" t="s">
        <v>262</v>
      </c>
      <c r="B1057" s="57" t="s">
        <v>262</v>
      </c>
      <c r="C1057" s="57" t="s">
        <v>261</v>
      </c>
      <c r="D1057" s="58" t="n">
        <v>46071.5993055556</v>
      </c>
      <c r="E1057" s="58" t="n">
        <v>46071.5993055556</v>
      </c>
      <c r="F1057" s="58" t="n">
        <v>46071.7013888889</v>
      </c>
      <c r="G1057" s="59" t="n">
        <f aca="false">F1057-E1057</f>
        <v>0.102083333298611</v>
      </c>
      <c r="H1057" s="57" t="s">
        <v>252</v>
      </c>
      <c r="I1057" s="57"/>
      <c r="J1057" s="57" t="s">
        <v>253</v>
      </c>
      <c r="K1057" s="57" t="s">
        <v>266</v>
      </c>
      <c r="L1057" s="57" t="s">
        <v>1929</v>
      </c>
      <c r="M1057" s="57" t="s">
        <v>255</v>
      </c>
      <c r="N1057" s="57" t="s">
        <v>256</v>
      </c>
      <c r="O1057" s="60" t="s">
        <v>1907</v>
      </c>
      <c r="P1057" s="57" t="s">
        <v>1968</v>
      </c>
      <c r="Q1057" s="57" t="s">
        <v>706</v>
      </c>
    </row>
    <row r="1058" s="50" customFormat="true" ht="28.5" hidden="false" customHeight="true" outlineLevel="0" collapsed="false">
      <c r="A1058" s="50" t="s">
        <v>263</v>
      </c>
      <c r="B1058" s="57" t="s">
        <v>263</v>
      </c>
      <c r="C1058" s="57" t="s">
        <v>251</v>
      </c>
      <c r="D1058" s="58" t="n">
        <v>46071.5993055556</v>
      </c>
      <c r="E1058" s="58" t="n">
        <v>46071.5993055556</v>
      </c>
      <c r="F1058" s="58" t="n">
        <v>46071.7013888889</v>
      </c>
      <c r="G1058" s="59" t="n">
        <f aca="false">F1058-E1058</f>
        <v>0.102083333298611</v>
      </c>
      <c r="H1058" s="57" t="s">
        <v>252</v>
      </c>
      <c r="I1058" s="57"/>
      <c r="J1058" s="57" t="s">
        <v>253</v>
      </c>
      <c r="K1058" s="57" t="s">
        <v>266</v>
      </c>
      <c r="L1058" s="57" t="s">
        <v>1929</v>
      </c>
      <c r="M1058" s="57" t="s">
        <v>255</v>
      </c>
      <c r="N1058" s="57" t="s">
        <v>256</v>
      </c>
      <c r="O1058" s="60" t="s">
        <v>1907</v>
      </c>
      <c r="P1058" s="57" t="s">
        <v>1969</v>
      </c>
      <c r="Q1058" s="57" t="s">
        <v>706</v>
      </c>
    </row>
    <row r="1059" s="50" customFormat="true" ht="28.5" hidden="false" customHeight="true" outlineLevel="0" collapsed="false">
      <c r="A1059" s="50" t="s">
        <v>263</v>
      </c>
      <c r="B1059" s="57" t="s">
        <v>263</v>
      </c>
      <c r="C1059" s="57" t="s">
        <v>258</v>
      </c>
      <c r="D1059" s="58" t="n">
        <v>46071.5993055556</v>
      </c>
      <c r="E1059" s="58" t="n">
        <v>46071.5993055556</v>
      </c>
      <c r="F1059" s="58" t="n">
        <v>46071.7013888889</v>
      </c>
      <c r="G1059" s="59" t="n">
        <f aca="false">F1059-E1059</f>
        <v>0.102083333298611</v>
      </c>
      <c r="H1059" s="57" t="s">
        <v>252</v>
      </c>
      <c r="I1059" s="57"/>
      <c r="J1059" s="57" t="s">
        <v>253</v>
      </c>
      <c r="K1059" s="57" t="s">
        <v>266</v>
      </c>
      <c r="L1059" s="57" t="s">
        <v>1929</v>
      </c>
      <c r="M1059" s="57" t="s">
        <v>255</v>
      </c>
      <c r="N1059" s="57" t="s">
        <v>256</v>
      </c>
      <c r="O1059" s="60" t="s">
        <v>1907</v>
      </c>
      <c r="P1059" s="57" t="s">
        <v>1970</v>
      </c>
      <c r="Q1059" s="57" t="s">
        <v>706</v>
      </c>
    </row>
    <row r="1060" s="50" customFormat="true" ht="28.5" hidden="false" customHeight="true" outlineLevel="0" collapsed="false">
      <c r="A1060" s="50" t="s">
        <v>263</v>
      </c>
      <c r="B1060" s="57" t="s">
        <v>263</v>
      </c>
      <c r="C1060" s="57" t="s">
        <v>259</v>
      </c>
      <c r="D1060" s="58" t="n">
        <v>46071.5993055556</v>
      </c>
      <c r="E1060" s="58" t="n">
        <v>46071.5993055556</v>
      </c>
      <c r="F1060" s="58" t="n">
        <v>46071.7013888889</v>
      </c>
      <c r="G1060" s="59" t="n">
        <f aca="false">F1060-E1060</f>
        <v>0.102083333298611</v>
      </c>
      <c r="H1060" s="57" t="s">
        <v>252</v>
      </c>
      <c r="I1060" s="57"/>
      <c r="J1060" s="57" t="s">
        <v>253</v>
      </c>
      <c r="K1060" s="57" t="s">
        <v>266</v>
      </c>
      <c r="L1060" s="57" t="s">
        <v>1929</v>
      </c>
      <c r="M1060" s="57" t="s">
        <v>255</v>
      </c>
      <c r="N1060" s="57" t="s">
        <v>256</v>
      </c>
      <c r="O1060" s="60" t="s">
        <v>1907</v>
      </c>
      <c r="P1060" s="57" t="s">
        <v>1971</v>
      </c>
      <c r="Q1060" s="57" t="s">
        <v>706</v>
      </c>
    </row>
    <row r="1061" s="50" customFormat="true" ht="28.5" hidden="false" customHeight="true" outlineLevel="0" collapsed="false">
      <c r="A1061" s="50" t="s">
        <v>263</v>
      </c>
      <c r="B1061" s="57" t="s">
        <v>263</v>
      </c>
      <c r="C1061" s="57" t="s">
        <v>260</v>
      </c>
      <c r="D1061" s="58" t="n">
        <v>46071.5993055556</v>
      </c>
      <c r="E1061" s="58" t="n">
        <v>46071.5993055556</v>
      </c>
      <c r="F1061" s="58" t="n">
        <v>46071.7013888889</v>
      </c>
      <c r="G1061" s="59" t="n">
        <f aca="false">F1061-E1061</f>
        <v>0.102083333298611</v>
      </c>
      <c r="H1061" s="57" t="s">
        <v>252</v>
      </c>
      <c r="I1061" s="57"/>
      <c r="J1061" s="57" t="s">
        <v>253</v>
      </c>
      <c r="K1061" s="57" t="s">
        <v>266</v>
      </c>
      <c r="L1061" s="57" t="s">
        <v>1929</v>
      </c>
      <c r="M1061" s="57" t="s">
        <v>255</v>
      </c>
      <c r="N1061" s="57" t="s">
        <v>256</v>
      </c>
      <c r="O1061" s="60" t="s">
        <v>1907</v>
      </c>
      <c r="P1061" s="57" t="s">
        <v>1972</v>
      </c>
      <c r="Q1061" s="57" t="s">
        <v>706</v>
      </c>
    </row>
    <row r="1062" s="50" customFormat="true" ht="28.5" hidden="false" customHeight="true" outlineLevel="0" collapsed="false">
      <c r="A1062" s="50" t="s">
        <v>263</v>
      </c>
      <c r="B1062" s="57" t="s">
        <v>263</v>
      </c>
      <c r="C1062" s="57" t="s">
        <v>261</v>
      </c>
      <c r="D1062" s="58" t="n">
        <v>46071.5993055556</v>
      </c>
      <c r="E1062" s="58" t="n">
        <v>46071.5993055556</v>
      </c>
      <c r="F1062" s="58" t="n">
        <v>46071.7013888889</v>
      </c>
      <c r="G1062" s="59" t="n">
        <f aca="false">F1062-E1062</f>
        <v>0.102083333298611</v>
      </c>
      <c r="H1062" s="57" t="s">
        <v>252</v>
      </c>
      <c r="I1062" s="57"/>
      <c r="J1062" s="57" t="s">
        <v>253</v>
      </c>
      <c r="K1062" s="57" t="s">
        <v>266</v>
      </c>
      <c r="L1062" s="57" t="s">
        <v>1929</v>
      </c>
      <c r="M1062" s="57" t="s">
        <v>255</v>
      </c>
      <c r="N1062" s="57" t="s">
        <v>256</v>
      </c>
      <c r="O1062" s="60" t="s">
        <v>1907</v>
      </c>
      <c r="P1062" s="57" t="s">
        <v>1973</v>
      </c>
      <c r="Q1062" s="57" t="s">
        <v>706</v>
      </c>
    </row>
    <row r="1063" s="50" customFormat="true" ht="14.25" hidden="false" customHeight="true" outlineLevel="0" collapsed="false">
      <c r="A1063" s="50" t="s">
        <v>770</v>
      </c>
      <c r="B1063" s="57" t="s">
        <v>771</v>
      </c>
      <c r="C1063" s="57" t="s">
        <v>772</v>
      </c>
      <c r="D1063" s="58" t="n">
        <v>46071.6284722222</v>
      </c>
      <c r="E1063" s="58" t="n">
        <v>46071.6284722222</v>
      </c>
      <c r="F1063" s="58" t="n">
        <v>46071.6631944444</v>
      </c>
      <c r="G1063" s="59" t="n">
        <f aca="false">F1063-E1063</f>
        <v>0.0347222221990741</v>
      </c>
      <c r="H1063" s="57" t="s">
        <v>252</v>
      </c>
      <c r="I1063" s="57"/>
      <c r="J1063" s="57" t="s">
        <v>253</v>
      </c>
      <c r="K1063" s="57" t="s">
        <v>266</v>
      </c>
      <c r="L1063" s="57" t="s">
        <v>1974</v>
      </c>
      <c r="M1063" s="57" t="s">
        <v>255</v>
      </c>
      <c r="N1063" s="57" t="s">
        <v>256</v>
      </c>
      <c r="O1063" s="57" t="s">
        <v>1975</v>
      </c>
      <c r="P1063" s="57" t="s">
        <v>1976</v>
      </c>
      <c r="Q1063" s="57" t="s">
        <v>706</v>
      </c>
    </row>
    <row r="1064" s="50" customFormat="true" ht="14.25" hidden="false" customHeight="true" outlineLevel="0" collapsed="false">
      <c r="A1064" s="50" t="s">
        <v>775</v>
      </c>
      <c r="B1064" s="57" t="s">
        <v>771</v>
      </c>
      <c r="C1064" s="57" t="s">
        <v>776</v>
      </c>
      <c r="D1064" s="58" t="n">
        <v>46071.6284722222</v>
      </c>
      <c r="E1064" s="58" t="n">
        <v>46071.6284722222</v>
      </c>
      <c r="F1064" s="58" t="n">
        <v>46071.6631944444</v>
      </c>
      <c r="G1064" s="59" t="n">
        <f aca="false">F1064-E1064</f>
        <v>0.0347222221990741</v>
      </c>
      <c r="H1064" s="57" t="s">
        <v>252</v>
      </c>
      <c r="I1064" s="57"/>
      <c r="J1064" s="57" t="s">
        <v>253</v>
      </c>
      <c r="K1064" s="57" t="s">
        <v>266</v>
      </c>
      <c r="L1064" s="57" t="s">
        <v>1974</v>
      </c>
      <c r="M1064" s="57" t="s">
        <v>255</v>
      </c>
      <c r="N1064" s="57" t="s">
        <v>256</v>
      </c>
      <c r="O1064" s="57" t="s">
        <v>1975</v>
      </c>
      <c r="P1064" s="57" t="s">
        <v>1977</v>
      </c>
      <c r="Q1064" s="57" t="s">
        <v>706</v>
      </c>
    </row>
    <row r="1065" s="50" customFormat="true" ht="14.25" hidden="false" customHeight="true" outlineLevel="0" collapsed="false">
      <c r="A1065" s="50" t="s">
        <v>778</v>
      </c>
      <c r="B1065" s="57" t="s">
        <v>771</v>
      </c>
      <c r="C1065" s="57" t="s">
        <v>779</v>
      </c>
      <c r="D1065" s="58" t="n">
        <v>46071.6284722222</v>
      </c>
      <c r="E1065" s="58" t="n">
        <v>46071.6284722222</v>
      </c>
      <c r="F1065" s="58" t="n">
        <v>46071.6631944444</v>
      </c>
      <c r="G1065" s="59" t="n">
        <f aca="false">F1065-E1065</f>
        <v>0.0347222221990741</v>
      </c>
      <c r="H1065" s="57" t="s">
        <v>252</v>
      </c>
      <c r="I1065" s="57"/>
      <c r="J1065" s="57" t="s">
        <v>253</v>
      </c>
      <c r="K1065" s="57" t="s">
        <v>266</v>
      </c>
      <c r="L1065" s="57" t="s">
        <v>1974</v>
      </c>
      <c r="M1065" s="57" t="s">
        <v>255</v>
      </c>
      <c r="N1065" s="57" t="s">
        <v>256</v>
      </c>
      <c r="O1065" s="57" t="s">
        <v>1975</v>
      </c>
      <c r="P1065" s="57" t="s">
        <v>1978</v>
      </c>
      <c r="Q1065" s="57" t="s">
        <v>706</v>
      </c>
    </row>
    <row r="1066" s="50" customFormat="true" ht="14.25" hidden="false" customHeight="true" outlineLevel="0" collapsed="false">
      <c r="A1066" s="50" t="s">
        <v>781</v>
      </c>
      <c r="B1066" s="57" t="s">
        <v>782</v>
      </c>
      <c r="C1066" s="57" t="s">
        <v>783</v>
      </c>
      <c r="D1066" s="58" t="n">
        <v>46071.6284722222</v>
      </c>
      <c r="E1066" s="58" t="n">
        <v>46071.6284722222</v>
      </c>
      <c r="F1066" s="58" t="n">
        <v>46071.6631944444</v>
      </c>
      <c r="G1066" s="59" t="n">
        <f aca="false">F1066-E1066</f>
        <v>0.0347222221990741</v>
      </c>
      <c r="H1066" s="57" t="s">
        <v>252</v>
      </c>
      <c r="I1066" s="57"/>
      <c r="J1066" s="57" t="s">
        <v>253</v>
      </c>
      <c r="K1066" s="57" t="s">
        <v>266</v>
      </c>
      <c r="L1066" s="57" t="s">
        <v>1974</v>
      </c>
      <c r="M1066" s="57" t="s">
        <v>255</v>
      </c>
      <c r="N1066" s="57" t="s">
        <v>256</v>
      </c>
      <c r="O1066" s="57" t="s">
        <v>1975</v>
      </c>
      <c r="P1066" s="57" t="s">
        <v>1979</v>
      </c>
      <c r="Q1066" s="57" t="s">
        <v>706</v>
      </c>
    </row>
    <row r="1067" s="50" customFormat="true" ht="14.25" hidden="false" customHeight="true" outlineLevel="0" collapsed="false">
      <c r="A1067" s="50" t="s">
        <v>785</v>
      </c>
      <c r="B1067" s="57" t="s">
        <v>782</v>
      </c>
      <c r="C1067" s="57" t="s">
        <v>786</v>
      </c>
      <c r="D1067" s="58" t="n">
        <v>46071.6284722222</v>
      </c>
      <c r="E1067" s="58" t="n">
        <v>46071.6284722222</v>
      </c>
      <c r="F1067" s="58" t="n">
        <v>46071.6631944444</v>
      </c>
      <c r="G1067" s="59" t="n">
        <f aca="false">F1067-E1067</f>
        <v>0.0347222221990741</v>
      </c>
      <c r="H1067" s="57" t="s">
        <v>252</v>
      </c>
      <c r="I1067" s="57"/>
      <c r="J1067" s="57" t="s">
        <v>253</v>
      </c>
      <c r="K1067" s="57" t="s">
        <v>266</v>
      </c>
      <c r="L1067" s="57" t="s">
        <v>1974</v>
      </c>
      <c r="M1067" s="57" t="s">
        <v>255</v>
      </c>
      <c r="N1067" s="57" t="s">
        <v>256</v>
      </c>
      <c r="O1067" s="57" t="s">
        <v>1975</v>
      </c>
      <c r="P1067" s="57" t="s">
        <v>1980</v>
      </c>
      <c r="Q1067" s="57" t="s">
        <v>706</v>
      </c>
    </row>
    <row r="1068" s="50" customFormat="true" ht="14.25" hidden="false" customHeight="true" outlineLevel="0" collapsed="false">
      <c r="A1068" s="50" t="s">
        <v>788</v>
      </c>
      <c r="B1068" s="57" t="s">
        <v>782</v>
      </c>
      <c r="C1068" s="57" t="s">
        <v>789</v>
      </c>
      <c r="D1068" s="58" t="n">
        <v>46071.6284722222</v>
      </c>
      <c r="E1068" s="58" t="n">
        <v>46071.6284722222</v>
      </c>
      <c r="F1068" s="58" t="n">
        <v>46071.6631944444</v>
      </c>
      <c r="G1068" s="59" t="n">
        <f aca="false">F1068-E1068</f>
        <v>0.0347222221990741</v>
      </c>
      <c r="H1068" s="57" t="s">
        <v>252</v>
      </c>
      <c r="I1068" s="57"/>
      <c r="J1068" s="57" t="s">
        <v>253</v>
      </c>
      <c r="K1068" s="57" t="s">
        <v>266</v>
      </c>
      <c r="L1068" s="57" t="s">
        <v>1974</v>
      </c>
      <c r="M1068" s="57" t="s">
        <v>255</v>
      </c>
      <c r="N1068" s="57" t="s">
        <v>256</v>
      </c>
      <c r="O1068" s="57" t="s">
        <v>1975</v>
      </c>
      <c r="P1068" s="57" t="s">
        <v>1981</v>
      </c>
      <c r="Q1068" s="57" t="s">
        <v>706</v>
      </c>
    </row>
    <row r="1069" s="50" customFormat="true" ht="14.25" hidden="false" customHeight="true" outlineLevel="0" collapsed="false">
      <c r="A1069" s="50" t="s">
        <v>791</v>
      </c>
      <c r="B1069" s="57" t="s">
        <v>782</v>
      </c>
      <c r="C1069" s="57" t="s">
        <v>792</v>
      </c>
      <c r="D1069" s="58" t="n">
        <v>46071.6284722222</v>
      </c>
      <c r="E1069" s="58" t="n">
        <v>46071.6284722222</v>
      </c>
      <c r="F1069" s="58" t="n">
        <v>46071.6631944444</v>
      </c>
      <c r="G1069" s="59" t="n">
        <f aca="false">F1069-E1069</f>
        <v>0.0347222221990741</v>
      </c>
      <c r="H1069" s="57" t="s">
        <v>252</v>
      </c>
      <c r="I1069" s="57"/>
      <c r="J1069" s="57" t="s">
        <v>253</v>
      </c>
      <c r="K1069" s="57" t="s">
        <v>266</v>
      </c>
      <c r="L1069" s="57" t="s">
        <v>1974</v>
      </c>
      <c r="M1069" s="57" t="s">
        <v>255</v>
      </c>
      <c r="N1069" s="57" t="s">
        <v>256</v>
      </c>
      <c r="O1069" s="57" t="s">
        <v>1975</v>
      </c>
      <c r="P1069" s="57" t="s">
        <v>1982</v>
      </c>
      <c r="Q1069" s="57" t="s">
        <v>706</v>
      </c>
    </row>
    <row r="1070" s="50" customFormat="true" ht="14.25" hidden="false" customHeight="true" outlineLevel="0" collapsed="false">
      <c r="A1070" s="50" t="s">
        <v>358</v>
      </c>
      <c r="B1070" s="57" t="s">
        <v>358</v>
      </c>
      <c r="C1070" s="57" t="s">
        <v>324</v>
      </c>
      <c r="D1070" s="58" t="n">
        <v>46071.6805555556</v>
      </c>
      <c r="E1070" s="58" t="n">
        <v>46071.6805555556</v>
      </c>
      <c r="F1070" s="58" t="n">
        <v>46071.7256944444</v>
      </c>
      <c r="G1070" s="59" t="n">
        <f aca="false">F1070-E1070</f>
        <v>0.0451388888078704</v>
      </c>
      <c r="H1070" s="57" t="s">
        <v>252</v>
      </c>
      <c r="I1070" s="57"/>
      <c r="J1070" s="57" t="s">
        <v>253</v>
      </c>
      <c r="K1070" s="57" t="s">
        <v>266</v>
      </c>
      <c r="L1070" s="57" t="s">
        <v>1983</v>
      </c>
      <c r="M1070" s="57" t="s">
        <v>255</v>
      </c>
      <c r="N1070" s="57" t="s">
        <v>256</v>
      </c>
      <c r="O1070" s="57" t="s">
        <v>1984</v>
      </c>
      <c r="P1070" s="57" t="s">
        <v>1985</v>
      </c>
      <c r="Q1070" s="57" t="s">
        <v>706</v>
      </c>
    </row>
    <row r="1071" s="50" customFormat="true" ht="14.25" hidden="false" customHeight="true" outlineLevel="0" collapsed="false">
      <c r="A1071" s="50" t="s">
        <v>358</v>
      </c>
      <c r="B1071" s="57" t="s">
        <v>358</v>
      </c>
      <c r="C1071" s="57" t="s">
        <v>326</v>
      </c>
      <c r="D1071" s="58" t="n">
        <v>46071.6805555556</v>
      </c>
      <c r="E1071" s="58" t="n">
        <v>46071.6805555556</v>
      </c>
      <c r="F1071" s="58" t="n">
        <v>46071.7256944444</v>
      </c>
      <c r="G1071" s="59" t="n">
        <f aca="false">F1071-E1071</f>
        <v>0.0451388888078704</v>
      </c>
      <c r="H1071" s="57" t="s">
        <v>252</v>
      </c>
      <c r="I1071" s="57"/>
      <c r="J1071" s="57" t="s">
        <v>253</v>
      </c>
      <c r="K1071" s="57" t="s">
        <v>266</v>
      </c>
      <c r="L1071" s="57" t="s">
        <v>1983</v>
      </c>
      <c r="M1071" s="57" t="s">
        <v>255</v>
      </c>
      <c r="N1071" s="57" t="s">
        <v>256</v>
      </c>
      <c r="O1071" s="57" t="s">
        <v>1984</v>
      </c>
      <c r="P1071" s="57" t="s">
        <v>1986</v>
      </c>
      <c r="Q1071" s="57" t="s">
        <v>706</v>
      </c>
    </row>
    <row r="1072" s="50" customFormat="true" ht="14.25" hidden="false" customHeight="true" outlineLevel="0" collapsed="false">
      <c r="A1072" s="50" t="s">
        <v>358</v>
      </c>
      <c r="B1072" s="57" t="s">
        <v>358</v>
      </c>
      <c r="C1072" s="57" t="s">
        <v>327</v>
      </c>
      <c r="D1072" s="58" t="n">
        <v>46071.6805555556</v>
      </c>
      <c r="E1072" s="58" t="n">
        <v>46071.6805555556</v>
      </c>
      <c r="F1072" s="58" t="n">
        <v>46071.7256944444</v>
      </c>
      <c r="G1072" s="59" t="n">
        <f aca="false">F1072-E1072</f>
        <v>0.0451388888078704</v>
      </c>
      <c r="H1072" s="57" t="s">
        <v>252</v>
      </c>
      <c r="I1072" s="57"/>
      <c r="J1072" s="57" t="s">
        <v>253</v>
      </c>
      <c r="K1072" s="57" t="s">
        <v>266</v>
      </c>
      <c r="L1072" s="57" t="s">
        <v>1983</v>
      </c>
      <c r="M1072" s="57" t="s">
        <v>255</v>
      </c>
      <c r="N1072" s="57" t="s">
        <v>256</v>
      </c>
      <c r="O1072" s="57" t="s">
        <v>1984</v>
      </c>
      <c r="P1072" s="57" t="s">
        <v>1987</v>
      </c>
      <c r="Q1072" s="57" t="s">
        <v>706</v>
      </c>
    </row>
    <row r="1073" s="50" customFormat="true" ht="14.25" hidden="false" customHeight="true" outlineLevel="0" collapsed="false">
      <c r="A1073" s="50" t="s">
        <v>358</v>
      </c>
      <c r="B1073" s="57" t="s">
        <v>358</v>
      </c>
      <c r="C1073" s="57" t="s">
        <v>328</v>
      </c>
      <c r="D1073" s="58" t="n">
        <v>46071.6805555556</v>
      </c>
      <c r="E1073" s="58" t="n">
        <v>46071.6805555556</v>
      </c>
      <c r="F1073" s="58" t="n">
        <v>46071.7256944444</v>
      </c>
      <c r="G1073" s="59" t="n">
        <f aca="false">F1073-E1073</f>
        <v>0.0451388888078704</v>
      </c>
      <c r="H1073" s="57" t="s">
        <v>252</v>
      </c>
      <c r="I1073" s="57"/>
      <c r="J1073" s="57" t="s">
        <v>253</v>
      </c>
      <c r="K1073" s="57" t="s">
        <v>266</v>
      </c>
      <c r="L1073" s="57" t="s">
        <v>1983</v>
      </c>
      <c r="M1073" s="57" t="s">
        <v>255</v>
      </c>
      <c r="N1073" s="57" t="s">
        <v>256</v>
      </c>
      <c r="O1073" s="57" t="s">
        <v>1984</v>
      </c>
      <c r="P1073" s="57" t="s">
        <v>1988</v>
      </c>
      <c r="Q1073" s="57" t="s">
        <v>706</v>
      </c>
    </row>
    <row r="1074" s="50" customFormat="true" ht="14.25" hidden="false" customHeight="true" outlineLevel="0" collapsed="false">
      <c r="A1074" s="50" t="s">
        <v>361</v>
      </c>
      <c r="B1074" s="57" t="s">
        <v>361</v>
      </c>
      <c r="C1074" s="57" t="s">
        <v>324</v>
      </c>
      <c r="D1074" s="58" t="n">
        <v>46071.6805555556</v>
      </c>
      <c r="E1074" s="58" t="n">
        <v>46071.6805555556</v>
      </c>
      <c r="F1074" s="58" t="n">
        <v>46071.7256944444</v>
      </c>
      <c r="G1074" s="59" t="n">
        <f aca="false">F1074-E1074</f>
        <v>0.0451388888078704</v>
      </c>
      <c r="H1074" s="57" t="s">
        <v>252</v>
      </c>
      <c r="I1074" s="57"/>
      <c r="J1074" s="57" t="s">
        <v>253</v>
      </c>
      <c r="K1074" s="57" t="s">
        <v>266</v>
      </c>
      <c r="L1074" s="57" t="s">
        <v>1983</v>
      </c>
      <c r="M1074" s="57" t="s">
        <v>255</v>
      </c>
      <c r="N1074" s="57" t="s">
        <v>256</v>
      </c>
      <c r="O1074" s="57" t="s">
        <v>1984</v>
      </c>
      <c r="P1074" s="57" t="s">
        <v>1989</v>
      </c>
      <c r="Q1074" s="57" t="s">
        <v>706</v>
      </c>
    </row>
    <row r="1075" s="50" customFormat="true" ht="14.25" hidden="false" customHeight="true" outlineLevel="0" collapsed="false">
      <c r="A1075" s="50" t="s">
        <v>361</v>
      </c>
      <c r="B1075" s="57" t="s">
        <v>361</v>
      </c>
      <c r="C1075" s="57" t="s">
        <v>326</v>
      </c>
      <c r="D1075" s="58" t="n">
        <v>46071.6805555556</v>
      </c>
      <c r="E1075" s="58" t="n">
        <v>46071.6805555556</v>
      </c>
      <c r="F1075" s="58" t="n">
        <v>46071.7256944444</v>
      </c>
      <c r="G1075" s="59" t="n">
        <f aca="false">F1075-E1075</f>
        <v>0.0451388888078704</v>
      </c>
      <c r="H1075" s="57" t="s">
        <v>252</v>
      </c>
      <c r="I1075" s="57"/>
      <c r="J1075" s="57" t="s">
        <v>253</v>
      </c>
      <c r="K1075" s="57" t="s">
        <v>266</v>
      </c>
      <c r="L1075" s="57" t="s">
        <v>1983</v>
      </c>
      <c r="M1075" s="57" t="s">
        <v>255</v>
      </c>
      <c r="N1075" s="57" t="s">
        <v>256</v>
      </c>
      <c r="O1075" s="57" t="s">
        <v>1984</v>
      </c>
      <c r="P1075" s="57" t="s">
        <v>1990</v>
      </c>
      <c r="Q1075" s="57" t="s">
        <v>706</v>
      </c>
    </row>
    <row r="1076" s="50" customFormat="true" ht="14.25" hidden="false" customHeight="true" outlineLevel="0" collapsed="false">
      <c r="A1076" s="50" t="s">
        <v>361</v>
      </c>
      <c r="B1076" s="57" t="s">
        <v>361</v>
      </c>
      <c r="C1076" s="57" t="s">
        <v>327</v>
      </c>
      <c r="D1076" s="58" t="n">
        <v>46071.6805555556</v>
      </c>
      <c r="E1076" s="58" t="n">
        <v>46071.6805555556</v>
      </c>
      <c r="F1076" s="58" t="n">
        <v>46071.7256944444</v>
      </c>
      <c r="G1076" s="59" t="n">
        <f aca="false">F1076-E1076</f>
        <v>0.0451388888078704</v>
      </c>
      <c r="H1076" s="57" t="s">
        <v>252</v>
      </c>
      <c r="I1076" s="57"/>
      <c r="J1076" s="57" t="s">
        <v>253</v>
      </c>
      <c r="K1076" s="57" t="s">
        <v>266</v>
      </c>
      <c r="L1076" s="57" t="s">
        <v>1983</v>
      </c>
      <c r="M1076" s="57" t="s">
        <v>255</v>
      </c>
      <c r="N1076" s="57" t="s">
        <v>256</v>
      </c>
      <c r="O1076" s="57" t="s">
        <v>1984</v>
      </c>
      <c r="P1076" s="57" t="s">
        <v>1991</v>
      </c>
      <c r="Q1076" s="57" t="s">
        <v>706</v>
      </c>
    </row>
    <row r="1077" s="50" customFormat="true" ht="14.25" hidden="false" customHeight="true" outlineLevel="0" collapsed="false">
      <c r="A1077" s="50" t="s">
        <v>361</v>
      </c>
      <c r="B1077" s="57" t="s">
        <v>361</v>
      </c>
      <c r="C1077" s="57" t="s">
        <v>328</v>
      </c>
      <c r="D1077" s="58" t="n">
        <v>46071.6805555556</v>
      </c>
      <c r="E1077" s="58" t="n">
        <v>46071.6805555556</v>
      </c>
      <c r="F1077" s="58" t="n">
        <v>46071.7256944444</v>
      </c>
      <c r="G1077" s="59" t="n">
        <f aca="false">F1077-E1077</f>
        <v>0.0451388888078704</v>
      </c>
      <c r="H1077" s="57" t="s">
        <v>252</v>
      </c>
      <c r="I1077" s="57"/>
      <c r="J1077" s="57" t="s">
        <v>253</v>
      </c>
      <c r="K1077" s="57" t="s">
        <v>266</v>
      </c>
      <c r="L1077" s="57" t="s">
        <v>1983</v>
      </c>
      <c r="M1077" s="57" t="s">
        <v>255</v>
      </c>
      <c r="N1077" s="57" t="s">
        <v>256</v>
      </c>
      <c r="O1077" s="57" t="s">
        <v>1984</v>
      </c>
      <c r="P1077" s="57" t="s">
        <v>1992</v>
      </c>
      <c r="Q1077" s="57" t="s">
        <v>706</v>
      </c>
    </row>
    <row r="1078" s="50" customFormat="true" ht="14.25" hidden="false" customHeight="true" outlineLevel="0" collapsed="false">
      <c r="A1078" s="50" t="s">
        <v>362</v>
      </c>
      <c r="B1078" s="57" t="s">
        <v>362</v>
      </c>
      <c r="C1078" s="57" t="s">
        <v>363</v>
      </c>
      <c r="D1078" s="58" t="n">
        <v>46071.6805555556</v>
      </c>
      <c r="E1078" s="58" t="n">
        <v>46071.6805555556</v>
      </c>
      <c r="F1078" s="58" t="n">
        <v>46071.7256944444</v>
      </c>
      <c r="G1078" s="59" t="n">
        <f aca="false">F1078-E1078</f>
        <v>0.0451388888078704</v>
      </c>
      <c r="H1078" s="57" t="s">
        <v>252</v>
      </c>
      <c r="I1078" s="57"/>
      <c r="J1078" s="57" t="s">
        <v>253</v>
      </c>
      <c r="K1078" s="57" t="s">
        <v>266</v>
      </c>
      <c r="L1078" s="57" t="s">
        <v>1983</v>
      </c>
      <c r="M1078" s="57" t="s">
        <v>255</v>
      </c>
      <c r="N1078" s="57" t="s">
        <v>256</v>
      </c>
      <c r="O1078" s="57" t="s">
        <v>1984</v>
      </c>
      <c r="P1078" s="57" t="s">
        <v>1993</v>
      </c>
      <c r="Q1078" s="57" t="s">
        <v>706</v>
      </c>
    </row>
    <row r="1079" s="50" customFormat="true" ht="14.25" hidden="false" customHeight="true" outlineLevel="0" collapsed="false">
      <c r="A1079" s="50" t="s">
        <v>362</v>
      </c>
      <c r="B1079" s="57" t="s">
        <v>362</v>
      </c>
      <c r="C1079" s="57" t="s">
        <v>265</v>
      </c>
      <c r="D1079" s="58" t="n">
        <v>46071.6805555556</v>
      </c>
      <c r="E1079" s="58" t="n">
        <v>46071.6805555556</v>
      </c>
      <c r="F1079" s="58" t="n">
        <v>46071.7256944444</v>
      </c>
      <c r="G1079" s="59" t="n">
        <f aca="false">F1079-E1079</f>
        <v>0.0451388888078704</v>
      </c>
      <c r="H1079" s="57" t="s">
        <v>252</v>
      </c>
      <c r="I1079" s="57"/>
      <c r="J1079" s="57" t="s">
        <v>253</v>
      </c>
      <c r="K1079" s="57" t="s">
        <v>266</v>
      </c>
      <c r="L1079" s="57" t="s">
        <v>1983</v>
      </c>
      <c r="M1079" s="57" t="s">
        <v>255</v>
      </c>
      <c r="N1079" s="57" t="s">
        <v>256</v>
      </c>
      <c r="O1079" s="57" t="s">
        <v>1984</v>
      </c>
      <c r="P1079" s="57" t="s">
        <v>1994</v>
      </c>
      <c r="Q1079" s="57" t="s">
        <v>706</v>
      </c>
    </row>
    <row r="1080" s="50" customFormat="true" ht="14.25" hidden="false" customHeight="true" outlineLevel="0" collapsed="false">
      <c r="A1080" s="50" t="s">
        <v>367</v>
      </c>
      <c r="B1080" s="57" t="s">
        <v>367</v>
      </c>
      <c r="C1080" s="57" t="s">
        <v>324</v>
      </c>
      <c r="D1080" s="58" t="n">
        <v>46071.6805555556</v>
      </c>
      <c r="E1080" s="58" t="n">
        <v>46071.6805555556</v>
      </c>
      <c r="F1080" s="58" t="n">
        <v>46071.7256944444</v>
      </c>
      <c r="G1080" s="59" t="n">
        <f aca="false">F1080-E1080</f>
        <v>0.0451388888078704</v>
      </c>
      <c r="H1080" s="57" t="s">
        <v>252</v>
      </c>
      <c r="I1080" s="57"/>
      <c r="J1080" s="57" t="s">
        <v>253</v>
      </c>
      <c r="K1080" s="57" t="s">
        <v>266</v>
      </c>
      <c r="L1080" s="57" t="s">
        <v>1983</v>
      </c>
      <c r="M1080" s="57" t="s">
        <v>255</v>
      </c>
      <c r="N1080" s="57" t="s">
        <v>256</v>
      </c>
      <c r="O1080" s="57" t="s">
        <v>1984</v>
      </c>
      <c r="P1080" s="57" t="s">
        <v>1995</v>
      </c>
      <c r="Q1080" s="57" t="s">
        <v>706</v>
      </c>
    </row>
    <row r="1081" s="50" customFormat="true" ht="14.25" hidden="false" customHeight="true" outlineLevel="0" collapsed="false">
      <c r="A1081" s="50" t="s">
        <v>367</v>
      </c>
      <c r="B1081" s="57" t="s">
        <v>367</v>
      </c>
      <c r="C1081" s="57" t="s">
        <v>328</v>
      </c>
      <c r="D1081" s="58" t="n">
        <v>46071.6805555556</v>
      </c>
      <c r="E1081" s="58" t="n">
        <v>46071.6805555556</v>
      </c>
      <c r="F1081" s="58" t="n">
        <v>46071.7256944444</v>
      </c>
      <c r="G1081" s="59" t="n">
        <f aca="false">F1081-E1081</f>
        <v>0.0451388888078704</v>
      </c>
      <c r="H1081" s="57" t="s">
        <v>252</v>
      </c>
      <c r="I1081" s="57"/>
      <c r="J1081" s="57" t="s">
        <v>253</v>
      </c>
      <c r="K1081" s="57" t="s">
        <v>266</v>
      </c>
      <c r="L1081" s="57" t="s">
        <v>1983</v>
      </c>
      <c r="M1081" s="57" t="s">
        <v>255</v>
      </c>
      <c r="N1081" s="57" t="s">
        <v>256</v>
      </c>
      <c r="O1081" s="57" t="s">
        <v>1984</v>
      </c>
      <c r="P1081" s="57" t="s">
        <v>1996</v>
      </c>
      <c r="Q1081" s="57" t="s">
        <v>706</v>
      </c>
    </row>
    <row r="1082" s="50" customFormat="true" ht="14.25" hidden="false" customHeight="true" outlineLevel="0" collapsed="false">
      <c r="A1082" s="50" t="s">
        <v>367</v>
      </c>
      <c r="B1082" s="57" t="s">
        <v>367</v>
      </c>
      <c r="C1082" s="57" t="s">
        <v>327</v>
      </c>
      <c r="D1082" s="58" t="n">
        <v>46071.6805555556</v>
      </c>
      <c r="E1082" s="58" t="n">
        <v>46071.6805555556</v>
      </c>
      <c r="F1082" s="58" t="n">
        <v>46071.7256944444</v>
      </c>
      <c r="G1082" s="59" t="n">
        <f aca="false">F1082-E1082</f>
        <v>0.0451388888078704</v>
      </c>
      <c r="H1082" s="57" t="s">
        <v>252</v>
      </c>
      <c r="I1082" s="57"/>
      <c r="J1082" s="57" t="s">
        <v>253</v>
      </c>
      <c r="K1082" s="57" t="s">
        <v>266</v>
      </c>
      <c r="L1082" s="57" t="s">
        <v>1983</v>
      </c>
      <c r="M1082" s="57" t="s">
        <v>255</v>
      </c>
      <c r="N1082" s="57" t="s">
        <v>256</v>
      </c>
      <c r="O1082" s="57" t="s">
        <v>1984</v>
      </c>
      <c r="P1082" s="57" t="s">
        <v>1997</v>
      </c>
      <c r="Q1082" s="57" t="s">
        <v>706</v>
      </c>
    </row>
    <row r="1083" s="50" customFormat="true" ht="14.25" hidden="false" customHeight="true" outlineLevel="0" collapsed="false">
      <c r="A1083" s="50" t="s">
        <v>367</v>
      </c>
      <c r="B1083" s="57" t="s">
        <v>367</v>
      </c>
      <c r="C1083" s="57" t="s">
        <v>265</v>
      </c>
      <c r="D1083" s="58" t="n">
        <v>46071.6805555556</v>
      </c>
      <c r="E1083" s="58" t="n">
        <v>46071.6805555556</v>
      </c>
      <c r="F1083" s="58" t="n">
        <v>46071.7256944444</v>
      </c>
      <c r="G1083" s="59" t="n">
        <f aca="false">F1083-E1083</f>
        <v>0.0451388888078704</v>
      </c>
      <c r="H1083" s="57" t="s">
        <v>252</v>
      </c>
      <c r="I1083" s="57"/>
      <c r="J1083" s="57" t="s">
        <v>253</v>
      </c>
      <c r="K1083" s="57" t="s">
        <v>266</v>
      </c>
      <c r="L1083" s="57" t="s">
        <v>1983</v>
      </c>
      <c r="M1083" s="57" t="s">
        <v>255</v>
      </c>
      <c r="N1083" s="57" t="s">
        <v>256</v>
      </c>
      <c r="O1083" s="57" t="s">
        <v>1984</v>
      </c>
      <c r="P1083" s="57" t="s">
        <v>1998</v>
      </c>
      <c r="Q1083" s="57" t="s">
        <v>706</v>
      </c>
    </row>
    <row r="1084" s="50" customFormat="true" ht="14.25" hidden="false" customHeight="true" outlineLevel="0" collapsed="false">
      <c r="A1084" s="50" t="s">
        <v>460</v>
      </c>
      <c r="B1084" s="57" t="s">
        <v>460</v>
      </c>
      <c r="C1084" s="57" t="s">
        <v>328</v>
      </c>
      <c r="D1084" s="58" t="n">
        <v>46071.6805555556</v>
      </c>
      <c r="E1084" s="58" t="n">
        <v>46071.6805555556</v>
      </c>
      <c r="F1084" s="58" t="n">
        <v>46071.7256944444</v>
      </c>
      <c r="G1084" s="59" t="n">
        <f aca="false">F1084-E1084</f>
        <v>0.0451388888078704</v>
      </c>
      <c r="H1084" s="57" t="s">
        <v>252</v>
      </c>
      <c r="I1084" s="57"/>
      <c r="J1084" s="57" t="s">
        <v>253</v>
      </c>
      <c r="K1084" s="57" t="s">
        <v>266</v>
      </c>
      <c r="L1084" s="57" t="s">
        <v>1983</v>
      </c>
      <c r="M1084" s="57" t="s">
        <v>255</v>
      </c>
      <c r="N1084" s="57" t="s">
        <v>256</v>
      </c>
      <c r="O1084" s="57" t="s">
        <v>1984</v>
      </c>
      <c r="P1084" s="57" t="s">
        <v>1999</v>
      </c>
      <c r="Q1084" s="57" t="s">
        <v>706</v>
      </c>
    </row>
    <row r="1085" s="50" customFormat="true" ht="14.25" hidden="false" customHeight="true" outlineLevel="0" collapsed="false">
      <c r="A1085" s="50" t="s">
        <v>460</v>
      </c>
      <c r="B1085" s="57" t="s">
        <v>460</v>
      </c>
      <c r="C1085" s="57" t="s">
        <v>326</v>
      </c>
      <c r="D1085" s="58" t="n">
        <v>46071.6805555556</v>
      </c>
      <c r="E1085" s="58" t="n">
        <v>46071.6805555556</v>
      </c>
      <c r="F1085" s="58" t="n">
        <v>46071.7256944444</v>
      </c>
      <c r="G1085" s="59" t="n">
        <f aca="false">F1085-E1085</f>
        <v>0.0451388888078704</v>
      </c>
      <c r="H1085" s="57" t="s">
        <v>252</v>
      </c>
      <c r="I1085" s="57"/>
      <c r="J1085" s="57" t="s">
        <v>253</v>
      </c>
      <c r="K1085" s="57" t="s">
        <v>266</v>
      </c>
      <c r="L1085" s="57" t="s">
        <v>1983</v>
      </c>
      <c r="M1085" s="57" t="s">
        <v>255</v>
      </c>
      <c r="N1085" s="57" t="s">
        <v>256</v>
      </c>
      <c r="O1085" s="57" t="s">
        <v>1984</v>
      </c>
      <c r="P1085" s="57" t="s">
        <v>2000</v>
      </c>
      <c r="Q1085" s="57" t="s">
        <v>706</v>
      </c>
    </row>
    <row r="1086" s="50" customFormat="true" ht="14.25" hidden="false" customHeight="true" outlineLevel="0" collapsed="false">
      <c r="A1086" s="50" t="s">
        <v>460</v>
      </c>
      <c r="B1086" s="57" t="s">
        <v>460</v>
      </c>
      <c r="C1086" s="57" t="s">
        <v>327</v>
      </c>
      <c r="D1086" s="58" t="n">
        <v>46071.6805555556</v>
      </c>
      <c r="E1086" s="58" t="n">
        <v>46071.6805555556</v>
      </c>
      <c r="F1086" s="58" t="n">
        <v>46071.7256944444</v>
      </c>
      <c r="G1086" s="59" t="n">
        <f aca="false">F1086-E1086</f>
        <v>0.0451388888078704</v>
      </c>
      <c r="H1086" s="57" t="s">
        <v>252</v>
      </c>
      <c r="I1086" s="57"/>
      <c r="J1086" s="57" t="s">
        <v>253</v>
      </c>
      <c r="K1086" s="57" t="s">
        <v>266</v>
      </c>
      <c r="L1086" s="57" t="s">
        <v>1983</v>
      </c>
      <c r="M1086" s="57" t="s">
        <v>255</v>
      </c>
      <c r="N1086" s="57" t="s">
        <v>256</v>
      </c>
      <c r="O1086" s="57" t="s">
        <v>1984</v>
      </c>
      <c r="P1086" s="57" t="s">
        <v>2001</v>
      </c>
      <c r="Q1086" s="57" t="s">
        <v>706</v>
      </c>
    </row>
    <row r="1087" s="50" customFormat="true" ht="14.25" hidden="false" customHeight="true" outlineLevel="0" collapsed="false">
      <c r="A1087" s="50" t="s">
        <v>460</v>
      </c>
      <c r="B1087" s="57" t="s">
        <v>460</v>
      </c>
      <c r="C1087" s="57" t="s">
        <v>324</v>
      </c>
      <c r="D1087" s="58" t="n">
        <v>46071.6805555556</v>
      </c>
      <c r="E1087" s="58" t="n">
        <v>46071.6805555556</v>
      </c>
      <c r="F1087" s="58" t="n">
        <v>46071.7256944444</v>
      </c>
      <c r="G1087" s="59" t="n">
        <f aca="false">F1087-E1087</f>
        <v>0.0451388888078704</v>
      </c>
      <c r="H1087" s="57" t="s">
        <v>252</v>
      </c>
      <c r="I1087" s="57"/>
      <c r="J1087" s="57" t="s">
        <v>253</v>
      </c>
      <c r="K1087" s="57" t="s">
        <v>266</v>
      </c>
      <c r="L1087" s="57" t="s">
        <v>1983</v>
      </c>
      <c r="M1087" s="57" t="s">
        <v>255</v>
      </c>
      <c r="N1087" s="57" t="s">
        <v>256</v>
      </c>
      <c r="O1087" s="57" t="s">
        <v>1984</v>
      </c>
      <c r="P1087" s="57" t="s">
        <v>2002</v>
      </c>
      <c r="Q1087" s="57" t="s">
        <v>706</v>
      </c>
    </row>
    <row r="1088" s="50" customFormat="true" ht="14.25" hidden="false" customHeight="true" outlineLevel="0" collapsed="false">
      <c r="A1088" s="50" t="s">
        <v>461</v>
      </c>
      <c r="B1088" s="57" t="s">
        <v>461</v>
      </c>
      <c r="C1088" s="57" t="s">
        <v>324</v>
      </c>
      <c r="D1088" s="58" t="n">
        <v>46071.6805555556</v>
      </c>
      <c r="E1088" s="58" t="n">
        <v>46071.6805555556</v>
      </c>
      <c r="F1088" s="58" t="n">
        <v>46071.7256944444</v>
      </c>
      <c r="G1088" s="59" t="n">
        <f aca="false">F1088-E1088</f>
        <v>0.0451388888078704</v>
      </c>
      <c r="H1088" s="57" t="s">
        <v>252</v>
      </c>
      <c r="I1088" s="57"/>
      <c r="J1088" s="57" t="s">
        <v>253</v>
      </c>
      <c r="K1088" s="57" t="s">
        <v>266</v>
      </c>
      <c r="L1088" s="57" t="s">
        <v>1983</v>
      </c>
      <c r="M1088" s="57" t="s">
        <v>255</v>
      </c>
      <c r="N1088" s="57" t="s">
        <v>256</v>
      </c>
      <c r="O1088" s="57" t="s">
        <v>1984</v>
      </c>
      <c r="P1088" s="57" t="s">
        <v>2003</v>
      </c>
      <c r="Q1088" s="57" t="s">
        <v>706</v>
      </c>
    </row>
    <row r="1089" s="50" customFormat="true" ht="14.25" hidden="false" customHeight="true" outlineLevel="0" collapsed="false">
      <c r="A1089" s="50" t="s">
        <v>461</v>
      </c>
      <c r="B1089" s="57" t="s">
        <v>461</v>
      </c>
      <c r="C1089" s="57" t="s">
        <v>326</v>
      </c>
      <c r="D1089" s="58" t="n">
        <v>46071.6805555556</v>
      </c>
      <c r="E1089" s="58" t="n">
        <v>46071.6805555556</v>
      </c>
      <c r="F1089" s="58" t="n">
        <v>46071.7256944444</v>
      </c>
      <c r="G1089" s="59" t="n">
        <f aca="false">F1089-E1089</f>
        <v>0.0451388888078704</v>
      </c>
      <c r="H1089" s="57" t="s">
        <v>252</v>
      </c>
      <c r="I1089" s="57"/>
      <c r="J1089" s="57" t="s">
        <v>253</v>
      </c>
      <c r="K1089" s="57" t="s">
        <v>266</v>
      </c>
      <c r="L1089" s="57" t="s">
        <v>1983</v>
      </c>
      <c r="M1089" s="57" t="s">
        <v>255</v>
      </c>
      <c r="N1089" s="57" t="s">
        <v>256</v>
      </c>
      <c r="O1089" s="57" t="s">
        <v>1984</v>
      </c>
      <c r="P1089" s="57" t="s">
        <v>2004</v>
      </c>
      <c r="Q1089" s="57" t="s">
        <v>706</v>
      </c>
    </row>
    <row r="1090" s="50" customFormat="true" ht="28.5" hidden="false" customHeight="true" outlineLevel="0" collapsed="false">
      <c r="A1090" s="50" t="s">
        <v>762</v>
      </c>
      <c r="B1090" s="57" t="s">
        <v>32</v>
      </c>
      <c r="C1090" s="57" t="s">
        <v>576</v>
      </c>
      <c r="D1090" s="58" t="n">
        <v>46071.6819444444</v>
      </c>
      <c r="E1090" s="58" t="n">
        <v>46071.6819444444</v>
      </c>
      <c r="F1090" s="58" t="n">
        <v>46073.4027777778</v>
      </c>
      <c r="G1090" s="59" t="n">
        <f aca="false">F1090-E1090</f>
        <v>1.72083333340278</v>
      </c>
      <c r="H1090" s="57" t="s">
        <v>283</v>
      </c>
      <c r="I1090" s="57" t="s">
        <v>284</v>
      </c>
      <c r="J1090" s="57" t="s">
        <v>369</v>
      </c>
      <c r="K1090" s="57" t="s">
        <v>754</v>
      </c>
      <c r="L1090" s="60" t="s">
        <v>2005</v>
      </c>
      <c r="M1090" s="57" t="s">
        <v>371</v>
      </c>
      <c r="N1090" s="57" t="s">
        <v>502</v>
      </c>
      <c r="O1090" s="60" t="s">
        <v>2006</v>
      </c>
      <c r="P1090" s="57" t="s">
        <v>2007</v>
      </c>
      <c r="Q1090" s="57" t="s">
        <v>1227</v>
      </c>
    </row>
    <row r="1091" s="50" customFormat="true" ht="28.5" hidden="false" customHeight="true" outlineLevel="0" collapsed="false">
      <c r="A1091" s="50" t="s">
        <v>762</v>
      </c>
      <c r="B1091" s="57" t="s">
        <v>32</v>
      </c>
      <c r="C1091" s="57" t="s">
        <v>577</v>
      </c>
      <c r="D1091" s="58" t="n">
        <v>46071.6819444444</v>
      </c>
      <c r="E1091" s="58" t="n">
        <v>46071.6819444444</v>
      </c>
      <c r="F1091" s="58" t="n">
        <v>46073.4027777778</v>
      </c>
      <c r="G1091" s="59" t="n">
        <f aca="false">F1091-E1091</f>
        <v>1.72083333340278</v>
      </c>
      <c r="H1091" s="57" t="s">
        <v>283</v>
      </c>
      <c r="I1091" s="57" t="s">
        <v>284</v>
      </c>
      <c r="J1091" s="57" t="s">
        <v>369</v>
      </c>
      <c r="K1091" s="57" t="s">
        <v>754</v>
      </c>
      <c r="L1091" s="60" t="s">
        <v>2005</v>
      </c>
      <c r="M1091" s="57" t="s">
        <v>371</v>
      </c>
      <c r="N1091" s="57" t="s">
        <v>502</v>
      </c>
      <c r="O1091" s="60" t="s">
        <v>2006</v>
      </c>
      <c r="P1091" s="57" t="s">
        <v>2008</v>
      </c>
      <c r="Q1091" s="57" t="s">
        <v>1227</v>
      </c>
    </row>
    <row r="1092" s="50" customFormat="true" ht="28.5" hidden="false" customHeight="true" outlineLevel="0" collapsed="false">
      <c r="A1092" s="50" t="s">
        <v>762</v>
      </c>
      <c r="B1092" s="57" t="s">
        <v>32</v>
      </c>
      <c r="C1092" s="57" t="s">
        <v>578</v>
      </c>
      <c r="D1092" s="58" t="n">
        <v>46071.6819444444</v>
      </c>
      <c r="E1092" s="58" t="n">
        <v>46071.6819444444</v>
      </c>
      <c r="F1092" s="58" t="n">
        <v>46073.4027777778</v>
      </c>
      <c r="G1092" s="59" t="n">
        <f aca="false">F1092-E1092</f>
        <v>1.72083333340278</v>
      </c>
      <c r="H1092" s="57" t="s">
        <v>283</v>
      </c>
      <c r="I1092" s="57" t="s">
        <v>284</v>
      </c>
      <c r="J1092" s="57" t="s">
        <v>369</v>
      </c>
      <c r="K1092" s="57" t="s">
        <v>754</v>
      </c>
      <c r="L1092" s="60" t="s">
        <v>2005</v>
      </c>
      <c r="M1092" s="57" t="s">
        <v>371</v>
      </c>
      <c r="N1092" s="57" t="s">
        <v>502</v>
      </c>
      <c r="O1092" s="60" t="s">
        <v>2006</v>
      </c>
      <c r="P1092" s="57" t="s">
        <v>2009</v>
      </c>
      <c r="Q1092" s="57" t="s">
        <v>1227</v>
      </c>
    </row>
    <row r="1093" s="50" customFormat="true" ht="28.5" hidden="false" customHeight="true" outlineLevel="0" collapsed="false">
      <c r="A1093" s="50" t="s">
        <v>762</v>
      </c>
      <c r="B1093" s="57" t="s">
        <v>32</v>
      </c>
      <c r="C1093" s="57" t="s">
        <v>579</v>
      </c>
      <c r="D1093" s="58" t="n">
        <v>46071.6819444444</v>
      </c>
      <c r="E1093" s="58" t="n">
        <v>46071.6819444444</v>
      </c>
      <c r="F1093" s="58" t="n">
        <v>46073.4027777778</v>
      </c>
      <c r="G1093" s="59" t="n">
        <f aca="false">F1093-E1093</f>
        <v>1.72083333340278</v>
      </c>
      <c r="H1093" s="57" t="s">
        <v>283</v>
      </c>
      <c r="I1093" s="57" t="s">
        <v>284</v>
      </c>
      <c r="J1093" s="57" t="s">
        <v>369</v>
      </c>
      <c r="K1093" s="57" t="s">
        <v>754</v>
      </c>
      <c r="L1093" s="60" t="s">
        <v>2005</v>
      </c>
      <c r="M1093" s="57" t="s">
        <v>371</v>
      </c>
      <c r="N1093" s="57" t="s">
        <v>502</v>
      </c>
      <c r="O1093" s="60" t="s">
        <v>2006</v>
      </c>
      <c r="P1093" s="57" t="s">
        <v>2010</v>
      </c>
      <c r="Q1093" s="57" t="s">
        <v>1227</v>
      </c>
    </row>
    <row r="1094" s="50" customFormat="true" ht="28.5" hidden="false" customHeight="true" outlineLevel="0" collapsed="false">
      <c r="A1094" s="50" t="s">
        <v>2011</v>
      </c>
      <c r="B1094" s="57" t="s">
        <v>27</v>
      </c>
      <c r="C1094" s="57" t="s">
        <v>618</v>
      </c>
      <c r="D1094" s="58" t="n">
        <v>46071.6819444444</v>
      </c>
      <c r="E1094" s="58" t="n">
        <v>46071.6819444444</v>
      </c>
      <c r="F1094" s="58" t="n">
        <v>46073.4027777778</v>
      </c>
      <c r="G1094" s="59" t="n">
        <f aca="false">F1094-E1094</f>
        <v>1.72083333340278</v>
      </c>
      <c r="H1094" s="57" t="s">
        <v>283</v>
      </c>
      <c r="I1094" s="57" t="s">
        <v>284</v>
      </c>
      <c r="J1094" s="57" t="s">
        <v>369</v>
      </c>
      <c r="K1094" s="57" t="s">
        <v>754</v>
      </c>
      <c r="L1094" s="60" t="s">
        <v>2005</v>
      </c>
      <c r="M1094" s="57" t="s">
        <v>371</v>
      </c>
      <c r="N1094" s="57" t="s">
        <v>502</v>
      </c>
      <c r="O1094" s="60" t="s">
        <v>2006</v>
      </c>
      <c r="P1094" s="57" t="s">
        <v>2012</v>
      </c>
      <c r="Q1094" s="57" t="s">
        <v>1227</v>
      </c>
    </row>
    <row r="1095" s="50" customFormat="true" ht="28.5" hidden="false" customHeight="true" outlineLevel="0" collapsed="false">
      <c r="A1095" s="50" t="s">
        <v>2011</v>
      </c>
      <c r="B1095" s="57" t="s">
        <v>27</v>
      </c>
      <c r="C1095" s="57" t="s">
        <v>619</v>
      </c>
      <c r="D1095" s="58" t="n">
        <v>46071.6819444444</v>
      </c>
      <c r="E1095" s="58" t="n">
        <v>46071.6819444444</v>
      </c>
      <c r="F1095" s="58" t="n">
        <v>46073.4027777778</v>
      </c>
      <c r="G1095" s="59" t="n">
        <f aca="false">F1095-E1095</f>
        <v>1.72083333340278</v>
      </c>
      <c r="H1095" s="57" t="s">
        <v>283</v>
      </c>
      <c r="I1095" s="57" t="s">
        <v>284</v>
      </c>
      <c r="J1095" s="57" t="s">
        <v>369</v>
      </c>
      <c r="K1095" s="57" t="s">
        <v>754</v>
      </c>
      <c r="L1095" s="60" t="s">
        <v>2005</v>
      </c>
      <c r="M1095" s="57" t="s">
        <v>371</v>
      </c>
      <c r="N1095" s="57" t="s">
        <v>502</v>
      </c>
      <c r="O1095" s="60" t="s">
        <v>2006</v>
      </c>
      <c r="P1095" s="57" t="s">
        <v>2013</v>
      </c>
      <c r="Q1095" s="57" t="s">
        <v>1227</v>
      </c>
    </row>
    <row r="1096" s="50" customFormat="true" ht="28.5" hidden="false" customHeight="true" outlineLevel="0" collapsed="false">
      <c r="A1096" s="50" t="s">
        <v>2014</v>
      </c>
      <c r="B1096" s="57" t="s">
        <v>27</v>
      </c>
      <c r="C1096" s="57" t="s">
        <v>620</v>
      </c>
      <c r="D1096" s="58" t="n">
        <v>46071.6819444444</v>
      </c>
      <c r="E1096" s="58" t="n">
        <v>46071.6819444444</v>
      </c>
      <c r="F1096" s="58" t="n">
        <v>46073.4027777778</v>
      </c>
      <c r="G1096" s="59" t="n">
        <f aca="false">F1096-E1096</f>
        <v>1.72083333340278</v>
      </c>
      <c r="H1096" s="57" t="s">
        <v>283</v>
      </c>
      <c r="I1096" s="57" t="s">
        <v>284</v>
      </c>
      <c r="J1096" s="57" t="s">
        <v>369</v>
      </c>
      <c r="K1096" s="57" t="s">
        <v>754</v>
      </c>
      <c r="L1096" s="60" t="s">
        <v>2005</v>
      </c>
      <c r="M1096" s="57" t="s">
        <v>371</v>
      </c>
      <c r="N1096" s="57" t="s">
        <v>502</v>
      </c>
      <c r="O1096" s="60" t="s">
        <v>2006</v>
      </c>
      <c r="P1096" s="57" t="s">
        <v>2015</v>
      </c>
      <c r="Q1096" s="57" t="s">
        <v>1227</v>
      </c>
    </row>
    <row r="1097" s="50" customFormat="true" ht="28.5" hidden="false" customHeight="true" outlineLevel="0" collapsed="false">
      <c r="A1097" s="50" t="s">
        <v>2014</v>
      </c>
      <c r="B1097" s="57" t="s">
        <v>27</v>
      </c>
      <c r="C1097" s="57" t="s">
        <v>621</v>
      </c>
      <c r="D1097" s="58" t="n">
        <v>46071.6819444444</v>
      </c>
      <c r="E1097" s="58" t="n">
        <v>46071.6819444444</v>
      </c>
      <c r="F1097" s="58" t="n">
        <v>46073.4027777778</v>
      </c>
      <c r="G1097" s="59" t="n">
        <f aca="false">F1097-E1097</f>
        <v>1.72083333340278</v>
      </c>
      <c r="H1097" s="57" t="s">
        <v>283</v>
      </c>
      <c r="I1097" s="57" t="s">
        <v>284</v>
      </c>
      <c r="J1097" s="57" t="s">
        <v>369</v>
      </c>
      <c r="K1097" s="57" t="s">
        <v>754</v>
      </c>
      <c r="L1097" s="60" t="s">
        <v>2005</v>
      </c>
      <c r="M1097" s="57" t="s">
        <v>371</v>
      </c>
      <c r="N1097" s="57" t="s">
        <v>502</v>
      </c>
      <c r="O1097" s="60" t="s">
        <v>2006</v>
      </c>
      <c r="P1097" s="57" t="s">
        <v>2016</v>
      </c>
      <c r="Q1097" s="57" t="s">
        <v>1227</v>
      </c>
    </row>
    <row r="1098" s="50" customFormat="true" ht="28.5" hidden="false" customHeight="true" outlineLevel="0" collapsed="false">
      <c r="A1098" s="50" t="s">
        <v>264</v>
      </c>
      <c r="B1098" s="57" t="s">
        <v>264</v>
      </c>
      <c r="C1098" s="57" t="s">
        <v>265</v>
      </c>
      <c r="D1098" s="58" t="n">
        <v>46071.6819444444</v>
      </c>
      <c r="E1098" s="58" t="n">
        <v>46071.6819444444</v>
      </c>
      <c r="F1098" s="58" t="n">
        <v>46073.4027777778</v>
      </c>
      <c r="G1098" s="59" t="n">
        <f aca="false">F1098-E1098</f>
        <v>1.72083333340278</v>
      </c>
      <c r="H1098" s="57" t="s">
        <v>283</v>
      </c>
      <c r="I1098" s="57" t="s">
        <v>284</v>
      </c>
      <c r="J1098" s="57" t="s">
        <v>369</v>
      </c>
      <c r="K1098" s="57" t="s">
        <v>754</v>
      </c>
      <c r="L1098" s="60" t="s">
        <v>2005</v>
      </c>
      <c r="M1098" s="57" t="s">
        <v>371</v>
      </c>
      <c r="N1098" s="57" t="s">
        <v>502</v>
      </c>
      <c r="O1098" s="60" t="s">
        <v>2006</v>
      </c>
      <c r="P1098" s="57" t="s">
        <v>2017</v>
      </c>
      <c r="Q1098" s="57" t="s">
        <v>1227</v>
      </c>
    </row>
    <row r="1099" s="50" customFormat="true" ht="28.5" hidden="false" customHeight="true" outlineLevel="0" collapsed="false">
      <c r="A1099" s="50" t="s">
        <v>272</v>
      </c>
      <c r="B1099" s="57" t="s">
        <v>272</v>
      </c>
      <c r="C1099" s="57" t="s">
        <v>265</v>
      </c>
      <c r="D1099" s="58" t="n">
        <v>46071.6819444444</v>
      </c>
      <c r="E1099" s="58" t="n">
        <v>46071.6819444444</v>
      </c>
      <c r="F1099" s="58" t="n">
        <v>46073.4027777778</v>
      </c>
      <c r="G1099" s="59" t="n">
        <f aca="false">F1099-E1099</f>
        <v>1.72083333340278</v>
      </c>
      <c r="H1099" s="57" t="s">
        <v>283</v>
      </c>
      <c r="I1099" s="57" t="s">
        <v>284</v>
      </c>
      <c r="J1099" s="57" t="s">
        <v>369</v>
      </c>
      <c r="K1099" s="57" t="s">
        <v>754</v>
      </c>
      <c r="L1099" s="60" t="s">
        <v>2005</v>
      </c>
      <c r="M1099" s="57" t="s">
        <v>371</v>
      </c>
      <c r="N1099" s="57" t="s">
        <v>502</v>
      </c>
      <c r="O1099" s="57" t="s">
        <v>2006</v>
      </c>
      <c r="P1099" s="57" t="s">
        <v>2018</v>
      </c>
      <c r="Q1099" s="57" t="s">
        <v>1227</v>
      </c>
    </row>
    <row r="1100" s="50" customFormat="true" ht="28.5" hidden="false" customHeight="true" outlineLevel="0" collapsed="false">
      <c r="A1100" s="50" t="s">
        <v>273</v>
      </c>
      <c r="B1100" s="57" t="s">
        <v>273</v>
      </c>
      <c r="C1100" s="57" t="s">
        <v>265</v>
      </c>
      <c r="D1100" s="58" t="n">
        <v>46071.6819444444</v>
      </c>
      <c r="E1100" s="58" t="n">
        <v>46071.6819444444</v>
      </c>
      <c r="F1100" s="58" t="n">
        <v>46073.4027777778</v>
      </c>
      <c r="G1100" s="59" t="n">
        <f aca="false">F1100-E1100</f>
        <v>1.72083333340278</v>
      </c>
      <c r="H1100" s="57" t="s">
        <v>283</v>
      </c>
      <c r="I1100" s="57" t="s">
        <v>284</v>
      </c>
      <c r="J1100" s="57" t="s">
        <v>369</v>
      </c>
      <c r="K1100" s="57" t="s">
        <v>754</v>
      </c>
      <c r="L1100" s="60" t="s">
        <v>2005</v>
      </c>
      <c r="M1100" s="57" t="s">
        <v>371</v>
      </c>
      <c r="N1100" s="57" t="s">
        <v>502</v>
      </c>
      <c r="O1100" s="60" t="s">
        <v>2006</v>
      </c>
      <c r="P1100" s="57" t="s">
        <v>2019</v>
      </c>
      <c r="Q1100" s="57" t="s">
        <v>1227</v>
      </c>
    </row>
    <row r="1101" s="50" customFormat="true" ht="14.25" hidden="false" customHeight="true" outlineLevel="0" collapsed="false">
      <c r="A1101" s="50" t="s">
        <v>339</v>
      </c>
      <c r="B1101" s="57" t="s">
        <v>339</v>
      </c>
      <c r="C1101" s="57" t="s">
        <v>324</v>
      </c>
      <c r="D1101" s="58" t="n">
        <v>46072.0694444444</v>
      </c>
      <c r="E1101" s="58" t="n">
        <v>46072.0694444444</v>
      </c>
      <c r="F1101" s="58" t="n">
        <v>46072.3263888889</v>
      </c>
      <c r="G1101" s="59" t="n">
        <f aca="false">F1101-E1101</f>
        <v>0.256944444490741</v>
      </c>
      <c r="H1101" s="57" t="s">
        <v>252</v>
      </c>
      <c r="I1101" s="57"/>
      <c r="J1101" s="57" t="s">
        <v>253</v>
      </c>
      <c r="K1101" s="57" t="s">
        <v>266</v>
      </c>
      <c r="L1101" s="57" t="s">
        <v>2020</v>
      </c>
      <c r="M1101" s="57" t="s">
        <v>255</v>
      </c>
      <c r="N1101" s="57" t="s">
        <v>256</v>
      </c>
      <c r="O1101" s="57" t="s">
        <v>2021</v>
      </c>
      <c r="P1101" s="57" t="s">
        <v>2022</v>
      </c>
      <c r="Q1101" s="57" t="s">
        <v>706</v>
      </c>
    </row>
    <row r="1102" s="50" customFormat="true" ht="14.25" hidden="false" customHeight="true" outlineLevel="0" collapsed="false">
      <c r="A1102" s="50" t="s">
        <v>339</v>
      </c>
      <c r="B1102" s="57" t="s">
        <v>339</v>
      </c>
      <c r="C1102" s="57" t="s">
        <v>327</v>
      </c>
      <c r="D1102" s="58" t="n">
        <v>46072.0694444444</v>
      </c>
      <c r="E1102" s="58" t="n">
        <v>46072.0694444444</v>
      </c>
      <c r="F1102" s="58" t="n">
        <v>46072.3263888889</v>
      </c>
      <c r="G1102" s="59" t="n">
        <f aca="false">F1102-E1102</f>
        <v>0.256944444490741</v>
      </c>
      <c r="H1102" s="57" t="s">
        <v>252</v>
      </c>
      <c r="I1102" s="57"/>
      <c r="J1102" s="57" t="s">
        <v>253</v>
      </c>
      <c r="K1102" s="57" t="s">
        <v>266</v>
      </c>
      <c r="L1102" s="57" t="s">
        <v>2020</v>
      </c>
      <c r="M1102" s="57" t="s">
        <v>255</v>
      </c>
      <c r="N1102" s="57" t="s">
        <v>256</v>
      </c>
      <c r="O1102" s="57" t="s">
        <v>2021</v>
      </c>
      <c r="P1102" s="57" t="s">
        <v>2023</v>
      </c>
      <c r="Q1102" s="57" t="s">
        <v>706</v>
      </c>
    </row>
    <row r="1103" s="50" customFormat="true" ht="14.25" hidden="false" customHeight="true" outlineLevel="0" collapsed="false">
      <c r="A1103" s="50" t="s">
        <v>339</v>
      </c>
      <c r="B1103" s="57" t="s">
        <v>339</v>
      </c>
      <c r="C1103" s="57" t="s">
        <v>326</v>
      </c>
      <c r="D1103" s="58" t="n">
        <v>46072.0694444444</v>
      </c>
      <c r="E1103" s="58" t="n">
        <v>46072.0694444444</v>
      </c>
      <c r="F1103" s="58" t="n">
        <v>46072.3263888889</v>
      </c>
      <c r="G1103" s="59" t="n">
        <f aca="false">F1103-E1103</f>
        <v>0.256944444490741</v>
      </c>
      <c r="H1103" s="57" t="s">
        <v>252</v>
      </c>
      <c r="I1103" s="57"/>
      <c r="J1103" s="57" t="s">
        <v>253</v>
      </c>
      <c r="K1103" s="57" t="s">
        <v>266</v>
      </c>
      <c r="L1103" s="57" t="s">
        <v>2020</v>
      </c>
      <c r="M1103" s="57" t="s">
        <v>255</v>
      </c>
      <c r="N1103" s="57" t="s">
        <v>256</v>
      </c>
      <c r="O1103" s="57" t="s">
        <v>2021</v>
      </c>
      <c r="P1103" s="57" t="s">
        <v>2024</v>
      </c>
      <c r="Q1103" s="57" t="s">
        <v>706</v>
      </c>
    </row>
    <row r="1104" s="50" customFormat="true" ht="14.25" hidden="false" customHeight="true" outlineLevel="0" collapsed="false">
      <c r="A1104" s="50" t="s">
        <v>339</v>
      </c>
      <c r="B1104" s="57" t="s">
        <v>339</v>
      </c>
      <c r="C1104" s="57" t="s">
        <v>265</v>
      </c>
      <c r="D1104" s="58" t="n">
        <v>46072.0694444444</v>
      </c>
      <c r="E1104" s="58" t="n">
        <v>46072.0694444444</v>
      </c>
      <c r="F1104" s="58" t="n">
        <v>46072.3263888889</v>
      </c>
      <c r="G1104" s="59" t="n">
        <f aca="false">F1104-E1104</f>
        <v>0.256944444490741</v>
      </c>
      <c r="H1104" s="57" t="s">
        <v>252</v>
      </c>
      <c r="I1104" s="57"/>
      <c r="J1104" s="57" t="s">
        <v>253</v>
      </c>
      <c r="K1104" s="57" t="s">
        <v>266</v>
      </c>
      <c r="L1104" s="57" t="s">
        <v>2020</v>
      </c>
      <c r="M1104" s="57" t="s">
        <v>255</v>
      </c>
      <c r="N1104" s="57" t="s">
        <v>256</v>
      </c>
      <c r="O1104" s="57" t="s">
        <v>2021</v>
      </c>
      <c r="P1104" s="57" t="s">
        <v>2025</v>
      </c>
      <c r="Q1104" s="57" t="s">
        <v>706</v>
      </c>
    </row>
    <row r="1105" s="50" customFormat="true" ht="14.25" hidden="false" customHeight="true" outlineLevel="0" collapsed="false">
      <c r="A1105" s="50" t="s">
        <v>340</v>
      </c>
      <c r="B1105" s="57" t="s">
        <v>340</v>
      </c>
      <c r="C1105" s="57" t="s">
        <v>327</v>
      </c>
      <c r="D1105" s="58" t="n">
        <v>46072.0694444444</v>
      </c>
      <c r="E1105" s="58" t="n">
        <v>46072.0694444444</v>
      </c>
      <c r="F1105" s="58" t="n">
        <v>46072.3263888889</v>
      </c>
      <c r="G1105" s="59" t="n">
        <f aca="false">F1105-E1105</f>
        <v>0.256944444490741</v>
      </c>
      <c r="H1105" s="57" t="s">
        <v>252</v>
      </c>
      <c r="I1105" s="57"/>
      <c r="J1105" s="57" t="s">
        <v>253</v>
      </c>
      <c r="K1105" s="57" t="s">
        <v>266</v>
      </c>
      <c r="L1105" s="57" t="s">
        <v>2020</v>
      </c>
      <c r="M1105" s="57" t="s">
        <v>255</v>
      </c>
      <c r="N1105" s="57" t="s">
        <v>256</v>
      </c>
      <c r="O1105" s="57" t="s">
        <v>2021</v>
      </c>
      <c r="P1105" s="57" t="s">
        <v>2026</v>
      </c>
      <c r="Q1105" s="57" t="s">
        <v>706</v>
      </c>
    </row>
    <row r="1106" s="50" customFormat="true" ht="14.25" hidden="false" customHeight="true" outlineLevel="0" collapsed="false">
      <c r="A1106" s="50" t="s">
        <v>340</v>
      </c>
      <c r="B1106" s="57" t="s">
        <v>340</v>
      </c>
      <c r="C1106" s="57" t="s">
        <v>326</v>
      </c>
      <c r="D1106" s="58" t="n">
        <v>46072.0694444444</v>
      </c>
      <c r="E1106" s="58" t="n">
        <v>46072.0694444444</v>
      </c>
      <c r="F1106" s="58" t="n">
        <v>46072.3263888889</v>
      </c>
      <c r="G1106" s="59" t="n">
        <f aca="false">F1106-E1106</f>
        <v>0.256944444490741</v>
      </c>
      <c r="H1106" s="57" t="s">
        <v>252</v>
      </c>
      <c r="I1106" s="57"/>
      <c r="J1106" s="57" t="s">
        <v>253</v>
      </c>
      <c r="K1106" s="57" t="s">
        <v>266</v>
      </c>
      <c r="L1106" s="57" t="s">
        <v>2020</v>
      </c>
      <c r="M1106" s="57" t="s">
        <v>255</v>
      </c>
      <c r="N1106" s="57" t="s">
        <v>256</v>
      </c>
      <c r="O1106" s="57" t="s">
        <v>2021</v>
      </c>
      <c r="P1106" s="57" t="s">
        <v>2027</v>
      </c>
      <c r="Q1106" s="57" t="s">
        <v>706</v>
      </c>
    </row>
    <row r="1107" s="50" customFormat="true" ht="14.25" hidden="false" customHeight="true" outlineLevel="0" collapsed="false">
      <c r="A1107" s="50" t="s">
        <v>340</v>
      </c>
      <c r="B1107" s="57" t="s">
        <v>340</v>
      </c>
      <c r="C1107" s="57" t="s">
        <v>324</v>
      </c>
      <c r="D1107" s="58" t="n">
        <v>46072.0694444444</v>
      </c>
      <c r="E1107" s="58" t="n">
        <v>46072.0694444444</v>
      </c>
      <c r="F1107" s="58" t="n">
        <v>46072.3263888889</v>
      </c>
      <c r="G1107" s="59" t="n">
        <f aca="false">F1107-E1107</f>
        <v>0.256944444490741</v>
      </c>
      <c r="H1107" s="57" t="s">
        <v>252</v>
      </c>
      <c r="I1107" s="57"/>
      <c r="J1107" s="57" t="s">
        <v>253</v>
      </c>
      <c r="K1107" s="57" t="s">
        <v>266</v>
      </c>
      <c r="L1107" s="57" t="s">
        <v>2020</v>
      </c>
      <c r="M1107" s="57" t="s">
        <v>255</v>
      </c>
      <c r="N1107" s="57" t="s">
        <v>256</v>
      </c>
      <c r="O1107" s="57" t="s">
        <v>2021</v>
      </c>
      <c r="P1107" s="57" t="s">
        <v>2028</v>
      </c>
      <c r="Q1107" s="57" t="s">
        <v>706</v>
      </c>
    </row>
    <row r="1108" s="50" customFormat="true" ht="14.25" hidden="false" customHeight="true" outlineLevel="0" collapsed="false">
      <c r="A1108" s="50" t="s">
        <v>340</v>
      </c>
      <c r="B1108" s="57" t="s">
        <v>340</v>
      </c>
      <c r="C1108" s="57" t="s">
        <v>265</v>
      </c>
      <c r="D1108" s="58" t="n">
        <v>46072.0694444444</v>
      </c>
      <c r="E1108" s="58" t="n">
        <v>46072.0694444444</v>
      </c>
      <c r="F1108" s="58" t="n">
        <v>46072.3263888889</v>
      </c>
      <c r="G1108" s="59" t="n">
        <f aca="false">F1108-E1108</f>
        <v>0.256944444490741</v>
      </c>
      <c r="H1108" s="57" t="s">
        <v>252</v>
      </c>
      <c r="I1108" s="57"/>
      <c r="J1108" s="57" t="s">
        <v>253</v>
      </c>
      <c r="K1108" s="57" t="s">
        <v>266</v>
      </c>
      <c r="L1108" s="57" t="s">
        <v>2020</v>
      </c>
      <c r="M1108" s="57" t="s">
        <v>255</v>
      </c>
      <c r="N1108" s="57" t="s">
        <v>256</v>
      </c>
      <c r="O1108" s="57" t="s">
        <v>2021</v>
      </c>
      <c r="P1108" s="57" t="s">
        <v>2029</v>
      </c>
      <c r="Q1108" s="57" t="s">
        <v>706</v>
      </c>
    </row>
    <row r="1109" s="50" customFormat="true" ht="14.25" hidden="false" customHeight="true" outlineLevel="0" collapsed="false">
      <c r="A1109" s="50" t="s">
        <v>341</v>
      </c>
      <c r="B1109" s="57" t="s">
        <v>341</v>
      </c>
      <c r="C1109" s="57" t="s">
        <v>326</v>
      </c>
      <c r="D1109" s="58" t="n">
        <v>46072.0694444444</v>
      </c>
      <c r="E1109" s="58" t="n">
        <v>46072.0694444444</v>
      </c>
      <c r="F1109" s="58" t="n">
        <v>46072.3263888889</v>
      </c>
      <c r="G1109" s="59" t="n">
        <f aca="false">F1109-E1109</f>
        <v>0.256944444490741</v>
      </c>
      <c r="H1109" s="57" t="s">
        <v>252</v>
      </c>
      <c r="I1109" s="57"/>
      <c r="J1109" s="57" t="s">
        <v>253</v>
      </c>
      <c r="K1109" s="57" t="s">
        <v>266</v>
      </c>
      <c r="L1109" s="57" t="s">
        <v>2020</v>
      </c>
      <c r="M1109" s="57" t="s">
        <v>255</v>
      </c>
      <c r="N1109" s="57" t="s">
        <v>256</v>
      </c>
      <c r="O1109" s="57" t="s">
        <v>2021</v>
      </c>
      <c r="P1109" s="57" t="s">
        <v>2030</v>
      </c>
      <c r="Q1109" s="57" t="s">
        <v>706</v>
      </c>
    </row>
    <row r="1110" s="50" customFormat="true" ht="14.25" hidden="false" customHeight="true" outlineLevel="0" collapsed="false">
      <c r="A1110" s="50" t="s">
        <v>341</v>
      </c>
      <c r="B1110" s="57" t="s">
        <v>341</v>
      </c>
      <c r="C1110" s="57" t="s">
        <v>324</v>
      </c>
      <c r="D1110" s="58" t="n">
        <v>46072.0694444444</v>
      </c>
      <c r="E1110" s="58" t="n">
        <v>46072.0694444444</v>
      </c>
      <c r="F1110" s="58" t="n">
        <v>46072.3263888889</v>
      </c>
      <c r="G1110" s="59" t="n">
        <f aca="false">F1110-E1110</f>
        <v>0.256944444490741</v>
      </c>
      <c r="H1110" s="57" t="s">
        <v>252</v>
      </c>
      <c r="I1110" s="57"/>
      <c r="J1110" s="57" t="s">
        <v>253</v>
      </c>
      <c r="K1110" s="57" t="s">
        <v>266</v>
      </c>
      <c r="L1110" s="57" t="s">
        <v>2020</v>
      </c>
      <c r="M1110" s="57" t="s">
        <v>255</v>
      </c>
      <c r="N1110" s="57" t="s">
        <v>256</v>
      </c>
      <c r="O1110" s="57" t="s">
        <v>2021</v>
      </c>
      <c r="P1110" s="57" t="s">
        <v>2031</v>
      </c>
      <c r="Q1110" s="57" t="s">
        <v>706</v>
      </c>
    </row>
    <row r="1111" s="50" customFormat="true" ht="14.25" hidden="false" customHeight="true" outlineLevel="0" collapsed="false">
      <c r="A1111" s="50" t="s">
        <v>477</v>
      </c>
      <c r="B1111" s="57" t="s">
        <v>477</v>
      </c>
      <c r="C1111" s="57" t="s">
        <v>326</v>
      </c>
      <c r="D1111" s="58" t="n">
        <v>46072.2847222222</v>
      </c>
      <c r="E1111" s="58" t="n">
        <v>46072.2847222222</v>
      </c>
      <c r="F1111" s="58" t="n">
        <v>46072.3194444444</v>
      </c>
      <c r="G1111" s="59" t="n">
        <f aca="false">F1111-E1111</f>
        <v>0.0347222221990741</v>
      </c>
      <c r="H1111" s="57" t="s">
        <v>252</v>
      </c>
      <c r="I1111" s="57"/>
      <c r="J1111" s="57" t="s">
        <v>333</v>
      </c>
      <c r="K1111" s="57" t="s">
        <v>334</v>
      </c>
      <c r="L1111" s="57" t="s">
        <v>2032</v>
      </c>
      <c r="M1111" s="57" t="s">
        <v>336</v>
      </c>
      <c r="N1111" s="57" t="s">
        <v>289</v>
      </c>
      <c r="O1111" s="57" t="s">
        <v>2033</v>
      </c>
      <c r="P1111" s="57" t="s">
        <v>2034</v>
      </c>
      <c r="Q1111" s="57" t="s">
        <v>698</v>
      </c>
    </row>
    <row r="1112" s="50" customFormat="true" ht="28.5" hidden="false" customHeight="true" outlineLevel="0" collapsed="false">
      <c r="A1112" s="50" t="s">
        <v>358</v>
      </c>
      <c r="B1112" s="57" t="s">
        <v>358</v>
      </c>
      <c r="C1112" s="57" t="s">
        <v>324</v>
      </c>
      <c r="D1112" s="58" t="n">
        <v>46072.6347222222</v>
      </c>
      <c r="E1112" s="58" t="n">
        <v>46072.6347222222</v>
      </c>
      <c r="F1112" s="58" t="n">
        <v>46072.71875</v>
      </c>
      <c r="G1112" s="59" t="n">
        <f aca="false">F1112-E1112</f>
        <v>0.0840277778009259</v>
      </c>
      <c r="H1112" s="57" t="s">
        <v>252</v>
      </c>
      <c r="I1112" s="57"/>
      <c r="J1112" s="57" t="s">
        <v>253</v>
      </c>
      <c r="K1112" s="57" t="s">
        <v>266</v>
      </c>
      <c r="L1112" s="62" t="s">
        <v>2035</v>
      </c>
      <c r="M1112" s="57" t="s">
        <v>255</v>
      </c>
      <c r="N1112" s="57" t="s">
        <v>256</v>
      </c>
      <c r="O1112" s="57" t="s">
        <v>2036</v>
      </c>
      <c r="P1112" s="57" t="s">
        <v>2037</v>
      </c>
      <c r="Q1112" s="57" t="s">
        <v>706</v>
      </c>
    </row>
    <row r="1113" s="50" customFormat="true" ht="28.5" hidden="false" customHeight="true" outlineLevel="0" collapsed="false">
      <c r="A1113" s="50" t="s">
        <v>358</v>
      </c>
      <c r="B1113" s="57" t="s">
        <v>358</v>
      </c>
      <c r="C1113" s="57" t="s">
        <v>326</v>
      </c>
      <c r="D1113" s="58" t="n">
        <v>46072.6347222222</v>
      </c>
      <c r="E1113" s="58" t="n">
        <v>46072.6347222222</v>
      </c>
      <c r="F1113" s="58" t="n">
        <v>46072.71875</v>
      </c>
      <c r="G1113" s="59" t="n">
        <f aca="false">F1113-E1113</f>
        <v>0.0840277778009259</v>
      </c>
      <c r="H1113" s="57" t="s">
        <v>252</v>
      </c>
      <c r="I1113" s="57"/>
      <c r="J1113" s="57" t="s">
        <v>253</v>
      </c>
      <c r="K1113" s="57" t="s">
        <v>266</v>
      </c>
      <c r="L1113" s="62" t="s">
        <v>2035</v>
      </c>
      <c r="M1113" s="57" t="s">
        <v>255</v>
      </c>
      <c r="N1113" s="57" t="s">
        <v>256</v>
      </c>
      <c r="O1113" s="57" t="s">
        <v>2036</v>
      </c>
      <c r="P1113" s="57" t="s">
        <v>2038</v>
      </c>
      <c r="Q1113" s="57" t="s">
        <v>706</v>
      </c>
    </row>
    <row r="1114" s="50" customFormat="true" ht="28.5" hidden="false" customHeight="true" outlineLevel="0" collapsed="false">
      <c r="A1114" s="50" t="s">
        <v>358</v>
      </c>
      <c r="B1114" s="57" t="s">
        <v>358</v>
      </c>
      <c r="C1114" s="57" t="s">
        <v>327</v>
      </c>
      <c r="D1114" s="58" t="n">
        <v>46072.6347222222</v>
      </c>
      <c r="E1114" s="58" t="n">
        <v>46072.6347222222</v>
      </c>
      <c r="F1114" s="58" t="n">
        <v>46072.71875</v>
      </c>
      <c r="G1114" s="59" t="n">
        <f aca="false">F1114-E1114</f>
        <v>0.0840277778009259</v>
      </c>
      <c r="H1114" s="57" t="s">
        <v>252</v>
      </c>
      <c r="I1114" s="57"/>
      <c r="J1114" s="57" t="s">
        <v>253</v>
      </c>
      <c r="K1114" s="57" t="s">
        <v>266</v>
      </c>
      <c r="L1114" s="62" t="s">
        <v>2035</v>
      </c>
      <c r="M1114" s="57" t="s">
        <v>255</v>
      </c>
      <c r="N1114" s="57" t="s">
        <v>256</v>
      </c>
      <c r="O1114" s="57" t="s">
        <v>2036</v>
      </c>
      <c r="P1114" s="57" t="s">
        <v>2039</v>
      </c>
      <c r="Q1114" s="57" t="s">
        <v>706</v>
      </c>
    </row>
    <row r="1115" s="50" customFormat="true" ht="28.5" hidden="false" customHeight="true" outlineLevel="0" collapsed="false">
      <c r="A1115" s="50" t="s">
        <v>358</v>
      </c>
      <c r="B1115" s="57" t="s">
        <v>358</v>
      </c>
      <c r="C1115" s="57" t="s">
        <v>328</v>
      </c>
      <c r="D1115" s="58" t="n">
        <v>46072.6347222222</v>
      </c>
      <c r="E1115" s="58" t="n">
        <v>46072.6347222222</v>
      </c>
      <c r="F1115" s="58" t="n">
        <v>46072.71875</v>
      </c>
      <c r="G1115" s="59" t="n">
        <f aca="false">F1115-E1115</f>
        <v>0.0840277778009259</v>
      </c>
      <c r="H1115" s="57" t="s">
        <v>252</v>
      </c>
      <c r="I1115" s="57"/>
      <c r="J1115" s="57" t="s">
        <v>253</v>
      </c>
      <c r="K1115" s="57" t="s">
        <v>266</v>
      </c>
      <c r="L1115" s="62" t="s">
        <v>2035</v>
      </c>
      <c r="M1115" s="57" t="s">
        <v>255</v>
      </c>
      <c r="N1115" s="57" t="s">
        <v>256</v>
      </c>
      <c r="O1115" s="57" t="s">
        <v>2036</v>
      </c>
      <c r="P1115" s="57" t="s">
        <v>2040</v>
      </c>
      <c r="Q1115" s="57" t="s">
        <v>706</v>
      </c>
    </row>
    <row r="1116" s="50" customFormat="true" ht="28.5" hidden="false" customHeight="true" outlineLevel="0" collapsed="false">
      <c r="A1116" s="50" t="s">
        <v>361</v>
      </c>
      <c r="B1116" s="57" t="s">
        <v>361</v>
      </c>
      <c r="C1116" s="57" t="s">
        <v>324</v>
      </c>
      <c r="D1116" s="58" t="n">
        <v>46072.6347222222</v>
      </c>
      <c r="E1116" s="58" t="n">
        <v>46072.6347222222</v>
      </c>
      <c r="F1116" s="58" t="n">
        <v>46072.71875</v>
      </c>
      <c r="G1116" s="59" t="n">
        <f aca="false">F1116-E1116</f>
        <v>0.0840277778009259</v>
      </c>
      <c r="H1116" s="57" t="s">
        <v>252</v>
      </c>
      <c r="I1116" s="57"/>
      <c r="J1116" s="57" t="s">
        <v>253</v>
      </c>
      <c r="K1116" s="57" t="s">
        <v>266</v>
      </c>
      <c r="L1116" s="62" t="s">
        <v>2035</v>
      </c>
      <c r="M1116" s="57" t="s">
        <v>255</v>
      </c>
      <c r="N1116" s="57" t="s">
        <v>256</v>
      </c>
      <c r="O1116" s="57" t="s">
        <v>2036</v>
      </c>
      <c r="P1116" s="57" t="s">
        <v>2041</v>
      </c>
      <c r="Q1116" s="57" t="s">
        <v>706</v>
      </c>
    </row>
    <row r="1117" s="50" customFormat="true" ht="28.5" hidden="false" customHeight="true" outlineLevel="0" collapsed="false">
      <c r="A1117" s="50" t="s">
        <v>361</v>
      </c>
      <c r="B1117" s="57" t="s">
        <v>361</v>
      </c>
      <c r="C1117" s="57" t="s">
        <v>326</v>
      </c>
      <c r="D1117" s="58" t="n">
        <v>46072.6347222222</v>
      </c>
      <c r="E1117" s="58" t="n">
        <v>46072.6347222222</v>
      </c>
      <c r="F1117" s="58" t="n">
        <v>46072.71875</v>
      </c>
      <c r="G1117" s="59" t="n">
        <f aca="false">F1117-E1117</f>
        <v>0.0840277778009259</v>
      </c>
      <c r="H1117" s="57" t="s">
        <v>252</v>
      </c>
      <c r="I1117" s="57"/>
      <c r="J1117" s="57" t="s">
        <v>253</v>
      </c>
      <c r="K1117" s="57" t="s">
        <v>266</v>
      </c>
      <c r="L1117" s="62" t="s">
        <v>2035</v>
      </c>
      <c r="M1117" s="57" t="s">
        <v>255</v>
      </c>
      <c r="N1117" s="57" t="s">
        <v>256</v>
      </c>
      <c r="O1117" s="57" t="s">
        <v>2036</v>
      </c>
      <c r="P1117" s="57" t="s">
        <v>2042</v>
      </c>
      <c r="Q1117" s="57" t="s">
        <v>706</v>
      </c>
    </row>
    <row r="1118" s="50" customFormat="true" ht="28.5" hidden="false" customHeight="true" outlineLevel="0" collapsed="false">
      <c r="A1118" s="50" t="s">
        <v>361</v>
      </c>
      <c r="B1118" s="57" t="s">
        <v>361</v>
      </c>
      <c r="C1118" s="57" t="s">
        <v>327</v>
      </c>
      <c r="D1118" s="58" t="n">
        <v>46072.6347222222</v>
      </c>
      <c r="E1118" s="58" t="n">
        <v>46072.6347222222</v>
      </c>
      <c r="F1118" s="58" t="n">
        <v>46072.71875</v>
      </c>
      <c r="G1118" s="59" t="n">
        <f aca="false">F1118-E1118</f>
        <v>0.0840277778009259</v>
      </c>
      <c r="H1118" s="57" t="s">
        <v>252</v>
      </c>
      <c r="I1118" s="57"/>
      <c r="J1118" s="57" t="s">
        <v>253</v>
      </c>
      <c r="K1118" s="57" t="s">
        <v>266</v>
      </c>
      <c r="L1118" s="62" t="s">
        <v>2035</v>
      </c>
      <c r="M1118" s="57" t="s">
        <v>255</v>
      </c>
      <c r="N1118" s="57" t="s">
        <v>256</v>
      </c>
      <c r="O1118" s="57" t="s">
        <v>2036</v>
      </c>
      <c r="P1118" s="57" t="s">
        <v>2043</v>
      </c>
      <c r="Q1118" s="57" t="s">
        <v>706</v>
      </c>
    </row>
    <row r="1119" s="50" customFormat="true" ht="28.5" hidden="false" customHeight="true" outlineLevel="0" collapsed="false">
      <c r="A1119" s="50" t="s">
        <v>361</v>
      </c>
      <c r="B1119" s="57" t="s">
        <v>361</v>
      </c>
      <c r="C1119" s="57" t="s">
        <v>328</v>
      </c>
      <c r="D1119" s="58" t="n">
        <v>46072.6347222222</v>
      </c>
      <c r="E1119" s="58" t="n">
        <v>46072.6347222222</v>
      </c>
      <c r="F1119" s="58" t="n">
        <v>46072.71875</v>
      </c>
      <c r="G1119" s="59" t="n">
        <f aca="false">F1119-E1119</f>
        <v>0.0840277778009259</v>
      </c>
      <c r="H1119" s="57" t="s">
        <v>252</v>
      </c>
      <c r="I1119" s="57"/>
      <c r="J1119" s="57" t="s">
        <v>253</v>
      </c>
      <c r="K1119" s="57" t="s">
        <v>266</v>
      </c>
      <c r="L1119" s="62" t="s">
        <v>2035</v>
      </c>
      <c r="M1119" s="57" t="s">
        <v>255</v>
      </c>
      <c r="N1119" s="57" t="s">
        <v>256</v>
      </c>
      <c r="O1119" s="57" t="s">
        <v>2036</v>
      </c>
      <c r="P1119" s="57" t="s">
        <v>2044</v>
      </c>
      <c r="Q1119" s="57" t="s">
        <v>706</v>
      </c>
    </row>
    <row r="1120" s="50" customFormat="true" ht="28.5" hidden="false" customHeight="true" outlineLevel="0" collapsed="false">
      <c r="A1120" s="50" t="s">
        <v>362</v>
      </c>
      <c r="B1120" s="57" t="s">
        <v>362</v>
      </c>
      <c r="C1120" s="57" t="s">
        <v>363</v>
      </c>
      <c r="D1120" s="58" t="n">
        <v>46072.6347222222</v>
      </c>
      <c r="E1120" s="58" t="n">
        <v>46072.6347222222</v>
      </c>
      <c r="F1120" s="58" t="n">
        <v>46072.71875</v>
      </c>
      <c r="G1120" s="59" t="n">
        <f aca="false">F1120-E1120</f>
        <v>0.0840277778009259</v>
      </c>
      <c r="H1120" s="57" t="s">
        <v>252</v>
      </c>
      <c r="I1120" s="57"/>
      <c r="J1120" s="57" t="s">
        <v>253</v>
      </c>
      <c r="K1120" s="57" t="s">
        <v>266</v>
      </c>
      <c r="L1120" s="62" t="s">
        <v>2035</v>
      </c>
      <c r="M1120" s="57" t="s">
        <v>255</v>
      </c>
      <c r="N1120" s="57" t="s">
        <v>256</v>
      </c>
      <c r="O1120" s="57" t="s">
        <v>2036</v>
      </c>
      <c r="P1120" s="57" t="s">
        <v>2045</v>
      </c>
      <c r="Q1120" s="57" t="s">
        <v>706</v>
      </c>
    </row>
    <row r="1121" s="50" customFormat="true" ht="28.5" hidden="false" customHeight="true" outlineLevel="0" collapsed="false">
      <c r="A1121" s="50" t="s">
        <v>362</v>
      </c>
      <c r="B1121" s="57" t="s">
        <v>362</v>
      </c>
      <c r="C1121" s="57" t="s">
        <v>265</v>
      </c>
      <c r="D1121" s="58" t="n">
        <v>46072.6347222222</v>
      </c>
      <c r="E1121" s="58" t="n">
        <v>46072.6347222222</v>
      </c>
      <c r="F1121" s="58" t="n">
        <v>46072.71875</v>
      </c>
      <c r="G1121" s="59" t="n">
        <f aca="false">F1121-E1121</f>
        <v>0.0840277778009259</v>
      </c>
      <c r="H1121" s="57" t="s">
        <v>252</v>
      </c>
      <c r="I1121" s="57"/>
      <c r="J1121" s="57" t="s">
        <v>253</v>
      </c>
      <c r="K1121" s="57" t="s">
        <v>266</v>
      </c>
      <c r="L1121" s="62" t="s">
        <v>2035</v>
      </c>
      <c r="M1121" s="57" t="s">
        <v>255</v>
      </c>
      <c r="N1121" s="57" t="s">
        <v>256</v>
      </c>
      <c r="O1121" s="57" t="s">
        <v>2036</v>
      </c>
      <c r="P1121" s="57" t="s">
        <v>2046</v>
      </c>
      <c r="Q1121" s="57" t="s">
        <v>706</v>
      </c>
    </row>
    <row r="1122" s="50" customFormat="true" ht="28.5" hidden="false" customHeight="true" outlineLevel="0" collapsed="false">
      <c r="A1122" s="50" t="s">
        <v>367</v>
      </c>
      <c r="B1122" s="57" t="s">
        <v>367</v>
      </c>
      <c r="C1122" s="57" t="s">
        <v>324</v>
      </c>
      <c r="D1122" s="58" t="n">
        <v>46072.6347222222</v>
      </c>
      <c r="E1122" s="58" t="n">
        <v>46072.6347222222</v>
      </c>
      <c r="F1122" s="58" t="n">
        <v>46072.71875</v>
      </c>
      <c r="G1122" s="59" t="n">
        <f aca="false">F1122-E1122</f>
        <v>0.0840277778009259</v>
      </c>
      <c r="H1122" s="57" t="s">
        <v>252</v>
      </c>
      <c r="I1122" s="57"/>
      <c r="J1122" s="57" t="s">
        <v>253</v>
      </c>
      <c r="K1122" s="57" t="s">
        <v>266</v>
      </c>
      <c r="L1122" s="62" t="s">
        <v>2035</v>
      </c>
      <c r="M1122" s="57" t="s">
        <v>255</v>
      </c>
      <c r="N1122" s="57" t="s">
        <v>256</v>
      </c>
      <c r="O1122" s="57" t="s">
        <v>2036</v>
      </c>
      <c r="P1122" s="57" t="s">
        <v>2047</v>
      </c>
      <c r="Q1122" s="57" t="s">
        <v>706</v>
      </c>
    </row>
    <row r="1123" s="50" customFormat="true" ht="28.5" hidden="false" customHeight="true" outlineLevel="0" collapsed="false">
      <c r="A1123" s="50" t="s">
        <v>367</v>
      </c>
      <c r="B1123" s="57" t="s">
        <v>367</v>
      </c>
      <c r="C1123" s="57" t="s">
        <v>328</v>
      </c>
      <c r="D1123" s="58" t="n">
        <v>46072.6347222222</v>
      </c>
      <c r="E1123" s="58" t="n">
        <v>46072.6347222222</v>
      </c>
      <c r="F1123" s="58" t="n">
        <v>46072.71875</v>
      </c>
      <c r="G1123" s="59" t="n">
        <f aca="false">F1123-E1123</f>
        <v>0.0840277778009259</v>
      </c>
      <c r="H1123" s="57" t="s">
        <v>252</v>
      </c>
      <c r="I1123" s="57"/>
      <c r="J1123" s="57" t="s">
        <v>253</v>
      </c>
      <c r="K1123" s="57" t="s">
        <v>266</v>
      </c>
      <c r="L1123" s="62" t="s">
        <v>2035</v>
      </c>
      <c r="M1123" s="57" t="s">
        <v>255</v>
      </c>
      <c r="N1123" s="57" t="s">
        <v>256</v>
      </c>
      <c r="O1123" s="57" t="s">
        <v>2036</v>
      </c>
      <c r="P1123" s="57" t="s">
        <v>2048</v>
      </c>
      <c r="Q1123" s="57" t="s">
        <v>706</v>
      </c>
    </row>
    <row r="1124" s="50" customFormat="true" ht="28.5" hidden="false" customHeight="true" outlineLevel="0" collapsed="false">
      <c r="A1124" s="50" t="s">
        <v>367</v>
      </c>
      <c r="B1124" s="57" t="s">
        <v>367</v>
      </c>
      <c r="C1124" s="57" t="s">
        <v>327</v>
      </c>
      <c r="D1124" s="58" t="n">
        <v>46072.6347222222</v>
      </c>
      <c r="E1124" s="58" t="n">
        <v>46072.6347222222</v>
      </c>
      <c r="F1124" s="58" t="n">
        <v>46072.71875</v>
      </c>
      <c r="G1124" s="59" t="n">
        <f aca="false">F1124-E1124</f>
        <v>0.0840277778009259</v>
      </c>
      <c r="H1124" s="57" t="s">
        <v>252</v>
      </c>
      <c r="I1124" s="57"/>
      <c r="J1124" s="57" t="s">
        <v>253</v>
      </c>
      <c r="K1124" s="57" t="s">
        <v>266</v>
      </c>
      <c r="L1124" s="62" t="s">
        <v>2035</v>
      </c>
      <c r="M1124" s="57" t="s">
        <v>255</v>
      </c>
      <c r="N1124" s="57" t="s">
        <v>256</v>
      </c>
      <c r="O1124" s="57" t="s">
        <v>2036</v>
      </c>
      <c r="P1124" s="57" t="s">
        <v>2049</v>
      </c>
      <c r="Q1124" s="57" t="s">
        <v>706</v>
      </c>
    </row>
    <row r="1125" s="50" customFormat="true" ht="28.5" hidden="false" customHeight="true" outlineLevel="0" collapsed="false">
      <c r="A1125" s="50" t="s">
        <v>367</v>
      </c>
      <c r="B1125" s="57" t="s">
        <v>367</v>
      </c>
      <c r="C1125" s="57" t="s">
        <v>265</v>
      </c>
      <c r="D1125" s="58" t="n">
        <v>46072.6347222222</v>
      </c>
      <c r="E1125" s="58" t="n">
        <v>46072.6347222222</v>
      </c>
      <c r="F1125" s="58" t="n">
        <v>46072.71875</v>
      </c>
      <c r="G1125" s="59" t="n">
        <f aca="false">F1125-E1125</f>
        <v>0.0840277778009259</v>
      </c>
      <c r="H1125" s="57" t="s">
        <v>252</v>
      </c>
      <c r="I1125" s="57"/>
      <c r="J1125" s="57" t="s">
        <v>253</v>
      </c>
      <c r="K1125" s="57" t="s">
        <v>266</v>
      </c>
      <c r="L1125" s="62" t="s">
        <v>2035</v>
      </c>
      <c r="M1125" s="57" t="s">
        <v>255</v>
      </c>
      <c r="N1125" s="57" t="s">
        <v>256</v>
      </c>
      <c r="O1125" s="57" t="s">
        <v>2036</v>
      </c>
      <c r="P1125" s="57" t="s">
        <v>2050</v>
      </c>
      <c r="Q1125" s="57" t="s">
        <v>706</v>
      </c>
    </row>
    <row r="1126" s="50" customFormat="true" ht="28.5" hidden="false" customHeight="true" outlineLevel="0" collapsed="false">
      <c r="A1126" s="50" t="s">
        <v>460</v>
      </c>
      <c r="B1126" s="57" t="s">
        <v>460</v>
      </c>
      <c r="C1126" s="57" t="s">
        <v>328</v>
      </c>
      <c r="D1126" s="58" t="n">
        <v>46072.6347222222</v>
      </c>
      <c r="E1126" s="58" t="n">
        <v>46072.6347222222</v>
      </c>
      <c r="F1126" s="58" t="n">
        <v>46072.71875</v>
      </c>
      <c r="G1126" s="59" t="n">
        <f aca="false">F1126-E1126</f>
        <v>0.0840277778009259</v>
      </c>
      <c r="H1126" s="57" t="s">
        <v>252</v>
      </c>
      <c r="I1126" s="57"/>
      <c r="J1126" s="57" t="s">
        <v>253</v>
      </c>
      <c r="K1126" s="57" t="s">
        <v>266</v>
      </c>
      <c r="L1126" s="62" t="s">
        <v>2035</v>
      </c>
      <c r="M1126" s="57" t="s">
        <v>255</v>
      </c>
      <c r="N1126" s="57" t="s">
        <v>256</v>
      </c>
      <c r="O1126" s="57" t="s">
        <v>2036</v>
      </c>
      <c r="P1126" s="57" t="s">
        <v>2051</v>
      </c>
      <c r="Q1126" s="57" t="s">
        <v>706</v>
      </c>
    </row>
    <row r="1127" s="50" customFormat="true" ht="28.5" hidden="false" customHeight="true" outlineLevel="0" collapsed="false">
      <c r="A1127" s="50" t="s">
        <v>460</v>
      </c>
      <c r="B1127" s="57" t="s">
        <v>460</v>
      </c>
      <c r="C1127" s="57" t="s">
        <v>326</v>
      </c>
      <c r="D1127" s="58" t="n">
        <v>46072.6347222222</v>
      </c>
      <c r="E1127" s="58" t="n">
        <v>46072.6347222222</v>
      </c>
      <c r="F1127" s="58" t="n">
        <v>46072.71875</v>
      </c>
      <c r="G1127" s="59" t="n">
        <f aca="false">F1127-E1127</f>
        <v>0.0840277778009259</v>
      </c>
      <c r="H1127" s="57" t="s">
        <v>252</v>
      </c>
      <c r="I1127" s="57"/>
      <c r="J1127" s="57" t="s">
        <v>253</v>
      </c>
      <c r="K1127" s="57" t="s">
        <v>266</v>
      </c>
      <c r="L1127" s="62" t="s">
        <v>2035</v>
      </c>
      <c r="M1127" s="57" t="s">
        <v>255</v>
      </c>
      <c r="N1127" s="57" t="s">
        <v>256</v>
      </c>
      <c r="O1127" s="57" t="s">
        <v>2036</v>
      </c>
      <c r="P1127" s="57" t="s">
        <v>2052</v>
      </c>
      <c r="Q1127" s="57" t="s">
        <v>706</v>
      </c>
    </row>
    <row r="1128" s="50" customFormat="true" ht="28.5" hidden="false" customHeight="true" outlineLevel="0" collapsed="false">
      <c r="A1128" s="50" t="s">
        <v>460</v>
      </c>
      <c r="B1128" s="57" t="s">
        <v>460</v>
      </c>
      <c r="C1128" s="57" t="s">
        <v>327</v>
      </c>
      <c r="D1128" s="58" t="n">
        <v>46072.6347222222</v>
      </c>
      <c r="E1128" s="58" t="n">
        <v>46072.6347222222</v>
      </c>
      <c r="F1128" s="58" t="n">
        <v>46072.71875</v>
      </c>
      <c r="G1128" s="59" t="n">
        <f aca="false">F1128-E1128</f>
        <v>0.0840277778009259</v>
      </c>
      <c r="H1128" s="57" t="s">
        <v>252</v>
      </c>
      <c r="I1128" s="57"/>
      <c r="J1128" s="57" t="s">
        <v>253</v>
      </c>
      <c r="K1128" s="57" t="s">
        <v>266</v>
      </c>
      <c r="L1128" s="62" t="s">
        <v>2035</v>
      </c>
      <c r="M1128" s="57" t="s">
        <v>255</v>
      </c>
      <c r="N1128" s="57" t="s">
        <v>256</v>
      </c>
      <c r="O1128" s="57" t="s">
        <v>2036</v>
      </c>
      <c r="P1128" s="57" t="s">
        <v>2053</v>
      </c>
      <c r="Q1128" s="57" t="s">
        <v>706</v>
      </c>
    </row>
    <row r="1129" s="50" customFormat="true" ht="28.5" hidden="false" customHeight="true" outlineLevel="0" collapsed="false">
      <c r="A1129" s="50" t="s">
        <v>460</v>
      </c>
      <c r="B1129" s="57" t="s">
        <v>460</v>
      </c>
      <c r="C1129" s="57" t="s">
        <v>324</v>
      </c>
      <c r="D1129" s="58" t="n">
        <v>46072.6347222222</v>
      </c>
      <c r="E1129" s="58" t="n">
        <v>46072.6347222222</v>
      </c>
      <c r="F1129" s="58" t="n">
        <v>46072.71875</v>
      </c>
      <c r="G1129" s="59" t="n">
        <f aca="false">F1129-E1129</f>
        <v>0.0840277778009259</v>
      </c>
      <c r="H1129" s="57" t="s">
        <v>252</v>
      </c>
      <c r="I1129" s="57"/>
      <c r="J1129" s="57" t="s">
        <v>253</v>
      </c>
      <c r="K1129" s="57" t="s">
        <v>266</v>
      </c>
      <c r="L1129" s="62" t="s">
        <v>2035</v>
      </c>
      <c r="M1129" s="57" t="s">
        <v>255</v>
      </c>
      <c r="N1129" s="57" t="s">
        <v>256</v>
      </c>
      <c r="O1129" s="57" t="s">
        <v>2036</v>
      </c>
      <c r="P1129" s="57" t="s">
        <v>2054</v>
      </c>
      <c r="Q1129" s="57" t="s">
        <v>706</v>
      </c>
    </row>
    <row r="1130" s="50" customFormat="true" ht="28.5" hidden="false" customHeight="true" outlineLevel="0" collapsed="false">
      <c r="A1130" s="50" t="s">
        <v>461</v>
      </c>
      <c r="B1130" s="57" t="s">
        <v>461</v>
      </c>
      <c r="C1130" s="57" t="s">
        <v>324</v>
      </c>
      <c r="D1130" s="58" t="n">
        <v>46072.6347222222</v>
      </c>
      <c r="E1130" s="58" t="n">
        <v>46072.6347222222</v>
      </c>
      <c r="F1130" s="58" t="n">
        <v>46072.71875</v>
      </c>
      <c r="G1130" s="59" t="n">
        <f aca="false">F1130-E1130</f>
        <v>0.0840277778009259</v>
      </c>
      <c r="H1130" s="57" t="s">
        <v>252</v>
      </c>
      <c r="I1130" s="57"/>
      <c r="J1130" s="57" t="s">
        <v>253</v>
      </c>
      <c r="K1130" s="57" t="s">
        <v>266</v>
      </c>
      <c r="L1130" s="62" t="s">
        <v>2035</v>
      </c>
      <c r="M1130" s="57" t="s">
        <v>255</v>
      </c>
      <c r="N1130" s="57" t="s">
        <v>256</v>
      </c>
      <c r="O1130" s="57" t="s">
        <v>2036</v>
      </c>
      <c r="P1130" s="57" t="s">
        <v>2055</v>
      </c>
      <c r="Q1130" s="57" t="s">
        <v>706</v>
      </c>
    </row>
    <row r="1131" s="50" customFormat="true" ht="28.5" hidden="false" customHeight="true" outlineLevel="0" collapsed="false">
      <c r="A1131" s="50" t="s">
        <v>461</v>
      </c>
      <c r="B1131" s="57" t="s">
        <v>461</v>
      </c>
      <c r="C1131" s="57" t="s">
        <v>326</v>
      </c>
      <c r="D1131" s="58" t="n">
        <v>46072.6347222222</v>
      </c>
      <c r="E1131" s="58" t="n">
        <v>46072.6347222222</v>
      </c>
      <c r="F1131" s="58" t="n">
        <v>46072.71875</v>
      </c>
      <c r="G1131" s="59" t="n">
        <f aca="false">F1131-E1131</f>
        <v>0.0840277778009259</v>
      </c>
      <c r="H1131" s="57" t="s">
        <v>252</v>
      </c>
      <c r="I1131" s="57"/>
      <c r="J1131" s="57" t="s">
        <v>253</v>
      </c>
      <c r="K1131" s="57" t="s">
        <v>266</v>
      </c>
      <c r="L1131" s="62" t="s">
        <v>2035</v>
      </c>
      <c r="M1131" s="57" t="s">
        <v>255</v>
      </c>
      <c r="N1131" s="57" t="s">
        <v>256</v>
      </c>
      <c r="O1131" s="57" t="s">
        <v>2036</v>
      </c>
      <c r="P1131" s="57" t="s">
        <v>2056</v>
      </c>
      <c r="Q1131" s="57" t="s">
        <v>706</v>
      </c>
    </row>
    <row r="1132" s="50" customFormat="true" ht="14.25" hidden="false" customHeight="true" outlineLevel="0" collapsed="false">
      <c r="A1132" s="50" t="s">
        <v>832</v>
      </c>
      <c r="B1132" s="57" t="s">
        <v>112</v>
      </c>
      <c r="C1132" s="57" t="s">
        <v>551</v>
      </c>
      <c r="D1132" s="58" t="n">
        <v>46072.68125</v>
      </c>
      <c r="E1132" s="58" t="n">
        <v>46072.68125</v>
      </c>
      <c r="F1132" s="58" t="n">
        <v>46072.7430555556</v>
      </c>
      <c r="G1132" s="59" t="n">
        <f aca="false">F1132-E1132</f>
        <v>0.0618055556018519</v>
      </c>
      <c r="H1132" s="57" t="s">
        <v>384</v>
      </c>
      <c r="I1132" s="57"/>
      <c r="J1132" s="57" t="s">
        <v>377</v>
      </c>
      <c r="K1132" s="57" t="s">
        <v>378</v>
      </c>
      <c r="L1132" s="57" t="s">
        <v>2057</v>
      </c>
      <c r="M1132" s="57" t="s">
        <v>386</v>
      </c>
      <c r="N1132" s="57" t="s">
        <v>387</v>
      </c>
      <c r="O1132" s="57" t="s">
        <v>2058</v>
      </c>
      <c r="P1132" s="57" t="s">
        <v>2059</v>
      </c>
      <c r="Q1132" s="57" t="s">
        <v>1736</v>
      </c>
    </row>
    <row r="1133" s="50" customFormat="true" ht="14.25" hidden="false" customHeight="true" outlineLevel="0" collapsed="false">
      <c r="A1133" s="50" t="s">
        <v>832</v>
      </c>
      <c r="B1133" s="57" t="s">
        <v>112</v>
      </c>
      <c r="C1133" s="57" t="s">
        <v>552</v>
      </c>
      <c r="D1133" s="58" t="n">
        <v>46072.68125</v>
      </c>
      <c r="E1133" s="58" t="n">
        <v>46072.68125</v>
      </c>
      <c r="F1133" s="58" t="n">
        <v>46072.7430555556</v>
      </c>
      <c r="G1133" s="59" t="n">
        <f aca="false">F1133-E1133</f>
        <v>0.0618055556018519</v>
      </c>
      <c r="H1133" s="57" t="s">
        <v>384</v>
      </c>
      <c r="I1133" s="57"/>
      <c r="J1133" s="57" t="s">
        <v>377</v>
      </c>
      <c r="K1133" s="57" t="s">
        <v>378</v>
      </c>
      <c r="L1133" s="57" t="s">
        <v>2057</v>
      </c>
      <c r="M1133" s="57" t="s">
        <v>386</v>
      </c>
      <c r="N1133" s="57" t="s">
        <v>387</v>
      </c>
      <c r="O1133" s="57" t="s">
        <v>2058</v>
      </c>
      <c r="P1133" s="57" t="s">
        <v>2060</v>
      </c>
      <c r="Q1133" s="57" t="s">
        <v>1736</v>
      </c>
    </row>
    <row r="1134" s="50" customFormat="true" ht="14.25" hidden="false" customHeight="true" outlineLevel="0" collapsed="false">
      <c r="A1134" s="50" t="s">
        <v>832</v>
      </c>
      <c r="B1134" s="57" t="s">
        <v>112</v>
      </c>
      <c r="C1134" s="57" t="s">
        <v>553</v>
      </c>
      <c r="D1134" s="58" t="n">
        <v>46072.68125</v>
      </c>
      <c r="E1134" s="58" t="n">
        <v>46072.68125</v>
      </c>
      <c r="F1134" s="58" t="n">
        <v>46072.7430555556</v>
      </c>
      <c r="G1134" s="59" t="n">
        <f aca="false">F1134-E1134</f>
        <v>0.0618055556018519</v>
      </c>
      <c r="H1134" s="57" t="s">
        <v>384</v>
      </c>
      <c r="I1134" s="57"/>
      <c r="J1134" s="57" t="s">
        <v>377</v>
      </c>
      <c r="K1134" s="57" t="s">
        <v>378</v>
      </c>
      <c r="L1134" s="57" t="s">
        <v>2057</v>
      </c>
      <c r="M1134" s="57" t="s">
        <v>386</v>
      </c>
      <c r="N1134" s="57" t="s">
        <v>387</v>
      </c>
      <c r="O1134" s="57" t="s">
        <v>2058</v>
      </c>
      <c r="P1134" s="57" t="s">
        <v>2061</v>
      </c>
      <c r="Q1134" s="57" t="s">
        <v>1736</v>
      </c>
    </row>
    <row r="1135" s="50" customFormat="true" ht="14.25" hidden="false" customHeight="true" outlineLevel="0" collapsed="false">
      <c r="A1135" s="50" t="s">
        <v>801</v>
      </c>
      <c r="B1135" s="57" t="s">
        <v>112</v>
      </c>
      <c r="C1135" s="57" t="s">
        <v>524</v>
      </c>
      <c r="D1135" s="58" t="n">
        <v>46072.7048611111</v>
      </c>
      <c r="E1135" s="58" t="n">
        <v>46072.7048611111</v>
      </c>
      <c r="F1135" s="58" t="n">
        <v>46072.7430555556</v>
      </c>
      <c r="G1135" s="59" t="n">
        <f aca="false">F1135-E1135</f>
        <v>0.0381944444907407</v>
      </c>
      <c r="H1135" s="57" t="s">
        <v>384</v>
      </c>
      <c r="I1135" s="57"/>
      <c r="J1135" s="57" t="s">
        <v>377</v>
      </c>
      <c r="K1135" s="57" t="s">
        <v>378</v>
      </c>
      <c r="L1135" s="60" t="s">
        <v>2062</v>
      </c>
      <c r="M1135" s="57" t="s">
        <v>386</v>
      </c>
      <c r="N1135" s="57" t="s">
        <v>387</v>
      </c>
      <c r="O1135" s="57" t="s">
        <v>2063</v>
      </c>
      <c r="P1135" s="57" t="s">
        <v>2064</v>
      </c>
      <c r="Q1135" s="57" t="s">
        <v>1736</v>
      </c>
    </row>
    <row r="1136" s="50" customFormat="true" ht="14.25" hidden="false" customHeight="true" outlineLevel="0" collapsed="false">
      <c r="A1136" s="50" t="s">
        <v>801</v>
      </c>
      <c r="B1136" s="57" t="s">
        <v>112</v>
      </c>
      <c r="C1136" s="57" t="s">
        <v>526</v>
      </c>
      <c r="D1136" s="58" t="n">
        <v>46072.7048611111</v>
      </c>
      <c r="E1136" s="58" t="n">
        <v>46072.7048611111</v>
      </c>
      <c r="F1136" s="58" t="n">
        <v>46072.7430555556</v>
      </c>
      <c r="G1136" s="59" t="n">
        <f aca="false">F1136-E1136</f>
        <v>0.0381944444907407</v>
      </c>
      <c r="H1136" s="57" t="s">
        <v>384</v>
      </c>
      <c r="I1136" s="57"/>
      <c r="J1136" s="57" t="s">
        <v>377</v>
      </c>
      <c r="K1136" s="57" t="s">
        <v>378</v>
      </c>
      <c r="L1136" s="60" t="s">
        <v>2062</v>
      </c>
      <c r="M1136" s="57" t="s">
        <v>386</v>
      </c>
      <c r="N1136" s="57" t="s">
        <v>387</v>
      </c>
      <c r="O1136" s="57" t="s">
        <v>2063</v>
      </c>
      <c r="P1136" s="57" t="s">
        <v>2065</v>
      </c>
      <c r="Q1136" s="57" t="s">
        <v>1736</v>
      </c>
    </row>
    <row r="1137" s="50" customFormat="true" ht="14.25" hidden="false" customHeight="true" outlineLevel="0" collapsed="false">
      <c r="A1137" s="50" t="s">
        <v>801</v>
      </c>
      <c r="B1137" s="57" t="s">
        <v>112</v>
      </c>
      <c r="C1137" s="57" t="s">
        <v>527</v>
      </c>
      <c r="D1137" s="58" t="n">
        <v>46072.7048611111</v>
      </c>
      <c r="E1137" s="58" t="n">
        <v>46072.7048611111</v>
      </c>
      <c r="F1137" s="58" t="n">
        <v>46072.7430555556</v>
      </c>
      <c r="G1137" s="59" t="n">
        <f aca="false">F1137-E1137</f>
        <v>0.0381944444907407</v>
      </c>
      <c r="H1137" s="57" t="s">
        <v>384</v>
      </c>
      <c r="I1137" s="57"/>
      <c r="J1137" s="57" t="s">
        <v>377</v>
      </c>
      <c r="K1137" s="57" t="s">
        <v>378</v>
      </c>
      <c r="L1137" s="60" t="s">
        <v>2062</v>
      </c>
      <c r="M1137" s="57" t="s">
        <v>386</v>
      </c>
      <c r="N1137" s="57" t="s">
        <v>387</v>
      </c>
      <c r="O1137" s="57" t="s">
        <v>2063</v>
      </c>
      <c r="P1137" s="57" t="s">
        <v>2066</v>
      </c>
      <c r="Q1137" s="57" t="s">
        <v>1736</v>
      </c>
    </row>
    <row r="1138" s="50" customFormat="true" ht="14.25" hidden="false" customHeight="true" outlineLevel="0" collapsed="false">
      <c r="A1138" s="50" t="s">
        <v>801</v>
      </c>
      <c r="B1138" s="57" t="s">
        <v>112</v>
      </c>
      <c r="C1138" s="57" t="s">
        <v>528</v>
      </c>
      <c r="D1138" s="58" t="n">
        <v>46072.7048611111</v>
      </c>
      <c r="E1138" s="58" t="n">
        <v>46072.7048611111</v>
      </c>
      <c r="F1138" s="58" t="n">
        <v>46072.7430555556</v>
      </c>
      <c r="G1138" s="59" t="n">
        <f aca="false">F1138-E1138</f>
        <v>0.0381944444907407</v>
      </c>
      <c r="H1138" s="57" t="s">
        <v>384</v>
      </c>
      <c r="I1138" s="57"/>
      <c r="J1138" s="57" t="s">
        <v>377</v>
      </c>
      <c r="K1138" s="57" t="s">
        <v>378</v>
      </c>
      <c r="L1138" s="60" t="s">
        <v>2062</v>
      </c>
      <c r="M1138" s="57" t="s">
        <v>386</v>
      </c>
      <c r="N1138" s="57" t="s">
        <v>387</v>
      </c>
      <c r="O1138" s="57" t="s">
        <v>2063</v>
      </c>
      <c r="P1138" s="57" t="s">
        <v>2067</v>
      </c>
      <c r="Q1138" s="57" t="s">
        <v>1736</v>
      </c>
    </row>
    <row r="1139" s="50" customFormat="true" ht="14.25" hidden="false" customHeight="true" outlineLevel="0" collapsed="false">
      <c r="A1139" s="50" t="s">
        <v>801</v>
      </c>
      <c r="B1139" s="57" t="s">
        <v>112</v>
      </c>
      <c r="C1139" s="57" t="s">
        <v>529</v>
      </c>
      <c r="D1139" s="58" t="n">
        <v>46072.7048611111</v>
      </c>
      <c r="E1139" s="58" t="n">
        <v>46072.7048611111</v>
      </c>
      <c r="F1139" s="58" t="n">
        <v>46072.7430555556</v>
      </c>
      <c r="G1139" s="59" t="n">
        <f aca="false">F1139-E1139</f>
        <v>0.0381944444907407</v>
      </c>
      <c r="H1139" s="57" t="s">
        <v>384</v>
      </c>
      <c r="I1139" s="57"/>
      <c r="J1139" s="57" t="s">
        <v>377</v>
      </c>
      <c r="K1139" s="57" t="s">
        <v>378</v>
      </c>
      <c r="L1139" s="60" t="s">
        <v>2062</v>
      </c>
      <c r="M1139" s="57" t="s">
        <v>386</v>
      </c>
      <c r="N1139" s="57" t="s">
        <v>387</v>
      </c>
      <c r="O1139" s="57" t="s">
        <v>2063</v>
      </c>
      <c r="P1139" s="57" t="s">
        <v>2068</v>
      </c>
      <c r="Q1139" s="57" t="s">
        <v>1736</v>
      </c>
    </row>
    <row r="1140" s="50" customFormat="true" ht="14.25" hidden="false" customHeight="true" outlineLevel="0" collapsed="false">
      <c r="A1140" s="50" t="s">
        <v>801</v>
      </c>
      <c r="B1140" s="57" t="s">
        <v>112</v>
      </c>
      <c r="C1140" s="57" t="s">
        <v>530</v>
      </c>
      <c r="D1140" s="58" t="n">
        <v>46072.7048611111</v>
      </c>
      <c r="E1140" s="58" t="n">
        <v>46072.7048611111</v>
      </c>
      <c r="F1140" s="58" t="n">
        <v>46072.7430555556</v>
      </c>
      <c r="G1140" s="59" t="n">
        <f aca="false">F1140-E1140</f>
        <v>0.0381944444907407</v>
      </c>
      <c r="H1140" s="57" t="s">
        <v>384</v>
      </c>
      <c r="I1140" s="57"/>
      <c r="J1140" s="57" t="s">
        <v>377</v>
      </c>
      <c r="K1140" s="57" t="s">
        <v>378</v>
      </c>
      <c r="L1140" s="60" t="s">
        <v>2062</v>
      </c>
      <c r="M1140" s="57" t="s">
        <v>386</v>
      </c>
      <c r="N1140" s="57" t="s">
        <v>387</v>
      </c>
      <c r="O1140" s="57" t="s">
        <v>2063</v>
      </c>
      <c r="P1140" s="57" t="s">
        <v>2069</v>
      </c>
      <c r="Q1140" s="57" t="s">
        <v>1736</v>
      </c>
    </row>
    <row r="1141" s="50" customFormat="true" ht="14.25" hidden="false" customHeight="true" outlineLevel="0" collapsed="false">
      <c r="A1141" s="50" t="s">
        <v>801</v>
      </c>
      <c r="B1141" s="57" t="s">
        <v>112</v>
      </c>
      <c r="C1141" s="57" t="s">
        <v>531</v>
      </c>
      <c r="D1141" s="58" t="n">
        <v>46072.7048611111</v>
      </c>
      <c r="E1141" s="58" t="n">
        <v>46072.7048611111</v>
      </c>
      <c r="F1141" s="58" t="n">
        <v>46072.7430555556</v>
      </c>
      <c r="G1141" s="59" t="n">
        <f aca="false">F1141-E1141</f>
        <v>0.0381944444907407</v>
      </c>
      <c r="H1141" s="57" t="s">
        <v>384</v>
      </c>
      <c r="I1141" s="57"/>
      <c r="J1141" s="57" t="s">
        <v>377</v>
      </c>
      <c r="K1141" s="57" t="s">
        <v>378</v>
      </c>
      <c r="L1141" s="60" t="s">
        <v>2062</v>
      </c>
      <c r="M1141" s="57" t="s">
        <v>386</v>
      </c>
      <c r="N1141" s="57" t="s">
        <v>387</v>
      </c>
      <c r="O1141" s="57" t="s">
        <v>2063</v>
      </c>
      <c r="P1141" s="57" t="s">
        <v>2070</v>
      </c>
      <c r="Q1141" s="57" t="s">
        <v>1736</v>
      </c>
    </row>
    <row r="1142" s="50" customFormat="true" ht="14.25" hidden="false" customHeight="true" outlineLevel="0" collapsed="false">
      <c r="A1142" s="50" t="s">
        <v>801</v>
      </c>
      <c r="B1142" s="57" t="s">
        <v>112</v>
      </c>
      <c r="C1142" s="57" t="s">
        <v>532</v>
      </c>
      <c r="D1142" s="58" t="n">
        <v>46072.7048611111</v>
      </c>
      <c r="E1142" s="58" t="n">
        <v>46072.7048611111</v>
      </c>
      <c r="F1142" s="58" t="n">
        <v>46072.7430555556</v>
      </c>
      <c r="G1142" s="59" t="n">
        <f aca="false">F1142-E1142</f>
        <v>0.0381944444907407</v>
      </c>
      <c r="H1142" s="57" t="s">
        <v>384</v>
      </c>
      <c r="I1142" s="57"/>
      <c r="J1142" s="57" t="s">
        <v>377</v>
      </c>
      <c r="K1142" s="57" t="s">
        <v>378</v>
      </c>
      <c r="L1142" s="60" t="s">
        <v>2062</v>
      </c>
      <c r="M1142" s="57" t="s">
        <v>386</v>
      </c>
      <c r="N1142" s="57" t="s">
        <v>387</v>
      </c>
      <c r="O1142" s="57" t="s">
        <v>2063</v>
      </c>
      <c r="P1142" s="57" t="s">
        <v>2071</v>
      </c>
      <c r="Q1142" s="57" t="s">
        <v>1736</v>
      </c>
    </row>
    <row r="1143" s="50" customFormat="true" ht="14.25" hidden="false" customHeight="true" outlineLevel="0" collapsed="false">
      <c r="A1143" s="50" t="s">
        <v>801</v>
      </c>
      <c r="B1143" s="57" t="s">
        <v>112</v>
      </c>
      <c r="C1143" s="57" t="s">
        <v>533</v>
      </c>
      <c r="D1143" s="58" t="n">
        <v>46072.7048611111</v>
      </c>
      <c r="E1143" s="58" t="n">
        <v>46072.7048611111</v>
      </c>
      <c r="F1143" s="58" t="n">
        <v>46072.7430555556</v>
      </c>
      <c r="G1143" s="59" t="n">
        <f aca="false">F1143-E1143</f>
        <v>0.0381944444907407</v>
      </c>
      <c r="H1143" s="57" t="s">
        <v>384</v>
      </c>
      <c r="I1143" s="57"/>
      <c r="J1143" s="57" t="s">
        <v>377</v>
      </c>
      <c r="K1143" s="57" t="s">
        <v>378</v>
      </c>
      <c r="L1143" s="60" t="s">
        <v>2062</v>
      </c>
      <c r="M1143" s="57" t="s">
        <v>386</v>
      </c>
      <c r="N1143" s="57" t="s">
        <v>387</v>
      </c>
      <c r="O1143" s="57" t="s">
        <v>2063</v>
      </c>
      <c r="P1143" s="57" t="s">
        <v>2072</v>
      </c>
      <c r="Q1143" s="57" t="s">
        <v>1736</v>
      </c>
    </row>
    <row r="1144" s="50" customFormat="true" ht="14.25" hidden="false" customHeight="true" outlineLevel="0" collapsed="false">
      <c r="A1144" s="50" t="s">
        <v>812</v>
      </c>
      <c r="B1144" s="57" t="s">
        <v>112</v>
      </c>
      <c r="C1144" s="57" t="s">
        <v>534</v>
      </c>
      <c r="D1144" s="58" t="n">
        <v>46072.7048611111</v>
      </c>
      <c r="E1144" s="58" t="n">
        <v>46072.7048611111</v>
      </c>
      <c r="F1144" s="58" t="n">
        <v>46072.7430555556</v>
      </c>
      <c r="G1144" s="59" t="n">
        <f aca="false">F1144-E1144</f>
        <v>0.0381944444907407</v>
      </c>
      <c r="H1144" s="57" t="s">
        <v>384</v>
      </c>
      <c r="I1144" s="57"/>
      <c r="J1144" s="57" t="s">
        <v>377</v>
      </c>
      <c r="K1144" s="57" t="s">
        <v>378</v>
      </c>
      <c r="L1144" s="60" t="s">
        <v>2062</v>
      </c>
      <c r="M1144" s="57" t="s">
        <v>386</v>
      </c>
      <c r="N1144" s="57" t="s">
        <v>387</v>
      </c>
      <c r="O1144" s="57" t="s">
        <v>2063</v>
      </c>
      <c r="P1144" s="57" t="s">
        <v>2073</v>
      </c>
      <c r="Q1144" s="57" t="s">
        <v>1736</v>
      </c>
    </row>
    <row r="1145" s="50" customFormat="true" ht="14.25" hidden="false" customHeight="true" outlineLevel="0" collapsed="false">
      <c r="A1145" s="50" t="s">
        <v>812</v>
      </c>
      <c r="B1145" s="57" t="s">
        <v>112</v>
      </c>
      <c r="C1145" s="57" t="s">
        <v>535</v>
      </c>
      <c r="D1145" s="58" t="n">
        <v>46072.7048611111</v>
      </c>
      <c r="E1145" s="58" t="n">
        <v>46072.7048611111</v>
      </c>
      <c r="F1145" s="58" t="n">
        <v>46072.7430555556</v>
      </c>
      <c r="G1145" s="59" t="n">
        <f aca="false">F1145-E1145</f>
        <v>0.0381944444907407</v>
      </c>
      <c r="H1145" s="57" t="s">
        <v>384</v>
      </c>
      <c r="I1145" s="57"/>
      <c r="J1145" s="57" t="s">
        <v>377</v>
      </c>
      <c r="K1145" s="57" t="s">
        <v>378</v>
      </c>
      <c r="L1145" s="60" t="s">
        <v>2062</v>
      </c>
      <c r="M1145" s="57" t="s">
        <v>386</v>
      </c>
      <c r="N1145" s="57" t="s">
        <v>387</v>
      </c>
      <c r="O1145" s="57" t="s">
        <v>2063</v>
      </c>
      <c r="P1145" s="57" t="s">
        <v>2074</v>
      </c>
      <c r="Q1145" s="57" t="s">
        <v>1736</v>
      </c>
    </row>
    <row r="1146" s="50" customFormat="true" ht="14.25" hidden="false" customHeight="true" outlineLevel="0" collapsed="false">
      <c r="A1146" s="50" t="s">
        <v>812</v>
      </c>
      <c r="B1146" s="57" t="s">
        <v>112</v>
      </c>
      <c r="C1146" s="57" t="s">
        <v>536</v>
      </c>
      <c r="D1146" s="58" t="n">
        <v>46072.7048611111</v>
      </c>
      <c r="E1146" s="58" t="n">
        <v>46072.7048611111</v>
      </c>
      <c r="F1146" s="58" t="n">
        <v>46072.7430555556</v>
      </c>
      <c r="G1146" s="59" t="n">
        <f aca="false">F1146-E1146</f>
        <v>0.0381944444907407</v>
      </c>
      <c r="H1146" s="57" t="s">
        <v>384</v>
      </c>
      <c r="I1146" s="57"/>
      <c r="J1146" s="57" t="s">
        <v>377</v>
      </c>
      <c r="K1146" s="57" t="s">
        <v>378</v>
      </c>
      <c r="L1146" s="60" t="s">
        <v>2062</v>
      </c>
      <c r="M1146" s="57" t="s">
        <v>386</v>
      </c>
      <c r="N1146" s="57" t="s">
        <v>387</v>
      </c>
      <c r="O1146" s="57" t="s">
        <v>2063</v>
      </c>
      <c r="P1146" s="57" t="s">
        <v>2075</v>
      </c>
      <c r="Q1146" s="57" t="s">
        <v>1736</v>
      </c>
    </row>
    <row r="1147" s="50" customFormat="true" ht="14.25" hidden="false" customHeight="true" outlineLevel="0" collapsed="false">
      <c r="A1147" s="50" t="s">
        <v>812</v>
      </c>
      <c r="B1147" s="57" t="s">
        <v>112</v>
      </c>
      <c r="C1147" s="57" t="s">
        <v>537</v>
      </c>
      <c r="D1147" s="58" t="n">
        <v>46072.7048611111</v>
      </c>
      <c r="E1147" s="58" t="n">
        <v>46072.7048611111</v>
      </c>
      <c r="F1147" s="58" t="n">
        <v>46072.7430555556</v>
      </c>
      <c r="G1147" s="59" t="n">
        <f aca="false">F1147-E1147</f>
        <v>0.0381944444907407</v>
      </c>
      <c r="H1147" s="57" t="s">
        <v>384</v>
      </c>
      <c r="I1147" s="57"/>
      <c r="J1147" s="57" t="s">
        <v>377</v>
      </c>
      <c r="K1147" s="57" t="s">
        <v>378</v>
      </c>
      <c r="L1147" s="60" t="s">
        <v>2062</v>
      </c>
      <c r="M1147" s="57" t="s">
        <v>386</v>
      </c>
      <c r="N1147" s="57" t="s">
        <v>387</v>
      </c>
      <c r="O1147" s="57" t="s">
        <v>2063</v>
      </c>
      <c r="P1147" s="57" t="s">
        <v>2076</v>
      </c>
      <c r="Q1147" s="57" t="s">
        <v>1736</v>
      </c>
    </row>
    <row r="1148" s="50" customFormat="true" ht="14.25" hidden="false" customHeight="true" outlineLevel="0" collapsed="false">
      <c r="A1148" s="50" t="s">
        <v>812</v>
      </c>
      <c r="B1148" s="57" t="s">
        <v>112</v>
      </c>
      <c r="C1148" s="57" t="s">
        <v>538</v>
      </c>
      <c r="D1148" s="58" t="n">
        <v>46072.7048611111</v>
      </c>
      <c r="E1148" s="58" t="n">
        <v>46072.7048611111</v>
      </c>
      <c r="F1148" s="58" t="n">
        <v>46072.7430555556</v>
      </c>
      <c r="G1148" s="59" t="n">
        <f aca="false">F1148-E1148</f>
        <v>0.0381944444907407</v>
      </c>
      <c r="H1148" s="57" t="s">
        <v>384</v>
      </c>
      <c r="I1148" s="57"/>
      <c r="J1148" s="57" t="s">
        <v>377</v>
      </c>
      <c r="K1148" s="57" t="s">
        <v>378</v>
      </c>
      <c r="L1148" s="60" t="s">
        <v>2062</v>
      </c>
      <c r="M1148" s="57" t="s">
        <v>386</v>
      </c>
      <c r="N1148" s="57" t="s">
        <v>387</v>
      </c>
      <c r="O1148" s="57" t="s">
        <v>2063</v>
      </c>
      <c r="P1148" s="57" t="s">
        <v>2077</v>
      </c>
      <c r="Q1148" s="57" t="s">
        <v>1736</v>
      </c>
    </row>
    <row r="1149" s="50" customFormat="true" ht="14.25" hidden="false" customHeight="true" outlineLevel="0" collapsed="false">
      <c r="A1149" s="50" t="s">
        <v>818</v>
      </c>
      <c r="B1149" s="57" t="s">
        <v>112</v>
      </c>
      <c r="C1149" s="57" t="s">
        <v>539</v>
      </c>
      <c r="D1149" s="58" t="n">
        <v>46072.7048611111</v>
      </c>
      <c r="E1149" s="58" t="n">
        <v>46072.7048611111</v>
      </c>
      <c r="F1149" s="58" t="n">
        <v>46072.7430555556</v>
      </c>
      <c r="G1149" s="59" t="n">
        <f aca="false">F1149-E1149</f>
        <v>0.0381944444907407</v>
      </c>
      <c r="H1149" s="57" t="s">
        <v>384</v>
      </c>
      <c r="I1149" s="57"/>
      <c r="J1149" s="57" t="s">
        <v>377</v>
      </c>
      <c r="K1149" s="57" t="s">
        <v>378</v>
      </c>
      <c r="L1149" s="60" t="s">
        <v>2062</v>
      </c>
      <c r="M1149" s="57" t="s">
        <v>386</v>
      </c>
      <c r="N1149" s="57" t="s">
        <v>387</v>
      </c>
      <c r="O1149" s="57" t="s">
        <v>2063</v>
      </c>
      <c r="P1149" s="57" t="s">
        <v>2078</v>
      </c>
      <c r="Q1149" s="57" t="s">
        <v>1736</v>
      </c>
    </row>
    <row r="1150" s="50" customFormat="true" ht="14.25" hidden="false" customHeight="true" outlineLevel="0" collapsed="false">
      <c r="A1150" s="50" t="s">
        <v>818</v>
      </c>
      <c r="B1150" s="57" t="s">
        <v>112</v>
      </c>
      <c r="C1150" s="57" t="s">
        <v>540</v>
      </c>
      <c r="D1150" s="58" t="n">
        <v>46072.7048611111</v>
      </c>
      <c r="E1150" s="58" t="n">
        <v>46072.7048611111</v>
      </c>
      <c r="F1150" s="58" t="n">
        <v>46072.7430555556</v>
      </c>
      <c r="G1150" s="59" t="n">
        <f aca="false">F1150-E1150</f>
        <v>0.0381944444907407</v>
      </c>
      <c r="H1150" s="57" t="s">
        <v>384</v>
      </c>
      <c r="I1150" s="57"/>
      <c r="J1150" s="57" t="s">
        <v>377</v>
      </c>
      <c r="K1150" s="57" t="s">
        <v>378</v>
      </c>
      <c r="L1150" s="60" t="s">
        <v>2062</v>
      </c>
      <c r="M1150" s="57" t="s">
        <v>386</v>
      </c>
      <c r="N1150" s="57" t="s">
        <v>387</v>
      </c>
      <c r="O1150" s="57" t="s">
        <v>2063</v>
      </c>
      <c r="P1150" s="57" t="s">
        <v>2079</v>
      </c>
      <c r="Q1150" s="57" t="s">
        <v>1736</v>
      </c>
    </row>
    <row r="1151" s="50" customFormat="true" ht="14.25" hidden="false" customHeight="true" outlineLevel="0" collapsed="false">
      <c r="A1151" s="50" t="s">
        <v>818</v>
      </c>
      <c r="B1151" s="57" t="s">
        <v>112</v>
      </c>
      <c r="C1151" s="57" t="s">
        <v>541</v>
      </c>
      <c r="D1151" s="58" t="n">
        <v>46072.7048611111</v>
      </c>
      <c r="E1151" s="58" t="n">
        <v>46072.7048611111</v>
      </c>
      <c r="F1151" s="58" t="n">
        <v>46072.7430555556</v>
      </c>
      <c r="G1151" s="59" t="n">
        <f aca="false">F1151-E1151</f>
        <v>0.0381944444907407</v>
      </c>
      <c r="H1151" s="57" t="s">
        <v>384</v>
      </c>
      <c r="I1151" s="57"/>
      <c r="J1151" s="57" t="s">
        <v>377</v>
      </c>
      <c r="K1151" s="57" t="s">
        <v>378</v>
      </c>
      <c r="L1151" s="60" t="s">
        <v>2062</v>
      </c>
      <c r="M1151" s="57" t="s">
        <v>386</v>
      </c>
      <c r="N1151" s="57" t="s">
        <v>387</v>
      </c>
      <c r="O1151" s="57" t="s">
        <v>2063</v>
      </c>
      <c r="P1151" s="57" t="s">
        <v>2080</v>
      </c>
      <c r="Q1151" s="57" t="s">
        <v>1736</v>
      </c>
    </row>
    <row r="1152" s="50" customFormat="true" ht="14.25" hidden="false" customHeight="true" outlineLevel="0" collapsed="false">
      <c r="A1152" s="50" t="s">
        <v>818</v>
      </c>
      <c r="B1152" s="57" t="s">
        <v>112</v>
      </c>
      <c r="C1152" s="57" t="s">
        <v>542</v>
      </c>
      <c r="D1152" s="58" t="n">
        <v>46072.7048611111</v>
      </c>
      <c r="E1152" s="58" t="n">
        <v>46072.7048611111</v>
      </c>
      <c r="F1152" s="58" t="n">
        <v>46072.7430555556</v>
      </c>
      <c r="G1152" s="59" t="n">
        <f aca="false">F1152-E1152</f>
        <v>0.0381944444907407</v>
      </c>
      <c r="H1152" s="57" t="s">
        <v>384</v>
      </c>
      <c r="I1152" s="57"/>
      <c r="J1152" s="57" t="s">
        <v>377</v>
      </c>
      <c r="K1152" s="57" t="s">
        <v>378</v>
      </c>
      <c r="L1152" s="60" t="s">
        <v>2062</v>
      </c>
      <c r="M1152" s="57" t="s">
        <v>386</v>
      </c>
      <c r="N1152" s="57" t="s">
        <v>387</v>
      </c>
      <c r="O1152" s="57" t="s">
        <v>2063</v>
      </c>
      <c r="P1152" s="57" t="s">
        <v>2081</v>
      </c>
      <c r="Q1152" s="57" t="s">
        <v>1736</v>
      </c>
    </row>
    <row r="1153" s="50" customFormat="true" ht="14.25" hidden="false" customHeight="true" outlineLevel="0" collapsed="false">
      <c r="A1153" s="50" t="s">
        <v>818</v>
      </c>
      <c r="B1153" s="57" t="s">
        <v>112</v>
      </c>
      <c r="C1153" s="57" t="s">
        <v>543</v>
      </c>
      <c r="D1153" s="58" t="n">
        <v>46072.7048611111</v>
      </c>
      <c r="E1153" s="58" t="n">
        <v>46072.7048611111</v>
      </c>
      <c r="F1153" s="58" t="n">
        <v>46072.7430555556</v>
      </c>
      <c r="G1153" s="59" t="n">
        <f aca="false">F1153-E1153</f>
        <v>0.0381944444907407</v>
      </c>
      <c r="H1153" s="57" t="s">
        <v>384</v>
      </c>
      <c r="I1153" s="57"/>
      <c r="J1153" s="57" t="s">
        <v>377</v>
      </c>
      <c r="K1153" s="57" t="s">
        <v>378</v>
      </c>
      <c r="L1153" s="60" t="s">
        <v>2062</v>
      </c>
      <c r="M1153" s="57" t="s">
        <v>386</v>
      </c>
      <c r="N1153" s="57" t="s">
        <v>387</v>
      </c>
      <c r="O1153" s="57" t="s">
        <v>2063</v>
      </c>
      <c r="P1153" s="57" t="s">
        <v>2082</v>
      </c>
      <c r="Q1153" s="57" t="s">
        <v>1736</v>
      </c>
    </row>
    <row r="1154" s="50" customFormat="true" ht="14.25" hidden="false" customHeight="true" outlineLevel="0" collapsed="false">
      <c r="A1154" s="50" t="s">
        <v>818</v>
      </c>
      <c r="B1154" s="57" t="s">
        <v>112</v>
      </c>
      <c r="C1154" s="57" t="s">
        <v>544</v>
      </c>
      <c r="D1154" s="58" t="n">
        <v>46072.7048611111</v>
      </c>
      <c r="E1154" s="58" t="n">
        <v>46072.7048611111</v>
      </c>
      <c r="F1154" s="58" t="n">
        <v>46072.7430555556</v>
      </c>
      <c r="G1154" s="59" t="n">
        <f aca="false">F1154-E1154</f>
        <v>0.0381944444907407</v>
      </c>
      <c r="H1154" s="57" t="s">
        <v>384</v>
      </c>
      <c r="I1154" s="57"/>
      <c r="J1154" s="57" t="s">
        <v>377</v>
      </c>
      <c r="K1154" s="57" t="s">
        <v>378</v>
      </c>
      <c r="L1154" s="60" t="s">
        <v>2062</v>
      </c>
      <c r="M1154" s="57" t="s">
        <v>386</v>
      </c>
      <c r="N1154" s="57" t="s">
        <v>387</v>
      </c>
      <c r="O1154" s="57" t="s">
        <v>2063</v>
      </c>
      <c r="P1154" s="57" t="s">
        <v>2083</v>
      </c>
      <c r="Q1154" s="57" t="s">
        <v>1736</v>
      </c>
    </row>
    <row r="1155" s="50" customFormat="true" ht="14.25" hidden="false" customHeight="true" outlineLevel="0" collapsed="false">
      <c r="A1155" s="50" t="s">
        <v>825</v>
      </c>
      <c r="B1155" s="57" t="s">
        <v>112</v>
      </c>
      <c r="C1155" s="57" t="s">
        <v>545</v>
      </c>
      <c r="D1155" s="58" t="n">
        <v>46072.7048611111</v>
      </c>
      <c r="E1155" s="58" t="n">
        <v>46072.7048611111</v>
      </c>
      <c r="F1155" s="58" t="n">
        <v>46072.7430555556</v>
      </c>
      <c r="G1155" s="59" t="n">
        <f aca="false">F1155-E1155</f>
        <v>0.0381944444907407</v>
      </c>
      <c r="H1155" s="57" t="s">
        <v>384</v>
      </c>
      <c r="I1155" s="57"/>
      <c r="J1155" s="57" t="s">
        <v>377</v>
      </c>
      <c r="K1155" s="57" t="s">
        <v>378</v>
      </c>
      <c r="L1155" s="60" t="s">
        <v>2062</v>
      </c>
      <c r="M1155" s="57" t="s">
        <v>386</v>
      </c>
      <c r="N1155" s="57" t="s">
        <v>387</v>
      </c>
      <c r="O1155" s="57" t="s">
        <v>2063</v>
      </c>
      <c r="P1155" s="57" t="s">
        <v>2084</v>
      </c>
      <c r="Q1155" s="57" t="s">
        <v>1736</v>
      </c>
    </row>
    <row r="1156" s="50" customFormat="true" ht="14.25" hidden="false" customHeight="true" outlineLevel="0" collapsed="false">
      <c r="A1156" s="50" t="s">
        <v>825</v>
      </c>
      <c r="B1156" s="57" t="s">
        <v>112</v>
      </c>
      <c r="C1156" s="57" t="s">
        <v>546</v>
      </c>
      <c r="D1156" s="58" t="n">
        <v>46072.7048611111</v>
      </c>
      <c r="E1156" s="58" t="n">
        <v>46072.7048611111</v>
      </c>
      <c r="F1156" s="58" t="n">
        <v>46072.7430555556</v>
      </c>
      <c r="G1156" s="59" t="n">
        <f aca="false">F1156-E1156</f>
        <v>0.0381944444907407</v>
      </c>
      <c r="H1156" s="57" t="s">
        <v>384</v>
      </c>
      <c r="I1156" s="57"/>
      <c r="J1156" s="57" t="s">
        <v>377</v>
      </c>
      <c r="K1156" s="57" t="s">
        <v>378</v>
      </c>
      <c r="L1156" s="60" t="s">
        <v>2062</v>
      </c>
      <c r="M1156" s="57" t="s">
        <v>386</v>
      </c>
      <c r="N1156" s="57" t="s">
        <v>387</v>
      </c>
      <c r="O1156" s="57" t="s">
        <v>2063</v>
      </c>
      <c r="P1156" s="57" t="s">
        <v>2085</v>
      </c>
      <c r="Q1156" s="57" t="s">
        <v>1736</v>
      </c>
    </row>
    <row r="1157" s="50" customFormat="true" ht="14.25" hidden="false" customHeight="true" outlineLevel="0" collapsed="false">
      <c r="A1157" s="50" t="s">
        <v>825</v>
      </c>
      <c r="B1157" s="57" t="s">
        <v>112</v>
      </c>
      <c r="C1157" s="57" t="s">
        <v>547</v>
      </c>
      <c r="D1157" s="58" t="n">
        <v>46072.7048611111</v>
      </c>
      <c r="E1157" s="58" t="n">
        <v>46072.7048611111</v>
      </c>
      <c r="F1157" s="58" t="n">
        <v>46072.7430555556</v>
      </c>
      <c r="G1157" s="59" t="n">
        <f aca="false">F1157-E1157</f>
        <v>0.0381944444907407</v>
      </c>
      <c r="H1157" s="57" t="s">
        <v>384</v>
      </c>
      <c r="I1157" s="57"/>
      <c r="J1157" s="57" t="s">
        <v>377</v>
      </c>
      <c r="K1157" s="57" t="s">
        <v>378</v>
      </c>
      <c r="L1157" s="60" t="s">
        <v>2062</v>
      </c>
      <c r="M1157" s="57" t="s">
        <v>386</v>
      </c>
      <c r="N1157" s="57" t="s">
        <v>387</v>
      </c>
      <c r="O1157" s="57" t="s">
        <v>2063</v>
      </c>
      <c r="P1157" s="57" t="s">
        <v>2086</v>
      </c>
      <c r="Q1157" s="57" t="s">
        <v>1736</v>
      </c>
    </row>
    <row r="1158" s="50" customFormat="true" ht="14.25" hidden="false" customHeight="true" outlineLevel="0" collapsed="false">
      <c r="A1158" s="50" t="s">
        <v>825</v>
      </c>
      <c r="B1158" s="57" t="s">
        <v>112</v>
      </c>
      <c r="C1158" s="57" t="s">
        <v>548</v>
      </c>
      <c r="D1158" s="58" t="n">
        <v>46072.7048611111</v>
      </c>
      <c r="E1158" s="58" t="n">
        <v>46072.7048611111</v>
      </c>
      <c r="F1158" s="58" t="n">
        <v>46072.7430555556</v>
      </c>
      <c r="G1158" s="59" t="n">
        <f aca="false">F1158-E1158</f>
        <v>0.0381944444907407</v>
      </c>
      <c r="H1158" s="57" t="s">
        <v>384</v>
      </c>
      <c r="I1158" s="57"/>
      <c r="J1158" s="57" t="s">
        <v>377</v>
      </c>
      <c r="K1158" s="57" t="s">
        <v>378</v>
      </c>
      <c r="L1158" s="60" t="s">
        <v>2062</v>
      </c>
      <c r="M1158" s="57" t="s">
        <v>386</v>
      </c>
      <c r="N1158" s="57" t="s">
        <v>387</v>
      </c>
      <c r="O1158" s="57" t="s">
        <v>2063</v>
      </c>
      <c r="P1158" s="57" t="s">
        <v>2087</v>
      </c>
      <c r="Q1158" s="57" t="s">
        <v>1736</v>
      </c>
    </row>
    <row r="1159" s="50" customFormat="true" ht="14.25" hidden="false" customHeight="true" outlineLevel="0" collapsed="false">
      <c r="A1159" s="50" t="s">
        <v>825</v>
      </c>
      <c r="B1159" s="57" t="s">
        <v>112</v>
      </c>
      <c r="C1159" s="57" t="s">
        <v>549</v>
      </c>
      <c r="D1159" s="58" t="n">
        <v>46072.7048611111</v>
      </c>
      <c r="E1159" s="58" t="n">
        <v>46072.7048611111</v>
      </c>
      <c r="F1159" s="58" t="n">
        <v>46072.7430555556</v>
      </c>
      <c r="G1159" s="59" t="n">
        <f aca="false">F1159-E1159</f>
        <v>0.0381944444907407</v>
      </c>
      <c r="H1159" s="57" t="s">
        <v>384</v>
      </c>
      <c r="I1159" s="57"/>
      <c r="J1159" s="57" t="s">
        <v>377</v>
      </c>
      <c r="K1159" s="57" t="s">
        <v>378</v>
      </c>
      <c r="L1159" s="60" t="s">
        <v>2062</v>
      </c>
      <c r="M1159" s="57" t="s">
        <v>386</v>
      </c>
      <c r="N1159" s="57" t="s">
        <v>387</v>
      </c>
      <c r="O1159" s="57" t="s">
        <v>2063</v>
      </c>
      <c r="P1159" s="57" t="s">
        <v>2088</v>
      </c>
      <c r="Q1159" s="57" t="s">
        <v>1736</v>
      </c>
    </row>
    <row r="1160" s="50" customFormat="true" ht="14.25" hidden="false" customHeight="true" outlineLevel="0" collapsed="false">
      <c r="A1160" s="50" t="s">
        <v>825</v>
      </c>
      <c r="B1160" s="57" t="s">
        <v>112</v>
      </c>
      <c r="C1160" s="57" t="s">
        <v>550</v>
      </c>
      <c r="D1160" s="58" t="n">
        <v>46072.7048611111</v>
      </c>
      <c r="E1160" s="58" t="n">
        <v>46072.7048611111</v>
      </c>
      <c r="F1160" s="58" t="n">
        <v>46072.7430555556</v>
      </c>
      <c r="G1160" s="59" t="n">
        <f aca="false">F1160-E1160</f>
        <v>0.0381944444907407</v>
      </c>
      <c r="H1160" s="57" t="s">
        <v>384</v>
      </c>
      <c r="I1160" s="57"/>
      <c r="J1160" s="57" t="s">
        <v>377</v>
      </c>
      <c r="K1160" s="57" t="s">
        <v>378</v>
      </c>
      <c r="L1160" s="60" t="s">
        <v>2062</v>
      </c>
      <c r="M1160" s="57" t="s">
        <v>386</v>
      </c>
      <c r="N1160" s="57" t="s">
        <v>387</v>
      </c>
      <c r="O1160" s="57" t="s">
        <v>2063</v>
      </c>
      <c r="P1160" s="57" t="s">
        <v>2089</v>
      </c>
      <c r="Q1160" s="57" t="s">
        <v>1736</v>
      </c>
    </row>
    <row r="1161" s="50" customFormat="true" ht="14.25" hidden="false" customHeight="true" outlineLevel="0" collapsed="false">
      <c r="A1161" s="50" t="s">
        <v>836</v>
      </c>
      <c r="B1161" s="57" t="s">
        <v>112</v>
      </c>
      <c r="C1161" s="57" t="s">
        <v>554</v>
      </c>
      <c r="D1161" s="58" t="n">
        <v>46072.7048611111</v>
      </c>
      <c r="E1161" s="58" t="n">
        <v>46072.7048611111</v>
      </c>
      <c r="F1161" s="58" t="n">
        <v>46072.7430555556</v>
      </c>
      <c r="G1161" s="59" t="n">
        <f aca="false">F1161-E1161</f>
        <v>0.0381944444907407</v>
      </c>
      <c r="H1161" s="57" t="s">
        <v>384</v>
      </c>
      <c r="I1161" s="57"/>
      <c r="J1161" s="57" t="s">
        <v>377</v>
      </c>
      <c r="K1161" s="57" t="s">
        <v>378</v>
      </c>
      <c r="L1161" s="60" t="s">
        <v>2062</v>
      </c>
      <c r="M1161" s="57" t="s">
        <v>386</v>
      </c>
      <c r="N1161" s="57" t="s">
        <v>387</v>
      </c>
      <c r="O1161" s="57" t="s">
        <v>2063</v>
      </c>
      <c r="P1161" s="57" t="s">
        <v>2090</v>
      </c>
      <c r="Q1161" s="57" t="s">
        <v>1736</v>
      </c>
    </row>
    <row r="1162" s="50" customFormat="true" ht="14.25" hidden="false" customHeight="true" outlineLevel="0" collapsed="false">
      <c r="A1162" s="50" t="s">
        <v>836</v>
      </c>
      <c r="B1162" s="57" t="s">
        <v>112</v>
      </c>
      <c r="C1162" s="57" t="s">
        <v>555</v>
      </c>
      <c r="D1162" s="58" t="n">
        <v>46072.7048611111</v>
      </c>
      <c r="E1162" s="58" t="n">
        <v>46072.7048611111</v>
      </c>
      <c r="F1162" s="58" t="n">
        <v>46072.7430555556</v>
      </c>
      <c r="G1162" s="59" t="n">
        <f aca="false">F1162-E1162</f>
        <v>0.0381944444907407</v>
      </c>
      <c r="H1162" s="57" t="s">
        <v>384</v>
      </c>
      <c r="I1162" s="57"/>
      <c r="J1162" s="57" t="s">
        <v>377</v>
      </c>
      <c r="K1162" s="57" t="s">
        <v>378</v>
      </c>
      <c r="L1162" s="60" t="s">
        <v>2062</v>
      </c>
      <c r="M1162" s="57" t="s">
        <v>386</v>
      </c>
      <c r="N1162" s="57" t="s">
        <v>387</v>
      </c>
      <c r="O1162" s="57" t="s">
        <v>2063</v>
      </c>
      <c r="P1162" s="57" t="s">
        <v>2091</v>
      </c>
      <c r="Q1162" s="57" t="s">
        <v>1736</v>
      </c>
    </row>
    <row r="1163" s="50" customFormat="true" ht="14.25" hidden="false" customHeight="true" outlineLevel="0" collapsed="false">
      <c r="A1163" s="50" t="s">
        <v>836</v>
      </c>
      <c r="B1163" s="57" t="s">
        <v>112</v>
      </c>
      <c r="C1163" s="57" t="s">
        <v>556</v>
      </c>
      <c r="D1163" s="58" t="n">
        <v>46072.7048611111</v>
      </c>
      <c r="E1163" s="58" t="n">
        <v>46072.7048611111</v>
      </c>
      <c r="F1163" s="58" t="n">
        <v>46072.7430555556</v>
      </c>
      <c r="G1163" s="59" t="n">
        <f aca="false">F1163-E1163</f>
        <v>0.0381944444907407</v>
      </c>
      <c r="H1163" s="57" t="s">
        <v>384</v>
      </c>
      <c r="I1163" s="57"/>
      <c r="J1163" s="57" t="s">
        <v>377</v>
      </c>
      <c r="K1163" s="57" t="s">
        <v>378</v>
      </c>
      <c r="L1163" s="60" t="s">
        <v>2062</v>
      </c>
      <c r="M1163" s="57" t="s">
        <v>386</v>
      </c>
      <c r="N1163" s="57" t="s">
        <v>387</v>
      </c>
      <c r="O1163" s="57" t="s">
        <v>2063</v>
      </c>
      <c r="P1163" s="57" t="s">
        <v>2092</v>
      </c>
      <c r="Q1163" s="57" t="s">
        <v>1736</v>
      </c>
    </row>
    <row r="1164" s="50" customFormat="true" ht="14.25" hidden="false" customHeight="true" outlineLevel="0" collapsed="false">
      <c r="A1164" s="50" t="s">
        <v>840</v>
      </c>
      <c r="B1164" s="57" t="s">
        <v>112</v>
      </c>
      <c r="C1164" s="57" t="s">
        <v>557</v>
      </c>
      <c r="D1164" s="58" t="n">
        <v>46072.7048611111</v>
      </c>
      <c r="E1164" s="58" t="n">
        <v>46072.7048611111</v>
      </c>
      <c r="F1164" s="58" t="n">
        <v>46072.7430555556</v>
      </c>
      <c r="G1164" s="59" t="n">
        <f aca="false">F1164-E1164</f>
        <v>0.0381944444907407</v>
      </c>
      <c r="H1164" s="57" t="s">
        <v>384</v>
      </c>
      <c r="I1164" s="57"/>
      <c r="J1164" s="57" t="s">
        <v>377</v>
      </c>
      <c r="K1164" s="57" t="s">
        <v>378</v>
      </c>
      <c r="L1164" s="60" t="s">
        <v>2062</v>
      </c>
      <c r="M1164" s="57" t="s">
        <v>386</v>
      </c>
      <c r="N1164" s="57" t="s">
        <v>387</v>
      </c>
      <c r="O1164" s="57" t="s">
        <v>2063</v>
      </c>
      <c r="P1164" s="57" t="s">
        <v>2093</v>
      </c>
      <c r="Q1164" s="57" t="s">
        <v>1736</v>
      </c>
    </row>
    <row r="1165" s="50" customFormat="true" ht="14.25" hidden="false" customHeight="true" outlineLevel="0" collapsed="false">
      <c r="A1165" s="50" t="s">
        <v>840</v>
      </c>
      <c r="B1165" s="57" t="s">
        <v>112</v>
      </c>
      <c r="C1165" s="57" t="s">
        <v>558</v>
      </c>
      <c r="D1165" s="58" t="n">
        <v>46072.7048611111</v>
      </c>
      <c r="E1165" s="58" t="n">
        <v>46072.7048611111</v>
      </c>
      <c r="F1165" s="58" t="n">
        <v>46072.7430555556</v>
      </c>
      <c r="G1165" s="59" t="n">
        <f aca="false">F1165-E1165</f>
        <v>0.0381944444907407</v>
      </c>
      <c r="H1165" s="57" t="s">
        <v>384</v>
      </c>
      <c r="I1165" s="57"/>
      <c r="J1165" s="57" t="s">
        <v>377</v>
      </c>
      <c r="K1165" s="57" t="s">
        <v>378</v>
      </c>
      <c r="L1165" s="60" t="s">
        <v>2062</v>
      </c>
      <c r="M1165" s="57" t="s">
        <v>386</v>
      </c>
      <c r="N1165" s="57" t="s">
        <v>387</v>
      </c>
      <c r="O1165" s="57" t="s">
        <v>2063</v>
      </c>
      <c r="P1165" s="57" t="s">
        <v>2094</v>
      </c>
      <c r="Q1165" s="57" t="s">
        <v>1736</v>
      </c>
    </row>
    <row r="1166" s="50" customFormat="true" ht="14.25" hidden="false" customHeight="true" outlineLevel="0" collapsed="false">
      <c r="A1166" s="50" t="s">
        <v>840</v>
      </c>
      <c r="B1166" s="57" t="s">
        <v>112</v>
      </c>
      <c r="C1166" s="57" t="s">
        <v>559</v>
      </c>
      <c r="D1166" s="58" t="n">
        <v>46072.7048611111</v>
      </c>
      <c r="E1166" s="58" t="n">
        <v>46072.7048611111</v>
      </c>
      <c r="F1166" s="58" t="n">
        <v>46072.7430555556</v>
      </c>
      <c r="G1166" s="59" t="n">
        <f aca="false">F1166-E1166</f>
        <v>0.0381944444907407</v>
      </c>
      <c r="H1166" s="57" t="s">
        <v>384</v>
      </c>
      <c r="I1166" s="57"/>
      <c r="J1166" s="57" t="s">
        <v>377</v>
      </c>
      <c r="K1166" s="57" t="s">
        <v>378</v>
      </c>
      <c r="L1166" s="60" t="s">
        <v>2062</v>
      </c>
      <c r="M1166" s="57" t="s">
        <v>386</v>
      </c>
      <c r="N1166" s="57" t="s">
        <v>387</v>
      </c>
      <c r="O1166" s="57" t="s">
        <v>2063</v>
      </c>
      <c r="P1166" s="57" t="s">
        <v>2095</v>
      </c>
      <c r="Q1166" s="57" t="s">
        <v>1736</v>
      </c>
    </row>
    <row r="1167" s="50" customFormat="true" ht="14.25" hidden="false" customHeight="true" outlineLevel="0" collapsed="false">
      <c r="A1167" s="50" t="s">
        <v>840</v>
      </c>
      <c r="B1167" s="57" t="s">
        <v>112</v>
      </c>
      <c r="C1167" s="57" t="s">
        <v>560</v>
      </c>
      <c r="D1167" s="58" t="n">
        <v>46072.7048611111</v>
      </c>
      <c r="E1167" s="58" t="n">
        <v>46072.7048611111</v>
      </c>
      <c r="F1167" s="58" t="n">
        <v>46072.7430555556</v>
      </c>
      <c r="G1167" s="59" t="n">
        <f aca="false">F1167-E1167</f>
        <v>0.0381944444907407</v>
      </c>
      <c r="H1167" s="57" t="s">
        <v>384</v>
      </c>
      <c r="I1167" s="57"/>
      <c r="J1167" s="57" t="s">
        <v>377</v>
      </c>
      <c r="K1167" s="57" t="s">
        <v>378</v>
      </c>
      <c r="L1167" s="60" t="s">
        <v>2062</v>
      </c>
      <c r="M1167" s="57" t="s">
        <v>386</v>
      </c>
      <c r="N1167" s="57" t="s">
        <v>387</v>
      </c>
      <c r="O1167" s="57" t="s">
        <v>2063</v>
      </c>
      <c r="P1167" s="57" t="s">
        <v>2096</v>
      </c>
      <c r="Q1167" s="57" t="s">
        <v>1736</v>
      </c>
    </row>
    <row r="1168" s="50" customFormat="true" ht="14.25" hidden="false" customHeight="true" outlineLevel="0" collapsed="false">
      <c r="A1168" s="50" t="s">
        <v>840</v>
      </c>
      <c r="B1168" s="57" t="s">
        <v>112</v>
      </c>
      <c r="C1168" s="57" t="s">
        <v>561</v>
      </c>
      <c r="D1168" s="58" t="n">
        <v>46072.7048611111</v>
      </c>
      <c r="E1168" s="58" t="n">
        <v>46072.7048611111</v>
      </c>
      <c r="F1168" s="58" t="n">
        <v>46072.7430555556</v>
      </c>
      <c r="G1168" s="59" t="n">
        <f aca="false">F1168-E1168</f>
        <v>0.0381944444907407</v>
      </c>
      <c r="H1168" s="57" t="s">
        <v>384</v>
      </c>
      <c r="I1168" s="57"/>
      <c r="J1168" s="57" t="s">
        <v>377</v>
      </c>
      <c r="K1168" s="57" t="s">
        <v>378</v>
      </c>
      <c r="L1168" s="60" t="s">
        <v>2062</v>
      </c>
      <c r="M1168" s="57" t="s">
        <v>386</v>
      </c>
      <c r="N1168" s="57" t="s">
        <v>387</v>
      </c>
      <c r="O1168" s="57" t="s">
        <v>2063</v>
      </c>
      <c r="P1168" s="57" t="s">
        <v>2097</v>
      </c>
      <c r="Q1168" s="57" t="s">
        <v>1736</v>
      </c>
    </row>
    <row r="1169" s="50" customFormat="true" ht="14.25" hidden="false" customHeight="true" outlineLevel="0" collapsed="false">
      <c r="A1169" s="50" t="s">
        <v>840</v>
      </c>
      <c r="B1169" s="57" t="s">
        <v>112</v>
      </c>
      <c r="C1169" s="57" t="s">
        <v>562</v>
      </c>
      <c r="D1169" s="58" t="n">
        <v>46072.7048611111</v>
      </c>
      <c r="E1169" s="58" t="n">
        <v>46072.7048611111</v>
      </c>
      <c r="F1169" s="58" t="n">
        <v>46072.7430555556</v>
      </c>
      <c r="G1169" s="59" t="n">
        <f aca="false">F1169-E1169</f>
        <v>0.0381944444907407</v>
      </c>
      <c r="H1169" s="57" t="s">
        <v>384</v>
      </c>
      <c r="I1169" s="57"/>
      <c r="J1169" s="57" t="s">
        <v>377</v>
      </c>
      <c r="K1169" s="57" t="s">
        <v>378</v>
      </c>
      <c r="L1169" s="60" t="s">
        <v>2062</v>
      </c>
      <c r="M1169" s="57" t="s">
        <v>386</v>
      </c>
      <c r="N1169" s="57" t="s">
        <v>387</v>
      </c>
      <c r="O1169" s="57" t="s">
        <v>2063</v>
      </c>
      <c r="P1169" s="57" t="s">
        <v>2098</v>
      </c>
      <c r="Q1169" s="57" t="s">
        <v>1736</v>
      </c>
    </row>
    <row r="1170" s="50" customFormat="true" ht="14.25" hidden="false" customHeight="true" outlineLevel="0" collapsed="false">
      <c r="A1170" s="50" t="s">
        <v>847</v>
      </c>
      <c r="B1170" s="57" t="s">
        <v>112</v>
      </c>
      <c r="C1170" s="57" t="s">
        <v>563</v>
      </c>
      <c r="D1170" s="58" t="n">
        <v>46072.7048611111</v>
      </c>
      <c r="E1170" s="58" t="n">
        <v>46072.7048611111</v>
      </c>
      <c r="F1170" s="58" t="n">
        <v>46072.7430555556</v>
      </c>
      <c r="G1170" s="59" t="n">
        <f aca="false">F1170-E1170</f>
        <v>0.0381944444907407</v>
      </c>
      <c r="H1170" s="57" t="s">
        <v>384</v>
      </c>
      <c r="I1170" s="57"/>
      <c r="J1170" s="57" t="s">
        <v>377</v>
      </c>
      <c r="K1170" s="57" t="s">
        <v>378</v>
      </c>
      <c r="L1170" s="60" t="s">
        <v>2062</v>
      </c>
      <c r="M1170" s="57" t="s">
        <v>386</v>
      </c>
      <c r="N1170" s="57" t="s">
        <v>387</v>
      </c>
      <c r="O1170" s="57" t="s">
        <v>2063</v>
      </c>
      <c r="P1170" s="57" t="s">
        <v>2099</v>
      </c>
      <c r="Q1170" s="57" t="s">
        <v>1736</v>
      </c>
    </row>
    <row r="1171" s="50" customFormat="true" ht="14.25" hidden="false" customHeight="true" outlineLevel="0" collapsed="false">
      <c r="A1171" s="50" t="s">
        <v>847</v>
      </c>
      <c r="B1171" s="57" t="s">
        <v>112</v>
      </c>
      <c r="C1171" s="57" t="s">
        <v>564</v>
      </c>
      <c r="D1171" s="58" t="n">
        <v>46072.7048611111</v>
      </c>
      <c r="E1171" s="58" t="n">
        <v>46072.7048611111</v>
      </c>
      <c r="F1171" s="58" t="n">
        <v>46072.7430555556</v>
      </c>
      <c r="G1171" s="59" t="n">
        <f aca="false">F1171-E1171</f>
        <v>0.0381944444907407</v>
      </c>
      <c r="H1171" s="57" t="s">
        <v>384</v>
      </c>
      <c r="I1171" s="57"/>
      <c r="J1171" s="57" t="s">
        <v>377</v>
      </c>
      <c r="K1171" s="57" t="s">
        <v>378</v>
      </c>
      <c r="L1171" s="60" t="s">
        <v>2062</v>
      </c>
      <c r="M1171" s="57" t="s">
        <v>386</v>
      </c>
      <c r="N1171" s="57" t="s">
        <v>387</v>
      </c>
      <c r="O1171" s="57" t="s">
        <v>2063</v>
      </c>
      <c r="P1171" s="57" t="s">
        <v>2100</v>
      </c>
      <c r="Q1171" s="57" t="s">
        <v>1736</v>
      </c>
    </row>
    <row r="1172" s="50" customFormat="true" ht="14.25" hidden="false" customHeight="true" outlineLevel="0" collapsed="false">
      <c r="A1172" s="50" t="s">
        <v>847</v>
      </c>
      <c r="B1172" s="57" t="s">
        <v>112</v>
      </c>
      <c r="C1172" s="57" t="s">
        <v>565</v>
      </c>
      <c r="D1172" s="58" t="n">
        <v>46072.7048611111</v>
      </c>
      <c r="E1172" s="58" t="n">
        <v>46072.7048611111</v>
      </c>
      <c r="F1172" s="58" t="n">
        <v>46072.7430555556</v>
      </c>
      <c r="G1172" s="59" t="n">
        <f aca="false">F1172-E1172</f>
        <v>0.0381944444907407</v>
      </c>
      <c r="H1172" s="57" t="s">
        <v>384</v>
      </c>
      <c r="I1172" s="57"/>
      <c r="J1172" s="57" t="s">
        <v>377</v>
      </c>
      <c r="K1172" s="57" t="s">
        <v>378</v>
      </c>
      <c r="L1172" s="60" t="s">
        <v>2062</v>
      </c>
      <c r="M1172" s="57" t="s">
        <v>386</v>
      </c>
      <c r="N1172" s="57" t="s">
        <v>387</v>
      </c>
      <c r="O1172" s="57" t="s">
        <v>2063</v>
      </c>
      <c r="P1172" s="57" t="s">
        <v>2101</v>
      </c>
      <c r="Q1172" s="57" t="s">
        <v>1736</v>
      </c>
    </row>
    <row r="1173" s="50" customFormat="true" ht="14.25" hidden="false" customHeight="true" outlineLevel="0" collapsed="false">
      <c r="A1173" s="50" t="s">
        <v>2102</v>
      </c>
      <c r="B1173" s="57" t="s">
        <v>136</v>
      </c>
      <c r="C1173" s="57" t="s">
        <v>672</v>
      </c>
      <c r="D1173" s="58" t="n">
        <v>46072.7625</v>
      </c>
      <c r="E1173" s="58" t="n">
        <v>46072.7625</v>
      </c>
      <c r="F1173" s="58" t="n">
        <v>46072.7694444444</v>
      </c>
      <c r="G1173" s="59" t="n">
        <f aca="false">F1173-E1173</f>
        <v>0.00694444439814815</v>
      </c>
      <c r="H1173" s="57" t="s">
        <v>252</v>
      </c>
      <c r="I1173" s="57"/>
      <c r="J1173" s="57" t="s">
        <v>253</v>
      </c>
      <c r="K1173" s="57" t="s">
        <v>266</v>
      </c>
      <c r="L1173" s="57" t="s">
        <v>275</v>
      </c>
      <c r="M1173" s="57" t="s">
        <v>255</v>
      </c>
      <c r="N1173" s="57" t="s">
        <v>256</v>
      </c>
      <c r="O1173" s="57" t="s">
        <v>2103</v>
      </c>
      <c r="P1173" s="57" t="s">
        <v>2104</v>
      </c>
      <c r="Q1173" s="57" t="s">
        <v>706</v>
      </c>
    </row>
    <row r="1174" s="50" customFormat="true" ht="14.25" hidden="false" customHeight="true" outlineLevel="0" collapsed="false">
      <c r="A1174" s="50" t="s">
        <v>2102</v>
      </c>
      <c r="B1174" s="57" t="s">
        <v>136</v>
      </c>
      <c r="C1174" s="57" t="s">
        <v>674</v>
      </c>
      <c r="D1174" s="58" t="n">
        <v>46072.7625</v>
      </c>
      <c r="E1174" s="58" t="n">
        <v>46072.7625</v>
      </c>
      <c r="F1174" s="58" t="n">
        <v>46072.7694444444</v>
      </c>
      <c r="G1174" s="59" t="n">
        <f aca="false">F1174-E1174</f>
        <v>0.00694444439814815</v>
      </c>
      <c r="H1174" s="57" t="s">
        <v>252</v>
      </c>
      <c r="I1174" s="57"/>
      <c r="J1174" s="57" t="s">
        <v>253</v>
      </c>
      <c r="K1174" s="57" t="s">
        <v>266</v>
      </c>
      <c r="L1174" s="57" t="s">
        <v>275</v>
      </c>
      <c r="M1174" s="57" t="s">
        <v>255</v>
      </c>
      <c r="N1174" s="57" t="s">
        <v>256</v>
      </c>
      <c r="O1174" s="57" t="s">
        <v>2103</v>
      </c>
      <c r="P1174" s="57" t="s">
        <v>2105</v>
      </c>
      <c r="Q1174" s="57" t="s">
        <v>706</v>
      </c>
    </row>
    <row r="1175" s="50" customFormat="true" ht="14.25" hidden="false" customHeight="true" outlineLevel="0" collapsed="false">
      <c r="A1175" s="50" t="s">
        <v>2102</v>
      </c>
      <c r="B1175" s="57" t="s">
        <v>136</v>
      </c>
      <c r="C1175" s="57" t="s">
        <v>675</v>
      </c>
      <c r="D1175" s="58" t="n">
        <v>46072.7625</v>
      </c>
      <c r="E1175" s="58" t="n">
        <v>46072.7625</v>
      </c>
      <c r="F1175" s="58" t="n">
        <v>46072.7694444444</v>
      </c>
      <c r="G1175" s="59" t="n">
        <f aca="false">F1175-E1175</f>
        <v>0.00694444439814815</v>
      </c>
      <c r="H1175" s="57" t="s">
        <v>252</v>
      </c>
      <c r="I1175" s="57"/>
      <c r="J1175" s="57" t="s">
        <v>253</v>
      </c>
      <c r="K1175" s="57" t="s">
        <v>266</v>
      </c>
      <c r="L1175" s="57" t="s">
        <v>275</v>
      </c>
      <c r="M1175" s="57" t="s">
        <v>255</v>
      </c>
      <c r="N1175" s="57" t="s">
        <v>256</v>
      </c>
      <c r="O1175" s="57" t="s">
        <v>2103</v>
      </c>
      <c r="P1175" s="57" t="s">
        <v>2106</v>
      </c>
      <c r="Q1175" s="57" t="s">
        <v>706</v>
      </c>
    </row>
    <row r="1176" s="50" customFormat="true" ht="14.25" hidden="false" customHeight="true" outlineLevel="0" collapsed="false">
      <c r="A1176" s="50" t="s">
        <v>2102</v>
      </c>
      <c r="B1176" s="57" t="s">
        <v>136</v>
      </c>
      <c r="C1176" s="57" t="s">
        <v>676</v>
      </c>
      <c r="D1176" s="58" t="n">
        <v>46072.7625</v>
      </c>
      <c r="E1176" s="58" t="n">
        <v>46072.7625</v>
      </c>
      <c r="F1176" s="58" t="n">
        <v>46072.7694444444</v>
      </c>
      <c r="G1176" s="59" t="n">
        <f aca="false">F1176-E1176</f>
        <v>0.00694444439814815</v>
      </c>
      <c r="H1176" s="57" t="s">
        <v>252</v>
      </c>
      <c r="I1176" s="57"/>
      <c r="J1176" s="57" t="s">
        <v>253</v>
      </c>
      <c r="K1176" s="57" t="s">
        <v>266</v>
      </c>
      <c r="L1176" s="57" t="s">
        <v>275</v>
      </c>
      <c r="M1176" s="57" t="s">
        <v>255</v>
      </c>
      <c r="N1176" s="57" t="s">
        <v>256</v>
      </c>
      <c r="O1176" s="57" t="s">
        <v>2103</v>
      </c>
      <c r="P1176" s="57" t="s">
        <v>2107</v>
      </c>
      <c r="Q1176" s="57" t="s">
        <v>706</v>
      </c>
    </row>
    <row r="1177" s="50" customFormat="true" ht="14.25" hidden="false" customHeight="true" outlineLevel="0" collapsed="false">
      <c r="A1177" s="50" t="s">
        <v>2102</v>
      </c>
      <c r="B1177" s="57" t="s">
        <v>136</v>
      </c>
      <c r="C1177" s="57" t="s">
        <v>677</v>
      </c>
      <c r="D1177" s="58" t="n">
        <v>46072.7625</v>
      </c>
      <c r="E1177" s="58" t="n">
        <v>46072.7625</v>
      </c>
      <c r="F1177" s="58" t="n">
        <v>46072.7694444444</v>
      </c>
      <c r="G1177" s="59" t="n">
        <f aca="false">F1177-E1177</f>
        <v>0.00694444439814815</v>
      </c>
      <c r="H1177" s="57" t="s">
        <v>252</v>
      </c>
      <c r="I1177" s="57"/>
      <c r="J1177" s="57" t="s">
        <v>253</v>
      </c>
      <c r="K1177" s="57" t="s">
        <v>266</v>
      </c>
      <c r="L1177" s="57" t="s">
        <v>275</v>
      </c>
      <c r="M1177" s="57" t="s">
        <v>255</v>
      </c>
      <c r="N1177" s="57" t="s">
        <v>256</v>
      </c>
      <c r="O1177" s="57" t="s">
        <v>2103</v>
      </c>
      <c r="P1177" s="57" t="s">
        <v>2108</v>
      </c>
      <c r="Q1177" s="57" t="s">
        <v>706</v>
      </c>
    </row>
    <row r="1178" s="50" customFormat="true" ht="14.25" hidden="false" customHeight="true" outlineLevel="0" collapsed="false">
      <c r="A1178" s="50" t="s">
        <v>2102</v>
      </c>
      <c r="B1178" s="57" t="s">
        <v>136</v>
      </c>
      <c r="C1178" s="57" t="s">
        <v>678</v>
      </c>
      <c r="D1178" s="58" t="n">
        <v>46072.7625</v>
      </c>
      <c r="E1178" s="58" t="n">
        <v>46072.7625</v>
      </c>
      <c r="F1178" s="58" t="n">
        <v>46072.7694444444</v>
      </c>
      <c r="G1178" s="59" t="n">
        <f aca="false">F1178-E1178</f>
        <v>0.00694444439814815</v>
      </c>
      <c r="H1178" s="57" t="s">
        <v>252</v>
      </c>
      <c r="I1178" s="57"/>
      <c r="J1178" s="57" t="s">
        <v>253</v>
      </c>
      <c r="K1178" s="57" t="s">
        <v>266</v>
      </c>
      <c r="L1178" s="57" t="s">
        <v>275</v>
      </c>
      <c r="M1178" s="57" t="s">
        <v>255</v>
      </c>
      <c r="N1178" s="57" t="s">
        <v>256</v>
      </c>
      <c r="O1178" s="57" t="s">
        <v>2103</v>
      </c>
      <c r="P1178" s="57" t="s">
        <v>2109</v>
      </c>
      <c r="Q1178" s="57" t="s">
        <v>706</v>
      </c>
    </row>
    <row r="1179" s="50" customFormat="true" ht="14.25" hidden="false" customHeight="true" outlineLevel="0" collapsed="false">
      <c r="A1179" s="50" t="s">
        <v>2102</v>
      </c>
      <c r="B1179" s="57" t="s">
        <v>136</v>
      </c>
      <c r="C1179" s="57" t="s">
        <v>679</v>
      </c>
      <c r="D1179" s="58" t="n">
        <v>46072.7625</v>
      </c>
      <c r="E1179" s="58" t="n">
        <v>46072.7625</v>
      </c>
      <c r="F1179" s="58" t="n">
        <v>46072.7694444444</v>
      </c>
      <c r="G1179" s="59" t="n">
        <f aca="false">F1179-E1179</f>
        <v>0.00694444439814815</v>
      </c>
      <c r="H1179" s="57" t="s">
        <v>252</v>
      </c>
      <c r="I1179" s="57"/>
      <c r="J1179" s="57" t="s">
        <v>253</v>
      </c>
      <c r="K1179" s="57" t="s">
        <v>266</v>
      </c>
      <c r="L1179" s="57" t="s">
        <v>275</v>
      </c>
      <c r="M1179" s="57" t="s">
        <v>255</v>
      </c>
      <c r="N1179" s="57" t="s">
        <v>256</v>
      </c>
      <c r="O1179" s="57" t="s">
        <v>2103</v>
      </c>
      <c r="P1179" s="57" t="s">
        <v>2110</v>
      </c>
      <c r="Q1179" s="57" t="s">
        <v>706</v>
      </c>
    </row>
    <row r="1180" s="50" customFormat="true" ht="14.25" hidden="false" customHeight="true" outlineLevel="0" collapsed="false">
      <c r="A1180" s="50" t="s">
        <v>2102</v>
      </c>
      <c r="B1180" s="57" t="s">
        <v>136</v>
      </c>
      <c r="C1180" s="57" t="s">
        <v>680</v>
      </c>
      <c r="D1180" s="58" t="n">
        <v>46072.7625</v>
      </c>
      <c r="E1180" s="58" t="n">
        <v>46072.7625</v>
      </c>
      <c r="F1180" s="58" t="n">
        <v>46072.7694444444</v>
      </c>
      <c r="G1180" s="59" t="n">
        <f aca="false">F1180-E1180</f>
        <v>0.00694444439814815</v>
      </c>
      <c r="H1180" s="57" t="s">
        <v>252</v>
      </c>
      <c r="I1180" s="57"/>
      <c r="J1180" s="57" t="s">
        <v>253</v>
      </c>
      <c r="K1180" s="57" t="s">
        <v>266</v>
      </c>
      <c r="L1180" s="57" t="s">
        <v>275</v>
      </c>
      <c r="M1180" s="57" t="s">
        <v>255</v>
      </c>
      <c r="N1180" s="57" t="s">
        <v>256</v>
      </c>
      <c r="O1180" s="57" t="s">
        <v>2103</v>
      </c>
      <c r="P1180" s="57" t="s">
        <v>2111</v>
      </c>
      <c r="Q1180" s="57" t="s">
        <v>706</v>
      </c>
    </row>
    <row r="1181" s="50" customFormat="true" ht="14.25" hidden="false" customHeight="true" outlineLevel="0" collapsed="false">
      <c r="A1181" s="50" t="s">
        <v>2102</v>
      </c>
      <c r="B1181" s="57" t="s">
        <v>136</v>
      </c>
      <c r="C1181" s="57" t="s">
        <v>681</v>
      </c>
      <c r="D1181" s="58" t="n">
        <v>46072.7625</v>
      </c>
      <c r="E1181" s="58" t="n">
        <v>46072.7625</v>
      </c>
      <c r="F1181" s="58" t="n">
        <v>46072.7694444444</v>
      </c>
      <c r="G1181" s="59" t="n">
        <f aca="false">F1181-E1181</f>
        <v>0.00694444439814815</v>
      </c>
      <c r="H1181" s="57" t="s">
        <v>252</v>
      </c>
      <c r="I1181" s="57"/>
      <c r="J1181" s="57" t="s">
        <v>253</v>
      </c>
      <c r="K1181" s="57" t="s">
        <v>266</v>
      </c>
      <c r="L1181" s="57" t="s">
        <v>275</v>
      </c>
      <c r="M1181" s="57" t="s">
        <v>255</v>
      </c>
      <c r="N1181" s="57" t="s">
        <v>256</v>
      </c>
      <c r="O1181" s="57" t="s">
        <v>2103</v>
      </c>
      <c r="P1181" s="57" t="s">
        <v>2112</v>
      </c>
      <c r="Q1181" s="57" t="s">
        <v>706</v>
      </c>
    </row>
    <row r="1182" s="50" customFormat="true" ht="14.25" hidden="false" customHeight="true" outlineLevel="0" collapsed="false">
      <c r="A1182" s="50" t="s">
        <v>2102</v>
      </c>
      <c r="B1182" s="57" t="s">
        <v>136</v>
      </c>
      <c r="C1182" s="57" t="s">
        <v>682</v>
      </c>
      <c r="D1182" s="58" t="n">
        <v>46072.7625</v>
      </c>
      <c r="E1182" s="58" t="n">
        <v>46072.7625</v>
      </c>
      <c r="F1182" s="58" t="n">
        <v>46072.7694444444</v>
      </c>
      <c r="G1182" s="59" t="n">
        <f aca="false">F1182-E1182</f>
        <v>0.00694444439814815</v>
      </c>
      <c r="H1182" s="57" t="s">
        <v>252</v>
      </c>
      <c r="I1182" s="57"/>
      <c r="J1182" s="57" t="s">
        <v>253</v>
      </c>
      <c r="K1182" s="57" t="s">
        <v>266</v>
      </c>
      <c r="L1182" s="57" t="s">
        <v>275</v>
      </c>
      <c r="M1182" s="57" t="s">
        <v>255</v>
      </c>
      <c r="N1182" s="57" t="s">
        <v>256</v>
      </c>
      <c r="O1182" s="57" t="s">
        <v>2103</v>
      </c>
      <c r="P1182" s="57" t="s">
        <v>2113</v>
      </c>
      <c r="Q1182" s="57" t="s">
        <v>706</v>
      </c>
    </row>
    <row r="1183" s="50" customFormat="true" ht="14.25" hidden="false" customHeight="true" outlineLevel="0" collapsed="false">
      <c r="A1183" s="50" t="s">
        <v>2102</v>
      </c>
      <c r="B1183" s="57" t="s">
        <v>136</v>
      </c>
      <c r="C1183" s="57" t="s">
        <v>683</v>
      </c>
      <c r="D1183" s="58" t="n">
        <v>46072.7625</v>
      </c>
      <c r="E1183" s="58" t="n">
        <v>46072.7625</v>
      </c>
      <c r="F1183" s="58" t="n">
        <v>46072.7694444444</v>
      </c>
      <c r="G1183" s="59" t="n">
        <f aca="false">F1183-E1183</f>
        <v>0.00694444439814815</v>
      </c>
      <c r="H1183" s="57" t="s">
        <v>252</v>
      </c>
      <c r="I1183" s="57"/>
      <c r="J1183" s="57" t="s">
        <v>253</v>
      </c>
      <c r="K1183" s="57" t="s">
        <v>266</v>
      </c>
      <c r="L1183" s="57" t="s">
        <v>275</v>
      </c>
      <c r="M1183" s="57" t="s">
        <v>255</v>
      </c>
      <c r="N1183" s="57" t="s">
        <v>256</v>
      </c>
      <c r="O1183" s="57" t="s">
        <v>2103</v>
      </c>
      <c r="P1183" s="57" t="s">
        <v>2114</v>
      </c>
      <c r="Q1183" s="57" t="s">
        <v>706</v>
      </c>
    </row>
    <row r="1184" s="50" customFormat="true" ht="14.25" hidden="false" customHeight="true" outlineLevel="0" collapsed="false">
      <c r="A1184" s="50" t="s">
        <v>2102</v>
      </c>
      <c r="B1184" s="57" t="s">
        <v>136</v>
      </c>
      <c r="C1184" s="57" t="s">
        <v>684</v>
      </c>
      <c r="D1184" s="58" t="n">
        <v>46072.7625</v>
      </c>
      <c r="E1184" s="58" t="n">
        <v>46072.7625</v>
      </c>
      <c r="F1184" s="58" t="n">
        <v>46072.7694444444</v>
      </c>
      <c r="G1184" s="59" t="n">
        <f aca="false">F1184-E1184</f>
        <v>0.00694444439814815</v>
      </c>
      <c r="H1184" s="57" t="s">
        <v>252</v>
      </c>
      <c r="I1184" s="57"/>
      <c r="J1184" s="57" t="s">
        <v>253</v>
      </c>
      <c r="K1184" s="57" t="s">
        <v>266</v>
      </c>
      <c r="L1184" s="57" t="s">
        <v>275</v>
      </c>
      <c r="M1184" s="57" t="s">
        <v>255</v>
      </c>
      <c r="N1184" s="57" t="s">
        <v>256</v>
      </c>
      <c r="O1184" s="57" t="s">
        <v>2103</v>
      </c>
      <c r="P1184" s="57" t="s">
        <v>2115</v>
      </c>
      <c r="Q1184" s="57" t="s">
        <v>706</v>
      </c>
    </row>
    <row r="1185" s="50" customFormat="true" ht="14.25" hidden="false" customHeight="true" outlineLevel="0" collapsed="false">
      <c r="A1185" s="50" t="s">
        <v>2102</v>
      </c>
      <c r="B1185" s="57" t="s">
        <v>136</v>
      </c>
      <c r="C1185" s="57" t="s">
        <v>685</v>
      </c>
      <c r="D1185" s="58" t="n">
        <v>46072.7625</v>
      </c>
      <c r="E1185" s="58" t="n">
        <v>46072.7625</v>
      </c>
      <c r="F1185" s="58" t="n">
        <v>46072.7694444444</v>
      </c>
      <c r="G1185" s="59" t="n">
        <f aca="false">F1185-E1185</f>
        <v>0.00694444439814815</v>
      </c>
      <c r="H1185" s="57" t="s">
        <v>252</v>
      </c>
      <c r="I1185" s="57"/>
      <c r="J1185" s="57" t="s">
        <v>253</v>
      </c>
      <c r="K1185" s="57" t="s">
        <v>266</v>
      </c>
      <c r="L1185" s="57" t="s">
        <v>275</v>
      </c>
      <c r="M1185" s="57" t="s">
        <v>255</v>
      </c>
      <c r="N1185" s="57" t="s">
        <v>256</v>
      </c>
      <c r="O1185" s="57" t="s">
        <v>2103</v>
      </c>
      <c r="P1185" s="57" t="s">
        <v>2116</v>
      </c>
      <c r="Q1185" s="57" t="s">
        <v>706</v>
      </c>
    </row>
    <row r="1186" s="50" customFormat="true" ht="14.25" hidden="false" customHeight="true" outlineLevel="0" collapsed="false">
      <c r="A1186" s="50" t="s">
        <v>2102</v>
      </c>
      <c r="B1186" s="57" t="s">
        <v>136</v>
      </c>
      <c r="C1186" s="57" t="s">
        <v>686</v>
      </c>
      <c r="D1186" s="58" t="n">
        <v>46072.7625</v>
      </c>
      <c r="E1186" s="58" t="n">
        <v>46072.7625</v>
      </c>
      <c r="F1186" s="58" t="n">
        <v>46072.7694444444</v>
      </c>
      <c r="G1186" s="59" t="n">
        <f aca="false">F1186-E1186</f>
        <v>0.00694444439814815</v>
      </c>
      <c r="H1186" s="57" t="s">
        <v>252</v>
      </c>
      <c r="I1186" s="57"/>
      <c r="J1186" s="57" t="s">
        <v>253</v>
      </c>
      <c r="K1186" s="57" t="s">
        <v>266</v>
      </c>
      <c r="L1186" s="57" t="s">
        <v>275</v>
      </c>
      <c r="M1186" s="57" t="s">
        <v>255</v>
      </c>
      <c r="N1186" s="57" t="s">
        <v>256</v>
      </c>
      <c r="O1186" s="57" t="s">
        <v>2103</v>
      </c>
      <c r="P1186" s="57" t="s">
        <v>2117</v>
      </c>
      <c r="Q1186" s="57" t="s">
        <v>706</v>
      </c>
    </row>
    <row r="1187" s="50" customFormat="true" ht="14.25" hidden="false" customHeight="true" outlineLevel="0" collapsed="false">
      <c r="A1187" s="50" t="s">
        <v>2102</v>
      </c>
      <c r="B1187" s="57" t="s">
        <v>136</v>
      </c>
      <c r="C1187" s="57" t="s">
        <v>687</v>
      </c>
      <c r="D1187" s="58" t="n">
        <v>46072.7625</v>
      </c>
      <c r="E1187" s="58" t="n">
        <v>46072.7625</v>
      </c>
      <c r="F1187" s="58" t="n">
        <v>46072.7694444444</v>
      </c>
      <c r="G1187" s="59" t="n">
        <f aca="false">F1187-E1187</f>
        <v>0.00694444439814815</v>
      </c>
      <c r="H1187" s="57" t="s">
        <v>252</v>
      </c>
      <c r="I1187" s="57"/>
      <c r="J1187" s="57" t="s">
        <v>253</v>
      </c>
      <c r="K1187" s="57" t="s">
        <v>266</v>
      </c>
      <c r="L1187" s="57" t="s">
        <v>275</v>
      </c>
      <c r="M1187" s="57" t="s">
        <v>255</v>
      </c>
      <c r="N1187" s="57" t="s">
        <v>256</v>
      </c>
      <c r="O1187" s="57" t="s">
        <v>2103</v>
      </c>
      <c r="P1187" s="57" t="s">
        <v>2118</v>
      </c>
      <c r="Q1187" s="57" t="s">
        <v>706</v>
      </c>
    </row>
    <row r="1188" s="50" customFormat="true" ht="14.25" hidden="false" customHeight="true" outlineLevel="0" collapsed="false">
      <c r="A1188" s="50" t="s">
        <v>2102</v>
      </c>
      <c r="B1188" s="57" t="s">
        <v>136</v>
      </c>
      <c r="C1188" s="57" t="s">
        <v>688</v>
      </c>
      <c r="D1188" s="58" t="n">
        <v>46072.7625</v>
      </c>
      <c r="E1188" s="58" t="n">
        <v>46072.7625</v>
      </c>
      <c r="F1188" s="58" t="n">
        <v>46072.7694444444</v>
      </c>
      <c r="G1188" s="59" t="n">
        <f aca="false">F1188-E1188</f>
        <v>0.00694444439814815</v>
      </c>
      <c r="H1188" s="57" t="s">
        <v>252</v>
      </c>
      <c r="I1188" s="57"/>
      <c r="J1188" s="57" t="s">
        <v>253</v>
      </c>
      <c r="K1188" s="57" t="s">
        <v>266</v>
      </c>
      <c r="L1188" s="57" t="s">
        <v>275</v>
      </c>
      <c r="M1188" s="57" t="s">
        <v>255</v>
      </c>
      <c r="N1188" s="57" t="s">
        <v>256</v>
      </c>
      <c r="O1188" s="57" t="s">
        <v>2103</v>
      </c>
      <c r="P1188" s="57" t="s">
        <v>2119</v>
      </c>
      <c r="Q1188" s="57" t="s">
        <v>706</v>
      </c>
    </row>
    <row r="1189" s="50" customFormat="true" ht="14.25" hidden="false" customHeight="true" outlineLevel="0" collapsed="false">
      <c r="A1189" s="50" t="s">
        <v>2102</v>
      </c>
      <c r="B1189" s="57" t="s">
        <v>136</v>
      </c>
      <c r="C1189" s="57" t="s">
        <v>689</v>
      </c>
      <c r="D1189" s="58" t="n">
        <v>46072.7625</v>
      </c>
      <c r="E1189" s="58" t="n">
        <v>46072.7625</v>
      </c>
      <c r="F1189" s="58" t="n">
        <v>46072.7694444444</v>
      </c>
      <c r="G1189" s="59" t="n">
        <f aca="false">F1189-E1189</f>
        <v>0.00694444439814815</v>
      </c>
      <c r="H1189" s="57" t="s">
        <v>252</v>
      </c>
      <c r="I1189" s="57"/>
      <c r="J1189" s="57" t="s">
        <v>253</v>
      </c>
      <c r="K1189" s="57" t="s">
        <v>266</v>
      </c>
      <c r="L1189" s="57" t="s">
        <v>275</v>
      </c>
      <c r="M1189" s="57" t="s">
        <v>255</v>
      </c>
      <c r="N1189" s="57" t="s">
        <v>256</v>
      </c>
      <c r="O1189" s="57" t="s">
        <v>2103</v>
      </c>
      <c r="P1189" s="57" t="s">
        <v>2120</v>
      </c>
      <c r="Q1189" s="57" t="s">
        <v>706</v>
      </c>
    </row>
    <row r="1190" s="50" customFormat="true" ht="14.25" hidden="false" customHeight="true" outlineLevel="0" collapsed="false">
      <c r="A1190" s="50" t="s">
        <v>2121</v>
      </c>
      <c r="B1190" s="57" t="s">
        <v>139</v>
      </c>
      <c r="C1190" s="57" t="s">
        <v>282</v>
      </c>
      <c r="D1190" s="58" t="n">
        <v>46072.7625</v>
      </c>
      <c r="E1190" s="58" t="n">
        <v>46072.7625</v>
      </c>
      <c r="F1190" s="58" t="n">
        <v>46072.7694444444</v>
      </c>
      <c r="G1190" s="59" t="n">
        <f aca="false">F1190-E1190</f>
        <v>0.00694444439814815</v>
      </c>
      <c r="H1190" s="57" t="s">
        <v>252</v>
      </c>
      <c r="I1190" s="57"/>
      <c r="J1190" s="57" t="s">
        <v>253</v>
      </c>
      <c r="K1190" s="57" t="s">
        <v>266</v>
      </c>
      <c r="L1190" s="57" t="s">
        <v>275</v>
      </c>
      <c r="M1190" s="57" t="s">
        <v>255</v>
      </c>
      <c r="N1190" s="57" t="s">
        <v>256</v>
      </c>
      <c r="O1190" s="57" t="s">
        <v>2103</v>
      </c>
      <c r="P1190" s="57" t="s">
        <v>2122</v>
      </c>
      <c r="Q1190" s="57" t="s">
        <v>706</v>
      </c>
    </row>
    <row r="1191" s="50" customFormat="true" ht="14.25" hidden="false" customHeight="true" outlineLevel="0" collapsed="false">
      <c r="A1191" s="50" t="s">
        <v>2121</v>
      </c>
      <c r="B1191" s="57" t="s">
        <v>139</v>
      </c>
      <c r="C1191" s="57" t="s">
        <v>291</v>
      </c>
      <c r="D1191" s="58" t="n">
        <v>46072.7625</v>
      </c>
      <c r="E1191" s="58" t="n">
        <v>46072.7625</v>
      </c>
      <c r="F1191" s="58" t="n">
        <v>46072.7694444444</v>
      </c>
      <c r="G1191" s="59" t="n">
        <f aca="false">F1191-E1191</f>
        <v>0.00694444439814815</v>
      </c>
      <c r="H1191" s="57" t="s">
        <v>252</v>
      </c>
      <c r="I1191" s="57"/>
      <c r="J1191" s="57" t="s">
        <v>253</v>
      </c>
      <c r="K1191" s="57" t="s">
        <v>266</v>
      </c>
      <c r="L1191" s="57" t="s">
        <v>275</v>
      </c>
      <c r="M1191" s="57" t="s">
        <v>255</v>
      </c>
      <c r="N1191" s="57" t="s">
        <v>256</v>
      </c>
      <c r="O1191" s="57" t="s">
        <v>2103</v>
      </c>
      <c r="P1191" s="57" t="s">
        <v>2123</v>
      </c>
      <c r="Q1191" s="57" t="s">
        <v>706</v>
      </c>
    </row>
    <row r="1192" s="50" customFormat="true" ht="14.25" hidden="false" customHeight="true" outlineLevel="0" collapsed="false">
      <c r="A1192" s="50" t="s">
        <v>2121</v>
      </c>
      <c r="B1192" s="57" t="s">
        <v>139</v>
      </c>
      <c r="C1192" s="57" t="s">
        <v>292</v>
      </c>
      <c r="D1192" s="58" t="n">
        <v>46072.7625</v>
      </c>
      <c r="E1192" s="58" t="n">
        <v>46072.7625</v>
      </c>
      <c r="F1192" s="58" t="n">
        <v>46072.7694444444</v>
      </c>
      <c r="G1192" s="59" t="n">
        <f aca="false">F1192-E1192</f>
        <v>0.00694444439814815</v>
      </c>
      <c r="H1192" s="57" t="s">
        <v>252</v>
      </c>
      <c r="I1192" s="57"/>
      <c r="J1192" s="57" t="s">
        <v>253</v>
      </c>
      <c r="K1192" s="57" t="s">
        <v>266</v>
      </c>
      <c r="L1192" s="57" t="s">
        <v>275</v>
      </c>
      <c r="M1192" s="57" t="s">
        <v>255</v>
      </c>
      <c r="N1192" s="57" t="s">
        <v>256</v>
      </c>
      <c r="O1192" s="57" t="s">
        <v>2103</v>
      </c>
      <c r="P1192" s="57" t="s">
        <v>2124</v>
      </c>
      <c r="Q1192" s="57" t="s">
        <v>706</v>
      </c>
    </row>
    <row r="1193" s="50" customFormat="true" ht="14.25" hidden="false" customHeight="true" outlineLevel="0" collapsed="false">
      <c r="A1193" s="50" t="s">
        <v>2121</v>
      </c>
      <c r="B1193" s="57" t="s">
        <v>139</v>
      </c>
      <c r="C1193" s="57" t="s">
        <v>293</v>
      </c>
      <c r="D1193" s="58" t="n">
        <v>46072.7625</v>
      </c>
      <c r="E1193" s="58" t="n">
        <v>46072.7625</v>
      </c>
      <c r="F1193" s="58" t="n">
        <v>46072.7694444444</v>
      </c>
      <c r="G1193" s="59" t="n">
        <f aca="false">F1193-E1193</f>
        <v>0.00694444439814815</v>
      </c>
      <c r="H1193" s="57" t="s">
        <v>252</v>
      </c>
      <c r="I1193" s="57"/>
      <c r="J1193" s="57" t="s">
        <v>253</v>
      </c>
      <c r="K1193" s="57" t="s">
        <v>266</v>
      </c>
      <c r="L1193" s="57" t="s">
        <v>275</v>
      </c>
      <c r="M1193" s="57" t="s">
        <v>255</v>
      </c>
      <c r="N1193" s="57" t="s">
        <v>256</v>
      </c>
      <c r="O1193" s="57" t="s">
        <v>2103</v>
      </c>
      <c r="P1193" s="57" t="s">
        <v>2125</v>
      </c>
      <c r="Q1193" s="57" t="s">
        <v>706</v>
      </c>
    </row>
    <row r="1194" s="50" customFormat="true" ht="14.25" hidden="false" customHeight="true" outlineLevel="0" collapsed="false">
      <c r="A1194" s="50" t="s">
        <v>474</v>
      </c>
      <c r="B1194" s="57" t="s">
        <v>474</v>
      </c>
      <c r="C1194" s="57" t="s">
        <v>327</v>
      </c>
      <c r="D1194" s="58" t="n">
        <v>46072.9840277778</v>
      </c>
      <c r="E1194" s="58" t="n">
        <v>46072.9840277778</v>
      </c>
      <c r="F1194" s="58" t="n">
        <v>46072.9951388889</v>
      </c>
      <c r="G1194" s="59" t="n">
        <f aca="false">F1194-E1194</f>
        <v>0.0111111111111111</v>
      </c>
      <c r="H1194" s="57" t="s">
        <v>283</v>
      </c>
      <c r="I1194" s="57" t="s">
        <v>284</v>
      </c>
      <c r="J1194" s="57" t="s">
        <v>285</v>
      </c>
      <c r="K1194" s="57" t="s">
        <v>286</v>
      </c>
      <c r="L1194" s="57" t="s">
        <v>2126</v>
      </c>
      <c r="M1194" s="57" t="s">
        <v>288</v>
      </c>
      <c r="N1194" s="57" t="s">
        <v>589</v>
      </c>
      <c r="O1194" s="57" t="s">
        <v>2127</v>
      </c>
      <c r="P1194" s="57" t="s">
        <v>2128</v>
      </c>
      <c r="Q1194" s="57" t="s">
        <v>694</v>
      </c>
    </row>
    <row r="1195" s="50" customFormat="true" ht="14.25" hidden="false" customHeight="true" outlineLevel="0" collapsed="false">
      <c r="A1195" s="50" t="s">
        <v>474</v>
      </c>
      <c r="B1195" s="57" t="s">
        <v>474</v>
      </c>
      <c r="C1195" s="57" t="s">
        <v>328</v>
      </c>
      <c r="D1195" s="58" t="n">
        <v>46072.9840277778</v>
      </c>
      <c r="E1195" s="58" t="n">
        <v>46072.9840277778</v>
      </c>
      <c r="F1195" s="58" t="n">
        <v>46072.9951388889</v>
      </c>
      <c r="G1195" s="59" t="n">
        <f aca="false">F1195-E1195</f>
        <v>0.0111111111111111</v>
      </c>
      <c r="H1195" s="57" t="s">
        <v>283</v>
      </c>
      <c r="I1195" s="57" t="s">
        <v>284</v>
      </c>
      <c r="J1195" s="57" t="s">
        <v>285</v>
      </c>
      <c r="K1195" s="57" t="s">
        <v>286</v>
      </c>
      <c r="L1195" s="57" t="s">
        <v>2126</v>
      </c>
      <c r="M1195" s="57" t="s">
        <v>288</v>
      </c>
      <c r="N1195" s="57" t="s">
        <v>589</v>
      </c>
      <c r="O1195" s="57" t="s">
        <v>2127</v>
      </c>
      <c r="P1195" s="57" t="s">
        <v>2129</v>
      </c>
      <c r="Q1195" s="57" t="s">
        <v>694</v>
      </c>
    </row>
    <row r="1196" s="50" customFormat="true" ht="14.25" hidden="false" customHeight="true" outlineLevel="0" collapsed="false">
      <c r="A1196" s="50" t="s">
        <v>474</v>
      </c>
      <c r="B1196" s="57" t="s">
        <v>474</v>
      </c>
      <c r="C1196" s="57" t="s">
        <v>324</v>
      </c>
      <c r="D1196" s="58" t="n">
        <v>46072.9840277778</v>
      </c>
      <c r="E1196" s="58" t="n">
        <v>46072.9840277778</v>
      </c>
      <c r="F1196" s="58" t="n">
        <v>46072.9951388889</v>
      </c>
      <c r="G1196" s="59" t="n">
        <f aca="false">F1196-E1196</f>
        <v>0.0111111111111111</v>
      </c>
      <c r="H1196" s="57" t="s">
        <v>283</v>
      </c>
      <c r="I1196" s="57" t="s">
        <v>284</v>
      </c>
      <c r="J1196" s="57" t="s">
        <v>285</v>
      </c>
      <c r="K1196" s="57" t="s">
        <v>286</v>
      </c>
      <c r="L1196" s="57" t="s">
        <v>2126</v>
      </c>
      <c r="M1196" s="57" t="s">
        <v>288</v>
      </c>
      <c r="N1196" s="57" t="s">
        <v>589</v>
      </c>
      <c r="O1196" s="57" t="s">
        <v>2127</v>
      </c>
      <c r="P1196" s="57" t="s">
        <v>2130</v>
      </c>
      <c r="Q1196" s="57" t="s">
        <v>694</v>
      </c>
    </row>
    <row r="1197" s="50" customFormat="true" ht="14.25" hidden="false" customHeight="true" outlineLevel="0" collapsed="false">
      <c r="A1197" s="50" t="s">
        <v>474</v>
      </c>
      <c r="B1197" s="57" t="s">
        <v>474</v>
      </c>
      <c r="C1197" s="57" t="s">
        <v>326</v>
      </c>
      <c r="D1197" s="58" t="n">
        <v>46072.9840277778</v>
      </c>
      <c r="E1197" s="58" t="n">
        <v>46072.9840277778</v>
      </c>
      <c r="F1197" s="58" t="n">
        <v>46072.9951388889</v>
      </c>
      <c r="G1197" s="59" t="n">
        <f aca="false">F1197-E1197</f>
        <v>0.0111111111111111</v>
      </c>
      <c r="H1197" s="57" t="s">
        <v>283</v>
      </c>
      <c r="I1197" s="57" t="s">
        <v>284</v>
      </c>
      <c r="J1197" s="57" t="s">
        <v>285</v>
      </c>
      <c r="K1197" s="57" t="s">
        <v>286</v>
      </c>
      <c r="L1197" s="57" t="s">
        <v>2126</v>
      </c>
      <c r="M1197" s="57" t="s">
        <v>288</v>
      </c>
      <c r="N1197" s="57" t="s">
        <v>589</v>
      </c>
      <c r="O1197" s="57" t="s">
        <v>2127</v>
      </c>
      <c r="P1197" s="57" t="s">
        <v>2131</v>
      </c>
      <c r="Q1197" s="57" t="s">
        <v>694</v>
      </c>
    </row>
    <row r="1198" s="50" customFormat="true" ht="14.25" hidden="false" customHeight="true" outlineLevel="0" collapsed="false">
      <c r="A1198" s="50" t="s">
        <v>476</v>
      </c>
      <c r="B1198" s="57" t="s">
        <v>476</v>
      </c>
      <c r="C1198" s="57" t="s">
        <v>327</v>
      </c>
      <c r="D1198" s="58" t="n">
        <v>46072.9840277778</v>
      </c>
      <c r="E1198" s="58" t="n">
        <v>46072.9840277778</v>
      </c>
      <c r="F1198" s="58" t="n">
        <v>46072.9951388889</v>
      </c>
      <c r="G1198" s="59" t="n">
        <f aca="false">F1198-E1198</f>
        <v>0.0111111111111111</v>
      </c>
      <c r="H1198" s="57" t="s">
        <v>283</v>
      </c>
      <c r="I1198" s="57" t="s">
        <v>284</v>
      </c>
      <c r="J1198" s="57" t="s">
        <v>285</v>
      </c>
      <c r="K1198" s="57" t="s">
        <v>286</v>
      </c>
      <c r="L1198" s="57" t="s">
        <v>2126</v>
      </c>
      <c r="M1198" s="57" t="s">
        <v>288</v>
      </c>
      <c r="N1198" s="57" t="s">
        <v>589</v>
      </c>
      <c r="O1198" s="57" t="s">
        <v>2127</v>
      </c>
      <c r="P1198" s="57" t="s">
        <v>2132</v>
      </c>
      <c r="Q1198" s="57" t="s">
        <v>694</v>
      </c>
    </row>
    <row r="1199" s="50" customFormat="true" ht="14.25" hidden="false" customHeight="true" outlineLevel="0" collapsed="false">
      <c r="A1199" s="50" t="s">
        <v>476</v>
      </c>
      <c r="B1199" s="57" t="s">
        <v>476</v>
      </c>
      <c r="C1199" s="57" t="s">
        <v>326</v>
      </c>
      <c r="D1199" s="58" t="n">
        <v>46072.9840277778</v>
      </c>
      <c r="E1199" s="58" t="n">
        <v>46072.9840277778</v>
      </c>
      <c r="F1199" s="58" t="n">
        <v>46072.9951388889</v>
      </c>
      <c r="G1199" s="59" t="n">
        <f aca="false">F1199-E1199</f>
        <v>0.0111111111111111</v>
      </c>
      <c r="H1199" s="57" t="s">
        <v>283</v>
      </c>
      <c r="I1199" s="57" t="s">
        <v>284</v>
      </c>
      <c r="J1199" s="57" t="s">
        <v>285</v>
      </c>
      <c r="K1199" s="57" t="s">
        <v>286</v>
      </c>
      <c r="L1199" s="57" t="s">
        <v>2126</v>
      </c>
      <c r="M1199" s="57" t="s">
        <v>288</v>
      </c>
      <c r="N1199" s="57" t="s">
        <v>589</v>
      </c>
      <c r="O1199" s="57" t="s">
        <v>2127</v>
      </c>
      <c r="P1199" s="57" t="s">
        <v>2133</v>
      </c>
      <c r="Q1199" s="57" t="s">
        <v>694</v>
      </c>
    </row>
    <row r="1200" s="50" customFormat="true" ht="14.25" hidden="false" customHeight="true" outlineLevel="0" collapsed="false">
      <c r="A1200" s="50" t="s">
        <v>476</v>
      </c>
      <c r="B1200" s="57" t="s">
        <v>476</v>
      </c>
      <c r="C1200" s="57" t="s">
        <v>324</v>
      </c>
      <c r="D1200" s="58" t="n">
        <v>46072.9840277778</v>
      </c>
      <c r="E1200" s="58" t="n">
        <v>46072.9840277778</v>
      </c>
      <c r="F1200" s="58" t="n">
        <v>46072.9951388889</v>
      </c>
      <c r="G1200" s="59" t="n">
        <f aca="false">F1200-E1200</f>
        <v>0.0111111111111111</v>
      </c>
      <c r="H1200" s="57" t="s">
        <v>283</v>
      </c>
      <c r="I1200" s="57" t="s">
        <v>284</v>
      </c>
      <c r="J1200" s="57" t="s">
        <v>285</v>
      </c>
      <c r="K1200" s="57" t="s">
        <v>286</v>
      </c>
      <c r="L1200" s="57" t="s">
        <v>2126</v>
      </c>
      <c r="M1200" s="57" t="s">
        <v>288</v>
      </c>
      <c r="N1200" s="57" t="s">
        <v>589</v>
      </c>
      <c r="O1200" s="57" t="s">
        <v>2127</v>
      </c>
      <c r="P1200" s="57" t="s">
        <v>2134</v>
      </c>
      <c r="Q1200" s="57" t="s">
        <v>694</v>
      </c>
    </row>
    <row r="1201" s="50" customFormat="true" ht="14.25" hidden="false" customHeight="true" outlineLevel="0" collapsed="false">
      <c r="A1201" s="50" t="s">
        <v>476</v>
      </c>
      <c r="B1201" s="57" t="s">
        <v>476</v>
      </c>
      <c r="C1201" s="57" t="s">
        <v>328</v>
      </c>
      <c r="D1201" s="58" t="n">
        <v>46072.9840277778</v>
      </c>
      <c r="E1201" s="58" t="n">
        <v>46072.9840277778</v>
      </c>
      <c r="F1201" s="58" t="n">
        <v>46072.9951388889</v>
      </c>
      <c r="G1201" s="59" t="n">
        <f aca="false">F1201-E1201</f>
        <v>0.0111111111111111</v>
      </c>
      <c r="H1201" s="57" t="s">
        <v>283</v>
      </c>
      <c r="I1201" s="57" t="s">
        <v>284</v>
      </c>
      <c r="J1201" s="57" t="s">
        <v>285</v>
      </c>
      <c r="K1201" s="57" t="s">
        <v>286</v>
      </c>
      <c r="L1201" s="57" t="s">
        <v>2126</v>
      </c>
      <c r="M1201" s="57" t="s">
        <v>288</v>
      </c>
      <c r="N1201" s="57" t="s">
        <v>589</v>
      </c>
      <c r="O1201" s="57" t="s">
        <v>2127</v>
      </c>
      <c r="P1201" s="57" t="s">
        <v>2135</v>
      </c>
      <c r="Q1201" s="57" t="s">
        <v>694</v>
      </c>
    </row>
    <row r="1202" s="50" customFormat="true" ht="14.25" hidden="false" customHeight="true" outlineLevel="0" collapsed="false">
      <c r="A1202" s="50" t="s">
        <v>477</v>
      </c>
      <c r="B1202" s="57" t="s">
        <v>477</v>
      </c>
      <c r="C1202" s="57" t="s">
        <v>326</v>
      </c>
      <c r="D1202" s="58" t="n">
        <v>46072.9840277778</v>
      </c>
      <c r="E1202" s="58" t="n">
        <v>46072.9840277778</v>
      </c>
      <c r="F1202" s="58" t="n">
        <v>46072.9951388889</v>
      </c>
      <c r="G1202" s="59" t="n">
        <f aca="false">F1202-E1202</f>
        <v>0.0111111111111111</v>
      </c>
      <c r="H1202" s="57" t="s">
        <v>283</v>
      </c>
      <c r="I1202" s="57" t="s">
        <v>284</v>
      </c>
      <c r="J1202" s="57" t="s">
        <v>285</v>
      </c>
      <c r="K1202" s="57" t="s">
        <v>286</v>
      </c>
      <c r="L1202" s="57" t="s">
        <v>2126</v>
      </c>
      <c r="M1202" s="57" t="s">
        <v>288</v>
      </c>
      <c r="N1202" s="57" t="s">
        <v>589</v>
      </c>
      <c r="O1202" s="57" t="s">
        <v>2127</v>
      </c>
      <c r="P1202" s="57" t="s">
        <v>2136</v>
      </c>
      <c r="Q1202" s="57" t="s">
        <v>694</v>
      </c>
    </row>
    <row r="1203" s="50" customFormat="true" ht="14.25" hidden="false" customHeight="true" outlineLevel="0" collapsed="false">
      <c r="A1203" s="50" t="s">
        <v>477</v>
      </c>
      <c r="B1203" s="57" t="s">
        <v>477</v>
      </c>
      <c r="C1203" s="57" t="s">
        <v>327</v>
      </c>
      <c r="D1203" s="58" t="n">
        <v>46072.9840277778</v>
      </c>
      <c r="E1203" s="58" t="n">
        <v>46072.9840277778</v>
      </c>
      <c r="F1203" s="58" t="n">
        <v>46072.9951388889</v>
      </c>
      <c r="G1203" s="59" t="n">
        <f aca="false">F1203-E1203</f>
        <v>0.0111111111111111</v>
      </c>
      <c r="H1203" s="57" t="s">
        <v>283</v>
      </c>
      <c r="I1203" s="57" t="s">
        <v>284</v>
      </c>
      <c r="J1203" s="57" t="s">
        <v>285</v>
      </c>
      <c r="K1203" s="57" t="s">
        <v>286</v>
      </c>
      <c r="L1203" s="57" t="s">
        <v>2126</v>
      </c>
      <c r="M1203" s="57" t="s">
        <v>288</v>
      </c>
      <c r="N1203" s="57" t="s">
        <v>589</v>
      </c>
      <c r="O1203" s="57" t="s">
        <v>2127</v>
      </c>
      <c r="P1203" s="57" t="s">
        <v>2137</v>
      </c>
      <c r="Q1203" s="57" t="s">
        <v>694</v>
      </c>
    </row>
    <row r="1204" s="50" customFormat="true" ht="14.25" hidden="false" customHeight="true" outlineLevel="0" collapsed="false">
      <c r="A1204" s="50" t="s">
        <v>477</v>
      </c>
      <c r="B1204" s="57" t="s">
        <v>477</v>
      </c>
      <c r="C1204" s="57" t="s">
        <v>328</v>
      </c>
      <c r="D1204" s="58" t="n">
        <v>46072.9840277778</v>
      </c>
      <c r="E1204" s="58" t="n">
        <v>46072.9840277778</v>
      </c>
      <c r="F1204" s="58" t="n">
        <v>46072.9951388889</v>
      </c>
      <c r="G1204" s="59" t="n">
        <f aca="false">F1204-E1204</f>
        <v>0.0111111111111111</v>
      </c>
      <c r="H1204" s="57" t="s">
        <v>283</v>
      </c>
      <c r="I1204" s="57" t="s">
        <v>284</v>
      </c>
      <c r="J1204" s="57" t="s">
        <v>285</v>
      </c>
      <c r="K1204" s="57" t="s">
        <v>286</v>
      </c>
      <c r="L1204" s="57" t="s">
        <v>2126</v>
      </c>
      <c r="M1204" s="57" t="s">
        <v>288</v>
      </c>
      <c r="N1204" s="57" t="s">
        <v>589</v>
      </c>
      <c r="O1204" s="57" t="s">
        <v>2127</v>
      </c>
      <c r="P1204" s="57" t="s">
        <v>2138</v>
      </c>
      <c r="Q1204" s="57" t="s">
        <v>694</v>
      </c>
    </row>
    <row r="1205" s="50" customFormat="true" ht="14.25" hidden="false" customHeight="true" outlineLevel="0" collapsed="false">
      <c r="A1205" s="50" t="s">
        <v>477</v>
      </c>
      <c r="B1205" s="57" t="s">
        <v>477</v>
      </c>
      <c r="C1205" s="57" t="s">
        <v>265</v>
      </c>
      <c r="D1205" s="58" t="n">
        <v>46072.9840277778</v>
      </c>
      <c r="E1205" s="58" t="n">
        <v>46072.9840277778</v>
      </c>
      <c r="F1205" s="58" t="n">
        <v>46072.9951388889</v>
      </c>
      <c r="G1205" s="59" t="n">
        <f aca="false">F1205-E1205</f>
        <v>0.0111111111111111</v>
      </c>
      <c r="H1205" s="57" t="s">
        <v>283</v>
      </c>
      <c r="I1205" s="57" t="s">
        <v>284</v>
      </c>
      <c r="J1205" s="57" t="s">
        <v>285</v>
      </c>
      <c r="K1205" s="57" t="s">
        <v>286</v>
      </c>
      <c r="L1205" s="57" t="s">
        <v>2126</v>
      </c>
      <c r="M1205" s="57" t="s">
        <v>288</v>
      </c>
      <c r="N1205" s="57" t="s">
        <v>589</v>
      </c>
      <c r="O1205" s="57" t="s">
        <v>2127</v>
      </c>
      <c r="P1205" s="57" t="s">
        <v>2139</v>
      </c>
      <c r="Q1205" s="57" t="s">
        <v>694</v>
      </c>
    </row>
    <row r="1206" s="50" customFormat="true" ht="14.25" hidden="false" customHeight="true" outlineLevel="0" collapsed="false">
      <c r="A1206" s="50" t="s">
        <v>478</v>
      </c>
      <c r="B1206" s="57" t="s">
        <v>478</v>
      </c>
      <c r="C1206" s="57" t="s">
        <v>327</v>
      </c>
      <c r="D1206" s="58" t="n">
        <v>46072.9840277778</v>
      </c>
      <c r="E1206" s="58" t="n">
        <v>46072.9840277778</v>
      </c>
      <c r="F1206" s="58" t="n">
        <v>46072.9951388889</v>
      </c>
      <c r="G1206" s="59" t="n">
        <f aca="false">F1206-E1206</f>
        <v>0.0111111111111111</v>
      </c>
      <c r="H1206" s="57" t="s">
        <v>283</v>
      </c>
      <c r="I1206" s="57" t="s">
        <v>284</v>
      </c>
      <c r="J1206" s="57" t="s">
        <v>285</v>
      </c>
      <c r="K1206" s="57" t="s">
        <v>286</v>
      </c>
      <c r="L1206" s="57" t="s">
        <v>2126</v>
      </c>
      <c r="M1206" s="57" t="s">
        <v>288</v>
      </c>
      <c r="N1206" s="57" t="s">
        <v>589</v>
      </c>
      <c r="O1206" s="57" t="s">
        <v>2127</v>
      </c>
      <c r="P1206" s="57" t="s">
        <v>2140</v>
      </c>
      <c r="Q1206" s="57" t="s">
        <v>694</v>
      </c>
    </row>
    <row r="1207" s="50" customFormat="true" ht="14.25" hidden="false" customHeight="true" outlineLevel="0" collapsed="false">
      <c r="A1207" s="50" t="s">
        <v>478</v>
      </c>
      <c r="B1207" s="57" t="s">
        <v>478</v>
      </c>
      <c r="C1207" s="57" t="s">
        <v>328</v>
      </c>
      <c r="D1207" s="58" t="n">
        <v>46072.9840277778</v>
      </c>
      <c r="E1207" s="58" t="n">
        <v>46072.9840277778</v>
      </c>
      <c r="F1207" s="58" t="n">
        <v>46072.9951388889</v>
      </c>
      <c r="G1207" s="59" t="n">
        <f aca="false">F1207-E1207</f>
        <v>0.0111111111111111</v>
      </c>
      <c r="H1207" s="57" t="s">
        <v>283</v>
      </c>
      <c r="I1207" s="57" t="s">
        <v>284</v>
      </c>
      <c r="J1207" s="57" t="s">
        <v>285</v>
      </c>
      <c r="K1207" s="57" t="s">
        <v>286</v>
      </c>
      <c r="L1207" s="57" t="s">
        <v>2126</v>
      </c>
      <c r="M1207" s="57" t="s">
        <v>288</v>
      </c>
      <c r="N1207" s="57" t="s">
        <v>589</v>
      </c>
      <c r="O1207" s="57" t="s">
        <v>2127</v>
      </c>
      <c r="P1207" s="57" t="s">
        <v>2141</v>
      </c>
      <c r="Q1207" s="57" t="s">
        <v>694</v>
      </c>
    </row>
    <row r="1208" s="50" customFormat="true" ht="14.25" hidden="false" customHeight="true" outlineLevel="0" collapsed="false">
      <c r="A1208" s="50" t="s">
        <v>478</v>
      </c>
      <c r="B1208" s="57" t="s">
        <v>478</v>
      </c>
      <c r="C1208" s="57" t="s">
        <v>326</v>
      </c>
      <c r="D1208" s="58" t="n">
        <v>46072.9840277778</v>
      </c>
      <c r="E1208" s="58" t="n">
        <v>46072.9840277778</v>
      </c>
      <c r="F1208" s="58" t="n">
        <v>46072.9951388889</v>
      </c>
      <c r="G1208" s="59" t="n">
        <f aca="false">F1208-E1208</f>
        <v>0.0111111111111111</v>
      </c>
      <c r="H1208" s="57" t="s">
        <v>283</v>
      </c>
      <c r="I1208" s="57" t="s">
        <v>284</v>
      </c>
      <c r="J1208" s="57" t="s">
        <v>285</v>
      </c>
      <c r="K1208" s="57" t="s">
        <v>286</v>
      </c>
      <c r="L1208" s="57" t="s">
        <v>2126</v>
      </c>
      <c r="M1208" s="57" t="s">
        <v>288</v>
      </c>
      <c r="N1208" s="57" t="s">
        <v>589</v>
      </c>
      <c r="O1208" s="57" t="s">
        <v>2127</v>
      </c>
      <c r="P1208" s="57" t="s">
        <v>2142</v>
      </c>
      <c r="Q1208" s="57" t="s">
        <v>694</v>
      </c>
    </row>
    <row r="1209" s="50" customFormat="true" ht="14.25" hidden="false" customHeight="true" outlineLevel="0" collapsed="false">
      <c r="A1209" s="50" t="s">
        <v>478</v>
      </c>
      <c r="B1209" s="57" t="s">
        <v>478</v>
      </c>
      <c r="C1209" s="57" t="s">
        <v>324</v>
      </c>
      <c r="D1209" s="58" t="n">
        <v>46072.9840277778</v>
      </c>
      <c r="E1209" s="58" t="n">
        <v>46072.9840277778</v>
      </c>
      <c r="F1209" s="58" t="n">
        <v>46072.9951388889</v>
      </c>
      <c r="G1209" s="59" t="n">
        <f aca="false">F1209-E1209</f>
        <v>0.0111111111111111</v>
      </c>
      <c r="H1209" s="57" t="s">
        <v>283</v>
      </c>
      <c r="I1209" s="57" t="s">
        <v>284</v>
      </c>
      <c r="J1209" s="57" t="s">
        <v>285</v>
      </c>
      <c r="K1209" s="57" t="s">
        <v>286</v>
      </c>
      <c r="L1209" s="57" t="s">
        <v>2126</v>
      </c>
      <c r="M1209" s="57" t="s">
        <v>288</v>
      </c>
      <c r="N1209" s="57" t="s">
        <v>589</v>
      </c>
      <c r="O1209" s="57" t="s">
        <v>2127</v>
      </c>
      <c r="P1209" s="57" t="s">
        <v>2143</v>
      </c>
      <c r="Q1209" s="57" t="s">
        <v>694</v>
      </c>
    </row>
    <row r="1210" s="50" customFormat="true" ht="14.25" hidden="false" customHeight="true" outlineLevel="0" collapsed="false">
      <c r="A1210" s="50" t="s">
        <v>479</v>
      </c>
      <c r="B1210" s="57" t="s">
        <v>479</v>
      </c>
      <c r="C1210" s="57" t="s">
        <v>326</v>
      </c>
      <c r="D1210" s="58" t="n">
        <v>46072.9840277778</v>
      </c>
      <c r="E1210" s="58" t="n">
        <v>46072.9840277778</v>
      </c>
      <c r="F1210" s="58" t="n">
        <v>46072.9951388889</v>
      </c>
      <c r="G1210" s="59" t="n">
        <f aca="false">F1210-E1210</f>
        <v>0.0111111111111111</v>
      </c>
      <c r="H1210" s="57" t="s">
        <v>283</v>
      </c>
      <c r="I1210" s="57" t="s">
        <v>284</v>
      </c>
      <c r="J1210" s="57" t="s">
        <v>285</v>
      </c>
      <c r="K1210" s="57" t="s">
        <v>286</v>
      </c>
      <c r="L1210" s="57" t="s">
        <v>2126</v>
      </c>
      <c r="M1210" s="57" t="s">
        <v>288</v>
      </c>
      <c r="N1210" s="57" t="s">
        <v>589</v>
      </c>
      <c r="O1210" s="57" t="s">
        <v>2127</v>
      </c>
      <c r="P1210" s="57" t="s">
        <v>2144</v>
      </c>
      <c r="Q1210" s="57" t="s">
        <v>694</v>
      </c>
    </row>
    <row r="1211" s="50" customFormat="true" ht="14.25" hidden="false" customHeight="true" outlineLevel="0" collapsed="false">
      <c r="A1211" s="50" t="s">
        <v>479</v>
      </c>
      <c r="B1211" s="57" t="s">
        <v>479</v>
      </c>
      <c r="C1211" s="57" t="s">
        <v>324</v>
      </c>
      <c r="D1211" s="58" t="n">
        <v>46072.9840277778</v>
      </c>
      <c r="E1211" s="58" t="n">
        <v>46072.9840277778</v>
      </c>
      <c r="F1211" s="58" t="n">
        <v>46072.9951388889</v>
      </c>
      <c r="G1211" s="59" t="n">
        <f aca="false">F1211-E1211</f>
        <v>0.0111111111111111</v>
      </c>
      <c r="H1211" s="57" t="s">
        <v>283</v>
      </c>
      <c r="I1211" s="57" t="s">
        <v>284</v>
      </c>
      <c r="J1211" s="57" t="s">
        <v>285</v>
      </c>
      <c r="K1211" s="57" t="s">
        <v>286</v>
      </c>
      <c r="L1211" s="57" t="s">
        <v>2126</v>
      </c>
      <c r="M1211" s="57" t="s">
        <v>288</v>
      </c>
      <c r="N1211" s="57" t="s">
        <v>589</v>
      </c>
      <c r="O1211" s="57" t="s">
        <v>2127</v>
      </c>
      <c r="P1211" s="57" t="s">
        <v>2145</v>
      </c>
      <c r="Q1211" s="57" t="s">
        <v>694</v>
      </c>
    </row>
    <row r="1212" s="50" customFormat="true" ht="14.25" hidden="false" customHeight="true" outlineLevel="0" collapsed="false">
      <c r="A1212" s="50" t="s">
        <v>479</v>
      </c>
      <c r="B1212" s="57" t="s">
        <v>479</v>
      </c>
      <c r="C1212" s="57" t="s">
        <v>327</v>
      </c>
      <c r="D1212" s="58" t="n">
        <v>46072.9840277778</v>
      </c>
      <c r="E1212" s="58" t="n">
        <v>46072.9840277778</v>
      </c>
      <c r="F1212" s="58" t="n">
        <v>46072.9951388889</v>
      </c>
      <c r="G1212" s="59" t="n">
        <f aca="false">F1212-E1212</f>
        <v>0.0111111111111111</v>
      </c>
      <c r="H1212" s="57" t="s">
        <v>283</v>
      </c>
      <c r="I1212" s="57" t="s">
        <v>284</v>
      </c>
      <c r="J1212" s="57" t="s">
        <v>285</v>
      </c>
      <c r="K1212" s="57" t="s">
        <v>286</v>
      </c>
      <c r="L1212" s="57" t="s">
        <v>2126</v>
      </c>
      <c r="M1212" s="57" t="s">
        <v>288</v>
      </c>
      <c r="N1212" s="57" t="s">
        <v>589</v>
      </c>
      <c r="O1212" s="57" t="s">
        <v>2127</v>
      </c>
      <c r="P1212" s="57" t="s">
        <v>2146</v>
      </c>
      <c r="Q1212" s="57" t="s">
        <v>694</v>
      </c>
    </row>
    <row r="1213" s="50" customFormat="true" ht="14.25" hidden="false" customHeight="true" outlineLevel="0" collapsed="false">
      <c r="A1213" s="50" t="s">
        <v>479</v>
      </c>
      <c r="B1213" s="57" t="s">
        <v>479</v>
      </c>
      <c r="C1213" s="57" t="s">
        <v>265</v>
      </c>
      <c r="D1213" s="58" t="n">
        <v>46072.9840277778</v>
      </c>
      <c r="E1213" s="58" t="n">
        <v>46072.9840277778</v>
      </c>
      <c r="F1213" s="58" t="n">
        <v>46072.9951388889</v>
      </c>
      <c r="G1213" s="59" t="n">
        <f aca="false">F1213-E1213</f>
        <v>0.0111111111111111</v>
      </c>
      <c r="H1213" s="57" t="s">
        <v>283</v>
      </c>
      <c r="I1213" s="57" t="s">
        <v>284</v>
      </c>
      <c r="J1213" s="57" t="s">
        <v>285</v>
      </c>
      <c r="K1213" s="57" t="s">
        <v>286</v>
      </c>
      <c r="L1213" s="57" t="s">
        <v>2126</v>
      </c>
      <c r="M1213" s="57" t="s">
        <v>288</v>
      </c>
      <c r="N1213" s="57" t="s">
        <v>589</v>
      </c>
      <c r="O1213" s="57" t="s">
        <v>2127</v>
      </c>
      <c r="P1213" s="57" t="s">
        <v>2147</v>
      </c>
      <c r="Q1213" s="57" t="s">
        <v>694</v>
      </c>
    </row>
    <row r="1214" s="50" customFormat="true" ht="14.25" hidden="false" customHeight="true" outlineLevel="0" collapsed="false">
      <c r="A1214" s="50" t="s">
        <v>339</v>
      </c>
      <c r="B1214" s="57" t="s">
        <v>339</v>
      </c>
      <c r="C1214" s="57" t="s">
        <v>324</v>
      </c>
      <c r="D1214" s="58" t="n">
        <v>46073.2083333333</v>
      </c>
      <c r="E1214" s="58" t="n">
        <v>46073.2083333333</v>
      </c>
      <c r="F1214" s="58" t="n">
        <v>46073.3472222222</v>
      </c>
      <c r="G1214" s="59" t="n">
        <f aca="false">F1214-E1214</f>
        <v>0.138888888888889</v>
      </c>
      <c r="H1214" s="57" t="s">
        <v>252</v>
      </c>
      <c r="I1214" s="57"/>
      <c r="J1214" s="57" t="s">
        <v>253</v>
      </c>
      <c r="K1214" s="57" t="s">
        <v>266</v>
      </c>
      <c r="L1214" s="57" t="s">
        <v>2148</v>
      </c>
      <c r="M1214" s="57" t="s">
        <v>255</v>
      </c>
      <c r="N1214" s="57" t="s">
        <v>256</v>
      </c>
      <c r="O1214" s="57" t="s">
        <v>2149</v>
      </c>
      <c r="P1214" s="57" t="s">
        <v>2150</v>
      </c>
      <c r="Q1214" s="57" t="s">
        <v>706</v>
      </c>
    </row>
    <row r="1215" s="50" customFormat="true" ht="14.25" hidden="false" customHeight="true" outlineLevel="0" collapsed="false">
      <c r="A1215" s="50" t="s">
        <v>339</v>
      </c>
      <c r="B1215" s="57" t="s">
        <v>339</v>
      </c>
      <c r="C1215" s="57" t="s">
        <v>327</v>
      </c>
      <c r="D1215" s="58" t="n">
        <v>46073.2083333333</v>
      </c>
      <c r="E1215" s="58" t="n">
        <v>46073.2083333333</v>
      </c>
      <c r="F1215" s="58" t="n">
        <v>46073.3472222222</v>
      </c>
      <c r="G1215" s="59" t="n">
        <f aca="false">F1215-E1215</f>
        <v>0.138888888888889</v>
      </c>
      <c r="H1215" s="57" t="s">
        <v>252</v>
      </c>
      <c r="I1215" s="57"/>
      <c r="J1215" s="57" t="s">
        <v>253</v>
      </c>
      <c r="K1215" s="57" t="s">
        <v>266</v>
      </c>
      <c r="L1215" s="57" t="s">
        <v>2148</v>
      </c>
      <c r="M1215" s="57" t="s">
        <v>255</v>
      </c>
      <c r="N1215" s="57" t="s">
        <v>256</v>
      </c>
      <c r="O1215" s="57" t="s">
        <v>2149</v>
      </c>
      <c r="P1215" s="57" t="s">
        <v>2151</v>
      </c>
      <c r="Q1215" s="57" t="s">
        <v>706</v>
      </c>
    </row>
    <row r="1216" s="50" customFormat="true" ht="14.25" hidden="false" customHeight="true" outlineLevel="0" collapsed="false">
      <c r="A1216" s="50" t="s">
        <v>339</v>
      </c>
      <c r="B1216" s="57" t="s">
        <v>339</v>
      </c>
      <c r="C1216" s="57" t="s">
        <v>326</v>
      </c>
      <c r="D1216" s="58" t="n">
        <v>46073.2083333333</v>
      </c>
      <c r="E1216" s="58" t="n">
        <v>46073.2083333333</v>
      </c>
      <c r="F1216" s="58" t="n">
        <v>46073.3472222222</v>
      </c>
      <c r="G1216" s="59" t="n">
        <f aca="false">F1216-E1216</f>
        <v>0.138888888888889</v>
      </c>
      <c r="H1216" s="57" t="s">
        <v>252</v>
      </c>
      <c r="I1216" s="57"/>
      <c r="J1216" s="57" t="s">
        <v>253</v>
      </c>
      <c r="K1216" s="57" t="s">
        <v>266</v>
      </c>
      <c r="L1216" s="57" t="s">
        <v>2148</v>
      </c>
      <c r="M1216" s="57" t="s">
        <v>255</v>
      </c>
      <c r="N1216" s="57" t="s">
        <v>256</v>
      </c>
      <c r="O1216" s="57" t="s">
        <v>2149</v>
      </c>
      <c r="P1216" s="57" t="s">
        <v>2152</v>
      </c>
      <c r="Q1216" s="57" t="s">
        <v>706</v>
      </c>
    </row>
    <row r="1217" s="50" customFormat="true" ht="14.25" hidden="false" customHeight="true" outlineLevel="0" collapsed="false">
      <c r="A1217" s="50" t="s">
        <v>339</v>
      </c>
      <c r="B1217" s="57" t="s">
        <v>339</v>
      </c>
      <c r="C1217" s="57" t="s">
        <v>265</v>
      </c>
      <c r="D1217" s="58" t="n">
        <v>46073.2083333333</v>
      </c>
      <c r="E1217" s="58" t="n">
        <v>46073.2083333333</v>
      </c>
      <c r="F1217" s="58" t="n">
        <v>46073.3472222222</v>
      </c>
      <c r="G1217" s="59" t="n">
        <f aca="false">F1217-E1217</f>
        <v>0.138888888888889</v>
      </c>
      <c r="H1217" s="57" t="s">
        <v>252</v>
      </c>
      <c r="I1217" s="57"/>
      <c r="J1217" s="57" t="s">
        <v>253</v>
      </c>
      <c r="K1217" s="57" t="s">
        <v>266</v>
      </c>
      <c r="L1217" s="57" t="s">
        <v>2148</v>
      </c>
      <c r="M1217" s="57" t="s">
        <v>255</v>
      </c>
      <c r="N1217" s="57" t="s">
        <v>256</v>
      </c>
      <c r="O1217" s="57" t="s">
        <v>2149</v>
      </c>
      <c r="P1217" s="57" t="s">
        <v>2153</v>
      </c>
      <c r="Q1217" s="57" t="s">
        <v>706</v>
      </c>
    </row>
    <row r="1218" s="50" customFormat="true" ht="14.25" hidden="false" customHeight="true" outlineLevel="0" collapsed="false">
      <c r="A1218" s="50" t="s">
        <v>340</v>
      </c>
      <c r="B1218" s="57" t="s">
        <v>340</v>
      </c>
      <c r="C1218" s="57" t="s">
        <v>327</v>
      </c>
      <c r="D1218" s="58" t="n">
        <v>46073.2083333333</v>
      </c>
      <c r="E1218" s="58" t="n">
        <v>46073.2083333333</v>
      </c>
      <c r="F1218" s="58" t="n">
        <v>46073.3472222222</v>
      </c>
      <c r="G1218" s="59" t="n">
        <f aca="false">F1218-E1218</f>
        <v>0.138888888888889</v>
      </c>
      <c r="H1218" s="57" t="s">
        <v>252</v>
      </c>
      <c r="I1218" s="57"/>
      <c r="J1218" s="57" t="s">
        <v>253</v>
      </c>
      <c r="K1218" s="57" t="s">
        <v>266</v>
      </c>
      <c r="L1218" s="57" t="s">
        <v>2148</v>
      </c>
      <c r="M1218" s="57" t="s">
        <v>255</v>
      </c>
      <c r="N1218" s="57" t="s">
        <v>256</v>
      </c>
      <c r="O1218" s="57" t="s">
        <v>2149</v>
      </c>
      <c r="P1218" s="57" t="s">
        <v>2154</v>
      </c>
      <c r="Q1218" s="57" t="s">
        <v>706</v>
      </c>
    </row>
    <row r="1219" s="50" customFormat="true" ht="14.25" hidden="false" customHeight="true" outlineLevel="0" collapsed="false">
      <c r="A1219" s="50" t="s">
        <v>340</v>
      </c>
      <c r="B1219" s="57" t="s">
        <v>340</v>
      </c>
      <c r="C1219" s="57" t="s">
        <v>326</v>
      </c>
      <c r="D1219" s="58" t="n">
        <v>46073.2083333333</v>
      </c>
      <c r="E1219" s="58" t="n">
        <v>46073.2083333333</v>
      </c>
      <c r="F1219" s="58" t="n">
        <v>46073.3472222222</v>
      </c>
      <c r="G1219" s="59" t="n">
        <f aca="false">F1219-E1219</f>
        <v>0.138888888888889</v>
      </c>
      <c r="H1219" s="57" t="s">
        <v>252</v>
      </c>
      <c r="I1219" s="57"/>
      <c r="J1219" s="57" t="s">
        <v>253</v>
      </c>
      <c r="K1219" s="57" t="s">
        <v>266</v>
      </c>
      <c r="L1219" s="57" t="s">
        <v>2148</v>
      </c>
      <c r="M1219" s="57" t="s">
        <v>255</v>
      </c>
      <c r="N1219" s="57" t="s">
        <v>256</v>
      </c>
      <c r="O1219" s="57" t="s">
        <v>2149</v>
      </c>
      <c r="P1219" s="57" t="s">
        <v>2155</v>
      </c>
      <c r="Q1219" s="57" t="s">
        <v>706</v>
      </c>
    </row>
    <row r="1220" s="50" customFormat="true" ht="14.25" hidden="false" customHeight="true" outlineLevel="0" collapsed="false">
      <c r="A1220" s="50" t="s">
        <v>340</v>
      </c>
      <c r="B1220" s="57" t="s">
        <v>340</v>
      </c>
      <c r="C1220" s="57" t="s">
        <v>324</v>
      </c>
      <c r="D1220" s="58" t="n">
        <v>46073.2083333333</v>
      </c>
      <c r="E1220" s="58" t="n">
        <v>46073.2083333333</v>
      </c>
      <c r="F1220" s="58" t="n">
        <v>46073.3472222222</v>
      </c>
      <c r="G1220" s="59" t="n">
        <f aca="false">F1220-E1220</f>
        <v>0.138888888888889</v>
      </c>
      <c r="H1220" s="57" t="s">
        <v>252</v>
      </c>
      <c r="I1220" s="57"/>
      <c r="J1220" s="57" t="s">
        <v>253</v>
      </c>
      <c r="K1220" s="57" t="s">
        <v>266</v>
      </c>
      <c r="L1220" s="57" t="s">
        <v>2148</v>
      </c>
      <c r="M1220" s="57" t="s">
        <v>255</v>
      </c>
      <c r="N1220" s="57" t="s">
        <v>256</v>
      </c>
      <c r="O1220" s="57" t="s">
        <v>2149</v>
      </c>
      <c r="P1220" s="57" t="s">
        <v>2156</v>
      </c>
      <c r="Q1220" s="57" t="s">
        <v>706</v>
      </c>
    </row>
    <row r="1221" s="50" customFormat="true" ht="14.25" hidden="false" customHeight="true" outlineLevel="0" collapsed="false">
      <c r="A1221" s="50" t="s">
        <v>340</v>
      </c>
      <c r="B1221" s="57" t="s">
        <v>340</v>
      </c>
      <c r="C1221" s="57" t="s">
        <v>265</v>
      </c>
      <c r="D1221" s="58" t="n">
        <v>46073.2083333333</v>
      </c>
      <c r="E1221" s="58" t="n">
        <v>46073.2083333333</v>
      </c>
      <c r="F1221" s="58" t="n">
        <v>46073.3472222222</v>
      </c>
      <c r="G1221" s="59" t="n">
        <f aca="false">F1221-E1221</f>
        <v>0.138888888888889</v>
      </c>
      <c r="H1221" s="57" t="s">
        <v>252</v>
      </c>
      <c r="I1221" s="57"/>
      <c r="J1221" s="57" t="s">
        <v>253</v>
      </c>
      <c r="K1221" s="57" t="s">
        <v>266</v>
      </c>
      <c r="L1221" s="57" t="s">
        <v>2148</v>
      </c>
      <c r="M1221" s="57" t="s">
        <v>255</v>
      </c>
      <c r="N1221" s="57" t="s">
        <v>256</v>
      </c>
      <c r="O1221" s="57" t="s">
        <v>2149</v>
      </c>
      <c r="P1221" s="57" t="s">
        <v>2157</v>
      </c>
      <c r="Q1221" s="57" t="s">
        <v>706</v>
      </c>
    </row>
    <row r="1222" s="50" customFormat="true" ht="14.25" hidden="false" customHeight="true" outlineLevel="0" collapsed="false">
      <c r="A1222" s="50" t="s">
        <v>341</v>
      </c>
      <c r="B1222" s="57" t="s">
        <v>341</v>
      </c>
      <c r="C1222" s="57" t="s">
        <v>326</v>
      </c>
      <c r="D1222" s="58" t="n">
        <v>46073.2083333333</v>
      </c>
      <c r="E1222" s="58" t="n">
        <v>46073.2083333333</v>
      </c>
      <c r="F1222" s="58" t="n">
        <v>46073.3472222222</v>
      </c>
      <c r="G1222" s="59" t="n">
        <f aca="false">F1222-E1222</f>
        <v>0.138888888888889</v>
      </c>
      <c r="H1222" s="57" t="s">
        <v>252</v>
      </c>
      <c r="I1222" s="57"/>
      <c r="J1222" s="57" t="s">
        <v>253</v>
      </c>
      <c r="K1222" s="57" t="s">
        <v>266</v>
      </c>
      <c r="L1222" s="57" t="s">
        <v>2148</v>
      </c>
      <c r="M1222" s="57" t="s">
        <v>255</v>
      </c>
      <c r="N1222" s="57" t="s">
        <v>256</v>
      </c>
      <c r="O1222" s="57" t="s">
        <v>2149</v>
      </c>
      <c r="P1222" s="57" t="s">
        <v>2158</v>
      </c>
      <c r="Q1222" s="57" t="s">
        <v>706</v>
      </c>
    </row>
    <row r="1223" s="50" customFormat="true" ht="14.25" hidden="false" customHeight="true" outlineLevel="0" collapsed="false">
      <c r="A1223" s="50" t="s">
        <v>341</v>
      </c>
      <c r="B1223" s="57" t="s">
        <v>341</v>
      </c>
      <c r="C1223" s="57" t="s">
        <v>324</v>
      </c>
      <c r="D1223" s="58" t="n">
        <v>46073.2083333333</v>
      </c>
      <c r="E1223" s="58" t="n">
        <v>46073.2083333333</v>
      </c>
      <c r="F1223" s="58" t="n">
        <v>46073.3472222222</v>
      </c>
      <c r="G1223" s="59" t="n">
        <f aca="false">F1223-E1223</f>
        <v>0.138888888888889</v>
      </c>
      <c r="H1223" s="57" t="s">
        <v>252</v>
      </c>
      <c r="I1223" s="57"/>
      <c r="J1223" s="57" t="s">
        <v>253</v>
      </c>
      <c r="K1223" s="57" t="s">
        <v>266</v>
      </c>
      <c r="L1223" s="57" t="s">
        <v>2148</v>
      </c>
      <c r="M1223" s="57" t="s">
        <v>255</v>
      </c>
      <c r="N1223" s="57" t="s">
        <v>256</v>
      </c>
      <c r="O1223" s="57" t="s">
        <v>2149</v>
      </c>
      <c r="P1223" s="57" t="s">
        <v>2159</v>
      </c>
      <c r="Q1223" s="57" t="s">
        <v>706</v>
      </c>
    </row>
    <row r="1224" s="50" customFormat="true" ht="14.25" hidden="false" customHeight="true" outlineLevel="0" collapsed="false">
      <c r="A1224" s="50" t="s">
        <v>323</v>
      </c>
      <c r="B1224" s="57" t="s">
        <v>323</v>
      </c>
      <c r="C1224" s="57" t="s">
        <v>324</v>
      </c>
      <c r="D1224" s="58" t="n">
        <v>46073.3652777778</v>
      </c>
      <c r="E1224" s="58" t="n">
        <v>46073.3652777778</v>
      </c>
      <c r="F1224" s="58" t="n">
        <v>46073.3694444444</v>
      </c>
      <c r="G1224" s="59" t="n">
        <f aca="false">F1224-E1224</f>
        <v>0.00416666659722222</v>
      </c>
      <c r="H1224" s="57" t="s">
        <v>252</v>
      </c>
      <c r="I1224" s="57"/>
      <c r="J1224" s="57" t="s">
        <v>253</v>
      </c>
      <c r="K1224" s="57" t="s">
        <v>266</v>
      </c>
      <c r="L1224" s="57" t="s">
        <v>2160</v>
      </c>
      <c r="M1224" s="57" t="s">
        <v>255</v>
      </c>
      <c r="N1224" s="57" t="s">
        <v>256</v>
      </c>
      <c r="O1224" s="57" t="s">
        <v>2161</v>
      </c>
      <c r="P1224" s="57" t="s">
        <v>2162</v>
      </c>
      <c r="Q1224" s="57" t="s">
        <v>706</v>
      </c>
    </row>
    <row r="1225" s="50" customFormat="true" ht="14.25" hidden="false" customHeight="true" outlineLevel="0" collapsed="false">
      <c r="A1225" s="50" t="s">
        <v>323</v>
      </c>
      <c r="B1225" s="57" t="s">
        <v>323</v>
      </c>
      <c r="C1225" s="57" t="s">
        <v>326</v>
      </c>
      <c r="D1225" s="58" t="n">
        <v>46073.3652777778</v>
      </c>
      <c r="E1225" s="58" t="n">
        <v>46073.3652777778</v>
      </c>
      <c r="F1225" s="58" t="n">
        <v>46073.3694444444</v>
      </c>
      <c r="G1225" s="59" t="n">
        <f aca="false">F1225-E1225</f>
        <v>0.00416666659722222</v>
      </c>
      <c r="H1225" s="57" t="s">
        <v>252</v>
      </c>
      <c r="I1225" s="57"/>
      <c r="J1225" s="57" t="s">
        <v>253</v>
      </c>
      <c r="K1225" s="57" t="s">
        <v>266</v>
      </c>
      <c r="L1225" s="57" t="s">
        <v>2160</v>
      </c>
      <c r="M1225" s="57" t="s">
        <v>255</v>
      </c>
      <c r="N1225" s="57" t="s">
        <v>256</v>
      </c>
      <c r="O1225" s="57" t="s">
        <v>2161</v>
      </c>
      <c r="P1225" s="57" t="s">
        <v>2163</v>
      </c>
      <c r="Q1225" s="57" t="s">
        <v>706</v>
      </c>
    </row>
    <row r="1226" s="50" customFormat="true" ht="14.25" hidden="false" customHeight="true" outlineLevel="0" collapsed="false">
      <c r="A1226" s="50" t="s">
        <v>323</v>
      </c>
      <c r="B1226" s="57" t="s">
        <v>323</v>
      </c>
      <c r="C1226" s="57" t="s">
        <v>327</v>
      </c>
      <c r="D1226" s="58" t="n">
        <v>46073.3652777778</v>
      </c>
      <c r="E1226" s="58" t="n">
        <v>46073.3652777778</v>
      </c>
      <c r="F1226" s="58" t="n">
        <v>46073.3694444444</v>
      </c>
      <c r="G1226" s="59" t="n">
        <f aca="false">F1226-E1226</f>
        <v>0.00416666659722222</v>
      </c>
      <c r="H1226" s="57" t="s">
        <v>252</v>
      </c>
      <c r="I1226" s="57"/>
      <c r="J1226" s="57" t="s">
        <v>253</v>
      </c>
      <c r="K1226" s="57" t="s">
        <v>266</v>
      </c>
      <c r="L1226" s="57" t="s">
        <v>2160</v>
      </c>
      <c r="M1226" s="57" t="s">
        <v>255</v>
      </c>
      <c r="N1226" s="57" t="s">
        <v>256</v>
      </c>
      <c r="O1226" s="57" t="s">
        <v>2161</v>
      </c>
      <c r="P1226" s="57" t="s">
        <v>2164</v>
      </c>
      <c r="Q1226" s="57" t="s">
        <v>706</v>
      </c>
    </row>
    <row r="1227" s="50" customFormat="true" ht="14.25" hidden="false" customHeight="true" outlineLevel="0" collapsed="false">
      <c r="A1227" s="50" t="s">
        <v>323</v>
      </c>
      <c r="B1227" s="57" t="s">
        <v>323</v>
      </c>
      <c r="C1227" s="57" t="s">
        <v>328</v>
      </c>
      <c r="D1227" s="58" t="n">
        <v>46073.3652777778</v>
      </c>
      <c r="E1227" s="58" t="n">
        <v>46073.3652777778</v>
      </c>
      <c r="F1227" s="58" t="n">
        <v>46073.3694444444</v>
      </c>
      <c r="G1227" s="59" t="n">
        <f aca="false">F1227-E1227</f>
        <v>0.00416666659722222</v>
      </c>
      <c r="H1227" s="57" t="s">
        <v>252</v>
      </c>
      <c r="I1227" s="57"/>
      <c r="J1227" s="57" t="s">
        <v>253</v>
      </c>
      <c r="K1227" s="57" t="s">
        <v>266</v>
      </c>
      <c r="L1227" s="57" t="s">
        <v>2160</v>
      </c>
      <c r="M1227" s="57" t="s">
        <v>255</v>
      </c>
      <c r="N1227" s="57" t="s">
        <v>256</v>
      </c>
      <c r="O1227" s="57" t="s">
        <v>2161</v>
      </c>
      <c r="P1227" s="57" t="s">
        <v>2165</v>
      </c>
      <c r="Q1227" s="57" t="s">
        <v>706</v>
      </c>
    </row>
    <row r="1228" s="50" customFormat="true" ht="14.25" hidden="false" customHeight="true" outlineLevel="0" collapsed="false">
      <c r="A1228" s="50" t="s">
        <v>329</v>
      </c>
      <c r="B1228" s="57" t="s">
        <v>329</v>
      </c>
      <c r="C1228" s="57" t="s">
        <v>324</v>
      </c>
      <c r="D1228" s="58" t="n">
        <v>46073.3652777778</v>
      </c>
      <c r="E1228" s="58" t="n">
        <v>46073.3652777778</v>
      </c>
      <c r="F1228" s="58" t="n">
        <v>46073.3694444444</v>
      </c>
      <c r="G1228" s="59" t="n">
        <f aca="false">F1228-E1228</f>
        <v>0.00416666659722222</v>
      </c>
      <c r="H1228" s="57" t="s">
        <v>252</v>
      </c>
      <c r="I1228" s="57"/>
      <c r="J1228" s="57" t="s">
        <v>253</v>
      </c>
      <c r="K1228" s="57" t="s">
        <v>266</v>
      </c>
      <c r="L1228" s="57" t="s">
        <v>2160</v>
      </c>
      <c r="M1228" s="57" t="s">
        <v>255</v>
      </c>
      <c r="N1228" s="57" t="s">
        <v>256</v>
      </c>
      <c r="O1228" s="57" t="s">
        <v>2161</v>
      </c>
      <c r="P1228" s="57" t="s">
        <v>2166</v>
      </c>
      <c r="Q1228" s="57" t="s">
        <v>706</v>
      </c>
    </row>
    <row r="1229" s="50" customFormat="true" ht="14.25" hidden="false" customHeight="true" outlineLevel="0" collapsed="false">
      <c r="A1229" s="50" t="s">
        <v>329</v>
      </c>
      <c r="B1229" s="57" t="s">
        <v>329</v>
      </c>
      <c r="C1229" s="57" t="s">
        <v>326</v>
      </c>
      <c r="D1229" s="58" t="n">
        <v>46073.3652777778</v>
      </c>
      <c r="E1229" s="58" t="n">
        <v>46073.3652777778</v>
      </c>
      <c r="F1229" s="58" t="n">
        <v>46073.3694444444</v>
      </c>
      <c r="G1229" s="59" t="n">
        <f aca="false">F1229-E1229</f>
        <v>0.00416666659722222</v>
      </c>
      <c r="H1229" s="57" t="s">
        <v>252</v>
      </c>
      <c r="I1229" s="57"/>
      <c r="J1229" s="57" t="s">
        <v>253</v>
      </c>
      <c r="K1229" s="57" t="s">
        <v>266</v>
      </c>
      <c r="L1229" s="57" t="s">
        <v>2160</v>
      </c>
      <c r="M1229" s="57" t="s">
        <v>255</v>
      </c>
      <c r="N1229" s="57" t="s">
        <v>256</v>
      </c>
      <c r="O1229" s="57" t="s">
        <v>2161</v>
      </c>
      <c r="P1229" s="57" t="s">
        <v>2167</v>
      </c>
      <c r="Q1229" s="57" t="s">
        <v>706</v>
      </c>
    </row>
    <row r="1230" s="50" customFormat="true" ht="14.25" hidden="false" customHeight="true" outlineLevel="0" collapsed="false">
      <c r="A1230" s="50" t="s">
        <v>329</v>
      </c>
      <c r="B1230" s="57" t="s">
        <v>329</v>
      </c>
      <c r="C1230" s="57" t="s">
        <v>327</v>
      </c>
      <c r="D1230" s="58" t="n">
        <v>46073.3652777778</v>
      </c>
      <c r="E1230" s="58" t="n">
        <v>46073.3652777778</v>
      </c>
      <c r="F1230" s="58" t="n">
        <v>46073.3694444444</v>
      </c>
      <c r="G1230" s="59" t="n">
        <f aca="false">F1230-E1230</f>
        <v>0.00416666659722222</v>
      </c>
      <c r="H1230" s="57" t="s">
        <v>252</v>
      </c>
      <c r="I1230" s="57"/>
      <c r="J1230" s="57" t="s">
        <v>253</v>
      </c>
      <c r="K1230" s="57" t="s">
        <v>266</v>
      </c>
      <c r="L1230" s="57" t="s">
        <v>2160</v>
      </c>
      <c r="M1230" s="57" t="s">
        <v>255</v>
      </c>
      <c r="N1230" s="57" t="s">
        <v>256</v>
      </c>
      <c r="O1230" s="57" t="s">
        <v>2161</v>
      </c>
      <c r="P1230" s="57" t="s">
        <v>2168</v>
      </c>
      <c r="Q1230" s="57" t="s">
        <v>706</v>
      </c>
    </row>
    <row r="1231" s="50" customFormat="true" ht="14.25" hidden="false" customHeight="true" outlineLevel="0" collapsed="false">
      <c r="A1231" s="50" t="s">
        <v>329</v>
      </c>
      <c r="B1231" s="57" t="s">
        <v>329</v>
      </c>
      <c r="C1231" s="57" t="s">
        <v>328</v>
      </c>
      <c r="D1231" s="58" t="n">
        <v>46073.3652777778</v>
      </c>
      <c r="E1231" s="58" t="n">
        <v>46073.3652777778</v>
      </c>
      <c r="F1231" s="58" t="n">
        <v>46073.3694444444</v>
      </c>
      <c r="G1231" s="59" t="n">
        <f aca="false">F1231-E1231</f>
        <v>0.00416666659722222</v>
      </c>
      <c r="H1231" s="57" t="s">
        <v>252</v>
      </c>
      <c r="I1231" s="57"/>
      <c r="J1231" s="57" t="s">
        <v>253</v>
      </c>
      <c r="K1231" s="57" t="s">
        <v>266</v>
      </c>
      <c r="L1231" s="57" t="s">
        <v>2160</v>
      </c>
      <c r="M1231" s="57" t="s">
        <v>255</v>
      </c>
      <c r="N1231" s="57" t="s">
        <v>256</v>
      </c>
      <c r="O1231" s="57" t="s">
        <v>2161</v>
      </c>
      <c r="P1231" s="57" t="s">
        <v>2169</v>
      </c>
      <c r="Q1231" s="57" t="s">
        <v>706</v>
      </c>
    </row>
    <row r="1232" s="50" customFormat="true" ht="14.25" hidden="false" customHeight="true" outlineLevel="0" collapsed="false">
      <c r="A1232" s="50" t="s">
        <v>801</v>
      </c>
      <c r="B1232" s="57" t="s">
        <v>112</v>
      </c>
      <c r="C1232" s="57" t="s">
        <v>524</v>
      </c>
      <c r="D1232" s="58" t="n">
        <v>46073.4166666667</v>
      </c>
      <c r="E1232" s="58" t="n">
        <v>46073.4166666667</v>
      </c>
      <c r="F1232" s="58" t="n">
        <v>46073.5833333333</v>
      </c>
      <c r="G1232" s="59" t="n">
        <f aca="false">F1232-E1232</f>
        <v>0.166666666597222</v>
      </c>
      <c r="H1232" s="57" t="s">
        <v>384</v>
      </c>
      <c r="I1232" s="57"/>
      <c r="J1232" s="57" t="s">
        <v>377</v>
      </c>
      <c r="K1232" s="57" t="s">
        <v>378</v>
      </c>
      <c r="L1232" s="57" t="s">
        <v>2062</v>
      </c>
      <c r="M1232" s="57" t="s">
        <v>386</v>
      </c>
      <c r="N1232" s="57" t="s">
        <v>387</v>
      </c>
      <c r="O1232" s="57" t="s">
        <v>2170</v>
      </c>
      <c r="P1232" s="57" t="s">
        <v>2171</v>
      </c>
      <c r="Q1232" s="57" t="s">
        <v>1736</v>
      </c>
    </row>
    <row r="1233" s="50" customFormat="true" ht="14.25" hidden="false" customHeight="true" outlineLevel="0" collapsed="false">
      <c r="A1233" s="50" t="s">
        <v>801</v>
      </c>
      <c r="B1233" s="57" t="s">
        <v>112</v>
      </c>
      <c r="C1233" s="57" t="s">
        <v>526</v>
      </c>
      <c r="D1233" s="58" t="n">
        <v>46073.4166666667</v>
      </c>
      <c r="E1233" s="58" t="n">
        <v>46073.4166666667</v>
      </c>
      <c r="F1233" s="58" t="n">
        <v>46073.5833333333</v>
      </c>
      <c r="G1233" s="59" t="n">
        <f aca="false">F1233-E1233</f>
        <v>0.166666666597222</v>
      </c>
      <c r="H1233" s="57" t="s">
        <v>384</v>
      </c>
      <c r="I1233" s="57"/>
      <c r="J1233" s="57" t="s">
        <v>377</v>
      </c>
      <c r="K1233" s="57" t="s">
        <v>378</v>
      </c>
      <c r="L1233" s="57" t="s">
        <v>2062</v>
      </c>
      <c r="M1233" s="57" t="s">
        <v>386</v>
      </c>
      <c r="N1233" s="57" t="s">
        <v>387</v>
      </c>
      <c r="O1233" s="57" t="s">
        <v>2170</v>
      </c>
      <c r="P1233" s="57" t="s">
        <v>2172</v>
      </c>
      <c r="Q1233" s="57" t="s">
        <v>1736</v>
      </c>
    </row>
    <row r="1234" s="50" customFormat="true" ht="14.25" hidden="false" customHeight="true" outlineLevel="0" collapsed="false">
      <c r="A1234" s="50" t="s">
        <v>801</v>
      </c>
      <c r="B1234" s="57" t="s">
        <v>112</v>
      </c>
      <c r="C1234" s="57" t="s">
        <v>527</v>
      </c>
      <c r="D1234" s="58" t="n">
        <v>46073.4166666667</v>
      </c>
      <c r="E1234" s="58" t="n">
        <v>46073.4166666667</v>
      </c>
      <c r="F1234" s="58" t="n">
        <v>46073.5833333333</v>
      </c>
      <c r="G1234" s="59" t="n">
        <f aca="false">F1234-E1234</f>
        <v>0.166666666597222</v>
      </c>
      <c r="H1234" s="57" t="s">
        <v>384</v>
      </c>
      <c r="I1234" s="57"/>
      <c r="J1234" s="57" t="s">
        <v>377</v>
      </c>
      <c r="K1234" s="57" t="s">
        <v>378</v>
      </c>
      <c r="L1234" s="57" t="s">
        <v>2062</v>
      </c>
      <c r="M1234" s="57" t="s">
        <v>386</v>
      </c>
      <c r="N1234" s="57" t="s">
        <v>387</v>
      </c>
      <c r="O1234" s="57" t="s">
        <v>2170</v>
      </c>
      <c r="P1234" s="57" t="s">
        <v>2173</v>
      </c>
      <c r="Q1234" s="57" t="s">
        <v>1736</v>
      </c>
    </row>
    <row r="1235" s="50" customFormat="true" ht="14.25" hidden="false" customHeight="true" outlineLevel="0" collapsed="false">
      <c r="A1235" s="50" t="s">
        <v>801</v>
      </c>
      <c r="B1235" s="57" t="s">
        <v>112</v>
      </c>
      <c r="C1235" s="57" t="s">
        <v>528</v>
      </c>
      <c r="D1235" s="58" t="n">
        <v>46073.4166666667</v>
      </c>
      <c r="E1235" s="58" t="n">
        <v>46073.4166666667</v>
      </c>
      <c r="F1235" s="58" t="n">
        <v>46073.5833333333</v>
      </c>
      <c r="G1235" s="59" t="n">
        <f aca="false">F1235-E1235</f>
        <v>0.166666666597222</v>
      </c>
      <c r="H1235" s="57" t="s">
        <v>384</v>
      </c>
      <c r="I1235" s="57"/>
      <c r="J1235" s="57" t="s">
        <v>377</v>
      </c>
      <c r="K1235" s="57" t="s">
        <v>378</v>
      </c>
      <c r="L1235" s="57" t="s">
        <v>2062</v>
      </c>
      <c r="M1235" s="57" t="s">
        <v>386</v>
      </c>
      <c r="N1235" s="57" t="s">
        <v>387</v>
      </c>
      <c r="O1235" s="57" t="s">
        <v>2170</v>
      </c>
      <c r="P1235" s="57" t="s">
        <v>2174</v>
      </c>
      <c r="Q1235" s="57" t="s">
        <v>1736</v>
      </c>
    </row>
    <row r="1236" s="50" customFormat="true" ht="14.25" hidden="false" customHeight="true" outlineLevel="0" collapsed="false">
      <c r="A1236" s="50" t="s">
        <v>801</v>
      </c>
      <c r="B1236" s="57" t="s">
        <v>112</v>
      </c>
      <c r="C1236" s="57" t="s">
        <v>529</v>
      </c>
      <c r="D1236" s="58" t="n">
        <v>46073.4166666667</v>
      </c>
      <c r="E1236" s="58" t="n">
        <v>46073.4166666667</v>
      </c>
      <c r="F1236" s="58" t="n">
        <v>46073.5833333333</v>
      </c>
      <c r="G1236" s="59" t="n">
        <f aca="false">F1236-E1236</f>
        <v>0.166666666597222</v>
      </c>
      <c r="H1236" s="57" t="s">
        <v>384</v>
      </c>
      <c r="I1236" s="57"/>
      <c r="J1236" s="57" t="s">
        <v>377</v>
      </c>
      <c r="K1236" s="57" t="s">
        <v>378</v>
      </c>
      <c r="L1236" s="57" t="s">
        <v>2062</v>
      </c>
      <c r="M1236" s="57" t="s">
        <v>386</v>
      </c>
      <c r="N1236" s="57" t="s">
        <v>387</v>
      </c>
      <c r="O1236" s="57" t="s">
        <v>2170</v>
      </c>
      <c r="P1236" s="57" t="s">
        <v>2175</v>
      </c>
      <c r="Q1236" s="57" t="s">
        <v>1736</v>
      </c>
    </row>
    <row r="1237" s="50" customFormat="true" ht="14.25" hidden="false" customHeight="true" outlineLevel="0" collapsed="false">
      <c r="A1237" s="50" t="s">
        <v>801</v>
      </c>
      <c r="B1237" s="57" t="s">
        <v>112</v>
      </c>
      <c r="C1237" s="57" t="s">
        <v>530</v>
      </c>
      <c r="D1237" s="58" t="n">
        <v>46073.4166666667</v>
      </c>
      <c r="E1237" s="58" t="n">
        <v>46073.4166666667</v>
      </c>
      <c r="F1237" s="58" t="n">
        <v>46073.5833333333</v>
      </c>
      <c r="G1237" s="59" t="n">
        <f aca="false">F1237-E1237</f>
        <v>0.166666666597222</v>
      </c>
      <c r="H1237" s="57" t="s">
        <v>384</v>
      </c>
      <c r="I1237" s="57"/>
      <c r="J1237" s="57" t="s">
        <v>377</v>
      </c>
      <c r="K1237" s="57" t="s">
        <v>378</v>
      </c>
      <c r="L1237" s="57" t="s">
        <v>2062</v>
      </c>
      <c r="M1237" s="57" t="s">
        <v>386</v>
      </c>
      <c r="N1237" s="57" t="s">
        <v>387</v>
      </c>
      <c r="O1237" s="57" t="s">
        <v>2170</v>
      </c>
      <c r="P1237" s="57" t="s">
        <v>2176</v>
      </c>
      <c r="Q1237" s="57" t="s">
        <v>1736</v>
      </c>
    </row>
    <row r="1238" s="50" customFormat="true" ht="14.25" hidden="false" customHeight="true" outlineLevel="0" collapsed="false">
      <c r="A1238" s="50" t="s">
        <v>801</v>
      </c>
      <c r="B1238" s="57" t="s">
        <v>112</v>
      </c>
      <c r="C1238" s="57" t="s">
        <v>531</v>
      </c>
      <c r="D1238" s="58" t="n">
        <v>46073.4166666667</v>
      </c>
      <c r="E1238" s="58" t="n">
        <v>46073.4166666667</v>
      </c>
      <c r="F1238" s="58" t="n">
        <v>46073.5833333333</v>
      </c>
      <c r="G1238" s="59" t="n">
        <f aca="false">F1238-E1238</f>
        <v>0.166666666597222</v>
      </c>
      <c r="H1238" s="57" t="s">
        <v>384</v>
      </c>
      <c r="I1238" s="57"/>
      <c r="J1238" s="57" t="s">
        <v>377</v>
      </c>
      <c r="K1238" s="57" t="s">
        <v>378</v>
      </c>
      <c r="L1238" s="57" t="s">
        <v>2062</v>
      </c>
      <c r="M1238" s="57" t="s">
        <v>386</v>
      </c>
      <c r="N1238" s="57" t="s">
        <v>387</v>
      </c>
      <c r="O1238" s="57" t="s">
        <v>2170</v>
      </c>
      <c r="P1238" s="57" t="s">
        <v>2177</v>
      </c>
      <c r="Q1238" s="57" t="s">
        <v>1736</v>
      </c>
    </row>
    <row r="1239" s="50" customFormat="true" ht="14.25" hidden="false" customHeight="true" outlineLevel="0" collapsed="false">
      <c r="A1239" s="50" t="s">
        <v>801</v>
      </c>
      <c r="B1239" s="57" t="s">
        <v>112</v>
      </c>
      <c r="C1239" s="57" t="s">
        <v>532</v>
      </c>
      <c r="D1239" s="58" t="n">
        <v>46073.4166666667</v>
      </c>
      <c r="E1239" s="58" t="n">
        <v>46073.4166666667</v>
      </c>
      <c r="F1239" s="58" t="n">
        <v>46073.5833333333</v>
      </c>
      <c r="G1239" s="59" t="n">
        <f aca="false">F1239-E1239</f>
        <v>0.166666666597222</v>
      </c>
      <c r="H1239" s="57" t="s">
        <v>384</v>
      </c>
      <c r="I1239" s="57"/>
      <c r="J1239" s="57" t="s">
        <v>377</v>
      </c>
      <c r="K1239" s="57" t="s">
        <v>378</v>
      </c>
      <c r="L1239" s="57" t="s">
        <v>2062</v>
      </c>
      <c r="M1239" s="57" t="s">
        <v>386</v>
      </c>
      <c r="N1239" s="57" t="s">
        <v>387</v>
      </c>
      <c r="O1239" s="57" t="s">
        <v>2170</v>
      </c>
      <c r="P1239" s="57" t="s">
        <v>2178</v>
      </c>
      <c r="Q1239" s="57" t="s">
        <v>1736</v>
      </c>
    </row>
    <row r="1240" s="50" customFormat="true" ht="14.25" hidden="false" customHeight="true" outlineLevel="0" collapsed="false">
      <c r="A1240" s="50" t="s">
        <v>801</v>
      </c>
      <c r="B1240" s="57" t="s">
        <v>112</v>
      </c>
      <c r="C1240" s="57" t="s">
        <v>533</v>
      </c>
      <c r="D1240" s="58" t="n">
        <v>46073.4166666667</v>
      </c>
      <c r="E1240" s="58" t="n">
        <v>46073.4166666667</v>
      </c>
      <c r="F1240" s="58" t="n">
        <v>46073.5833333333</v>
      </c>
      <c r="G1240" s="59" t="n">
        <f aca="false">F1240-E1240</f>
        <v>0.166666666597222</v>
      </c>
      <c r="H1240" s="57" t="s">
        <v>384</v>
      </c>
      <c r="I1240" s="57"/>
      <c r="J1240" s="57" t="s">
        <v>377</v>
      </c>
      <c r="K1240" s="57" t="s">
        <v>378</v>
      </c>
      <c r="L1240" s="57" t="s">
        <v>2062</v>
      </c>
      <c r="M1240" s="57" t="s">
        <v>386</v>
      </c>
      <c r="N1240" s="57" t="s">
        <v>387</v>
      </c>
      <c r="O1240" s="57" t="s">
        <v>2170</v>
      </c>
      <c r="P1240" s="57" t="s">
        <v>2179</v>
      </c>
      <c r="Q1240" s="57" t="s">
        <v>1736</v>
      </c>
    </row>
    <row r="1241" s="50" customFormat="true" ht="14.25" hidden="false" customHeight="true" outlineLevel="0" collapsed="false">
      <c r="A1241" s="50" t="s">
        <v>177</v>
      </c>
      <c r="B1241" s="63" t="s">
        <v>177</v>
      </c>
      <c r="C1241" s="63" t="s">
        <v>326</v>
      </c>
      <c r="D1241" s="58" t="n">
        <v>46074.2152777778</v>
      </c>
      <c r="E1241" s="64" t="n">
        <v>46074.2152777778</v>
      </c>
      <c r="F1241" s="58" t="n">
        <v>46074.5590277778</v>
      </c>
      <c r="G1241" s="59" t="n">
        <f aca="false">F1241-E1241</f>
        <v>0.34375</v>
      </c>
      <c r="H1241" s="63" t="s">
        <v>1632</v>
      </c>
      <c r="I1241" s="63"/>
      <c r="J1241" s="63" t="s">
        <v>234</v>
      </c>
      <c r="K1241" s="63" t="s">
        <v>234</v>
      </c>
      <c r="L1241" s="63" t="s">
        <v>2180</v>
      </c>
      <c r="M1241" s="63" t="s">
        <v>483</v>
      </c>
      <c r="N1241" s="63" t="s">
        <v>440</v>
      </c>
      <c r="O1241" s="65" t="s">
        <v>2181</v>
      </c>
      <c r="P1241" s="63" t="s">
        <v>2182</v>
      </c>
      <c r="Q1241" s="63" t="s">
        <v>1636</v>
      </c>
    </row>
    <row r="1242" s="50" customFormat="true" ht="14.25" hidden="false" customHeight="false" outlineLevel="0" collapsed="false">
      <c r="A1242" s="66" t="s">
        <v>177</v>
      </c>
      <c r="B1242" s="63"/>
      <c r="C1242" s="63"/>
      <c r="D1242" s="58" t="n">
        <v>46074.2152777778</v>
      </c>
      <c r="E1242" s="64"/>
      <c r="F1242" s="58" t="n">
        <v>46074.5590277778</v>
      </c>
      <c r="G1242" s="59" t="n">
        <f aca="false">F1242-E1242</f>
        <v>46074.5590277778</v>
      </c>
      <c r="H1242" s="63"/>
      <c r="I1242" s="63"/>
      <c r="J1242" s="63"/>
      <c r="K1242" s="63"/>
      <c r="L1242" s="63"/>
      <c r="M1242" s="63"/>
      <c r="N1242" s="63"/>
      <c r="O1242" s="65"/>
      <c r="P1242" s="63"/>
      <c r="Q1242" s="63"/>
    </row>
    <row r="1243" s="50" customFormat="true" ht="14.25" hidden="false" customHeight="true" outlineLevel="0" collapsed="false">
      <c r="A1243" s="50" t="s">
        <v>177</v>
      </c>
      <c r="B1243" s="63" t="s">
        <v>177</v>
      </c>
      <c r="C1243" s="63" t="s">
        <v>327</v>
      </c>
      <c r="D1243" s="58" t="n">
        <v>46074.2152777778</v>
      </c>
      <c r="E1243" s="64" t="n">
        <v>46074.2152777778</v>
      </c>
      <c r="F1243" s="58" t="n">
        <v>46081.9999884259</v>
      </c>
      <c r="G1243" s="59" t="n">
        <f aca="false">F1243-E1243</f>
        <v>7.78471064810185</v>
      </c>
      <c r="H1243" s="63" t="s">
        <v>1632</v>
      </c>
      <c r="I1243" s="63"/>
      <c r="J1243" s="63" t="s">
        <v>234</v>
      </c>
      <c r="K1243" s="63" t="s">
        <v>234</v>
      </c>
      <c r="L1243" s="63" t="s">
        <v>2180</v>
      </c>
      <c r="M1243" s="63" t="s">
        <v>483</v>
      </c>
      <c r="N1243" s="63" t="s">
        <v>440</v>
      </c>
      <c r="O1243" s="65" t="s">
        <v>2181</v>
      </c>
      <c r="P1243" s="63" t="s">
        <v>2183</v>
      </c>
      <c r="Q1243" s="63" t="s">
        <v>1636</v>
      </c>
    </row>
    <row r="1244" s="50" customFormat="true" ht="14.25" hidden="false" customHeight="false" outlineLevel="0" collapsed="false">
      <c r="A1244" s="66" t="s">
        <v>177</v>
      </c>
      <c r="B1244" s="63"/>
      <c r="C1244" s="63"/>
      <c r="D1244" s="58" t="n">
        <v>46074.2152777778</v>
      </c>
      <c r="E1244" s="64"/>
      <c r="F1244" s="58" t="n">
        <v>46081.9999884259</v>
      </c>
      <c r="G1244" s="59" t="n">
        <f aca="false">F1244-E1244</f>
        <v>46081.9999884259</v>
      </c>
      <c r="H1244" s="63"/>
      <c r="I1244" s="63"/>
      <c r="J1244" s="63"/>
      <c r="K1244" s="63"/>
      <c r="L1244" s="63"/>
      <c r="M1244" s="63"/>
      <c r="N1244" s="63"/>
      <c r="O1244" s="65"/>
      <c r="P1244" s="63"/>
      <c r="Q1244" s="63"/>
    </row>
    <row r="1245" s="50" customFormat="true" ht="14.25" hidden="false" customHeight="true" outlineLevel="0" collapsed="false">
      <c r="A1245" s="50" t="s">
        <v>177</v>
      </c>
      <c r="B1245" s="63" t="s">
        <v>177</v>
      </c>
      <c r="C1245" s="63" t="s">
        <v>324</v>
      </c>
      <c r="D1245" s="58" t="n">
        <v>46074.2152777778</v>
      </c>
      <c r="E1245" s="64" t="n">
        <v>46074.2152777778</v>
      </c>
      <c r="F1245" s="58" t="n">
        <v>46081.9999884259</v>
      </c>
      <c r="G1245" s="59" t="n">
        <f aca="false">F1245-E1245</f>
        <v>7.78471064810185</v>
      </c>
      <c r="H1245" s="63" t="s">
        <v>1632</v>
      </c>
      <c r="I1245" s="63"/>
      <c r="J1245" s="63" t="s">
        <v>234</v>
      </c>
      <c r="K1245" s="63" t="s">
        <v>234</v>
      </c>
      <c r="L1245" s="63" t="s">
        <v>2180</v>
      </c>
      <c r="M1245" s="63" t="s">
        <v>483</v>
      </c>
      <c r="N1245" s="63" t="s">
        <v>440</v>
      </c>
      <c r="O1245" s="65" t="s">
        <v>2181</v>
      </c>
      <c r="P1245" s="63" t="s">
        <v>2184</v>
      </c>
      <c r="Q1245" s="63" t="s">
        <v>1636</v>
      </c>
    </row>
    <row r="1246" s="50" customFormat="true" ht="14.25" hidden="false" customHeight="false" outlineLevel="0" collapsed="false">
      <c r="A1246" s="66" t="s">
        <v>177</v>
      </c>
      <c r="B1246" s="63"/>
      <c r="C1246" s="63"/>
      <c r="D1246" s="58" t="n">
        <v>46074.2152777778</v>
      </c>
      <c r="E1246" s="64"/>
      <c r="F1246" s="58" t="n">
        <v>46081.9999884259</v>
      </c>
      <c r="G1246" s="59" t="n">
        <f aca="false">F1246-E1246</f>
        <v>46081.9999884259</v>
      </c>
      <c r="H1246" s="63"/>
      <c r="I1246" s="63"/>
      <c r="J1246" s="63"/>
      <c r="K1246" s="63"/>
      <c r="L1246" s="63"/>
      <c r="M1246" s="63"/>
      <c r="N1246" s="63"/>
      <c r="O1246" s="65"/>
      <c r="P1246" s="63"/>
      <c r="Q1246" s="63"/>
    </row>
    <row r="1247" s="50" customFormat="true" ht="14.25" hidden="false" customHeight="true" outlineLevel="0" collapsed="false">
      <c r="A1247" s="50" t="s">
        <v>177</v>
      </c>
      <c r="B1247" s="63" t="s">
        <v>177</v>
      </c>
      <c r="C1247" s="63" t="s">
        <v>328</v>
      </c>
      <c r="D1247" s="58" t="n">
        <v>46074.2152777778</v>
      </c>
      <c r="E1247" s="64" t="n">
        <v>46074.2152777778</v>
      </c>
      <c r="F1247" s="58" t="n">
        <v>46081.9999884259</v>
      </c>
      <c r="G1247" s="59" t="n">
        <f aca="false">F1247-E1247</f>
        <v>7.78471064810185</v>
      </c>
      <c r="H1247" s="63" t="s">
        <v>1632</v>
      </c>
      <c r="I1247" s="63"/>
      <c r="J1247" s="63" t="s">
        <v>234</v>
      </c>
      <c r="K1247" s="63" t="s">
        <v>234</v>
      </c>
      <c r="L1247" s="63" t="s">
        <v>2180</v>
      </c>
      <c r="M1247" s="63" t="s">
        <v>483</v>
      </c>
      <c r="N1247" s="63" t="s">
        <v>440</v>
      </c>
      <c r="O1247" s="65" t="s">
        <v>2181</v>
      </c>
      <c r="P1247" s="63" t="s">
        <v>2185</v>
      </c>
      <c r="Q1247" s="63" t="s">
        <v>1636</v>
      </c>
    </row>
    <row r="1248" s="50" customFormat="true" ht="14.25" hidden="false" customHeight="false" outlineLevel="0" collapsed="false">
      <c r="A1248" s="66" t="s">
        <v>177</v>
      </c>
      <c r="B1248" s="63"/>
      <c r="C1248" s="63"/>
      <c r="D1248" s="58" t="n">
        <v>46074.2152777778</v>
      </c>
      <c r="E1248" s="64"/>
      <c r="F1248" s="58" t="n">
        <v>46081.9999884259</v>
      </c>
      <c r="G1248" s="59" t="n">
        <f aca="false">F1248-E1248</f>
        <v>46081.9999884259</v>
      </c>
      <c r="H1248" s="63"/>
      <c r="I1248" s="63"/>
      <c r="J1248" s="63"/>
      <c r="K1248" s="63"/>
      <c r="L1248" s="63"/>
      <c r="M1248" s="63"/>
      <c r="N1248" s="63"/>
      <c r="O1248" s="65"/>
      <c r="P1248" s="63"/>
      <c r="Q1248" s="63"/>
    </row>
    <row r="1249" s="50" customFormat="true" ht="28.5" hidden="false" customHeight="true" outlineLevel="0" collapsed="false">
      <c r="A1249" s="50" t="s">
        <v>476</v>
      </c>
      <c r="B1249" s="57" t="s">
        <v>476</v>
      </c>
      <c r="C1249" s="57" t="s">
        <v>328</v>
      </c>
      <c r="D1249" s="58" t="n">
        <v>46073.6041666667</v>
      </c>
      <c r="E1249" s="58" t="n">
        <v>46073.6041666667</v>
      </c>
      <c r="F1249" s="58" t="n">
        <v>46073.6145833333</v>
      </c>
      <c r="G1249" s="59" t="n">
        <f aca="false">F1249-E1249</f>
        <v>0.0104166665972222</v>
      </c>
      <c r="H1249" s="57" t="s">
        <v>384</v>
      </c>
      <c r="I1249" s="57"/>
      <c r="J1249" s="57" t="s">
        <v>333</v>
      </c>
      <c r="K1249" s="57" t="s">
        <v>334</v>
      </c>
      <c r="L1249" s="60" t="s">
        <v>2186</v>
      </c>
      <c r="M1249" s="57" t="s">
        <v>386</v>
      </c>
      <c r="N1249" s="57" t="s">
        <v>440</v>
      </c>
      <c r="O1249" s="60" t="s">
        <v>2187</v>
      </c>
      <c r="P1249" s="57" t="s">
        <v>2188</v>
      </c>
      <c r="Q1249" s="57" t="s">
        <v>766</v>
      </c>
    </row>
    <row r="1250" s="50" customFormat="true" ht="14.25" hidden="false" customHeight="true" outlineLevel="0" collapsed="false">
      <c r="A1250" s="50" t="s">
        <v>937</v>
      </c>
      <c r="B1250" s="57" t="s">
        <v>48</v>
      </c>
      <c r="C1250" s="57" t="s">
        <v>294</v>
      </c>
      <c r="D1250" s="58" t="n">
        <v>46074.3125</v>
      </c>
      <c r="E1250" s="58" t="n">
        <v>46074.3125</v>
      </c>
      <c r="F1250" s="58" t="n">
        <v>46074.4131944444</v>
      </c>
      <c r="G1250" s="59" t="n">
        <f aca="false">F1250-E1250</f>
        <v>0.100694444398148</v>
      </c>
      <c r="H1250" s="57" t="s">
        <v>252</v>
      </c>
      <c r="I1250" s="57"/>
      <c r="J1250" s="57" t="s">
        <v>253</v>
      </c>
      <c r="K1250" s="57" t="s">
        <v>266</v>
      </c>
      <c r="L1250" s="57" t="s">
        <v>2189</v>
      </c>
      <c r="M1250" s="57" t="s">
        <v>255</v>
      </c>
      <c r="N1250" s="57" t="s">
        <v>256</v>
      </c>
      <c r="O1250" s="57" t="s">
        <v>2190</v>
      </c>
      <c r="P1250" s="57" t="s">
        <v>2191</v>
      </c>
      <c r="Q1250" s="57" t="s">
        <v>706</v>
      </c>
    </row>
    <row r="1251" s="50" customFormat="true" ht="14.25" hidden="false" customHeight="true" outlineLevel="0" collapsed="false">
      <c r="A1251" s="50" t="s">
        <v>937</v>
      </c>
      <c r="B1251" s="57" t="s">
        <v>48</v>
      </c>
      <c r="C1251" s="57" t="s">
        <v>295</v>
      </c>
      <c r="D1251" s="58" t="n">
        <v>46074.3125</v>
      </c>
      <c r="E1251" s="58" t="n">
        <v>46074.3125</v>
      </c>
      <c r="F1251" s="58" t="n">
        <v>46074.4131944444</v>
      </c>
      <c r="G1251" s="59" t="n">
        <f aca="false">F1251-E1251</f>
        <v>0.100694444398148</v>
      </c>
      <c r="H1251" s="57" t="s">
        <v>252</v>
      </c>
      <c r="I1251" s="57"/>
      <c r="J1251" s="57" t="s">
        <v>253</v>
      </c>
      <c r="K1251" s="57" t="s">
        <v>266</v>
      </c>
      <c r="L1251" s="57" t="s">
        <v>2189</v>
      </c>
      <c r="M1251" s="57" t="s">
        <v>255</v>
      </c>
      <c r="N1251" s="57" t="s">
        <v>256</v>
      </c>
      <c r="O1251" s="57" t="s">
        <v>2190</v>
      </c>
      <c r="P1251" s="57" t="s">
        <v>2192</v>
      </c>
      <c r="Q1251" s="57" t="s">
        <v>706</v>
      </c>
    </row>
    <row r="1252" s="50" customFormat="true" ht="14.25" hidden="false" customHeight="true" outlineLevel="0" collapsed="false">
      <c r="A1252" s="50" t="s">
        <v>937</v>
      </c>
      <c r="B1252" s="57" t="s">
        <v>48</v>
      </c>
      <c r="C1252" s="57" t="s">
        <v>296</v>
      </c>
      <c r="D1252" s="58" t="n">
        <v>46074.3125</v>
      </c>
      <c r="E1252" s="58" t="n">
        <v>46074.3125</v>
      </c>
      <c r="F1252" s="58" t="n">
        <v>46074.4131944444</v>
      </c>
      <c r="G1252" s="59" t="n">
        <f aca="false">F1252-E1252</f>
        <v>0.100694444398148</v>
      </c>
      <c r="H1252" s="57" t="s">
        <v>252</v>
      </c>
      <c r="I1252" s="57"/>
      <c r="J1252" s="57" t="s">
        <v>253</v>
      </c>
      <c r="K1252" s="57" t="s">
        <v>266</v>
      </c>
      <c r="L1252" s="57" t="s">
        <v>2189</v>
      </c>
      <c r="M1252" s="57" t="s">
        <v>255</v>
      </c>
      <c r="N1252" s="57" t="s">
        <v>256</v>
      </c>
      <c r="O1252" s="57" t="s">
        <v>2190</v>
      </c>
      <c r="P1252" s="57" t="s">
        <v>2193</v>
      </c>
      <c r="Q1252" s="57" t="s">
        <v>706</v>
      </c>
    </row>
    <row r="1253" s="50" customFormat="true" ht="14.25" hidden="false" customHeight="true" outlineLevel="0" collapsed="false">
      <c r="A1253" s="50" t="s">
        <v>937</v>
      </c>
      <c r="B1253" s="57" t="s">
        <v>48</v>
      </c>
      <c r="C1253" s="57" t="s">
        <v>297</v>
      </c>
      <c r="D1253" s="58" t="n">
        <v>46074.3125</v>
      </c>
      <c r="E1253" s="58" t="n">
        <v>46074.3125</v>
      </c>
      <c r="F1253" s="58" t="n">
        <v>46074.4131944444</v>
      </c>
      <c r="G1253" s="59" t="n">
        <f aca="false">F1253-E1253</f>
        <v>0.100694444398148</v>
      </c>
      <c r="H1253" s="57" t="s">
        <v>252</v>
      </c>
      <c r="I1253" s="57"/>
      <c r="J1253" s="57" t="s">
        <v>253</v>
      </c>
      <c r="K1253" s="57" t="s">
        <v>266</v>
      </c>
      <c r="L1253" s="57" t="s">
        <v>2189</v>
      </c>
      <c r="M1253" s="57" t="s">
        <v>255</v>
      </c>
      <c r="N1253" s="57" t="s">
        <v>256</v>
      </c>
      <c r="O1253" s="57" t="s">
        <v>2190</v>
      </c>
      <c r="P1253" s="57" t="s">
        <v>2194</v>
      </c>
      <c r="Q1253" s="57" t="s">
        <v>706</v>
      </c>
    </row>
    <row r="1254" s="50" customFormat="true" ht="14.25" hidden="false" customHeight="true" outlineLevel="0" collapsed="false">
      <c r="A1254" s="50" t="s">
        <v>937</v>
      </c>
      <c r="B1254" s="57" t="s">
        <v>48</v>
      </c>
      <c r="C1254" s="57" t="s">
        <v>298</v>
      </c>
      <c r="D1254" s="58" t="n">
        <v>46074.3125</v>
      </c>
      <c r="E1254" s="58" t="n">
        <v>46074.3125</v>
      </c>
      <c r="F1254" s="58" t="n">
        <v>46074.4131944444</v>
      </c>
      <c r="G1254" s="59" t="n">
        <f aca="false">F1254-E1254</f>
        <v>0.100694444398148</v>
      </c>
      <c r="H1254" s="57" t="s">
        <v>252</v>
      </c>
      <c r="I1254" s="57"/>
      <c r="J1254" s="57" t="s">
        <v>253</v>
      </c>
      <c r="K1254" s="57" t="s">
        <v>266</v>
      </c>
      <c r="L1254" s="57" t="s">
        <v>2189</v>
      </c>
      <c r="M1254" s="57" t="s">
        <v>255</v>
      </c>
      <c r="N1254" s="57" t="s">
        <v>256</v>
      </c>
      <c r="O1254" s="57" t="s">
        <v>2190</v>
      </c>
      <c r="P1254" s="57" t="s">
        <v>2195</v>
      </c>
      <c r="Q1254" s="57" t="s">
        <v>706</v>
      </c>
    </row>
    <row r="1255" s="50" customFormat="true" ht="14.25" hidden="false" customHeight="true" outlineLevel="0" collapsed="false">
      <c r="A1255" s="50" t="s">
        <v>937</v>
      </c>
      <c r="B1255" s="57" t="s">
        <v>48</v>
      </c>
      <c r="C1255" s="57" t="s">
        <v>299</v>
      </c>
      <c r="D1255" s="58" t="n">
        <v>46074.3125</v>
      </c>
      <c r="E1255" s="58" t="n">
        <v>46074.3125</v>
      </c>
      <c r="F1255" s="58" t="n">
        <v>46074.4131944444</v>
      </c>
      <c r="G1255" s="59" t="n">
        <f aca="false">F1255-E1255</f>
        <v>0.100694444398148</v>
      </c>
      <c r="H1255" s="57" t="s">
        <v>252</v>
      </c>
      <c r="I1255" s="57"/>
      <c r="J1255" s="57" t="s">
        <v>253</v>
      </c>
      <c r="K1255" s="57" t="s">
        <v>266</v>
      </c>
      <c r="L1255" s="57" t="s">
        <v>2189</v>
      </c>
      <c r="M1255" s="57" t="s">
        <v>255</v>
      </c>
      <c r="N1255" s="57" t="s">
        <v>256</v>
      </c>
      <c r="O1255" s="57" t="s">
        <v>2190</v>
      </c>
      <c r="P1255" s="57" t="s">
        <v>2196</v>
      </c>
      <c r="Q1255" s="57" t="s">
        <v>706</v>
      </c>
    </row>
    <row r="1256" s="50" customFormat="true" ht="14.25" hidden="false" customHeight="true" outlineLevel="0" collapsed="false">
      <c r="A1256" s="50" t="s">
        <v>937</v>
      </c>
      <c r="B1256" s="57" t="s">
        <v>48</v>
      </c>
      <c r="C1256" s="57" t="s">
        <v>300</v>
      </c>
      <c r="D1256" s="58" t="n">
        <v>46074.3125</v>
      </c>
      <c r="E1256" s="58" t="n">
        <v>46074.3125</v>
      </c>
      <c r="F1256" s="58" t="n">
        <v>46074.4131944444</v>
      </c>
      <c r="G1256" s="59" t="n">
        <f aca="false">F1256-E1256</f>
        <v>0.100694444398148</v>
      </c>
      <c r="H1256" s="57" t="s">
        <v>252</v>
      </c>
      <c r="I1256" s="57"/>
      <c r="J1256" s="57" t="s">
        <v>253</v>
      </c>
      <c r="K1256" s="57" t="s">
        <v>266</v>
      </c>
      <c r="L1256" s="57" t="s">
        <v>2189</v>
      </c>
      <c r="M1256" s="57" t="s">
        <v>255</v>
      </c>
      <c r="N1256" s="57" t="s">
        <v>256</v>
      </c>
      <c r="O1256" s="57" t="s">
        <v>2190</v>
      </c>
      <c r="P1256" s="57" t="s">
        <v>2197</v>
      </c>
      <c r="Q1256" s="57" t="s">
        <v>706</v>
      </c>
    </row>
    <row r="1257" s="50" customFormat="true" ht="14.25" hidden="false" customHeight="true" outlineLevel="0" collapsed="false">
      <c r="A1257" s="50" t="s">
        <v>937</v>
      </c>
      <c r="B1257" s="57" t="s">
        <v>48</v>
      </c>
      <c r="C1257" s="57" t="s">
        <v>301</v>
      </c>
      <c r="D1257" s="58" t="n">
        <v>46074.3125</v>
      </c>
      <c r="E1257" s="58" t="n">
        <v>46074.3125</v>
      </c>
      <c r="F1257" s="58" t="n">
        <v>46074.4131944444</v>
      </c>
      <c r="G1257" s="59" t="n">
        <f aca="false">F1257-E1257</f>
        <v>0.100694444398148</v>
      </c>
      <c r="H1257" s="57" t="s">
        <v>252</v>
      </c>
      <c r="I1257" s="57"/>
      <c r="J1257" s="57" t="s">
        <v>253</v>
      </c>
      <c r="K1257" s="57" t="s">
        <v>266</v>
      </c>
      <c r="L1257" s="57" t="s">
        <v>2189</v>
      </c>
      <c r="M1257" s="57" t="s">
        <v>255</v>
      </c>
      <c r="N1257" s="57" t="s">
        <v>256</v>
      </c>
      <c r="O1257" s="57" t="s">
        <v>2190</v>
      </c>
      <c r="P1257" s="57" t="s">
        <v>2198</v>
      </c>
      <c r="Q1257" s="57" t="s">
        <v>706</v>
      </c>
    </row>
    <row r="1258" s="50" customFormat="true" ht="14.25" hidden="false" customHeight="true" outlineLevel="0" collapsed="false">
      <c r="A1258" s="50" t="s">
        <v>946</v>
      </c>
      <c r="B1258" s="57" t="s">
        <v>48</v>
      </c>
      <c r="C1258" s="57" t="s">
        <v>302</v>
      </c>
      <c r="D1258" s="58" t="n">
        <v>46074.3125</v>
      </c>
      <c r="E1258" s="58" t="n">
        <v>46074.3125</v>
      </c>
      <c r="F1258" s="58" t="n">
        <v>46074.4131944444</v>
      </c>
      <c r="G1258" s="59" t="n">
        <f aca="false">F1258-E1258</f>
        <v>0.100694444398148</v>
      </c>
      <c r="H1258" s="57" t="s">
        <v>252</v>
      </c>
      <c r="I1258" s="57"/>
      <c r="J1258" s="57" t="s">
        <v>253</v>
      </c>
      <c r="K1258" s="57" t="s">
        <v>266</v>
      </c>
      <c r="L1258" s="57" t="s">
        <v>2189</v>
      </c>
      <c r="M1258" s="57" t="s">
        <v>255</v>
      </c>
      <c r="N1258" s="57" t="s">
        <v>256</v>
      </c>
      <c r="O1258" s="57" t="s">
        <v>2190</v>
      </c>
      <c r="P1258" s="57" t="s">
        <v>2199</v>
      </c>
      <c r="Q1258" s="57" t="s">
        <v>706</v>
      </c>
    </row>
    <row r="1259" s="50" customFormat="true" ht="14.25" hidden="false" customHeight="true" outlineLevel="0" collapsed="false">
      <c r="A1259" s="50" t="s">
        <v>946</v>
      </c>
      <c r="B1259" s="57" t="s">
        <v>48</v>
      </c>
      <c r="C1259" s="57" t="s">
        <v>303</v>
      </c>
      <c r="D1259" s="58" t="n">
        <v>46074.3125</v>
      </c>
      <c r="E1259" s="58" t="n">
        <v>46074.3125</v>
      </c>
      <c r="F1259" s="58" t="n">
        <v>46074.4131944444</v>
      </c>
      <c r="G1259" s="59" t="n">
        <f aca="false">F1259-E1259</f>
        <v>0.100694444398148</v>
      </c>
      <c r="H1259" s="57" t="s">
        <v>252</v>
      </c>
      <c r="I1259" s="57"/>
      <c r="J1259" s="57" t="s">
        <v>253</v>
      </c>
      <c r="K1259" s="57" t="s">
        <v>266</v>
      </c>
      <c r="L1259" s="57" t="s">
        <v>2189</v>
      </c>
      <c r="M1259" s="57" t="s">
        <v>255</v>
      </c>
      <c r="N1259" s="57" t="s">
        <v>256</v>
      </c>
      <c r="O1259" s="57" t="s">
        <v>2190</v>
      </c>
      <c r="P1259" s="57" t="s">
        <v>2200</v>
      </c>
      <c r="Q1259" s="57" t="s">
        <v>706</v>
      </c>
    </row>
    <row r="1260" s="50" customFormat="true" ht="14.25" hidden="false" customHeight="true" outlineLevel="0" collapsed="false">
      <c r="A1260" s="50" t="s">
        <v>946</v>
      </c>
      <c r="B1260" s="57" t="s">
        <v>48</v>
      </c>
      <c r="C1260" s="57" t="s">
        <v>304</v>
      </c>
      <c r="D1260" s="58" t="n">
        <v>46074.3125</v>
      </c>
      <c r="E1260" s="58" t="n">
        <v>46074.3125</v>
      </c>
      <c r="F1260" s="58" t="n">
        <v>46074.4131944444</v>
      </c>
      <c r="G1260" s="59" t="n">
        <f aca="false">F1260-E1260</f>
        <v>0.100694444398148</v>
      </c>
      <c r="H1260" s="57" t="s">
        <v>252</v>
      </c>
      <c r="I1260" s="57"/>
      <c r="J1260" s="57" t="s">
        <v>253</v>
      </c>
      <c r="K1260" s="57" t="s">
        <v>266</v>
      </c>
      <c r="L1260" s="57" t="s">
        <v>2189</v>
      </c>
      <c r="M1260" s="57" t="s">
        <v>255</v>
      </c>
      <c r="N1260" s="57" t="s">
        <v>256</v>
      </c>
      <c r="O1260" s="57" t="s">
        <v>2190</v>
      </c>
      <c r="P1260" s="57" t="s">
        <v>2201</v>
      </c>
      <c r="Q1260" s="57" t="s">
        <v>706</v>
      </c>
    </row>
    <row r="1261" s="50" customFormat="true" ht="14.25" hidden="false" customHeight="true" outlineLevel="0" collapsed="false">
      <c r="A1261" s="50" t="s">
        <v>946</v>
      </c>
      <c r="B1261" s="57" t="s">
        <v>48</v>
      </c>
      <c r="C1261" s="57" t="s">
        <v>305</v>
      </c>
      <c r="D1261" s="58" t="n">
        <v>46074.3125</v>
      </c>
      <c r="E1261" s="58" t="n">
        <v>46074.3125</v>
      </c>
      <c r="F1261" s="58" t="n">
        <v>46074.4131944444</v>
      </c>
      <c r="G1261" s="59" t="n">
        <f aca="false">F1261-E1261</f>
        <v>0.100694444398148</v>
      </c>
      <c r="H1261" s="57" t="s">
        <v>252</v>
      </c>
      <c r="I1261" s="57"/>
      <c r="J1261" s="57" t="s">
        <v>253</v>
      </c>
      <c r="K1261" s="57" t="s">
        <v>266</v>
      </c>
      <c r="L1261" s="57" t="s">
        <v>2189</v>
      </c>
      <c r="M1261" s="57" t="s">
        <v>255</v>
      </c>
      <c r="N1261" s="57" t="s">
        <v>256</v>
      </c>
      <c r="O1261" s="57" t="s">
        <v>2190</v>
      </c>
      <c r="P1261" s="57" t="s">
        <v>2202</v>
      </c>
      <c r="Q1261" s="57" t="s">
        <v>706</v>
      </c>
    </row>
    <row r="1262" s="50" customFormat="true" ht="14.25" hidden="false" customHeight="true" outlineLevel="0" collapsed="false">
      <c r="A1262" s="50" t="s">
        <v>946</v>
      </c>
      <c r="B1262" s="57" t="s">
        <v>48</v>
      </c>
      <c r="C1262" s="57" t="s">
        <v>306</v>
      </c>
      <c r="D1262" s="58" t="n">
        <v>46074.3125</v>
      </c>
      <c r="E1262" s="58" t="n">
        <v>46074.3125</v>
      </c>
      <c r="F1262" s="58" t="n">
        <v>46074.4131944444</v>
      </c>
      <c r="G1262" s="59" t="n">
        <f aca="false">F1262-E1262</f>
        <v>0.100694444398148</v>
      </c>
      <c r="H1262" s="57" t="s">
        <v>252</v>
      </c>
      <c r="I1262" s="57"/>
      <c r="J1262" s="57" t="s">
        <v>253</v>
      </c>
      <c r="K1262" s="57" t="s">
        <v>266</v>
      </c>
      <c r="L1262" s="57" t="s">
        <v>2189</v>
      </c>
      <c r="M1262" s="57" t="s">
        <v>255</v>
      </c>
      <c r="N1262" s="57" t="s">
        <v>256</v>
      </c>
      <c r="O1262" s="57" t="s">
        <v>2190</v>
      </c>
      <c r="P1262" s="57" t="s">
        <v>2203</v>
      </c>
      <c r="Q1262" s="57" t="s">
        <v>706</v>
      </c>
    </row>
    <row r="1263" s="50" customFormat="true" ht="14.25" hidden="false" customHeight="true" outlineLevel="0" collapsed="false">
      <c r="A1263" s="50" t="s">
        <v>946</v>
      </c>
      <c r="B1263" s="57" t="s">
        <v>48</v>
      </c>
      <c r="C1263" s="57" t="s">
        <v>307</v>
      </c>
      <c r="D1263" s="58" t="n">
        <v>46074.3125</v>
      </c>
      <c r="E1263" s="58" t="n">
        <v>46074.3125</v>
      </c>
      <c r="F1263" s="58" t="n">
        <v>46074.4131944444</v>
      </c>
      <c r="G1263" s="59" t="n">
        <f aca="false">F1263-E1263</f>
        <v>0.100694444398148</v>
      </c>
      <c r="H1263" s="57" t="s">
        <v>252</v>
      </c>
      <c r="I1263" s="57"/>
      <c r="J1263" s="57" t="s">
        <v>253</v>
      </c>
      <c r="K1263" s="57" t="s">
        <v>266</v>
      </c>
      <c r="L1263" s="57" t="s">
        <v>2189</v>
      </c>
      <c r="M1263" s="57" t="s">
        <v>255</v>
      </c>
      <c r="N1263" s="57" t="s">
        <v>256</v>
      </c>
      <c r="O1263" s="57" t="s">
        <v>2190</v>
      </c>
      <c r="P1263" s="57" t="s">
        <v>2204</v>
      </c>
      <c r="Q1263" s="57" t="s">
        <v>706</v>
      </c>
    </row>
    <row r="1264" s="50" customFormat="true" ht="14.25" hidden="false" customHeight="true" outlineLevel="0" collapsed="false">
      <c r="A1264" s="50" t="s">
        <v>946</v>
      </c>
      <c r="B1264" s="57" t="s">
        <v>48</v>
      </c>
      <c r="C1264" s="57" t="s">
        <v>308</v>
      </c>
      <c r="D1264" s="58" t="n">
        <v>46074.3125</v>
      </c>
      <c r="E1264" s="58" t="n">
        <v>46074.3125</v>
      </c>
      <c r="F1264" s="58" t="n">
        <v>46074.4131944444</v>
      </c>
      <c r="G1264" s="59" t="n">
        <f aca="false">F1264-E1264</f>
        <v>0.100694444398148</v>
      </c>
      <c r="H1264" s="57" t="s">
        <v>252</v>
      </c>
      <c r="I1264" s="57"/>
      <c r="J1264" s="57" t="s">
        <v>253</v>
      </c>
      <c r="K1264" s="57" t="s">
        <v>266</v>
      </c>
      <c r="L1264" s="57" t="s">
        <v>2189</v>
      </c>
      <c r="M1264" s="57" t="s">
        <v>255</v>
      </c>
      <c r="N1264" s="57" t="s">
        <v>256</v>
      </c>
      <c r="O1264" s="57" t="s">
        <v>2190</v>
      </c>
      <c r="P1264" s="57" t="s">
        <v>2205</v>
      </c>
      <c r="Q1264" s="57" t="s">
        <v>706</v>
      </c>
    </row>
    <row r="1265" s="50" customFormat="true" ht="14.25" hidden="false" customHeight="true" outlineLevel="0" collapsed="false">
      <c r="A1265" s="50" t="s">
        <v>954</v>
      </c>
      <c r="B1265" s="57" t="s">
        <v>48</v>
      </c>
      <c r="C1265" s="57" t="s">
        <v>309</v>
      </c>
      <c r="D1265" s="58" t="n">
        <v>46074.3125</v>
      </c>
      <c r="E1265" s="58" t="n">
        <v>46074.3125</v>
      </c>
      <c r="F1265" s="58" t="n">
        <v>46074.4131944444</v>
      </c>
      <c r="G1265" s="59" t="n">
        <f aca="false">F1265-E1265</f>
        <v>0.100694444398148</v>
      </c>
      <c r="H1265" s="57" t="s">
        <v>252</v>
      </c>
      <c r="I1265" s="57"/>
      <c r="J1265" s="57" t="s">
        <v>253</v>
      </c>
      <c r="K1265" s="57" t="s">
        <v>266</v>
      </c>
      <c r="L1265" s="57" t="s">
        <v>2189</v>
      </c>
      <c r="M1265" s="57" t="s">
        <v>255</v>
      </c>
      <c r="N1265" s="57" t="s">
        <v>256</v>
      </c>
      <c r="O1265" s="57" t="s">
        <v>2190</v>
      </c>
      <c r="P1265" s="57" t="s">
        <v>2206</v>
      </c>
      <c r="Q1265" s="57" t="s">
        <v>706</v>
      </c>
    </row>
    <row r="1266" s="50" customFormat="true" ht="14.25" hidden="false" customHeight="true" outlineLevel="0" collapsed="false">
      <c r="A1266" s="50" t="s">
        <v>954</v>
      </c>
      <c r="B1266" s="57" t="s">
        <v>48</v>
      </c>
      <c r="C1266" s="57" t="s">
        <v>310</v>
      </c>
      <c r="D1266" s="58" t="n">
        <v>46074.3125</v>
      </c>
      <c r="E1266" s="58" t="n">
        <v>46074.3125</v>
      </c>
      <c r="F1266" s="58" t="n">
        <v>46074.4131944444</v>
      </c>
      <c r="G1266" s="59" t="n">
        <f aca="false">F1266-E1266</f>
        <v>0.100694444398148</v>
      </c>
      <c r="H1266" s="57" t="s">
        <v>252</v>
      </c>
      <c r="I1266" s="57"/>
      <c r="J1266" s="57" t="s">
        <v>253</v>
      </c>
      <c r="K1266" s="57" t="s">
        <v>266</v>
      </c>
      <c r="L1266" s="57" t="s">
        <v>2189</v>
      </c>
      <c r="M1266" s="57" t="s">
        <v>255</v>
      </c>
      <c r="N1266" s="57" t="s">
        <v>256</v>
      </c>
      <c r="O1266" s="57" t="s">
        <v>2190</v>
      </c>
      <c r="P1266" s="57" t="s">
        <v>2207</v>
      </c>
      <c r="Q1266" s="57" t="s">
        <v>706</v>
      </c>
    </row>
    <row r="1267" s="50" customFormat="true" ht="14.25" hidden="false" customHeight="true" outlineLevel="0" collapsed="false">
      <c r="A1267" s="50" t="s">
        <v>954</v>
      </c>
      <c r="B1267" s="57" t="s">
        <v>48</v>
      </c>
      <c r="C1267" s="57" t="s">
        <v>311</v>
      </c>
      <c r="D1267" s="58" t="n">
        <v>46074.3125</v>
      </c>
      <c r="E1267" s="58" t="n">
        <v>46074.3125</v>
      </c>
      <c r="F1267" s="58" t="n">
        <v>46074.4131944444</v>
      </c>
      <c r="G1267" s="59" t="n">
        <f aca="false">F1267-E1267</f>
        <v>0.100694444398148</v>
      </c>
      <c r="H1267" s="57" t="s">
        <v>252</v>
      </c>
      <c r="I1267" s="57"/>
      <c r="J1267" s="57" t="s">
        <v>253</v>
      </c>
      <c r="K1267" s="57" t="s">
        <v>266</v>
      </c>
      <c r="L1267" s="57" t="s">
        <v>2189</v>
      </c>
      <c r="M1267" s="57" t="s">
        <v>255</v>
      </c>
      <c r="N1267" s="57" t="s">
        <v>256</v>
      </c>
      <c r="O1267" s="57" t="s">
        <v>2190</v>
      </c>
      <c r="P1267" s="57" t="s">
        <v>2208</v>
      </c>
      <c r="Q1267" s="57" t="s">
        <v>706</v>
      </c>
    </row>
    <row r="1268" s="50" customFormat="true" ht="14.25" hidden="false" customHeight="true" outlineLevel="0" collapsed="false">
      <c r="A1268" s="50" t="s">
        <v>954</v>
      </c>
      <c r="B1268" s="57" t="s">
        <v>48</v>
      </c>
      <c r="C1268" s="57" t="s">
        <v>312</v>
      </c>
      <c r="D1268" s="58" t="n">
        <v>46074.3125</v>
      </c>
      <c r="E1268" s="58" t="n">
        <v>46074.3125</v>
      </c>
      <c r="F1268" s="58" t="n">
        <v>46074.4131944444</v>
      </c>
      <c r="G1268" s="59" t="n">
        <f aca="false">F1268-E1268</f>
        <v>0.100694444398148</v>
      </c>
      <c r="H1268" s="57" t="s">
        <v>252</v>
      </c>
      <c r="I1268" s="57"/>
      <c r="J1268" s="57" t="s">
        <v>253</v>
      </c>
      <c r="K1268" s="57" t="s">
        <v>266</v>
      </c>
      <c r="L1268" s="57" t="s">
        <v>2189</v>
      </c>
      <c r="M1268" s="57" t="s">
        <v>255</v>
      </c>
      <c r="N1268" s="57" t="s">
        <v>256</v>
      </c>
      <c r="O1268" s="57" t="s">
        <v>2190</v>
      </c>
      <c r="P1268" s="57" t="s">
        <v>2209</v>
      </c>
      <c r="Q1268" s="57" t="s">
        <v>706</v>
      </c>
    </row>
    <row r="1269" s="50" customFormat="true" ht="14.25" hidden="false" customHeight="true" outlineLevel="0" collapsed="false">
      <c r="A1269" s="50" t="s">
        <v>954</v>
      </c>
      <c r="B1269" s="57" t="s">
        <v>48</v>
      </c>
      <c r="C1269" s="57" t="s">
        <v>313</v>
      </c>
      <c r="D1269" s="58" t="n">
        <v>46074.3125</v>
      </c>
      <c r="E1269" s="58" t="n">
        <v>46074.3125</v>
      </c>
      <c r="F1269" s="58" t="n">
        <v>46074.4131944444</v>
      </c>
      <c r="G1269" s="59" t="n">
        <f aca="false">F1269-E1269</f>
        <v>0.100694444398148</v>
      </c>
      <c r="H1269" s="57" t="s">
        <v>252</v>
      </c>
      <c r="I1269" s="57"/>
      <c r="J1269" s="57" t="s">
        <v>253</v>
      </c>
      <c r="K1269" s="57" t="s">
        <v>266</v>
      </c>
      <c r="L1269" s="57" t="s">
        <v>2189</v>
      </c>
      <c r="M1269" s="57" t="s">
        <v>255</v>
      </c>
      <c r="N1269" s="57" t="s">
        <v>256</v>
      </c>
      <c r="O1269" s="57" t="s">
        <v>2190</v>
      </c>
      <c r="P1269" s="57" t="s">
        <v>2210</v>
      </c>
      <c r="Q1269" s="57" t="s">
        <v>706</v>
      </c>
    </row>
    <row r="1270" s="50" customFormat="true" ht="14.25" hidden="false" customHeight="true" outlineLevel="0" collapsed="false">
      <c r="A1270" s="50" t="s">
        <v>960</v>
      </c>
      <c r="B1270" s="57" t="s">
        <v>48</v>
      </c>
      <c r="C1270" s="57" t="s">
        <v>314</v>
      </c>
      <c r="D1270" s="58" t="n">
        <v>46074.3125</v>
      </c>
      <c r="E1270" s="58" t="n">
        <v>46074.3125</v>
      </c>
      <c r="F1270" s="58" t="n">
        <v>46074.4131944444</v>
      </c>
      <c r="G1270" s="59" t="n">
        <f aca="false">F1270-E1270</f>
        <v>0.100694444398148</v>
      </c>
      <c r="H1270" s="57" t="s">
        <v>252</v>
      </c>
      <c r="I1270" s="57"/>
      <c r="J1270" s="57" t="s">
        <v>253</v>
      </c>
      <c r="K1270" s="57" t="s">
        <v>266</v>
      </c>
      <c r="L1270" s="57" t="s">
        <v>2189</v>
      </c>
      <c r="M1270" s="57" t="s">
        <v>255</v>
      </c>
      <c r="N1270" s="57" t="s">
        <v>256</v>
      </c>
      <c r="O1270" s="57" t="s">
        <v>2190</v>
      </c>
      <c r="P1270" s="57" t="s">
        <v>2211</v>
      </c>
      <c r="Q1270" s="57" t="s">
        <v>706</v>
      </c>
    </row>
    <row r="1271" s="50" customFormat="true" ht="14.25" hidden="false" customHeight="true" outlineLevel="0" collapsed="false">
      <c r="A1271" s="50" t="s">
        <v>960</v>
      </c>
      <c r="B1271" s="57" t="s">
        <v>48</v>
      </c>
      <c r="C1271" s="57" t="s">
        <v>315</v>
      </c>
      <c r="D1271" s="58" t="n">
        <v>46074.3125</v>
      </c>
      <c r="E1271" s="58" t="n">
        <v>46074.3125</v>
      </c>
      <c r="F1271" s="58" t="n">
        <v>46074.4131944444</v>
      </c>
      <c r="G1271" s="59" t="n">
        <f aca="false">F1271-E1271</f>
        <v>0.100694444398148</v>
      </c>
      <c r="H1271" s="57" t="s">
        <v>252</v>
      </c>
      <c r="I1271" s="57"/>
      <c r="J1271" s="57" t="s">
        <v>253</v>
      </c>
      <c r="K1271" s="57" t="s">
        <v>266</v>
      </c>
      <c r="L1271" s="57" t="s">
        <v>2189</v>
      </c>
      <c r="M1271" s="57" t="s">
        <v>255</v>
      </c>
      <c r="N1271" s="57" t="s">
        <v>256</v>
      </c>
      <c r="O1271" s="57" t="s">
        <v>2190</v>
      </c>
      <c r="P1271" s="57" t="s">
        <v>2212</v>
      </c>
      <c r="Q1271" s="57" t="s">
        <v>706</v>
      </c>
    </row>
    <row r="1272" s="50" customFormat="true" ht="14.25" hidden="false" customHeight="true" outlineLevel="0" collapsed="false">
      <c r="A1272" s="50" t="s">
        <v>960</v>
      </c>
      <c r="B1272" s="57" t="s">
        <v>48</v>
      </c>
      <c r="C1272" s="57" t="s">
        <v>316</v>
      </c>
      <c r="D1272" s="58" t="n">
        <v>46074.3125</v>
      </c>
      <c r="E1272" s="58" t="n">
        <v>46074.3125</v>
      </c>
      <c r="F1272" s="58" t="n">
        <v>46074.4131944444</v>
      </c>
      <c r="G1272" s="59" t="n">
        <f aca="false">F1272-E1272</f>
        <v>0.100694444398148</v>
      </c>
      <c r="H1272" s="57" t="s">
        <v>252</v>
      </c>
      <c r="I1272" s="57"/>
      <c r="J1272" s="57" t="s">
        <v>253</v>
      </c>
      <c r="K1272" s="57" t="s">
        <v>266</v>
      </c>
      <c r="L1272" s="57" t="s">
        <v>2189</v>
      </c>
      <c r="M1272" s="57" t="s">
        <v>255</v>
      </c>
      <c r="N1272" s="57" t="s">
        <v>256</v>
      </c>
      <c r="O1272" s="57" t="s">
        <v>2190</v>
      </c>
      <c r="P1272" s="57" t="s">
        <v>2213</v>
      </c>
      <c r="Q1272" s="57" t="s">
        <v>706</v>
      </c>
    </row>
    <row r="1273" s="50" customFormat="true" ht="14.25" hidden="false" customHeight="true" outlineLevel="0" collapsed="false">
      <c r="A1273" s="50" t="s">
        <v>960</v>
      </c>
      <c r="B1273" s="57" t="s">
        <v>48</v>
      </c>
      <c r="C1273" s="57" t="s">
        <v>317</v>
      </c>
      <c r="D1273" s="58" t="n">
        <v>46074.3125</v>
      </c>
      <c r="E1273" s="58" t="n">
        <v>46074.3125</v>
      </c>
      <c r="F1273" s="58" t="n">
        <v>46074.4131944444</v>
      </c>
      <c r="G1273" s="59" t="n">
        <f aca="false">F1273-E1273</f>
        <v>0.100694444398148</v>
      </c>
      <c r="H1273" s="57" t="s">
        <v>252</v>
      </c>
      <c r="I1273" s="57"/>
      <c r="J1273" s="57" t="s">
        <v>253</v>
      </c>
      <c r="K1273" s="57" t="s">
        <v>266</v>
      </c>
      <c r="L1273" s="57" t="s">
        <v>2189</v>
      </c>
      <c r="M1273" s="57" t="s">
        <v>255</v>
      </c>
      <c r="N1273" s="57" t="s">
        <v>256</v>
      </c>
      <c r="O1273" s="57" t="s">
        <v>2190</v>
      </c>
      <c r="P1273" s="57" t="s">
        <v>2214</v>
      </c>
      <c r="Q1273" s="57" t="s">
        <v>706</v>
      </c>
    </row>
    <row r="1274" s="50" customFormat="true" ht="14.25" hidden="false" customHeight="true" outlineLevel="0" collapsed="false">
      <c r="A1274" s="50" t="s">
        <v>965</v>
      </c>
      <c r="B1274" s="57" t="s">
        <v>48</v>
      </c>
      <c r="C1274" s="57" t="s">
        <v>318</v>
      </c>
      <c r="D1274" s="58" t="n">
        <v>46074.3125</v>
      </c>
      <c r="E1274" s="58" t="n">
        <v>46074.3125</v>
      </c>
      <c r="F1274" s="58" t="n">
        <v>46074.4131944444</v>
      </c>
      <c r="G1274" s="59" t="n">
        <f aca="false">F1274-E1274</f>
        <v>0.100694444398148</v>
      </c>
      <c r="H1274" s="57" t="s">
        <v>252</v>
      </c>
      <c r="I1274" s="57"/>
      <c r="J1274" s="57" t="s">
        <v>253</v>
      </c>
      <c r="K1274" s="57" t="s">
        <v>266</v>
      </c>
      <c r="L1274" s="57" t="s">
        <v>2189</v>
      </c>
      <c r="M1274" s="57" t="s">
        <v>255</v>
      </c>
      <c r="N1274" s="57" t="s">
        <v>256</v>
      </c>
      <c r="O1274" s="57" t="s">
        <v>2190</v>
      </c>
      <c r="P1274" s="57" t="s">
        <v>2215</v>
      </c>
      <c r="Q1274" s="57" t="s">
        <v>706</v>
      </c>
    </row>
    <row r="1275" s="50" customFormat="true" ht="14.25" hidden="false" customHeight="true" outlineLevel="0" collapsed="false">
      <c r="A1275" s="50" t="s">
        <v>965</v>
      </c>
      <c r="B1275" s="57" t="s">
        <v>48</v>
      </c>
      <c r="C1275" s="57" t="s">
        <v>319</v>
      </c>
      <c r="D1275" s="58" t="n">
        <v>46074.3125</v>
      </c>
      <c r="E1275" s="58" t="n">
        <v>46074.3125</v>
      </c>
      <c r="F1275" s="58" t="n">
        <v>46074.4131944444</v>
      </c>
      <c r="G1275" s="59" t="n">
        <f aca="false">F1275-E1275</f>
        <v>0.100694444398148</v>
      </c>
      <c r="H1275" s="57" t="s">
        <v>252</v>
      </c>
      <c r="I1275" s="57"/>
      <c r="J1275" s="57" t="s">
        <v>253</v>
      </c>
      <c r="K1275" s="57" t="s">
        <v>266</v>
      </c>
      <c r="L1275" s="57" t="s">
        <v>2189</v>
      </c>
      <c r="M1275" s="57" t="s">
        <v>255</v>
      </c>
      <c r="N1275" s="57" t="s">
        <v>256</v>
      </c>
      <c r="O1275" s="57" t="s">
        <v>2190</v>
      </c>
      <c r="P1275" s="57" t="s">
        <v>2216</v>
      </c>
      <c r="Q1275" s="57" t="s">
        <v>706</v>
      </c>
    </row>
    <row r="1276" s="50" customFormat="true" ht="14.25" hidden="false" customHeight="true" outlineLevel="0" collapsed="false">
      <c r="A1276" s="50" t="s">
        <v>965</v>
      </c>
      <c r="B1276" s="57" t="s">
        <v>48</v>
      </c>
      <c r="C1276" s="57" t="s">
        <v>320</v>
      </c>
      <c r="D1276" s="58" t="n">
        <v>46074.3125</v>
      </c>
      <c r="E1276" s="58" t="n">
        <v>46074.3125</v>
      </c>
      <c r="F1276" s="58" t="n">
        <v>46074.4131944444</v>
      </c>
      <c r="G1276" s="59" t="n">
        <f aca="false">F1276-E1276</f>
        <v>0.100694444398148</v>
      </c>
      <c r="H1276" s="57" t="s">
        <v>252</v>
      </c>
      <c r="I1276" s="57"/>
      <c r="J1276" s="57" t="s">
        <v>253</v>
      </c>
      <c r="K1276" s="57" t="s">
        <v>266</v>
      </c>
      <c r="L1276" s="57" t="s">
        <v>2189</v>
      </c>
      <c r="M1276" s="57" t="s">
        <v>255</v>
      </c>
      <c r="N1276" s="57" t="s">
        <v>256</v>
      </c>
      <c r="O1276" s="57" t="s">
        <v>2190</v>
      </c>
      <c r="P1276" s="57" t="s">
        <v>2217</v>
      </c>
      <c r="Q1276" s="57" t="s">
        <v>706</v>
      </c>
    </row>
    <row r="1277" s="50" customFormat="true" ht="14.25" hidden="false" customHeight="true" outlineLevel="0" collapsed="false">
      <c r="A1277" s="50" t="s">
        <v>965</v>
      </c>
      <c r="B1277" s="57" t="s">
        <v>48</v>
      </c>
      <c r="C1277" s="57" t="s">
        <v>321</v>
      </c>
      <c r="D1277" s="58" t="n">
        <v>46074.3125</v>
      </c>
      <c r="E1277" s="58" t="n">
        <v>46074.3125</v>
      </c>
      <c r="F1277" s="58" t="n">
        <v>46074.4131944444</v>
      </c>
      <c r="G1277" s="59" t="n">
        <f aca="false">F1277-E1277</f>
        <v>0.100694444398148</v>
      </c>
      <c r="H1277" s="57" t="s">
        <v>252</v>
      </c>
      <c r="I1277" s="57"/>
      <c r="J1277" s="57" t="s">
        <v>253</v>
      </c>
      <c r="K1277" s="57" t="s">
        <v>266</v>
      </c>
      <c r="L1277" s="57" t="s">
        <v>2189</v>
      </c>
      <c r="M1277" s="57" t="s">
        <v>255</v>
      </c>
      <c r="N1277" s="57" t="s">
        <v>256</v>
      </c>
      <c r="O1277" s="57" t="s">
        <v>2190</v>
      </c>
      <c r="P1277" s="57" t="s">
        <v>2218</v>
      </c>
      <c r="Q1277" s="57" t="s">
        <v>706</v>
      </c>
    </row>
    <row r="1278" s="50" customFormat="true" ht="14.25" hidden="false" customHeight="true" outlineLevel="0" collapsed="false">
      <c r="A1278" s="50" t="s">
        <v>965</v>
      </c>
      <c r="B1278" s="57" t="s">
        <v>48</v>
      </c>
      <c r="C1278" s="57" t="s">
        <v>322</v>
      </c>
      <c r="D1278" s="58" t="n">
        <v>46074.3125</v>
      </c>
      <c r="E1278" s="58" t="n">
        <v>46074.3125</v>
      </c>
      <c r="F1278" s="58" t="n">
        <v>46074.4131944444</v>
      </c>
      <c r="G1278" s="59" t="n">
        <f aca="false">F1278-E1278</f>
        <v>0.100694444398148</v>
      </c>
      <c r="H1278" s="57" t="s">
        <v>252</v>
      </c>
      <c r="I1278" s="57"/>
      <c r="J1278" s="57" t="s">
        <v>253</v>
      </c>
      <c r="K1278" s="57" t="s">
        <v>266</v>
      </c>
      <c r="L1278" s="57" t="s">
        <v>2189</v>
      </c>
      <c r="M1278" s="57" t="s">
        <v>255</v>
      </c>
      <c r="N1278" s="57" t="s">
        <v>256</v>
      </c>
      <c r="O1278" s="57" t="s">
        <v>2190</v>
      </c>
      <c r="P1278" s="57" t="s">
        <v>2219</v>
      </c>
      <c r="Q1278" s="57" t="s">
        <v>706</v>
      </c>
    </row>
    <row r="1279" s="50" customFormat="true" ht="14.25" hidden="false" customHeight="true" outlineLevel="0" collapsed="false">
      <c r="A1279" s="50" t="s">
        <v>250</v>
      </c>
      <c r="B1279" s="57" t="s">
        <v>250</v>
      </c>
      <c r="C1279" s="57" t="s">
        <v>251</v>
      </c>
      <c r="D1279" s="58" t="n">
        <v>46074.3125</v>
      </c>
      <c r="E1279" s="58" t="n">
        <v>46074.3125</v>
      </c>
      <c r="F1279" s="58" t="n">
        <v>46074.4131944444</v>
      </c>
      <c r="G1279" s="59" t="n">
        <f aca="false">F1279-E1279</f>
        <v>0.100694444398148</v>
      </c>
      <c r="H1279" s="57" t="s">
        <v>252</v>
      </c>
      <c r="I1279" s="57"/>
      <c r="J1279" s="57" t="s">
        <v>253</v>
      </c>
      <c r="K1279" s="57" t="s">
        <v>266</v>
      </c>
      <c r="L1279" s="57" t="s">
        <v>2189</v>
      </c>
      <c r="M1279" s="57" t="s">
        <v>255</v>
      </c>
      <c r="N1279" s="57" t="s">
        <v>256</v>
      </c>
      <c r="O1279" s="57" t="s">
        <v>2190</v>
      </c>
      <c r="P1279" s="57" t="s">
        <v>2220</v>
      </c>
      <c r="Q1279" s="57" t="s">
        <v>706</v>
      </c>
    </row>
    <row r="1280" s="50" customFormat="true" ht="14.25" hidden="false" customHeight="true" outlineLevel="0" collapsed="false">
      <c r="A1280" s="50" t="s">
        <v>250</v>
      </c>
      <c r="B1280" s="57" t="s">
        <v>250</v>
      </c>
      <c r="C1280" s="57" t="s">
        <v>258</v>
      </c>
      <c r="D1280" s="58" t="n">
        <v>46074.3125</v>
      </c>
      <c r="E1280" s="58" t="n">
        <v>46074.3125</v>
      </c>
      <c r="F1280" s="58" t="n">
        <v>46074.4131944444</v>
      </c>
      <c r="G1280" s="59" t="n">
        <f aca="false">F1280-E1280</f>
        <v>0.100694444398148</v>
      </c>
      <c r="H1280" s="57" t="s">
        <v>252</v>
      </c>
      <c r="I1280" s="57"/>
      <c r="J1280" s="57" t="s">
        <v>253</v>
      </c>
      <c r="K1280" s="57" t="s">
        <v>266</v>
      </c>
      <c r="L1280" s="57" t="s">
        <v>2189</v>
      </c>
      <c r="M1280" s="57" t="s">
        <v>255</v>
      </c>
      <c r="N1280" s="57" t="s">
        <v>256</v>
      </c>
      <c r="O1280" s="57" t="s">
        <v>2190</v>
      </c>
      <c r="P1280" s="57" t="s">
        <v>2221</v>
      </c>
      <c r="Q1280" s="57" t="s">
        <v>706</v>
      </c>
    </row>
    <row r="1281" s="50" customFormat="true" ht="14.25" hidden="false" customHeight="true" outlineLevel="0" collapsed="false">
      <c r="A1281" s="50" t="s">
        <v>250</v>
      </c>
      <c r="B1281" s="57" t="s">
        <v>250</v>
      </c>
      <c r="C1281" s="57" t="s">
        <v>259</v>
      </c>
      <c r="D1281" s="58" t="n">
        <v>46074.3125</v>
      </c>
      <c r="E1281" s="58" t="n">
        <v>46074.3125</v>
      </c>
      <c r="F1281" s="58" t="n">
        <v>46074.4131944444</v>
      </c>
      <c r="G1281" s="59" t="n">
        <f aca="false">F1281-E1281</f>
        <v>0.100694444398148</v>
      </c>
      <c r="H1281" s="57" t="s">
        <v>252</v>
      </c>
      <c r="I1281" s="57"/>
      <c r="J1281" s="57" t="s">
        <v>253</v>
      </c>
      <c r="K1281" s="57" t="s">
        <v>266</v>
      </c>
      <c r="L1281" s="57" t="s">
        <v>2189</v>
      </c>
      <c r="M1281" s="57" t="s">
        <v>255</v>
      </c>
      <c r="N1281" s="57" t="s">
        <v>256</v>
      </c>
      <c r="O1281" s="57" t="s">
        <v>2190</v>
      </c>
      <c r="P1281" s="57" t="s">
        <v>2222</v>
      </c>
      <c r="Q1281" s="57" t="s">
        <v>706</v>
      </c>
    </row>
    <row r="1282" s="50" customFormat="true" ht="14.25" hidden="false" customHeight="true" outlineLevel="0" collapsed="false">
      <c r="A1282" s="50" t="s">
        <v>250</v>
      </c>
      <c r="B1282" s="57" t="s">
        <v>250</v>
      </c>
      <c r="C1282" s="57" t="s">
        <v>260</v>
      </c>
      <c r="D1282" s="58" t="n">
        <v>46074.3125</v>
      </c>
      <c r="E1282" s="58" t="n">
        <v>46074.3125</v>
      </c>
      <c r="F1282" s="58" t="n">
        <v>46074.4131944444</v>
      </c>
      <c r="G1282" s="59" t="n">
        <f aca="false">F1282-E1282</f>
        <v>0.100694444398148</v>
      </c>
      <c r="H1282" s="57" t="s">
        <v>252</v>
      </c>
      <c r="I1282" s="57"/>
      <c r="J1282" s="57" t="s">
        <v>253</v>
      </c>
      <c r="K1282" s="57" t="s">
        <v>266</v>
      </c>
      <c r="L1282" s="57" t="s">
        <v>2189</v>
      </c>
      <c r="M1282" s="57" t="s">
        <v>255</v>
      </c>
      <c r="N1282" s="57" t="s">
        <v>256</v>
      </c>
      <c r="O1282" s="57" t="s">
        <v>2190</v>
      </c>
      <c r="P1282" s="57" t="s">
        <v>2223</v>
      </c>
      <c r="Q1282" s="57" t="s">
        <v>706</v>
      </c>
    </row>
    <row r="1283" s="50" customFormat="true" ht="14.25" hidden="false" customHeight="true" outlineLevel="0" collapsed="false">
      <c r="A1283" s="50" t="s">
        <v>250</v>
      </c>
      <c r="B1283" s="57" t="s">
        <v>250</v>
      </c>
      <c r="C1283" s="57" t="s">
        <v>261</v>
      </c>
      <c r="D1283" s="58" t="n">
        <v>46074.3125</v>
      </c>
      <c r="E1283" s="58" t="n">
        <v>46074.3125</v>
      </c>
      <c r="F1283" s="58" t="n">
        <v>46074.4131944444</v>
      </c>
      <c r="G1283" s="59" t="n">
        <f aca="false">F1283-E1283</f>
        <v>0.100694444398148</v>
      </c>
      <c r="H1283" s="57" t="s">
        <v>252</v>
      </c>
      <c r="I1283" s="57"/>
      <c r="J1283" s="57" t="s">
        <v>253</v>
      </c>
      <c r="K1283" s="57" t="s">
        <v>266</v>
      </c>
      <c r="L1283" s="57" t="s">
        <v>2189</v>
      </c>
      <c r="M1283" s="57" t="s">
        <v>255</v>
      </c>
      <c r="N1283" s="57" t="s">
        <v>256</v>
      </c>
      <c r="O1283" s="57" t="s">
        <v>2190</v>
      </c>
      <c r="P1283" s="57" t="s">
        <v>2224</v>
      </c>
      <c r="Q1283" s="57" t="s">
        <v>706</v>
      </c>
    </row>
    <row r="1284" s="50" customFormat="true" ht="14.25" hidden="false" customHeight="true" outlineLevel="0" collapsed="false">
      <c r="A1284" s="50" t="s">
        <v>262</v>
      </c>
      <c r="B1284" s="57" t="s">
        <v>262</v>
      </c>
      <c r="C1284" s="57" t="s">
        <v>251</v>
      </c>
      <c r="D1284" s="58" t="n">
        <v>46074.3125</v>
      </c>
      <c r="E1284" s="58" t="n">
        <v>46074.3125</v>
      </c>
      <c r="F1284" s="58" t="n">
        <v>46074.4131944444</v>
      </c>
      <c r="G1284" s="59" t="n">
        <f aca="false">F1284-E1284</f>
        <v>0.100694444398148</v>
      </c>
      <c r="H1284" s="57" t="s">
        <v>252</v>
      </c>
      <c r="I1284" s="57"/>
      <c r="J1284" s="57" t="s">
        <v>253</v>
      </c>
      <c r="K1284" s="57" t="s">
        <v>266</v>
      </c>
      <c r="L1284" s="57" t="s">
        <v>2189</v>
      </c>
      <c r="M1284" s="57" t="s">
        <v>255</v>
      </c>
      <c r="N1284" s="57" t="s">
        <v>256</v>
      </c>
      <c r="O1284" s="57" t="s">
        <v>2190</v>
      </c>
      <c r="P1284" s="57" t="s">
        <v>2225</v>
      </c>
      <c r="Q1284" s="57" t="s">
        <v>706</v>
      </c>
    </row>
    <row r="1285" s="50" customFormat="true" ht="14.25" hidden="false" customHeight="true" outlineLevel="0" collapsed="false">
      <c r="A1285" s="50" t="s">
        <v>262</v>
      </c>
      <c r="B1285" s="57" t="s">
        <v>262</v>
      </c>
      <c r="C1285" s="57" t="s">
        <v>258</v>
      </c>
      <c r="D1285" s="58" t="n">
        <v>46074.3125</v>
      </c>
      <c r="E1285" s="58" t="n">
        <v>46074.3125</v>
      </c>
      <c r="F1285" s="58" t="n">
        <v>46074.4131944444</v>
      </c>
      <c r="G1285" s="59" t="n">
        <f aca="false">F1285-E1285</f>
        <v>0.100694444398148</v>
      </c>
      <c r="H1285" s="57" t="s">
        <v>252</v>
      </c>
      <c r="I1285" s="57"/>
      <c r="J1285" s="57" t="s">
        <v>253</v>
      </c>
      <c r="K1285" s="57" t="s">
        <v>266</v>
      </c>
      <c r="L1285" s="57" t="s">
        <v>2189</v>
      </c>
      <c r="M1285" s="57" t="s">
        <v>255</v>
      </c>
      <c r="N1285" s="57" t="s">
        <v>256</v>
      </c>
      <c r="O1285" s="57" t="s">
        <v>2190</v>
      </c>
      <c r="P1285" s="57" t="s">
        <v>2226</v>
      </c>
      <c r="Q1285" s="57" t="s">
        <v>706</v>
      </c>
    </row>
    <row r="1286" s="50" customFormat="true" ht="14.25" hidden="false" customHeight="true" outlineLevel="0" collapsed="false">
      <c r="A1286" s="50" t="s">
        <v>262</v>
      </c>
      <c r="B1286" s="57" t="s">
        <v>262</v>
      </c>
      <c r="C1286" s="57" t="s">
        <v>259</v>
      </c>
      <c r="D1286" s="58" t="n">
        <v>46074.3125</v>
      </c>
      <c r="E1286" s="58" t="n">
        <v>46074.3125</v>
      </c>
      <c r="F1286" s="58" t="n">
        <v>46074.4131944444</v>
      </c>
      <c r="G1286" s="59" t="n">
        <f aca="false">F1286-E1286</f>
        <v>0.100694444398148</v>
      </c>
      <c r="H1286" s="57" t="s">
        <v>252</v>
      </c>
      <c r="I1286" s="57"/>
      <c r="J1286" s="57" t="s">
        <v>253</v>
      </c>
      <c r="K1286" s="57" t="s">
        <v>266</v>
      </c>
      <c r="L1286" s="57" t="s">
        <v>2189</v>
      </c>
      <c r="M1286" s="57" t="s">
        <v>255</v>
      </c>
      <c r="N1286" s="57" t="s">
        <v>256</v>
      </c>
      <c r="O1286" s="57" t="s">
        <v>2190</v>
      </c>
      <c r="P1286" s="57" t="s">
        <v>2227</v>
      </c>
      <c r="Q1286" s="57" t="s">
        <v>706</v>
      </c>
    </row>
    <row r="1287" s="50" customFormat="true" ht="14.25" hidden="false" customHeight="true" outlineLevel="0" collapsed="false">
      <c r="A1287" s="50" t="s">
        <v>262</v>
      </c>
      <c r="B1287" s="57" t="s">
        <v>262</v>
      </c>
      <c r="C1287" s="57" t="s">
        <v>260</v>
      </c>
      <c r="D1287" s="58" t="n">
        <v>46074.3125</v>
      </c>
      <c r="E1287" s="58" t="n">
        <v>46074.3125</v>
      </c>
      <c r="F1287" s="58" t="n">
        <v>46074.4131944444</v>
      </c>
      <c r="G1287" s="59" t="n">
        <f aca="false">F1287-E1287</f>
        <v>0.100694444398148</v>
      </c>
      <c r="H1287" s="57" t="s">
        <v>252</v>
      </c>
      <c r="I1287" s="57"/>
      <c r="J1287" s="57" t="s">
        <v>253</v>
      </c>
      <c r="K1287" s="57" t="s">
        <v>266</v>
      </c>
      <c r="L1287" s="57" t="s">
        <v>2189</v>
      </c>
      <c r="M1287" s="57" t="s">
        <v>255</v>
      </c>
      <c r="N1287" s="57" t="s">
        <v>256</v>
      </c>
      <c r="O1287" s="57" t="s">
        <v>2190</v>
      </c>
      <c r="P1287" s="57" t="s">
        <v>2228</v>
      </c>
      <c r="Q1287" s="57" t="s">
        <v>706</v>
      </c>
    </row>
    <row r="1288" s="50" customFormat="true" ht="14.25" hidden="false" customHeight="true" outlineLevel="0" collapsed="false">
      <c r="A1288" s="50" t="s">
        <v>262</v>
      </c>
      <c r="B1288" s="57" t="s">
        <v>262</v>
      </c>
      <c r="C1288" s="57" t="s">
        <v>261</v>
      </c>
      <c r="D1288" s="58" t="n">
        <v>46074.3125</v>
      </c>
      <c r="E1288" s="58" t="n">
        <v>46074.3125</v>
      </c>
      <c r="F1288" s="58" t="n">
        <v>46074.4131944444</v>
      </c>
      <c r="G1288" s="59" t="n">
        <f aca="false">F1288-E1288</f>
        <v>0.100694444398148</v>
      </c>
      <c r="H1288" s="57" t="s">
        <v>252</v>
      </c>
      <c r="I1288" s="57"/>
      <c r="J1288" s="57" t="s">
        <v>253</v>
      </c>
      <c r="K1288" s="57" t="s">
        <v>266</v>
      </c>
      <c r="L1288" s="57" t="s">
        <v>2189</v>
      </c>
      <c r="M1288" s="57" t="s">
        <v>255</v>
      </c>
      <c r="N1288" s="57" t="s">
        <v>256</v>
      </c>
      <c r="O1288" s="57" t="s">
        <v>2190</v>
      </c>
      <c r="P1288" s="57" t="s">
        <v>2229</v>
      </c>
      <c r="Q1288" s="57" t="s">
        <v>706</v>
      </c>
    </row>
    <row r="1289" s="50" customFormat="true" ht="14.25" hidden="false" customHeight="true" outlineLevel="0" collapsed="false">
      <c r="A1289" s="50" t="s">
        <v>263</v>
      </c>
      <c r="B1289" s="57" t="s">
        <v>263</v>
      </c>
      <c r="C1289" s="57" t="s">
        <v>251</v>
      </c>
      <c r="D1289" s="58" t="n">
        <v>46074.3125</v>
      </c>
      <c r="E1289" s="58" t="n">
        <v>46074.3125</v>
      </c>
      <c r="F1289" s="58" t="n">
        <v>46074.4131944444</v>
      </c>
      <c r="G1289" s="59" t="n">
        <f aca="false">F1289-E1289</f>
        <v>0.100694444398148</v>
      </c>
      <c r="H1289" s="57" t="s">
        <v>252</v>
      </c>
      <c r="I1289" s="57"/>
      <c r="J1289" s="57" t="s">
        <v>253</v>
      </c>
      <c r="K1289" s="57" t="s">
        <v>266</v>
      </c>
      <c r="L1289" s="57" t="s">
        <v>2189</v>
      </c>
      <c r="M1289" s="57" t="s">
        <v>255</v>
      </c>
      <c r="N1289" s="57" t="s">
        <v>256</v>
      </c>
      <c r="O1289" s="57" t="s">
        <v>2190</v>
      </c>
      <c r="P1289" s="57" t="s">
        <v>2230</v>
      </c>
      <c r="Q1289" s="57" t="s">
        <v>706</v>
      </c>
    </row>
    <row r="1290" s="50" customFormat="true" ht="14.25" hidden="false" customHeight="true" outlineLevel="0" collapsed="false">
      <c r="A1290" s="50" t="s">
        <v>263</v>
      </c>
      <c r="B1290" s="57" t="s">
        <v>263</v>
      </c>
      <c r="C1290" s="57" t="s">
        <v>258</v>
      </c>
      <c r="D1290" s="58" t="n">
        <v>46074.3125</v>
      </c>
      <c r="E1290" s="58" t="n">
        <v>46074.3125</v>
      </c>
      <c r="F1290" s="58" t="n">
        <v>46074.4131944444</v>
      </c>
      <c r="G1290" s="59" t="n">
        <f aca="false">F1290-E1290</f>
        <v>0.100694444398148</v>
      </c>
      <c r="H1290" s="57" t="s">
        <v>252</v>
      </c>
      <c r="I1290" s="57"/>
      <c r="J1290" s="57" t="s">
        <v>253</v>
      </c>
      <c r="K1290" s="57" t="s">
        <v>266</v>
      </c>
      <c r="L1290" s="57" t="s">
        <v>2189</v>
      </c>
      <c r="M1290" s="57" t="s">
        <v>255</v>
      </c>
      <c r="N1290" s="57" t="s">
        <v>256</v>
      </c>
      <c r="O1290" s="57" t="s">
        <v>2190</v>
      </c>
      <c r="P1290" s="57" t="s">
        <v>2231</v>
      </c>
      <c r="Q1290" s="57" t="s">
        <v>706</v>
      </c>
    </row>
    <row r="1291" s="50" customFormat="true" ht="14.25" hidden="false" customHeight="true" outlineLevel="0" collapsed="false">
      <c r="A1291" s="50" t="s">
        <v>263</v>
      </c>
      <c r="B1291" s="57" t="s">
        <v>263</v>
      </c>
      <c r="C1291" s="57" t="s">
        <v>259</v>
      </c>
      <c r="D1291" s="58" t="n">
        <v>46074.3125</v>
      </c>
      <c r="E1291" s="58" t="n">
        <v>46074.3125</v>
      </c>
      <c r="F1291" s="58" t="n">
        <v>46074.4131944444</v>
      </c>
      <c r="G1291" s="59" t="n">
        <f aca="false">F1291-E1291</f>
        <v>0.100694444398148</v>
      </c>
      <c r="H1291" s="57" t="s">
        <v>252</v>
      </c>
      <c r="I1291" s="57"/>
      <c r="J1291" s="57" t="s">
        <v>253</v>
      </c>
      <c r="K1291" s="57" t="s">
        <v>266</v>
      </c>
      <c r="L1291" s="57" t="s">
        <v>2189</v>
      </c>
      <c r="M1291" s="57" t="s">
        <v>255</v>
      </c>
      <c r="N1291" s="57" t="s">
        <v>256</v>
      </c>
      <c r="O1291" s="57" t="s">
        <v>2190</v>
      </c>
      <c r="P1291" s="57" t="s">
        <v>2232</v>
      </c>
      <c r="Q1291" s="57" t="s">
        <v>706</v>
      </c>
    </row>
    <row r="1292" s="50" customFormat="true" ht="14.25" hidden="false" customHeight="true" outlineLevel="0" collapsed="false">
      <c r="A1292" s="50" t="s">
        <v>263</v>
      </c>
      <c r="B1292" s="57" t="s">
        <v>263</v>
      </c>
      <c r="C1292" s="57" t="s">
        <v>260</v>
      </c>
      <c r="D1292" s="58" t="n">
        <v>46074.3125</v>
      </c>
      <c r="E1292" s="58" t="n">
        <v>46074.3125</v>
      </c>
      <c r="F1292" s="58" t="n">
        <v>46074.4131944444</v>
      </c>
      <c r="G1292" s="59" t="n">
        <f aca="false">F1292-E1292</f>
        <v>0.100694444398148</v>
      </c>
      <c r="H1292" s="57" t="s">
        <v>252</v>
      </c>
      <c r="I1292" s="57"/>
      <c r="J1292" s="57" t="s">
        <v>253</v>
      </c>
      <c r="K1292" s="57" t="s">
        <v>266</v>
      </c>
      <c r="L1292" s="57" t="s">
        <v>2189</v>
      </c>
      <c r="M1292" s="57" t="s">
        <v>255</v>
      </c>
      <c r="N1292" s="57" t="s">
        <v>256</v>
      </c>
      <c r="O1292" s="57" t="s">
        <v>2190</v>
      </c>
      <c r="P1292" s="57" t="s">
        <v>2233</v>
      </c>
      <c r="Q1292" s="57" t="s">
        <v>706</v>
      </c>
    </row>
    <row r="1293" s="50" customFormat="true" ht="14.25" hidden="false" customHeight="true" outlineLevel="0" collapsed="false">
      <c r="A1293" s="50" t="s">
        <v>263</v>
      </c>
      <c r="B1293" s="57" t="s">
        <v>263</v>
      </c>
      <c r="C1293" s="57" t="s">
        <v>261</v>
      </c>
      <c r="D1293" s="58" t="n">
        <v>46074.3125</v>
      </c>
      <c r="E1293" s="58" t="n">
        <v>46074.3125</v>
      </c>
      <c r="F1293" s="58" t="n">
        <v>46074.4131944444</v>
      </c>
      <c r="G1293" s="59" t="n">
        <f aca="false">F1293-E1293</f>
        <v>0.100694444398148</v>
      </c>
      <c r="H1293" s="57" t="s">
        <v>252</v>
      </c>
      <c r="I1293" s="57"/>
      <c r="J1293" s="57" t="s">
        <v>253</v>
      </c>
      <c r="K1293" s="57" t="s">
        <v>266</v>
      </c>
      <c r="L1293" s="57" t="s">
        <v>2189</v>
      </c>
      <c r="M1293" s="57" t="s">
        <v>255</v>
      </c>
      <c r="N1293" s="57" t="s">
        <v>256</v>
      </c>
      <c r="O1293" s="57" t="s">
        <v>2190</v>
      </c>
      <c r="P1293" s="57" t="s">
        <v>2234</v>
      </c>
      <c r="Q1293" s="57" t="s">
        <v>706</v>
      </c>
    </row>
    <row r="1294" s="50" customFormat="true" ht="14.25" hidden="false" customHeight="true" outlineLevel="0" collapsed="false">
      <c r="A1294" s="50" t="s">
        <v>425</v>
      </c>
      <c r="B1294" s="57" t="s">
        <v>425</v>
      </c>
      <c r="C1294" s="57" t="s">
        <v>265</v>
      </c>
      <c r="D1294" s="58" t="n">
        <v>46074.3715277778</v>
      </c>
      <c r="E1294" s="58" t="n">
        <v>46074.3715277778</v>
      </c>
      <c r="F1294" s="58" t="n">
        <v>46074.4680555556</v>
      </c>
      <c r="G1294" s="59" t="n">
        <f aca="false">F1294-E1294</f>
        <v>0.0965277777893519</v>
      </c>
      <c r="H1294" s="57" t="s">
        <v>283</v>
      </c>
      <c r="I1294" s="57" t="s">
        <v>284</v>
      </c>
      <c r="J1294" s="57" t="s">
        <v>285</v>
      </c>
      <c r="K1294" s="57" t="s">
        <v>286</v>
      </c>
      <c r="L1294" s="57" t="s">
        <v>2235</v>
      </c>
      <c r="M1294" s="57" t="s">
        <v>288</v>
      </c>
      <c r="N1294" s="57" t="s">
        <v>289</v>
      </c>
      <c r="O1294" s="57" t="s">
        <v>2236</v>
      </c>
      <c r="P1294" s="57" t="s">
        <v>2237</v>
      </c>
      <c r="Q1294" s="57" t="s">
        <v>694</v>
      </c>
    </row>
    <row r="1295" s="50" customFormat="true" ht="14.25" hidden="false" customHeight="true" outlineLevel="0" collapsed="false">
      <c r="A1295" s="50" t="s">
        <v>323</v>
      </c>
      <c r="B1295" s="57" t="s">
        <v>323</v>
      </c>
      <c r="C1295" s="57" t="s">
        <v>324</v>
      </c>
      <c r="D1295" s="58" t="n">
        <v>46074.5104166667</v>
      </c>
      <c r="E1295" s="58" t="n">
        <v>46074.5104166667</v>
      </c>
      <c r="F1295" s="58" t="n">
        <v>46074.60625</v>
      </c>
      <c r="G1295" s="59" t="n">
        <f aca="false">F1295-E1295</f>
        <v>0.0958333332986111</v>
      </c>
      <c r="H1295" s="57" t="s">
        <v>283</v>
      </c>
      <c r="I1295" s="57" t="s">
        <v>284</v>
      </c>
      <c r="J1295" s="57" t="s">
        <v>369</v>
      </c>
      <c r="K1295" s="57" t="s">
        <v>754</v>
      </c>
      <c r="L1295" s="57" t="s">
        <v>2238</v>
      </c>
      <c r="M1295" s="57" t="s">
        <v>371</v>
      </c>
      <c r="N1295" s="57" t="s">
        <v>289</v>
      </c>
      <c r="O1295" s="57" t="s">
        <v>2239</v>
      </c>
      <c r="P1295" s="57" t="s">
        <v>2240</v>
      </c>
      <c r="Q1295" s="57" t="s">
        <v>1227</v>
      </c>
    </row>
    <row r="1296" s="50" customFormat="true" ht="14.25" hidden="false" customHeight="true" outlineLevel="0" collapsed="false">
      <c r="A1296" s="50" t="s">
        <v>323</v>
      </c>
      <c r="B1296" s="57" t="s">
        <v>323</v>
      </c>
      <c r="C1296" s="57" t="s">
        <v>326</v>
      </c>
      <c r="D1296" s="58" t="n">
        <v>46074.5104166667</v>
      </c>
      <c r="E1296" s="58" t="n">
        <v>46074.5104166667</v>
      </c>
      <c r="F1296" s="58" t="n">
        <v>46074.60625</v>
      </c>
      <c r="G1296" s="59" t="n">
        <f aca="false">F1296-E1296</f>
        <v>0.0958333332986111</v>
      </c>
      <c r="H1296" s="57" t="s">
        <v>283</v>
      </c>
      <c r="I1296" s="57" t="s">
        <v>284</v>
      </c>
      <c r="J1296" s="57" t="s">
        <v>369</v>
      </c>
      <c r="K1296" s="57" t="s">
        <v>754</v>
      </c>
      <c r="L1296" s="57" t="s">
        <v>2238</v>
      </c>
      <c r="M1296" s="57" t="s">
        <v>371</v>
      </c>
      <c r="N1296" s="57" t="s">
        <v>289</v>
      </c>
      <c r="O1296" s="57" t="s">
        <v>2239</v>
      </c>
      <c r="P1296" s="57" t="s">
        <v>2241</v>
      </c>
      <c r="Q1296" s="57" t="s">
        <v>1227</v>
      </c>
    </row>
    <row r="1297" s="50" customFormat="true" ht="14.25" hidden="false" customHeight="true" outlineLevel="0" collapsed="false">
      <c r="A1297" s="50" t="s">
        <v>323</v>
      </c>
      <c r="B1297" s="57" t="s">
        <v>323</v>
      </c>
      <c r="C1297" s="57" t="s">
        <v>327</v>
      </c>
      <c r="D1297" s="58" t="n">
        <v>46074.5104166667</v>
      </c>
      <c r="E1297" s="58" t="n">
        <v>46074.5104166667</v>
      </c>
      <c r="F1297" s="58" t="n">
        <v>46074.60625</v>
      </c>
      <c r="G1297" s="59" t="n">
        <f aca="false">F1297-E1297</f>
        <v>0.0958333332986111</v>
      </c>
      <c r="H1297" s="57" t="s">
        <v>283</v>
      </c>
      <c r="I1297" s="57" t="s">
        <v>284</v>
      </c>
      <c r="J1297" s="57" t="s">
        <v>369</v>
      </c>
      <c r="K1297" s="57" t="s">
        <v>754</v>
      </c>
      <c r="L1297" s="57" t="s">
        <v>2238</v>
      </c>
      <c r="M1297" s="57" t="s">
        <v>371</v>
      </c>
      <c r="N1297" s="57" t="s">
        <v>289</v>
      </c>
      <c r="O1297" s="57" t="s">
        <v>2239</v>
      </c>
      <c r="P1297" s="57" t="s">
        <v>2242</v>
      </c>
      <c r="Q1297" s="57" t="s">
        <v>1227</v>
      </c>
    </row>
    <row r="1298" s="50" customFormat="true" ht="14.25" hidden="false" customHeight="true" outlineLevel="0" collapsed="false">
      <c r="A1298" s="50" t="s">
        <v>323</v>
      </c>
      <c r="B1298" s="57" t="s">
        <v>323</v>
      </c>
      <c r="C1298" s="57" t="s">
        <v>328</v>
      </c>
      <c r="D1298" s="58" t="n">
        <v>46074.5104166667</v>
      </c>
      <c r="E1298" s="58" t="n">
        <v>46074.5104166667</v>
      </c>
      <c r="F1298" s="58" t="n">
        <v>46074.60625</v>
      </c>
      <c r="G1298" s="59" t="n">
        <f aca="false">F1298-E1298</f>
        <v>0.0958333332986111</v>
      </c>
      <c r="H1298" s="57" t="s">
        <v>283</v>
      </c>
      <c r="I1298" s="57" t="s">
        <v>284</v>
      </c>
      <c r="J1298" s="57" t="s">
        <v>369</v>
      </c>
      <c r="K1298" s="57" t="s">
        <v>754</v>
      </c>
      <c r="L1298" s="57" t="s">
        <v>2238</v>
      </c>
      <c r="M1298" s="57" t="s">
        <v>371</v>
      </c>
      <c r="N1298" s="57" t="s">
        <v>289</v>
      </c>
      <c r="O1298" s="57" t="s">
        <v>2239</v>
      </c>
      <c r="P1298" s="57" t="s">
        <v>2243</v>
      </c>
      <c r="Q1298" s="57" t="s">
        <v>1227</v>
      </c>
    </row>
    <row r="1299" s="50" customFormat="true" ht="14.25" hidden="false" customHeight="true" outlineLevel="0" collapsed="false">
      <c r="A1299" s="50" t="s">
        <v>329</v>
      </c>
      <c r="B1299" s="57" t="s">
        <v>329</v>
      </c>
      <c r="C1299" s="57" t="s">
        <v>324</v>
      </c>
      <c r="D1299" s="58" t="n">
        <v>46074.5104166667</v>
      </c>
      <c r="E1299" s="58" t="n">
        <v>46074.5104166667</v>
      </c>
      <c r="F1299" s="58" t="n">
        <v>46074.60625</v>
      </c>
      <c r="G1299" s="59" t="n">
        <f aca="false">F1299-E1299</f>
        <v>0.0958333332986111</v>
      </c>
      <c r="H1299" s="57" t="s">
        <v>283</v>
      </c>
      <c r="I1299" s="57" t="s">
        <v>284</v>
      </c>
      <c r="J1299" s="57" t="s">
        <v>369</v>
      </c>
      <c r="K1299" s="57" t="s">
        <v>754</v>
      </c>
      <c r="L1299" s="57" t="s">
        <v>2238</v>
      </c>
      <c r="M1299" s="57" t="s">
        <v>371</v>
      </c>
      <c r="N1299" s="57" t="s">
        <v>289</v>
      </c>
      <c r="O1299" s="57" t="s">
        <v>2239</v>
      </c>
      <c r="P1299" s="57" t="s">
        <v>2244</v>
      </c>
      <c r="Q1299" s="57" t="s">
        <v>1227</v>
      </c>
    </row>
    <row r="1300" s="50" customFormat="true" ht="14.25" hidden="false" customHeight="true" outlineLevel="0" collapsed="false">
      <c r="A1300" s="50" t="s">
        <v>329</v>
      </c>
      <c r="B1300" s="57" t="s">
        <v>329</v>
      </c>
      <c r="C1300" s="57" t="s">
        <v>326</v>
      </c>
      <c r="D1300" s="58" t="n">
        <v>46074.5104166667</v>
      </c>
      <c r="E1300" s="58" t="n">
        <v>46074.5104166667</v>
      </c>
      <c r="F1300" s="58" t="n">
        <v>46074.60625</v>
      </c>
      <c r="G1300" s="59" t="n">
        <f aca="false">F1300-E1300</f>
        <v>0.0958333332986111</v>
      </c>
      <c r="H1300" s="57" t="s">
        <v>283</v>
      </c>
      <c r="I1300" s="57" t="s">
        <v>284</v>
      </c>
      <c r="J1300" s="57" t="s">
        <v>369</v>
      </c>
      <c r="K1300" s="57" t="s">
        <v>754</v>
      </c>
      <c r="L1300" s="57" t="s">
        <v>2238</v>
      </c>
      <c r="M1300" s="57" t="s">
        <v>371</v>
      </c>
      <c r="N1300" s="57" t="s">
        <v>289</v>
      </c>
      <c r="O1300" s="57" t="s">
        <v>2239</v>
      </c>
      <c r="P1300" s="57" t="s">
        <v>2245</v>
      </c>
      <c r="Q1300" s="57" t="s">
        <v>1227</v>
      </c>
    </row>
    <row r="1301" s="50" customFormat="true" ht="14.25" hidden="false" customHeight="true" outlineLevel="0" collapsed="false">
      <c r="A1301" s="50" t="s">
        <v>329</v>
      </c>
      <c r="B1301" s="57" t="s">
        <v>329</v>
      </c>
      <c r="C1301" s="57" t="s">
        <v>327</v>
      </c>
      <c r="D1301" s="58" t="n">
        <v>46074.5104166667</v>
      </c>
      <c r="E1301" s="58" t="n">
        <v>46074.5104166667</v>
      </c>
      <c r="F1301" s="58" t="n">
        <v>46074.60625</v>
      </c>
      <c r="G1301" s="59" t="n">
        <f aca="false">F1301-E1301</f>
        <v>0.0958333332986111</v>
      </c>
      <c r="H1301" s="57" t="s">
        <v>283</v>
      </c>
      <c r="I1301" s="57" t="s">
        <v>284</v>
      </c>
      <c r="J1301" s="57" t="s">
        <v>369</v>
      </c>
      <c r="K1301" s="57" t="s">
        <v>754</v>
      </c>
      <c r="L1301" s="57" t="s">
        <v>2238</v>
      </c>
      <c r="M1301" s="57" t="s">
        <v>371</v>
      </c>
      <c r="N1301" s="57" t="s">
        <v>289</v>
      </c>
      <c r="O1301" s="57" t="s">
        <v>2239</v>
      </c>
      <c r="P1301" s="57" t="s">
        <v>2246</v>
      </c>
      <c r="Q1301" s="57" t="s">
        <v>1227</v>
      </c>
    </row>
    <row r="1302" s="50" customFormat="true" ht="14.25" hidden="false" customHeight="true" outlineLevel="0" collapsed="false">
      <c r="A1302" s="50" t="s">
        <v>329</v>
      </c>
      <c r="B1302" s="57" t="s">
        <v>329</v>
      </c>
      <c r="C1302" s="57" t="s">
        <v>328</v>
      </c>
      <c r="D1302" s="58" t="n">
        <v>46074.5104166667</v>
      </c>
      <c r="E1302" s="58" t="n">
        <v>46074.5104166667</v>
      </c>
      <c r="F1302" s="58" t="n">
        <v>46074.60625</v>
      </c>
      <c r="G1302" s="59" t="n">
        <f aca="false">F1302-E1302</f>
        <v>0.0958333332986111</v>
      </c>
      <c r="H1302" s="57" t="s">
        <v>283</v>
      </c>
      <c r="I1302" s="57" t="s">
        <v>284</v>
      </c>
      <c r="J1302" s="57" t="s">
        <v>369</v>
      </c>
      <c r="K1302" s="57" t="s">
        <v>754</v>
      </c>
      <c r="L1302" s="57" t="s">
        <v>2238</v>
      </c>
      <c r="M1302" s="57" t="s">
        <v>371</v>
      </c>
      <c r="N1302" s="57" t="s">
        <v>289</v>
      </c>
      <c r="O1302" s="57" t="s">
        <v>2239</v>
      </c>
      <c r="P1302" s="57" t="s">
        <v>2247</v>
      </c>
      <c r="Q1302" s="57" t="s">
        <v>1227</v>
      </c>
    </row>
    <row r="1303" s="50" customFormat="true" ht="14.25" hidden="false" customHeight="true" outlineLevel="0" collapsed="false">
      <c r="A1303" s="50" t="s">
        <v>1521</v>
      </c>
      <c r="B1303" s="57" t="s">
        <v>1522</v>
      </c>
      <c r="C1303" s="57" t="s">
        <v>1554</v>
      </c>
      <c r="D1303" s="58" t="n">
        <v>46074.6041666667</v>
      </c>
      <c r="E1303" s="58" t="n">
        <v>46074.6041666667</v>
      </c>
      <c r="F1303" s="58" t="n">
        <v>46074.7395833333</v>
      </c>
      <c r="G1303" s="59" t="n">
        <f aca="false">F1303-E1303</f>
        <v>0.135416666597222</v>
      </c>
      <c r="H1303" s="57" t="s">
        <v>252</v>
      </c>
      <c r="I1303" s="57"/>
      <c r="J1303" s="57" t="s">
        <v>333</v>
      </c>
      <c r="K1303" s="57" t="s">
        <v>334</v>
      </c>
      <c r="L1303" s="57" t="s">
        <v>2248</v>
      </c>
      <c r="M1303" s="57" t="s">
        <v>336</v>
      </c>
      <c r="N1303" s="57" t="s">
        <v>289</v>
      </c>
      <c r="O1303" s="57" t="s">
        <v>2249</v>
      </c>
      <c r="P1303" s="57" t="s">
        <v>2250</v>
      </c>
      <c r="Q1303" s="57" t="s">
        <v>698</v>
      </c>
    </row>
    <row r="1304" s="50" customFormat="true" ht="14.25" hidden="false" customHeight="true" outlineLevel="0" collapsed="false">
      <c r="A1304" s="50" t="s">
        <v>410</v>
      </c>
      <c r="B1304" s="57" t="s">
        <v>410</v>
      </c>
      <c r="C1304" s="57" t="s">
        <v>411</v>
      </c>
      <c r="D1304" s="58" t="n">
        <v>46074.6145833333</v>
      </c>
      <c r="E1304" s="58" t="n">
        <v>46074.6145833333</v>
      </c>
      <c r="F1304" s="58" t="n">
        <v>46074.6875</v>
      </c>
      <c r="G1304" s="59" t="n">
        <f aca="false">F1304-E1304</f>
        <v>0.0729166667013889</v>
      </c>
      <c r="H1304" s="57" t="s">
        <v>283</v>
      </c>
      <c r="I1304" s="57" t="s">
        <v>284</v>
      </c>
      <c r="J1304" s="57" t="s">
        <v>369</v>
      </c>
      <c r="K1304" s="57" t="s">
        <v>754</v>
      </c>
      <c r="L1304" s="57" t="s">
        <v>2251</v>
      </c>
      <c r="M1304" s="57" t="s">
        <v>371</v>
      </c>
      <c r="N1304" s="57" t="s">
        <v>289</v>
      </c>
      <c r="O1304" s="57" t="s">
        <v>2252</v>
      </c>
      <c r="P1304" s="57" t="s">
        <v>2253</v>
      </c>
      <c r="Q1304" s="57" t="s">
        <v>1227</v>
      </c>
    </row>
    <row r="1305" s="50" customFormat="true" ht="14.25" hidden="false" customHeight="true" outlineLevel="0" collapsed="false">
      <c r="A1305" s="50" t="s">
        <v>410</v>
      </c>
      <c r="B1305" s="57" t="s">
        <v>410</v>
      </c>
      <c r="C1305" s="57" t="s">
        <v>414</v>
      </c>
      <c r="D1305" s="58" t="n">
        <v>46074.6145833333</v>
      </c>
      <c r="E1305" s="58" t="n">
        <v>46074.6145833333</v>
      </c>
      <c r="F1305" s="58" t="n">
        <v>46074.6875</v>
      </c>
      <c r="G1305" s="59" t="n">
        <f aca="false">F1305-E1305</f>
        <v>0.0729166667013889</v>
      </c>
      <c r="H1305" s="57" t="s">
        <v>283</v>
      </c>
      <c r="I1305" s="57" t="s">
        <v>284</v>
      </c>
      <c r="J1305" s="57" t="s">
        <v>369</v>
      </c>
      <c r="K1305" s="57" t="s">
        <v>754</v>
      </c>
      <c r="L1305" s="57" t="s">
        <v>2251</v>
      </c>
      <c r="M1305" s="57" t="s">
        <v>371</v>
      </c>
      <c r="N1305" s="57" t="s">
        <v>289</v>
      </c>
      <c r="O1305" s="57" t="s">
        <v>2252</v>
      </c>
      <c r="P1305" s="57" t="s">
        <v>2254</v>
      </c>
      <c r="Q1305" s="57" t="s">
        <v>1227</v>
      </c>
    </row>
    <row r="1306" s="50" customFormat="true" ht="14.25" hidden="false" customHeight="true" outlineLevel="0" collapsed="false">
      <c r="A1306" s="50" t="s">
        <v>410</v>
      </c>
      <c r="B1306" s="57" t="s">
        <v>410</v>
      </c>
      <c r="C1306" s="57" t="s">
        <v>415</v>
      </c>
      <c r="D1306" s="58" t="n">
        <v>46074.6145833333</v>
      </c>
      <c r="E1306" s="58" t="n">
        <v>46074.6145833333</v>
      </c>
      <c r="F1306" s="58" t="n">
        <v>46074.6875</v>
      </c>
      <c r="G1306" s="59" t="n">
        <f aca="false">F1306-E1306</f>
        <v>0.0729166667013889</v>
      </c>
      <c r="H1306" s="57" t="s">
        <v>283</v>
      </c>
      <c r="I1306" s="57" t="s">
        <v>284</v>
      </c>
      <c r="J1306" s="57" t="s">
        <v>369</v>
      </c>
      <c r="K1306" s="57" t="s">
        <v>754</v>
      </c>
      <c r="L1306" s="57" t="s">
        <v>2251</v>
      </c>
      <c r="M1306" s="57" t="s">
        <v>371</v>
      </c>
      <c r="N1306" s="57" t="s">
        <v>289</v>
      </c>
      <c r="O1306" s="57" t="s">
        <v>2252</v>
      </c>
      <c r="P1306" s="57" t="s">
        <v>2255</v>
      </c>
      <c r="Q1306" s="57" t="s">
        <v>1227</v>
      </c>
    </row>
    <row r="1307" s="50" customFormat="true" ht="14.25" hidden="false" customHeight="true" outlineLevel="0" collapsed="false">
      <c r="A1307" s="50" t="s">
        <v>410</v>
      </c>
      <c r="B1307" s="57" t="s">
        <v>410</v>
      </c>
      <c r="C1307" s="57" t="s">
        <v>416</v>
      </c>
      <c r="D1307" s="58" t="n">
        <v>46074.6145833333</v>
      </c>
      <c r="E1307" s="58" t="n">
        <v>46074.6145833333</v>
      </c>
      <c r="F1307" s="58" t="n">
        <v>46074.6875</v>
      </c>
      <c r="G1307" s="59" t="n">
        <f aca="false">F1307-E1307</f>
        <v>0.0729166667013889</v>
      </c>
      <c r="H1307" s="57" t="s">
        <v>283</v>
      </c>
      <c r="I1307" s="57" t="s">
        <v>284</v>
      </c>
      <c r="J1307" s="57" t="s">
        <v>369</v>
      </c>
      <c r="K1307" s="57" t="s">
        <v>754</v>
      </c>
      <c r="L1307" s="57" t="s">
        <v>2251</v>
      </c>
      <c r="M1307" s="57" t="s">
        <v>371</v>
      </c>
      <c r="N1307" s="57" t="s">
        <v>289</v>
      </c>
      <c r="O1307" s="57" t="s">
        <v>2252</v>
      </c>
      <c r="P1307" s="57" t="s">
        <v>2256</v>
      </c>
      <c r="Q1307" s="57" t="s">
        <v>1227</v>
      </c>
    </row>
    <row r="1308" s="50" customFormat="true" ht="14.25" hidden="false" customHeight="true" outlineLevel="0" collapsed="false">
      <c r="A1308" s="50" t="s">
        <v>410</v>
      </c>
      <c r="B1308" s="57" t="s">
        <v>410</v>
      </c>
      <c r="C1308" s="57" t="s">
        <v>417</v>
      </c>
      <c r="D1308" s="58" t="n">
        <v>46074.6145833333</v>
      </c>
      <c r="E1308" s="58" t="n">
        <v>46074.6145833333</v>
      </c>
      <c r="F1308" s="58" t="n">
        <v>46074.6875</v>
      </c>
      <c r="G1308" s="59" t="n">
        <f aca="false">F1308-E1308</f>
        <v>0.0729166667013889</v>
      </c>
      <c r="H1308" s="57" t="s">
        <v>283</v>
      </c>
      <c r="I1308" s="57" t="s">
        <v>284</v>
      </c>
      <c r="J1308" s="57" t="s">
        <v>369</v>
      </c>
      <c r="K1308" s="57" t="s">
        <v>754</v>
      </c>
      <c r="L1308" s="57" t="s">
        <v>2251</v>
      </c>
      <c r="M1308" s="57" t="s">
        <v>371</v>
      </c>
      <c r="N1308" s="57" t="s">
        <v>289</v>
      </c>
      <c r="O1308" s="57" t="s">
        <v>2252</v>
      </c>
      <c r="P1308" s="57" t="s">
        <v>2257</v>
      </c>
      <c r="Q1308" s="57" t="s">
        <v>1227</v>
      </c>
    </row>
    <row r="1309" s="50" customFormat="true" ht="14.25" hidden="false" customHeight="true" outlineLevel="0" collapsed="false">
      <c r="A1309" s="50" t="s">
        <v>418</v>
      </c>
      <c r="B1309" s="57" t="s">
        <v>418</v>
      </c>
      <c r="C1309" s="57" t="s">
        <v>414</v>
      </c>
      <c r="D1309" s="58" t="n">
        <v>46074.6145833333</v>
      </c>
      <c r="E1309" s="58" t="n">
        <v>46074.6145833333</v>
      </c>
      <c r="F1309" s="58" t="n">
        <v>46074.6875</v>
      </c>
      <c r="G1309" s="59" t="n">
        <f aca="false">F1309-E1309</f>
        <v>0.0729166667013889</v>
      </c>
      <c r="H1309" s="57" t="s">
        <v>283</v>
      </c>
      <c r="I1309" s="57" t="s">
        <v>284</v>
      </c>
      <c r="J1309" s="57" t="s">
        <v>369</v>
      </c>
      <c r="K1309" s="57" t="s">
        <v>754</v>
      </c>
      <c r="L1309" s="57" t="s">
        <v>2251</v>
      </c>
      <c r="M1309" s="57" t="s">
        <v>371</v>
      </c>
      <c r="N1309" s="57" t="s">
        <v>289</v>
      </c>
      <c r="O1309" s="57" t="s">
        <v>2252</v>
      </c>
      <c r="P1309" s="57" t="s">
        <v>2258</v>
      </c>
      <c r="Q1309" s="57" t="s">
        <v>1227</v>
      </c>
    </row>
    <row r="1310" s="50" customFormat="true" ht="14.25" hidden="false" customHeight="true" outlineLevel="0" collapsed="false">
      <c r="A1310" s="50" t="s">
        <v>418</v>
      </c>
      <c r="B1310" s="57" t="s">
        <v>418</v>
      </c>
      <c r="C1310" s="57" t="s">
        <v>415</v>
      </c>
      <c r="D1310" s="58" t="n">
        <v>46074.6145833333</v>
      </c>
      <c r="E1310" s="58" t="n">
        <v>46074.6145833333</v>
      </c>
      <c r="F1310" s="58" t="n">
        <v>46074.6875</v>
      </c>
      <c r="G1310" s="59" t="n">
        <f aca="false">F1310-E1310</f>
        <v>0.0729166667013889</v>
      </c>
      <c r="H1310" s="57" t="s">
        <v>283</v>
      </c>
      <c r="I1310" s="57" t="s">
        <v>284</v>
      </c>
      <c r="J1310" s="57" t="s">
        <v>369</v>
      </c>
      <c r="K1310" s="57" t="s">
        <v>754</v>
      </c>
      <c r="L1310" s="57" t="s">
        <v>2251</v>
      </c>
      <c r="M1310" s="57" t="s">
        <v>371</v>
      </c>
      <c r="N1310" s="57" t="s">
        <v>289</v>
      </c>
      <c r="O1310" s="57" t="s">
        <v>2252</v>
      </c>
      <c r="P1310" s="57" t="s">
        <v>2259</v>
      </c>
      <c r="Q1310" s="57" t="s">
        <v>1227</v>
      </c>
    </row>
    <row r="1311" s="50" customFormat="true" ht="14.25" hidden="false" customHeight="true" outlineLevel="0" collapsed="false">
      <c r="A1311" s="50" t="s">
        <v>418</v>
      </c>
      <c r="B1311" s="57" t="s">
        <v>418</v>
      </c>
      <c r="C1311" s="57" t="s">
        <v>416</v>
      </c>
      <c r="D1311" s="58" t="n">
        <v>46074.6145833333</v>
      </c>
      <c r="E1311" s="58" t="n">
        <v>46074.6145833333</v>
      </c>
      <c r="F1311" s="58" t="n">
        <v>46074.6875</v>
      </c>
      <c r="G1311" s="59" t="n">
        <f aca="false">F1311-E1311</f>
        <v>0.0729166667013889</v>
      </c>
      <c r="H1311" s="57" t="s">
        <v>283</v>
      </c>
      <c r="I1311" s="57" t="s">
        <v>284</v>
      </c>
      <c r="J1311" s="57" t="s">
        <v>369</v>
      </c>
      <c r="K1311" s="57" t="s">
        <v>754</v>
      </c>
      <c r="L1311" s="57" t="s">
        <v>2251</v>
      </c>
      <c r="M1311" s="57" t="s">
        <v>371</v>
      </c>
      <c r="N1311" s="57" t="s">
        <v>289</v>
      </c>
      <c r="O1311" s="57" t="s">
        <v>2252</v>
      </c>
      <c r="P1311" s="57" t="s">
        <v>2260</v>
      </c>
      <c r="Q1311" s="57" t="s">
        <v>1227</v>
      </c>
    </row>
    <row r="1312" s="50" customFormat="true" ht="14.25" hidden="false" customHeight="true" outlineLevel="0" collapsed="false">
      <c r="A1312" s="50" t="s">
        <v>418</v>
      </c>
      <c r="B1312" s="57" t="s">
        <v>418</v>
      </c>
      <c r="C1312" s="57" t="s">
        <v>417</v>
      </c>
      <c r="D1312" s="58" t="n">
        <v>46074.6145833333</v>
      </c>
      <c r="E1312" s="58" t="n">
        <v>46074.6145833333</v>
      </c>
      <c r="F1312" s="58" t="n">
        <v>46074.6875</v>
      </c>
      <c r="G1312" s="59" t="n">
        <f aca="false">F1312-E1312</f>
        <v>0.0729166667013889</v>
      </c>
      <c r="H1312" s="57" t="s">
        <v>283</v>
      </c>
      <c r="I1312" s="57" t="s">
        <v>284</v>
      </c>
      <c r="J1312" s="57" t="s">
        <v>369</v>
      </c>
      <c r="K1312" s="57" t="s">
        <v>754</v>
      </c>
      <c r="L1312" s="57" t="s">
        <v>2251</v>
      </c>
      <c r="M1312" s="57" t="s">
        <v>371</v>
      </c>
      <c r="N1312" s="57" t="s">
        <v>289</v>
      </c>
      <c r="O1312" s="57" t="s">
        <v>2252</v>
      </c>
      <c r="P1312" s="57" t="s">
        <v>2261</v>
      </c>
      <c r="Q1312" s="57" t="s">
        <v>1227</v>
      </c>
    </row>
    <row r="1313" s="50" customFormat="true" ht="14.25" hidden="false" customHeight="true" outlineLevel="0" collapsed="false">
      <c r="A1313" s="50" t="s">
        <v>418</v>
      </c>
      <c r="B1313" s="57" t="s">
        <v>418</v>
      </c>
      <c r="C1313" s="57" t="s">
        <v>411</v>
      </c>
      <c r="D1313" s="58" t="n">
        <v>46074.6145833333</v>
      </c>
      <c r="E1313" s="58" t="n">
        <v>46074.6145833333</v>
      </c>
      <c r="F1313" s="58" t="n">
        <v>46074.6875</v>
      </c>
      <c r="G1313" s="59" t="n">
        <f aca="false">F1313-E1313</f>
        <v>0.0729166667013889</v>
      </c>
      <c r="H1313" s="57" t="s">
        <v>283</v>
      </c>
      <c r="I1313" s="57" t="s">
        <v>284</v>
      </c>
      <c r="J1313" s="57" t="s">
        <v>369</v>
      </c>
      <c r="K1313" s="57" t="s">
        <v>754</v>
      </c>
      <c r="L1313" s="57" t="s">
        <v>2251</v>
      </c>
      <c r="M1313" s="57" t="s">
        <v>371</v>
      </c>
      <c r="N1313" s="57" t="s">
        <v>289</v>
      </c>
      <c r="O1313" s="57" t="s">
        <v>2252</v>
      </c>
      <c r="P1313" s="57" t="s">
        <v>2262</v>
      </c>
      <c r="Q1313" s="57" t="s">
        <v>1227</v>
      </c>
    </row>
    <row r="1314" s="50" customFormat="true" ht="14.25" hidden="false" customHeight="true" outlineLevel="0" collapsed="false">
      <c r="A1314" s="50" t="s">
        <v>419</v>
      </c>
      <c r="B1314" s="57" t="s">
        <v>419</v>
      </c>
      <c r="C1314" s="57" t="s">
        <v>420</v>
      </c>
      <c r="D1314" s="58" t="n">
        <v>46074.6145833333</v>
      </c>
      <c r="E1314" s="58" t="n">
        <v>46074.6145833333</v>
      </c>
      <c r="F1314" s="58" t="n">
        <v>46074.6875</v>
      </c>
      <c r="G1314" s="59" t="n">
        <f aca="false">F1314-E1314</f>
        <v>0.0729166667013889</v>
      </c>
      <c r="H1314" s="57" t="s">
        <v>283</v>
      </c>
      <c r="I1314" s="57" t="s">
        <v>284</v>
      </c>
      <c r="J1314" s="57" t="s">
        <v>369</v>
      </c>
      <c r="K1314" s="57" t="s">
        <v>754</v>
      </c>
      <c r="L1314" s="57" t="s">
        <v>2251</v>
      </c>
      <c r="M1314" s="57" t="s">
        <v>371</v>
      </c>
      <c r="N1314" s="57" t="s">
        <v>289</v>
      </c>
      <c r="O1314" s="57" t="s">
        <v>2252</v>
      </c>
      <c r="P1314" s="57" t="s">
        <v>2263</v>
      </c>
      <c r="Q1314" s="57" t="s">
        <v>1227</v>
      </c>
    </row>
    <row r="1315" s="50" customFormat="true" ht="14.25" hidden="false" customHeight="true" outlineLevel="0" collapsed="false">
      <c r="A1315" s="50" t="s">
        <v>419</v>
      </c>
      <c r="B1315" s="57" t="s">
        <v>419</v>
      </c>
      <c r="C1315" s="57" t="s">
        <v>414</v>
      </c>
      <c r="D1315" s="58" t="n">
        <v>46074.6145833333</v>
      </c>
      <c r="E1315" s="58" t="n">
        <v>46074.6145833333</v>
      </c>
      <c r="F1315" s="58" t="n">
        <v>46074.6875</v>
      </c>
      <c r="G1315" s="59" t="n">
        <f aca="false">F1315-E1315</f>
        <v>0.0729166667013889</v>
      </c>
      <c r="H1315" s="57" t="s">
        <v>283</v>
      </c>
      <c r="I1315" s="57" t="s">
        <v>284</v>
      </c>
      <c r="J1315" s="57" t="s">
        <v>369</v>
      </c>
      <c r="K1315" s="57" t="s">
        <v>754</v>
      </c>
      <c r="L1315" s="57" t="s">
        <v>2251</v>
      </c>
      <c r="M1315" s="57" t="s">
        <v>371</v>
      </c>
      <c r="N1315" s="57" t="s">
        <v>289</v>
      </c>
      <c r="O1315" s="57" t="s">
        <v>2252</v>
      </c>
      <c r="P1315" s="57" t="s">
        <v>2264</v>
      </c>
      <c r="Q1315" s="57" t="s">
        <v>1227</v>
      </c>
    </row>
    <row r="1316" s="50" customFormat="true" ht="14.25" hidden="false" customHeight="true" outlineLevel="0" collapsed="false">
      <c r="A1316" s="50" t="s">
        <v>419</v>
      </c>
      <c r="B1316" s="57" t="s">
        <v>419</v>
      </c>
      <c r="C1316" s="57" t="s">
        <v>411</v>
      </c>
      <c r="D1316" s="58" t="n">
        <v>46074.6145833333</v>
      </c>
      <c r="E1316" s="58" t="n">
        <v>46074.6145833333</v>
      </c>
      <c r="F1316" s="58" t="n">
        <v>46074.6875</v>
      </c>
      <c r="G1316" s="59" t="n">
        <f aca="false">F1316-E1316</f>
        <v>0.0729166667013889</v>
      </c>
      <c r="H1316" s="57" t="s">
        <v>283</v>
      </c>
      <c r="I1316" s="57" t="s">
        <v>284</v>
      </c>
      <c r="J1316" s="57" t="s">
        <v>369</v>
      </c>
      <c r="K1316" s="57" t="s">
        <v>754</v>
      </c>
      <c r="L1316" s="57" t="s">
        <v>2251</v>
      </c>
      <c r="M1316" s="57" t="s">
        <v>371</v>
      </c>
      <c r="N1316" s="57" t="s">
        <v>289</v>
      </c>
      <c r="O1316" s="57" t="s">
        <v>2252</v>
      </c>
      <c r="P1316" s="57" t="s">
        <v>2265</v>
      </c>
      <c r="Q1316" s="57" t="s">
        <v>1227</v>
      </c>
    </row>
    <row r="1317" s="50" customFormat="true" ht="14.25" hidden="false" customHeight="true" outlineLevel="0" collapsed="false">
      <c r="A1317" s="50" t="s">
        <v>358</v>
      </c>
      <c r="B1317" s="57" t="s">
        <v>358</v>
      </c>
      <c r="C1317" s="57" t="s">
        <v>324</v>
      </c>
      <c r="D1317" s="58" t="n">
        <v>46074.9291666667</v>
      </c>
      <c r="E1317" s="58" t="n">
        <v>46074.9291666667</v>
      </c>
      <c r="F1317" s="58" t="n">
        <v>46075.0104166667</v>
      </c>
      <c r="G1317" s="59" t="n">
        <f aca="false">F1317-E1317</f>
        <v>0.08125</v>
      </c>
      <c r="H1317" s="57" t="s">
        <v>252</v>
      </c>
      <c r="I1317" s="57"/>
      <c r="J1317" s="57" t="s">
        <v>253</v>
      </c>
      <c r="K1317" s="57" t="s">
        <v>266</v>
      </c>
      <c r="L1317" s="57" t="s">
        <v>2266</v>
      </c>
      <c r="M1317" s="57" t="s">
        <v>255</v>
      </c>
      <c r="N1317" s="57" t="s">
        <v>256</v>
      </c>
      <c r="O1317" s="57" t="s">
        <v>2267</v>
      </c>
      <c r="P1317" s="57" t="s">
        <v>2268</v>
      </c>
      <c r="Q1317" s="57" t="s">
        <v>706</v>
      </c>
    </row>
    <row r="1318" s="50" customFormat="true" ht="14.25" hidden="false" customHeight="true" outlineLevel="0" collapsed="false">
      <c r="A1318" s="50" t="s">
        <v>358</v>
      </c>
      <c r="B1318" s="57" t="s">
        <v>358</v>
      </c>
      <c r="C1318" s="57" t="s">
        <v>326</v>
      </c>
      <c r="D1318" s="58" t="n">
        <v>46074.9291666667</v>
      </c>
      <c r="E1318" s="58" t="n">
        <v>46074.9291666667</v>
      </c>
      <c r="F1318" s="58" t="n">
        <v>46075.0104166667</v>
      </c>
      <c r="G1318" s="59" t="n">
        <f aca="false">F1318-E1318</f>
        <v>0.08125</v>
      </c>
      <c r="H1318" s="57" t="s">
        <v>252</v>
      </c>
      <c r="I1318" s="57"/>
      <c r="J1318" s="57" t="s">
        <v>253</v>
      </c>
      <c r="K1318" s="57" t="s">
        <v>266</v>
      </c>
      <c r="L1318" s="57" t="s">
        <v>2266</v>
      </c>
      <c r="M1318" s="57" t="s">
        <v>255</v>
      </c>
      <c r="N1318" s="57" t="s">
        <v>256</v>
      </c>
      <c r="O1318" s="57" t="s">
        <v>2267</v>
      </c>
      <c r="P1318" s="57" t="s">
        <v>2269</v>
      </c>
      <c r="Q1318" s="57" t="s">
        <v>706</v>
      </c>
    </row>
    <row r="1319" s="50" customFormat="true" ht="14.25" hidden="false" customHeight="true" outlineLevel="0" collapsed="false">
      <c r="A1319" s="50" t="s">
        <v>358</v>
      </c>
      <c r="B1319" s="57" t="s">
        <v>358</v>
      </c>
      <c r="C1319" s="57" t="s">
        <v>327</v>
      </c>
      <c r="D1319" s="58" t="n">
        <v>46074.9291666667</v>
      </c>
      <c r="E1319" s="58" t="n">
        <v>46074.9291666667</v>
      </c>
      <c r="F1319" s="58" t="n">
        <v>46075.0104166667</v>
      </c>
      <c r="G1319" s="59" t="n">
        <f aca="false">F1319-E1319</f>
        <v>0.08125</v>
      </c>
      <c r="H1319" s="57" t="s">
        <v>252</v>
      </c>
      <c r="I1319" s="57"/>
      <c r="J1319" s="57" t="s">
        <v>253</v>
      </c>
      <c r="K1319" s="57" t="s">
        <v>266</v>
      </c>
      <c r="L1319" s="57" t="s">
        <v>2266</v>
      </c>
      <c r="M1319" s="57" t="s">
        <v>255</v>
      </c>
      <c r="N1319" s="57" t="s">
        <v>256</v>
      </c>
      <c r="O1319" s="57" t="s">
        <v>2267</v>
      </c>
      <c r="P1319" s="57" t="s">
        <v>2270</v>
      </c>
      <c r="Q1319" s="57" t="s">
        <v>706</v>
      </c>
    </row>
    <row r="1320" s="50" customFormat="true" ht="14.25" hidden="false" customHeight="true" outlineLevel="0" collapsed="false">
      <c r="A1320" s="50" t="s">
        <v>358</v>
      </c>
      <c r="B1320" s="57" t="s">
        <v>358</v>
      </c>
      <c r="C1320" s="57" t="s">
        <v>328</v>
      </c>
      <c r="D1320" s="58" t="n">
        <v>46074.9291666667</v>
      </c>
      <c r="E1320" s="58" t="n">
        <v>46074.9291666667</v>
      </c>
      <c r="F1320" s="58" t="n">
        <v>46075.0104166667</v>
      </c>
      <c r="G1320" s="59" t="n">
        <f aca="false">F1320-E1320</f>
        <v>0.08125</v>
      </c>
      <c r="H1320" s="57" t="s">
        <v>252</v>
      </c>
      <c r="I1320" s="57"/>
      <c r="J1320" s="57" t="s">
        <v>253</v>
      </c>
      <c r="K1320" s="57" t="s">
        <v>266</v>
      </c>
      <c r="L1320" s="57" t="s">
        <v>2266</v>
      </c>
      <c r="M1320" s="57" t="s">
        <v>255</v>
      </c>
      <c r="N1320" s="57" t="s">
        <v>256</v>
      </c>
      <c r="O1320" s="57" t="s">
        <v>2267</v>
      </c>
      <c r="P1320" s="57" t="s">
        <v>2271</v>
      </c>
      <c r="Q1320" s="57" t="s">
        <v>706</v>
      </c>
    </row>
    <row r="1321" s="50" customFormat="true" ht="14.25" hidden="false" customHeight="true" outlineLevel="0" collapsed="false">
      <c r="A1321" s="50" t="s">
        <v>361</v>
      </c>
      <c r="B1321" s="57" t="s">
        <v>361</v>
      </c>
      <c r="C1321" s="57" t="s">
        <v>324</v>
      </c>
      <c r="D1321" s="58" t="n">
        <v>46074.9291666667</v>
      </c>
      <c r="E1321" s="58" t="n">
        <v>46074.9291666667</v>
      </c>
      <c r="F1321" s="58" t="n">
        <v>46075.0104166667</v>
      </c>
      <c r="G1321" s="59" t="n">
        <f aca="false">F1321-E1321</f>
        <v>0.08125</v>
      </c>
      <c r="H1321" s="57" t="s">
        <v>252</v>
      </c>
      <c r="I1321" s="57"/>
      <c r="J1321" s="57" t="s">
        <v>253</v>
      </c>
      <c r="K1321" s="57" t="s">
        <v>266</v>
      </c>
      <c r="L1321" s="57" t="s">
        <v>2266</v>
      </c>
      <c r="M1321" s="57" t="s">
        <v>255</v>
      </c>
      <c r="N1321" s="57" t="s">
        <v>256</v>
      </c>
      <c r="O1321" s="57" t="s">
        <v>2267</v>
      </c>
      <c r="P1321" s="57" t="s">
        <v>2272</v>
      </c>
      <c r="Q1321" s="57" t="s">
        <v>706</v>
      </c>
    </row>
    <row r="1322" s="50" customFormat="true" ht="14.25" hidden="false" customHeight="true" outlineLevel="0" collapsed="false">
      <c r="A1322" s="50" t="s">
        <v>361</v>
      </c>
      <c r="B1322" s="57" t="s">
        <v>361</v>
      </c>
      <c r="C1322" s="57" t="s">
        <v>326</v>
      </c>
      <c r="D1322" s="58" t="n">
        <v>46074.9291666667</v>
      </c>
      <c r="E1322" s="58" t="n">
        <v>46074.9291666667</v>
      </c>
      <c r="F1322" s="58" t="n">
        <v>46075.0104166667</v>
      </c>
      <c r="G1322" s="59" t="n">
        <f aca="false">F1322-E1322</f>
        <v>0.08125</v>
      </c>
      <c r="H1322" s="57" t="s">
        <v>252</v>
      </c>
      <c r="I1322" s="57"/>
      <c r="J1322" s="57" t="s">
        <v>253</v>
      </c>
      <c r="K1322" s="57" t="s">
        <v>266</v>
      </c>
      <c r="L1322" s="57" t="s">
        <v>2266</v>
      </c>
      <c r="M1322" s="57" t="s">
        <v>255</v>
      </c>
      <c r="N1322" s="57" t="s">
        <v>256</v>
      </c>
      <c r="O1322" s="57" t="s">
        <v>2267</v>
      </c>
      <c r="P1322" s="57" t="s">
        <v>2273</v>
      </c>
      <c r="Q1322" s="57" t="s">
        <v>706</v>
      </c>
    </row>
    <row r="1323" s="50" customFormat="true" ht="14.25" hidden="false" customHeight="true" outlineLevel="0" collapsed="false">
      <c r="A1323" s="50" t="s">
        <v>361</v>
      </c>
      <c r="B1323" s="57" t="s">
        <v>361</v>
      </c>
      <c r="C1323" s="57" t="s">
        <v>327</v>
      </c>
      <c r="D1323" s="58" t="n">
        <v>46074.9291666667</v>
      </c>
      <c r="E1323" s="58" t="n">
        <v>46074.9291666667</v>
      </c>
      <c r="F1323" s="58" t="n">
        <v>46075.0104166667</v>
      </c>
      <c r="G1323" s="59" t="n">
        <f aca="false">F1323-E1323</f>
        <v>0.08125</v>
      </c>
      <c r="H1323" s="57" t="s">
        <v>252</v>
      </c>
      <c r="I1323" s="57"/>
      <c r="J1323" s="57" t="s">
        <v>253</v>
      </c>
      <c r="K1323" s="57" t="s">
        <v>266</v>
      </c>
      <c r="L1323" s="57" t="s">
        <v>2266</v>
      </c>
      <c r="M1323" s="57" t="s">
        <v>255</v>
      </c>
      <c r="N1323" s="57" t="s">
        <v>256</v>
      </c>
      <c r="O1323" s="57" t="s">
        <v>2267</v>
      </c>
      <c r="P1323" s="57" t="s">
        <v>2274</v>
      </c>
      <c r="Q1323" s="57" t="s">
        <v>706</v>
      </c>
    </row>
    <row r="1324" s="50" customFormat="true" ht="14.25" hidden="false" customHeight="true" outlineLevel="0" collapsed="false">
      <c r="A1324" s="50" t="s">
        <v>361</v>
      </c>
      <c r="B1324" s="57" t="s">
        <v>361</v>
      </c>
      <c r="C1324" s="57" t="s">
        <v>328</v>
      </c>
      <c r="D1324" s="58" t="n">
        <v>46074.9291666667</v>
      </c>
      <c r="E1324" s="58" t="n">
        <v>46074.9291666667</v>
      </c>
      <c r="F1324" s="58" t="n">
        <v>46075.0104166667</v>
      </c>
      <c r="G1324" s="59" t="n">
        <f aca="false">F1324-E1324</f>
        <v>0.08125</v>
      </c>
      <c r="H1324" s="57" t="s">
        <v>252</v>
      </c>
      <c r="I1324" s="57"/>
      <c r="J1324" s="57" t="s">
        <v>253</v>
      </c>
      <c r="K1324" s="57" t="s">
        <v>266</v>
      </c>
      <c r="L1324" s="57" t="s">
        <v>2266</v>
      </c>
      <c r="M1324" s="57" t="s">
        <v>255</v>
      </c>
      <c r="N1324" s="57" t="s">
        <v>256</v>
      </c>
      <c r="O1324" s="57" t="s">
        <v>2267</v>
      </c>
      <c r="P1324" s="57" t="s">
        <v>2275</v>
      </c>
      <c r="Q1324" s="57" t="s">
        <v>706</v>
      </c>
    </row>
    <row r="1325" s="50" customFormat="true" ht="14.25" hidden="false" customHeight="true" outlineLevel="0" collapsed="false">
      <c r="A1325" s="50" t="s">
        <v>362</v>
      </c>
      <c r="B1325" s="57" t="s">
        <v>362</v>
      </c>
      <c r="C1325" s="57" t="s">
        <v>363</v>
      </c>
      <c r="D1325" s="58" t="n">
        <v>46074.9291666667</v>
      </c>
      <c r="E1325" s="58" t="n">
        <v>46074.9291666667</v>
      </c>
      <c r="F1325" s="58" t="n">
        <v>46075.0104166667</v>
      </c>
      <c r="G1325" s="59" t="n">
        <f aca="false">F1325-E1325</f>
        <v>0.08125</v>
      </c>
      <c r="H1325" s="57" t="s">
        <v>252</v>
      </c>
      <c r="I1325" s="57"/>
      <c r="J1325" s="57" t="s">
        <v>253</v>
      </c>
      <c r="K1325" s="57" t="s">
        <v>266</v>
      </c>
      <c r="L1325" s="57" t="s">
        <v>2266</v>
      </c>
      <c r="M1325" s="57" t="s">
        <v>255</v>
      </c>
      <c r="N1325" s="57" t="s">
        <v>256</v>
      </c>
      <c r="O1325" s="57" t="s">
        <v>2267</v>
      </c>
      <c r="P1325" s="57" t="s">
        <v>2276</v>
      </c>
      <c r="Q1325" s="57" t="s">
        <v>706</v>
      </c>
    </row>
    <row r="1326" s="50" customFormat="true" ht="14.25" hidden="false" customHeight="true" outlineLevel="0" collapsed="false">
      <c r="A1326" s="50" t="s">
        <v>362</v>
      </c>
      <c r="B1326" s="57" t="s">
        <v>362</v>
      </c>
      <c r="C1326" s="57" t="s">
        <v>265</v>
      </c>
      <c r="D1326" s="58" t="n">
        <v>46074.9291666667</v>
      </c>
      <c r="E1326" s="58" t="n">
        <v>46074.9291666667</v>
      </c>
      <c r="F1326" s="58" t="n">
        <v>46075.0104166667</v>
      </c>
      <c r="G1326" s="59" t="n">
        <f aca="false">F1326-E1326</f>
        <v>0.08125</v>
      </c>
      <c r="H1326" s="57" t="s">
        <v>252</v>
      </c>
      <c r="I1326" s="57"/>
      <c r="J1326" s="57" t="s">
        <v>253</v>
      </c>
      <c r="K1326" s="57" t="s">
        <v>266</v>
      </c>
      <c r="L1326" s="57" t="s">
        <v>2266</v>
      </c>
      <c r="M1326" s="57" t="s">
        <v>255</v>
      </c>
      <c r="N1326" s="57" t="s">
        <v>256</v>
      </c>
      <c r="O1326" s="57" t="s">
        <v>2267</v>
      </c>
      <c r="P1326" s="57" t="s">
        <v>2277</v>
      </c>
      <c r="Q1326" s="57" t="s">
        <v>706</v>
      </c>
    </row>
    <row r="1327" s="50" customFormat="true" ht="14.25" hidden="false" customHeight="true" outlineLevel="0" collapsed="false">
      <c r="A1327" s="50" t="s">
        <v>367</v>
      </c>
      <c r="B1327" s="57" t="s">
        <v>367</v>
      </c>
      <c r="C1327" s="57" t="s">
        <v>324</v>
      </c>
      <c r="D1327" s="58" t="n">
        <v>46074.9291666667</v>
      </c>
      <c r="E1327" s="58" t="n">
        <v>46074.9291666667</v>
      </c>
      <c r="F1327" s="58" t="n">
        <v>46075.0104166667</v>
      </c>
      <c r="G1327" s="59" t="n">
        <f aca="false">F1327-E1327</f>
        <v>0.08125</v>
      </c>
      <c r="H1327" s="57" t="s">
        <v>252</v>
      </c>
      <c r="I1327" s="57"/>
      <c r="J1327" s="57" t="s">
        <v>253</v>
      </c>
      <c r="K1327" s="57" t="s">
        <v>266</v>
      </c>
      <c r="L1327" s="57" t="s">
        <v>2266</v>
      </c>
      <c r="M1327" s="57" t="s">
        <v>255</v>
      </c>
      <c r="N1327" s="57" t="s">
        <v>256</v>
      </c>
      <c r="O1327" s="57" t="s">
        <v>2267</v>
      </c>
      <c r="P1327" s="57" t="s">
        <v>2278</v>
      </c>
      <c r="Q1327" s="57" t="s">
        <v>706</v>
      </c>
    </row>
    <row r="1328" s="50" customFormat="true" ht="14.25" hidden="false" customHeight="true" outlineLevel="0" collapsed="false">
      <c r="A1328" s="50" t="s">
        <v>367</v>
      </c>
      <c r="B1328" s="57" t="s">
        <v>367</v>
      </c>
      <c r="C1328" s="57" t="s">
        <v>328</v>
      </c>
      <c r="D1328" s="58" t="n">
        <v>46074.9291666667</v>
      </c>
      <c r="E1328" s="58" t="n">
        <v>46074.9291666667</v>
      </c>
      <c r="F1328" s="58" t="n">
        <v>46075.0104166667</v>
      </c>
      <c r="G1328" s="59" t="n">
        <f aca="false">F1328-E1328</f>
        <v>0.08125</v>
      </c>
      <c r="H1328" s="57" t="s">
        <v>252</v>
      </c>
      <c r="I1328" s="57"/>
      <c r="J1328" s="57" t="s">
        <v>253</v>
      </c>
      <c r="K1328" s="57" t="s">
        <v>266</v>
      </c>
      <c r="L1328" s="57" t="s">
        <v>2266</v>
      </c>
      <c r="M1328" s="57" t="s">
        <v>255</v>
      </c>
      <c r="N1328" s="57" t="s">
        <v>256</v>
      </c>
      <c r="O1328" s="57" t="s">
        <v>2267</v>
      </c>
      <c r="P1328" s="57" t="s">
        <v>2279</v>
      </c>
      <c r="Q1328" s="57" t="s">
        <v>706</v>
      </c>
    </row>
    <row r="1329" s="50" customFormat="true" ht="14.25" hidden="false" customHeight="true" outlineLevel="0" collapsed="false">
      <c r="A1329" s="50" t="s">
        <v>367</v>
      </c>
      <c r="B1329" s="57" t="s">
        <v>367</v>
      </c>
      <c r="C1329" s="57" t="s">
        <v>327</v>
      </c>
      <c r="D1329" s="58" t="n">
        <v>46074.9291666667</v>
      </c>
      <c r="E1329" s="58" t="n">
        <v>46074.9291666667</v>
      </c>
      <c r="F1329" s="58" t="n">
        <v>46075.0104166667</v>
      </c>
      <c r="G1329" s="59" t="n">
        <f aca="false">F1329-E1329</f>
        <v>0.08125</v>
      </c>
      <c r="H1329" s="57" t="s">
        <v>252</v>
      </c>
      <c r="I1329" s="57"/>
      <c r="J1329" s="57" t="s">
        <v>253</v>
      </c>
      <c r="K1329" s="57" t="s">
        <v>266</v>
      </c>
      <c r="L1329" s="57" t="s">
        <v>2266</v>
      </c>
      <c r="M1329" s="57" t="s">
        <v>255</v>
      </c>
      <c r="N1329" s="57" t="s">
        <v>256</v>
      </c>
      <c r="O1329" s="57" t="s">
        <v>2267</v>
      </c>
      <c r="P1329" s="57" t="s">
        <v>2280</v>
      </c>
      <c r="Q1329" s="57" t="s">
        <v>706</v>
      </c>
    </row>
    <row r="1330" s="50" customFormat="true" ht="14.25" hidden="false" customHeight="true" outlineLevel="0" collapsed="false">
      <c r="A1330" s="50" t="s">
        <v>367</v>
      </c>
      <c r="B1330" s="57" t="s">
        <v>367</v>
      </c>
      <c r="C1330" s="57" t="s">
        <v>265</v>
      </c>
      <c r="D1330" s="58" t="n">
        <v>46074.9291666667</v>
      </c>
      <c r="E1330" s="58" t="n">
        <v>46074.9291666667</v>
      </c>
      <c r="F1330" s="58" t="n">
        <v>46075.0104166667</v>
      </c>
      <c r="G1330" s="59" t="n">
        <f aca="false">F1330-E1330</f>
        <v>0.08125</v>
      </c>
      <c r="H1330" s="57" t="s">
        <v>252</v>
      </c>
      <c r="I1330" s="57"/>
      <c r="J1330" s="57" t="s">
        <v>253</v>
      </c>
      <c r="K1330" s="57" t="s">
        <v>266</v>
      </c>
      <c r="L1330" s="57" t="s">
        <v>2266</v>
      </c>
      <c r="M1330" s="57" t="s">
        <v>255</v>
      </c>
      <c r="N1330" s="57" t="s">
        <v>256</v>
      </c>
      <c r="O1330" s="57" t="s">
        <v>2267</v>
      </c>
      <c r="P1330" s="57" t="s">
        <v>2281</v>
      </c>
      <c r="Q1330" s="57" t="s">
        <v>706</v>
      </c>
    </row>
    <row r="1331" s="50" customFormat="true" ht="14.25" hidden="false" customHeight="true" outlineLevel="0" collapsed="false">
      <c r="A1331" s="50" t="s">
        <v>460</v>
      </c>
      <c r="B1331" s="57" t="s">
        <v>460</v>
      </c>
      <c r="C1331" s="57" t="s">
        <v>328</v>
      </c>
      <c r="D1331" s="58" t="n">
        <v>46074.9291666667</v>
      </c>
      <c r="E1331" s="58" t="n">
        <v>46074.9291666667</v>
      </c>
      <c r="F1331" s="58" t="n">
        <v>46075.0104166667</v>
      </c>
      <c r="G1331" s="59" t="n">
        <f aca="false">F1331-E1331</f>
        <v>0.08125</v>
      </c>
      <c r="H1331" s="57" t="s">
        <v>252</v>
      </c>
      <c r="I1331" s="57"/>
      <c r="J1331" s="57" t="s">
        <v>253</v>
      </c>
      <c r="K1331" s="57" t="s">
        <v>266</v>
      </c>
      <c r="L1331" s="57" t="s">
        <v>2266</v>
      </c>
      <c r="M1331" s="57" t="s">
        <v>255</v>
      </c>
      <c r="N1331" s="57" t="s">
        <v>256</v>
      </c>
      <c r="O1331" s="57" t="s">
        <v>2267</v>
      </c>
      <c r="P1331" s="57" t="s">
        <v>2282</v>
      </c>
      <c r="Q1331" s="57" t="s">
        <v>706</v>
      </c>
    </row>
    <row r="1332" s="50" customFormat="true" ht="14.25" hidden="false" customHeight="true" outlineLevel="0" collapsed="false">
      <c r="A1332" s="50" t="s">
        <v>460</v>
      </c>
      <c r="B1332" s="57" t="s">
        <v>460</v>
      </c>
      <c r="C1332" s="57" t="s">
        <v>326</v>
      </c>
      <c r="D1332" s="58" t="n">
        <v>46074.9291666667</v>
      </c>
      <c r="E1332" s="58" t="n">
        <v>46074.9291666667</v>
      </c>
      <c r="F1332" s="58" t="n">
        <v>46075.0104166667</v>
      </c>
      <c r="G1332" s="59" t="n">
        <f aca="false">F1332-E1332</f>
        <v>0.08125</v>
      </c>
      <c r="H1332" s="57" t="s">
        <v>252</v>
      </c>
      <c r="I1332" s="57"/>
      <c r="J1332" s="57" t="s">
        <v>253</v>
      </c>
      <c r="K1332" s="57" t="s">
        <v>266</v>
      </c>
      <c r="L1332" s="57" t="s">
        <v>2266</v>
      </c>
      <c r="M1332" s="57" t="s">
        <v>255</v>
      </c>
      <c r="N1332" s="57" t="s">
        <v>256</v>
      </c>
      <c r="O1332" s="57" t="s">
        <v>2267</v>
      </c>
      <c r="P1332" s="57" t="s">
        <v>2283</v>
      </c>
      <c r="Q1332" s="57" t="s">
        <v>706</v>
      </c>
    </row>
    <row r="1333" s="50" customFormat="true" ht="14.25" hidden="false" customHeight="true" outlineLevel="0" collapsed="false">
      <c r="A1333" s="50" t="s">
        <v>460</v>
      </c>
      <c r="B1333" s="57" t="s">
        <v>460</v>
      </c>
      <c r="C1333" s="57" t="s">
        <v>327</v>
      </c>
      <c r="D1333" s="58" t="n">
        <v>46074.9291666667</v>
      </c>
      <c r="E1333" s="58" t="n">
        <v>46074.9291666667</v>
      </c>
      <c r="F1333" s="58" t="n">
        <v>46075.0104166667</v>
      </c>
      <c r="G1333" s="59" t="n">
        <f aca="false">F1333-E1333</f>
        <v>0.08125</v>
      </c>
      <c r="H1333" s="57" t="s">
        <v>252</v>
      </c>
      <c r="I1333" s="57"/>
      <c r="J1333" s="57" t="s">
        <v>253</v>
      </c>
      <c r="K1333" s="57" t="s">
        <v>266</v>
      </c>
      <c r="L1333" s="57" t="s">
        <v>2266</v>
      </c>
      <c r="M1333" s="57" t="s">
        <v>255</v>
      </c>
      <c r="N1333" s="57" t="s">
        <v>256</v>
      </c>
      <c r="O1333" s="57" t="s">
        <v>2267</v>
      </c>
      <c r="P1333" s="57" t="s">
        <v>2284</v>
      </c>
      <c r="Q1333" s="57" t="s">
        <v>706</v>
      </c>
    </row>
    <row r="1334" s="50" customFormat="true" ht="14.25" hidden="false" customHeight="true" outlineLevel="0" collapsed="false">
      <c r="A1334" s="50" t="s">
        <v>460</v>
      </c>
      <c r="B1334" s="57" t="s">
        <v>460</v>
      </c>
      <c r="C1334" s="57" t="s">
        <v>324</v>
      </c>
      <c r="D1334" s="58" t="n">
        <v>46074.9291666667</v>
      </c>
      <c r="E1334" s="58" t="n">
        <v>46074.9291666667</v>
      </c>
      <c r="F1334" s="58" t="n">
        <v>46075.0104166667</v>
      </c>
      <c r="G1334" s="59" t="n">
        <f aca="false">F1334-E1334</f>
        <v>0.08125</v>
      </c>
      <c r="H1334" s="57" t="s">
        <v>252</v>
      </c>
      <c r="I1334" s="57"/>
      <c r="J1334" s="57" t="s">
        <v>253</v>
      </c>
      <c r="K1334" s="57" t="s">
        <v>266</v>
      </c>
      <c r="L1334" s="57" t="s">
        <v>2266</v>
      </c>
      <c r="M1334" s="57" t="s">
        <v>255</v>
      </c>
      <c r="N1334" s="57" t="s">
        <v>256</v>
      </c>
      <c r="O1334" s="57" t="s">
        <v>2267</v>
      </c>
      <c r="P1334" s="57" t="s">
        <v>2285</v>
      </c>
      <c r="Q1334" s="57" t="s">
        <v>706</v>
      </c>
    </row>
    <row r="1335" s="50" customFormat="true" ht="14.25" hidden="false" customHeight="true" outlineLevel="0" collapsed="false">
      <c r="A1335" s="50" t="s">
        <v>461</v>
      </c>
      <c r="B1335" s="57" t="s">
        <v>461</v>
      </c>
      <c r="C1335" s="57" t="s">
        <v>324</v>
      </c>
      <c r="D1335" s="58" t="n">
        <v>46074.9291666667</v>
      </c>
      <c r="E1335" s="58" t="n">
        <v>46074.9291666667</v>
      </c>
      <c r="F1335" s="58" t="n">
        <v>46075.0104166667</v>
      </c>
      <c r="G1335" s="59" t="n">
        <f aca="false">F1335-E1335</f>
        <v>0.08125</v>
      </c>
      <c r="H1335" s="57" t="s">
        <v>252</v>
      </c>
      <c r="I1335" s="57"/>
      <c r="J1335" s="57" t="s">
        <v>253</v>
      </c>
      <c r="K1335" s="57" t="s">
        <v>266</v>
      </c>
      <c r="L1335" s="57" t="s">
        <v>2266</v>
      </c>
      <c r="M1335" s="57" t="s">
        <v>255</v>
      </c>
      <c r="N1335" s="57" t="s">
        <v>256</v>
      </c>
      <c r="O1335" s="57" t="s">
        <v>2267</v>
      </c>
      <c r="P1335" s="57" t="s">
        <v>2286</v>
      </c>
      <c r="Q1335" s="57" t="s">
        <v>706</v>
      </c>
    </row>
    <row r="1336" s="50" customFormat="true" ht="14.25" hidden="false" customHeight="true" outlineLevel="0" collapsed="false">
      <c r="A1336" s="50" t="s">
        <v>461</v>
      </c>
      <c r="B1336" s="57" t="s">
        <v>461</v>
      </c>
      <c r="C1336" s="57" t="s">
        <v>326</v>
      </c>
      <c r="D1336" s="58" t="n">
        <v>46074.9291666667</v>
      </c>
      <c r="E1336" s="58" t="n">
        <v>46074.9291666667</v>
      </c>
      <c r="F1336" s="58" t="n">
        <v>46075.0104166667</v>
      </c>
      <c r="G1336" s="59" t="n">
        <f aca="false">F1336-E1336</f>
        <v>0.08125</v>
      </c>
      <c r="H1336" s="57" t="s">
        <v>252</v>
      </c>
      <c r="I1336" s="57"/>
      <c r="J1336" s="57" t="s">
        <v>253</v>
      </c>
      <c r="K1336" s="57" t="s">
        <v>266</v>
      </c>
      <c r="L1336" s="57" t="s">
        <v>2266</v>
      </c>
      <c r="M1336" s="57" t="s">
        <v>255</v>
      </c>
      <c r="N1336" s="57" t="s">
        <v>256</v>
      </c>
      <c r="O1336" s="57" t="s">
        <v>2267</v>
      </c>
      <c r="P1336" s="57" t="s">
        <v>2287</v>
      </c>
      <c r="Q1336" s="57" t="s">
        <v>706</v>
      </c>
    </row>
    <row r="1337" s="50" customFormat="true" ht="14.25" hidden="false" customHeight="true" outlineLevel="0" collapsed="false">
      <c r="A1337" s="50" t="s">
        <v>339</v>
      </c>
      <c r="B1337" s="57" t="s">
        <v>339</v>
      </c>
      <c r="C1337" s="57" t="s">
        <v>324</v>
      </c>
      <c r="D1337" s="58" t="n">
        <v>46075.10625</v>
      </c>
      <c r="E1337" s="58" t="n">
        <v>46075.10625</v>
      </c>
      <c r="F1337" s="58" t="n">
        <v>46075.6423611111</v>
      </c>
      <c r="G1337" s="59" t="n">
        <f aca="false">F1337-E1337</f>
        <v>0.536111111111111</v>
      </c>
      <c r="H1337" s="57" t="s">
        <v>252</v>
      </c>
      <c r="I1337" s="57"/>
      <c r="J1337" s="57" t="s">
        <v>253</v>
      </c>
      <c r="K1337" s="57" t="s">
        <v>266</v>
      </c>
      <c r="L1337" s="57" t="s">
        <v>2288</v>
      </c>
      <c r="M1337" s="57" t="s">
        <v>255</v>
      </c>
      <c r="N1337" s="57" t="s">
        <v>256</v>
      </c>
      <c r="O1337" s="57" t="s">
        <v>2289</v>
      </c>
      <c r="P1337" s="57" t="s">
        <v>2290</v>
      </c>
      <c r="Q1337" s="57" t="s">
        <v>706</v>
      </c>
    </row>
    <row r="1338" s="50" customFormat="true" ht="14.25" hidden="false" customHeight="true" outlineLevel="0" collapsed="false">
      <c r="A1338" s="50" t="s">
        <v>339</v>
      </c>
      <c r="B1338" s="57" t="s">
        <v>339</v>
      </c>
      <c r="C1338" s="57" t="s">
        <v>327</v>
      </c>
      <c r="D1338" s="58" t="n">
        <v>46075.10625</v>
      </c>
      <c r="E1338" s="58" t="n">
        <v>46075.10625</v>
      </c>
      <c r="F1338" s="58" t="n">
        <v>46075.6423611111</v>
      </c>
      <c r="G1338" s="59" t="n">
        <f aca="false">F1338-E1338</f>
        <v>0.536111111111111</v>
      </c>
      <c r="H1338" s="57" t="s">
        <v>252</v>
      </c>
      <c r="I1338" s="57"/>
      <c r="J1338" s="57" t="s">
        <v>253</v>
      </c>
      <c r="K1338" s="57" t="s">
        <v>266</v>
      </c>
      <c r="L1338" s="57" t="s">
        <v>2288</v>
      </c>
      <c r="M1338" s="57" t="s">
        <v>255</v>
      </c>
      <c r="N1338" s="57" t="s">
        <v>256</v>
      </c>
      <c r="O1338" s="57" t="s">
        <v>2289</v>
      </c>
      <c r="P1338" s="57" t="s">
        <v>2291</v>
      </c>
      <c r="Q1338" s="57" t="s">
        <v>706</v>
      </c>
    </row>
    <row r="1339" s="50" customFormat="true" ht="14.25" hidden="false" customHeight="true" outlineLevel="0" collapsed="false">
      <c r="A1339" s="50" t="s">
        <v>339</v>
      </c>
      <c r="B1339" s="57" t="s">
        <v>339</v>
      </c>
      <c r="C1339" s="57" t="s">
        <v>326</v>
      </c>
      <c r="D1339" s="58" t="n">
        <v>46075.10625</v>
      </c>
      <c r="E1339" s="58" t="n">
        <v>46075.10625</v>
      </c>
      <c r="F1339" s="58" t="n">
        <v>46075.6423611111</v>
      </c>
      <c r="G1339" s="59" t="n">
        <f aca="false">F1339-E1339</f>
        <v>0.536111111111111</v>
      </c>
      <c r="H1339" s="57" t="s">
        <v>252</v>
      </c>
      <c r="I1339" s="57"/>
      <c r="J1339" s="57" t="s">
        <v>253</v>
      </c>
      <c r="K1339" s="57" t="s">
        <v>266</v>
      </c>
      <c r="L1339" s="57" t="s">
        <v>2288</v>
      </c>
      <c r="M1339" s="57" t="s">
        <v>255</v>
      </c>
      <c r="N1339" s="57" t="s">
        <v>256</v>
      </c>
      <c r="O1339" s="57" t="s">
        <v>2289</v>
      </c>
      <c r="P1339" s="57" t="s">
        <v>2292</v>
      </c>
      <c r="Q1339" s="57" t="s">
        <v>706</v>
      </c>
    </row>
    <row r="1340" s="50" customFormat="true" ht="14.25" hidden="false" customHeight="true" outlineLevel="0" collapsed="false">
      <c r="A1340" s="50" t="s">
        <v>339</v>
      </c>
      <c r="B1340" s="57" t="s">
        <v>339</v>
      </c>
      <c r="C1340" s="57" t="s">
        <v>265</v>
      </c>
      <c r="D1340" s="58" t="n">
        <v>46075.10625</v>
      </c>
      <c r="E1340" s="58" t="n">
        <v>46075.10625</v>
      </c>
      <c r="F1340" s="58" t="n">
        <v>46075.6423611111</v>
      </c>
      <c r="G1340" s="59" t="n">
        <f aca="false">F1340-E1340</f>
        <v>0.536111111111111</v>
      </c>
      <c r="H1340" s="57" t="s">
        <v>252</v>
      </c>
      <c r="I1340" s="57"/>
      <c r="J1340" s="57" t="s">
        <v>253</v>
      </c>
      <c r="K1340" s="57" t="s">
        <v>266</v>
      </c>
      <c r="L1340" s="57" t="s">
        <v>2288</v>
      </c>
      <c r="M1340" s="57" t="s">
        <v>255</v>
      </c>
      <c r="N1340" s="57" t="s">
        <v>256</v>
      </c>
      <c r="O1340" s="57" t="s">
        <v>2289</v>
      </c>
      <c r="P1340" s="57" t="s">
        <v>2293</v>
      </c>
      <c r="Q1340" s="57" t="s">
        <v>706</v>
      </c>
    </row>
    <row r="1341" s="50" customFormat="true" ht="14.25" hidden="false" customHeight="true" outlineLevel="0" collapsed="false">
      <c r="A1341" s="50" t="s">
        <v>340</v>
      </c>
      <c r="B1341" s="57" t="s">
        <v>340</v>
      </c>
      <c r="C1341" s="57" t="s">
        <v>327</v>
      </c>
      <c r="D1341" s="58" t="n">
        <v>46075.10625</v>
      </c>
      <c r="E1341" s="58" t="n">
        <v>46075.10625</v>
      </c>
      <c r="F1341" s="58" t="n">
        <v>46075.6423611111</v>
      </c>
      <c r="G1341" s="59" t="n">
        <f aca="false">F1341-E1341</f>
        <v>0.536111111111111</v>
      </c>
      <c r="H1341" s="57" t="s">
        <v>252</v>
      </c>
      <c r="I1341" s="57"/>
      <c r="J1341" s="57" t="s">
        <v>253</v>
      </c>
      <c r="K1341" s="57" t="s">
        <v>266</v>
      </c>
      <c r="L1341" s="57" t="s">
        <v>2288</v>
      </c>
      <c r="M1341" s="57" t="s">
        <v>255</v>
      </c>
      <c r="N1341" s="57" t="s">
        <v>256</v>
      </c>
      <c r="O1341" s="57" t="s">
        <v>2289</v>
      </c>
      <c r="P1341" s="57" t="s">
        <v>2294</v>
      </c>
      <c r="Q1341" s="57" t="s">
        <v>706</v>
      </c>
    </row>
    <row r="1342" s="50" customFormat="true" ht="14.25" hidden="false" customHeight="true" outlineLevel="0" collapsed="false">
      <c r="A1342" s="50" t="s">
        <v>340</v>
      </c>
      <c r="B1342" s="57" t="s">
        <v>340</v>
      </c>
      <c r="C1342" s="57" t="s">
        <v>326</v>
      </c>
      <c r="D1342" s="58" t="n">
        <v>46075.10625</v>
      </c>
      <c r="E1342" s="58" t="n">
        <v>46075.10625</v>
      </c>
      <c r="F1342" s="58" t="n">
        <v>46075.6423611111</v>
      </c>
      <c r="G1342" s="59" t="n">
        <f aca="false">F1342-E1342</f>
        <v>0.536111111111111</v>
      </c>
      <c r="H1342" s="57" t="s">
        <v>252</v>
      </c>
      <c r="I1342" s="57"/>
      <c r="J1342" s="57" t="s">
        <v>253</v>
      </c>
      <c r="K1342" s="57" t="s">
        <v>266</v>
      </c>
      <c r="L1342" s="57" t="s">
        <v>2288</v>
      </c>
      <c r="M1342" s="57" t="s">
        <v>255</v>
      </c>
      <c r="N1342" s="57" t="s">
        <v>256</v>
      </c>
      <c r="O1342" s="57" t="s">
        <v>2289</v>
      </c>
      <c r="P1342" s="57" t="s">
        <v>2295</v>
      </c>
      <c r="Q1342" s="57" t="s">
        <v>706</v>
      </c>
    </row>
    <row r="1343" s="50" customFormat="true" ht="14.25" hidden="false" customHeight="true" outlineLevel="0" collapsed="false">
      <c r="A1343" s="50" t="s">
        <v>340</v>
      </c>
      <c r="B1343" s="57" t="s">
        <v>340</v>
      </c>
      <c r="C1343" s="57" t="s">
        <v>324</v>
      </c>
      <c r="D1343" s="58" t="n">
        <v>46075.10625</v>
      </c>
      <c r="E1343" s="58" t="n">
        <v>46075.10625</v>
      </c>
      <c r="F1343" s="58" t="n">
        <v>46075.6423611111</v>
      </c>
      <c r="G1343" s="59" t="n">
        <f aca="false">F1343-E1343</f>
        <v>0.536111111111111</v>
      </c>
      <c r="H1343" s="57" t="s">
        <v>252</v>
      </c>
      <c r="I1343" s="57"/>
      <c r="J1343" s="57" t="s">
        <v>253</v>
      </c>
      <c r="K1343" s="57" t="s">
        <v>266</v>
      </c>
      <c r="L1343" s="57" t="s">
        <v>2288</v>
      </c>
      <c r="M1343" s="57" t="s">
        <v>255</v>
      </c>
      <c r="N1343" s="57" t="s">
        <v>256</v>
      </c>
      <c r="O1343" s="57" t="s">
        <v>2289</v>
      </c>
      <c r="P1343" s="57" t="s">
        <v>2296</v>
      </c>
      <c r="Q1343" s="57" t="s">
        <v>706</v>
      </c>
    </row>
    <row r="1344" s="50" customFormat="true" ht="14.25" hidden="false" customHeight="true" outlineLevel="0" collapsed="false">
      <c r="A1344" s="50" t="s">
        <v>340</v>
      </c>
      <c r="B1344" s="57" t="s">
        <v>340</v>
      </c>
      <c r="C1344" s="57" t="s">
        <v>265</v>
      </c>
      <c r="D1344" s="58" t="n">
        <v>46075.10625</v>
      </c>
      <c r="E1344" s="58" t="n">
        <v>46075.10625</v>
      </c>
      <c r="F1344" s="58" t="n">
        <v>46075.6423611111</v>
      </c>
      <c r="G1344" s="59" t="n">
        <f aca="false">F1344-E1344</f>
        <v>0.536111111111111</v>
      </c>
      <c r="H1344" s="57" t="s">
        <v>252</v>
      </c>
      <c r="I1344" s="57"/>
      <c r="J1344" s="57" t="s">
        <v>253</v>
      </c>
      <c r="K1344" s="57" t="s">
        <v>266</v>
      </c>
      <c r="L1344" s="57" t="s">
        <v>2288</v>
      </c>
      <c r="M1344" s="57" t="s">
        <v>255</v>
      </c>
      <c r="N1344" s="57" t="s">
        <v>256</v>
      </c>
      <c r="O1344" s="57" t="s">
        <v>2289</v>
      </c>
      <c r="P1344" s="57" t="s">
        <v>2297</v>
      </c>
      <c r="Q1344" s="57" t="s">
        <v>706</v>
      </c>
    </row>
    <row r="1345" s="50" customFormat="true" ht="14.25" hidden="false" customHeight="true" outlineLevel="0" collapsed="false">
      <c r="A1345" s="50" t="s">
        <v>341</v>
      </c>
      <c r="B1345" s="57" t="s">
        <v>341</v>
      </c>
      <c r="C1345" s="57" t="s">
        <v>326</v>
      </c>
      <c r="D1345" s="58" t="n">
        <v>46075.10625</v>
      </c>
      <c r="E1345" s="58" t="n">
        <v>46075.10625</v>
      </c>
      <c r="F1345" s="58" t="n">
        <v>46075.6423611111</v>
      </c>
      <c r="G1345" s="59" t="n">
        <f aca="false">F1345-E1345</f>
        <v>0.536111111111111</v>
      </c>
      <c r="H1345" s="57" t="s">
        <v>252</v>
      </c>
      <c r="I1345" s="57"/>
      <c r="J1345" s="57" t="s">
        <v>253</v>
      </c>
      <c r="K1345" s="57" t="s">
        <v>266</v>
      </c>
      <c r="L1345" s="57" t="s">
        <v>2288</v>
      </c>
      <c r="M1345" s="57" t="s">
        <v>255</v>
      </c>
      <c r="N1345" s="57" t="s">
        <v>256</v>
      </c>
      <c r="O1345" s="57" t="s">
        <v>2289</v>
      </c>
      <c r="P1345" s="57" t="s">
        <v>2298</v>
      </c>
      <c r="Q1345" s="57" t="s">
        <v>706</v>
      </c>
    </row>
    <row r="1346" s="50" customFormat="true" ht="14.25" hidden="false" customHeight="true" outlineLevel="0" collapsed="false">
      <c r="A1346" s="50" t="s">
        <v>341</v>
      </c>
      <c r="B1346" s="57" t="s">
        <v>341</v>
      </c>
      <c r="C1346" s="57" t="s">
        <v>324</v>
      </c>
      <c r="D1346" s="58" t="n">
        <v>46075.10625</v>
      </c>
      <c r="E1346" s="58" t="n">
        <v>46075.10625</v>
      </c>
      <c r="F1346" s="58" t="n">
        <v>46075.6423611111</v>
      </c>
      <c r="G1346" s="59" t="n">
        <f aca="false">F1346-E1346</f>
        <v>0.536111111111111</v>
      </c>
      <c r="H1346" s="57" t="s">
        <v>252</v>
      </c>
      <c r="I1346" s="57"/>
      <c r="J1346" s="57" t="s">
        <v>253</v>
      </c>
      <c r="K1346" s="57" t="s">
        <v>266</v>
      </c>
      <c r="L1346" s="57" t="s">
        <v>2288</v>
      </c>
      <c r="M1346" s="57" t="s">
        <v>255</v>
      </c>
      <c r="N1346" s="57" t="s">
        <v>256</v>
      </c>
      <c r="O1346" s="57" t="s">
        <v>2289</v>
      </c>
      <c r="P1346" s="57" t="s">
        <v>2299</v>
      </c>
      <c r="Q1346" s="57" t="s">
        <v>706</v>
      </c>
    </row>
    <row r="1347" s="50" customFormat="true" ht="14.25" hidden="false" customHeight="true" outlineLevel="0" collapsed="false">
      <c r="A1347" s="50" t="s">
        <v>2300</v>
      </c>
      <c r="B1347" s="57" t="s">
        <v>15</v>
      </c>
      <c r="C1347" s="57" t="s">
        <v>611</v>
      </c>
      <c r="D1347" s="58" t="n">
        <v>46075.3194444444</v>
      </c>
      <c r="E1347" s="58" t="n">
        <v>46075.3194444444</v>
      </c>
      <c r="F1347" s="58" t="n">
        <v>46075.3472222222</v>
      </c>
      <c r="G1347" s="59" t="n">
        <f aca="false">F1347-E1347</f>
        <v>0.0277777778009259</v>
      </c>
      <c r="H1347" s="57" t="s">
        <v>252</v>
      </c>
      <c r="I1347" s="57"/>
      <c r="J1347" s="57" t="s">
        <v>234</v>
      </c>
      <c r="K1347" s="57" t="s">
        <v>234</v>
      </c>
      <c r="L1347" s="57" t="s">
        <v>2301</v>
      </c>
      <c r="M1347" s="57" t="s">
        <v>2302</v>
      </c>
      <c r="N1347" s="57" t="s">
        <v>2303</v>
      </c>
      <c r="O1347" s="57" t="s">
        <v>2304</v>
      </c>
      <c r="P1347" s="57" t="s">
        <v>2305</v>
      </c>
      <c r="Q1347" s="57" t="s">
        <v>735</v>
      </c>
    </row>
    <row r="1348" s="50" customFormat="true" ht="14.25" hidden="false" customHeight="true" outlineLevel="0" collapsed="false">
      <c r="A1348" s="50" t="s">
        <v>2300</v>
      </c>
      <c r="B1348" s="57" t="s">
        <v>15</v>
      </c>
      <c r="C1348" s="57" t="s">
        <v>612</v>
      </c>
      <c r="D1348" s="58" t="n">
        <v>46075.3194444444</v>
      </c>
      <c r="E1348" s="58" t="n">
        <v>46075.3194444444</v>
      </c>
      <c r="F1348" s="58" t="n">
        <v>46075.3472222222</v>
      </c>
      <c r="G1348" s="59" t="n">
        <f aca="false">F1348-E1348</f>
        <v>0.0277777778009259</v>
      </c>
      <c r="H1348" s="57" t="s">
        <v>252</v>
      </c>
      <c r="I1348" s="57"/>
      <c r="J1348" s="57" t="s">
        <v>234</v>
      </c>
      <c r="K1348" s="57" t="s">
        <v>234</v>
      </c>
      <c r="L1348" s="57" t="s">
        <v>2301</v>
      </c>
      <c r="M1348" s="57" t="s">
        <v>2302</v>
      </c>
      <c r="N1348" s="57" t="s">
        <v>2303</v>
      </c>
      <c r="O1348" s="57" t="s">
        <v>2304</v>
      </c>
      <c r="P1348" s="57" t="s">
        <v>2306</v>
      </c>
      <c r="Q1348" s="57" t="s">
        <v>735</v>
      </c>
    </row>
    <row r="1349" s="50" customFormat="true" ht="14.25" hidden="false" customHeight="true" outlineLevel="0" collapsed="false">
      <c r="A1349" s="50" t="s">
        <v>2300</v>
      </c>
      <c r="B1349" s="57" t="s">
        <v>15</v>
      </c>
      <c r="C1349" s="57" t="s">
        <v>613</v>
      </c>
      <c r="D1349" s="58" t="n">
        <v>46075.3194444444</v>
      </c>
      <c r="E1349" s="58" t="n">
        <v>46075.3194444444</v>
      </c>
      <c r="F1349" s="58" t="n">
        <v>46075.3472222222</v>
      </c>
      <c r="G1349" s="59" t="n">
        <f aca="false">F1349-E1349</f>
        <v>0.0277777778009259</v>
      </c>
      <c r="H1349" s="57" t="s">
        <v>252</v>
      </c>
      <c r="I1349" s="57"/>
      <c r="J1349" s="57" t="s">
        <v>234</v>
      </c>
      <c r="K1349" s="57" t="s">
        <v>234</v>
      </c>
      <c r="L1349" s="57" t="s">
        <v>2301</v>
      </c>
      <c r="M1349" s="57" t="s">
        <v>2302</v>
      </c>
      <c r="N1349" s="57" t="s">
        <v>2303</v>
      </c>
      <c r="O1349" s="57" t="s">
        <v>2304</v>
      </c>
      <c r="P1349" s="57" t="s">
        <v>2307</v>
      </c>
      <c r="Q1349" s="57" t="s">
        <v>735</v>
      </c>
    </row>
    <row r="1350" s="50" customFormat="true" ht="14.25" hidden="false" customHeight="true" outlineLevel="0" collapsed="false">
      <c r="A1350" s="50" t="s">
        <v>2300</v>
      </c>
      <c r="B1350" s="57" t="s">
        <v>15</v>
      </c>
      <c r="C1350" s="57" t="s">
        <v>614</v>
      </c>
      <c r="D1350" s="58" t="n">
        <v>46075.3194444444</v>
      </c>
      <c r="E1350" s="58" t="n">
        <v>46075.3194444444</v>
      </c>
      <c r="F1350" s="58" t="n">
        <v>46075.3472222222</v>
      </c>
      <c r="G1350" s="59" t="n">
        <f aca="false">F1350-E1350</f>
        <v>0.0277777778009259</v>
      </c>
      <c r="H1350" s="57" t="s">
        <v>252</v>
      </c>
      <c r="I1350" s="57"/>
      <c r="J1350" s="57" t="s">
        <v>234</v>
      </c>
      <c r="K1350" s="57" t="s">
        <v>234</v>
      </c>
      <c r="L1350" s="57" t="s">
        <v>2301</v>
      </c>
      <c r="M1350" s="57" t="s">
        <v>2302</v>
      </c>
      <c r="N1350" s="57" t="s">
        <v>2303</v>
      </c>
      <c r="O1350" s="57" t="s">
        <v>2304</v>
      </c>
      <c r="P1350" s="57" t="s">
        <v>2308</v>
      </c>
      <c r="Q1350" s="57" t="s">
        <v>735</v>
      </c>
    </row>
    <row r="1351" s="50" customFormat="true" ht="14.25" hidden="false" customHeight="true" outlineLevel="0" collapsed="false">
      <c r="A1351" s="50" t="s">
        <v>2300</v>
      </c>
      <c r="B1351" s="57" t="s">
        <v>15</v>
      </c>
      <c r="C1351" s="57" t="s">
        <v>615</v>
      </c>
      <c r="D1351" s="58" t="n">
        <v>46075.3194444444</v>
      </c>
      <c r="E1351" s="58" t="n">
        <v>46075.3194444444</v>
      </c>
      <c r="F1351" s="58" t="n">
        <v>46075.3472222222</v>
      </c>
      <c r="G1351" s="59" t="n">
        <f aca="false">F1351-E1351</f>
        <v>0.0277777778009259</v>
      </c>
      <c r="H1351" s="57" t="s">
        <v>252</v>
      </c>
      <c r="I1351" s="57"/>
      <c r="J1351" s="57" t="s">
        <v>234</v>
      </c>
      <c r="K1351" s="57" t="s">
        <v>234</v>
      </c>
      <c r="L1351" s="57" t="s">
        <v>2301</v>
      </c>
      <c r="M1351" s="57" t="s">
        <v>2302</v>
      </c>
      <c r="N1351" s="57" t="s">
        <v>2303</v>
      </c>
      <c r="O1351" s="57" t="s">
        <v>2304</v>
      </c>
      <c r="P1351" s="57" t="s">
        <v>2309</v>
      </c>
      <c r="Q1351" s="57" t="s">
        <v>735</v>
      </c>
    </row>
    <row r="1352" s="50" customFormat="true" ht="14.25" hidden="false" customHeight="true" outlineLevel="0" collapsed="false">
      <c r="A1352" s="50" t="s">
        <v>2300</v>
      </c>
      <c r="B1352" s="57" t="s">
        <v>15</v>
      </c>
      <c r="C1352" s="57" t="s">
        <v>616</v>
      </c>
      <c r="D1352" s="58" t="n">
        <v>46075.3194444444</v>
      </c>
      <c r="E1352" s="58" t="n">
        <v>46075.3194444444</v>
      </c>
      <c r="F1352" s="58" t="n">
        <v>46075.3472222222</v>
      </c>
      <c r="G1352" s="59" t="n">
        <f aca="false">F1352-E1352</f>
        <v>0.0277777778009259</v>
      </c>
      <c r="H1352" s="57" t="s">
        <v>252</v>
      </c>
      <c r="I1352" s="57"/>
      <c r="J1352" s="57" t="s">
        <v>234</v>
      </c>
      <c r="K1352" s="57" t="s">
        <v>234</v>
      </c>
      <c r="L1352" s="57" t="s">
        <v>2301</v>
      </c>
      <c r="M1352" s="57" t="s">
        <v>2302</v>
      </c>
      <c r="N1352" s="57" t="s">
        <v>2303</v>
      </c>
      <c r="O1352" s="57" t="s">
        <v>2304</v>
      </c>
      <c r="P1352" s="57" t="s">
        <v>2310</v>
      </c>
      <c r="Q1352" s="57" t="s">
        <v>735</v>
      </c>
    </row>
    <row r="1353" s="50" customFormat="true" ht="14.25" hidden="false" customHeight="true" outlineLevel="0" collapsed="false">
      <c r="A1353" s="50" t="s">
        <v>2300</v>
      </c>
      <c r="B1353" s="57" t="s">
        <v>15</v>
      </c>
      <c r="C1353" s="57" t="s">
        <v>617</v>
      </c>
      <c r="D1353" s="58" t="n">
        <v>46075.3194444444</v>
      </c>
      <c r="E1353" s="58" t="n">
        <v>46075.3194444444</v>
      </c>
      <c r="F1353" s="58" t="n">
        <v>46075.3472222222</v>
      </c>
      <c r="G1353" s="59" t="n">
        <f aca="false">F1353-E1353</f>
        <v>0.0277777778009259</v>
      </c>
      <c r="H1353" s="57" t="s">
        <v>252</v>
      </c>
      <c r="I1353" s="57"/>
      <c r="J1353" s="57" t="s">
        <v>234</v>
      </c>
      <c r="K1353" s="57" t="s">
        <v>234</v>
      </c>
      <c r="L1353" s="57" t="s">
        <v>2301</v>
      </c>
      <c r="M1353" s="57" t="s">
        <v>2302</v>
      </c>
      <c r="N1353" s="57" t="s">
        <v>2303</v>
      </c>
      <c r="O1353" s="57" t="s">
        <v>2304</v>
      </c>
      <c r="P1353" s="57" t="s">
        <v>2311</v>
      </c>
      <c r="Q1353" s="57" t="s">
        <v>735</v>
      </c>
    </row>
    <row r="1354" s="50" customFormat="true" ht="14.25" hidden="false" customHeight="true" outlineLevel="0" collapsed="false">
      <c r="A1354" s="50" t="s">
        <v>500</v>
      </c>
      <c r="B1354" s="57" t="s">
        <v>500</v>
      </c>
      <c r="C1354" s="57" t="s">
        <v>488</v>
      </c>
      <c r="D1354" s="58" t="n">
        <v>46075.4173611111</v>
      </c>
      <c r="E1354" s="58" t="n">
        <v>46075.4173611111</v>
      </c>
      <c r="F1354" s="58" t="n">
        <v>46075.4604166667</v>
      </c>
      <c r="G1354" s="59" t="n">
        <f aca="false">F1354-E1354</f>
        <v>0.0430555556018519</v>
      </c>
      <c r="H1354" s="57" t="s">
        <v>252</v>
      </c>
      <c r="I1354" s="57"/>
      <c r="J1354" s="57" t="s">
        <v>333</v>
      </c>
      <c r="K1354" s="57" t="s">
        <v>334</v>
      </c>
      <c r="L1354" s="57" t="s">
        <v>2312</v>
      </c>
      <c r="M1354" s="57" t="s">
        <v>336</v>
      </c>
      <c r="N1354" s="57" t="s">
        <v>289</v>
      </c>
      <c r="O1354" s="57" t="s">
        <v>2313</v>
      </c>
      <c r="P1354" s="57" t="s">
        <v>2314</v>
      </c>
      <c r="Q1354" s="57" t="s">
        <v>698</v>
      </c>
    </row>
    <row r="1355" s="50" customFormat="true" ht="14.25" hidden="false" customHeight="true" outlineLevel="0" collapsed="false">
      <c r="A1355" s="50" t="s">
        <v>718</v>
      </c>
      <c r="B1355" s="57" t="s">
        <v>331</v>
      </c>
      <c r="C1355" s="57" t="s">
        <v>654</v>
      </c>
      <c r="D1355" s="58" t="n">
        <v>46075.5277777778</v>
      </c>
      <c r="E1355" s="58" t="n">
        <v>46075.5277777778</v>
      </c>
      <c r="F1355" s="58" t="n">
        <v>46075.6944444444</v>
      </c>
      <c r="G1355" s="59" t="n">
        <f aca="false">F1355-E1355</f>
        <v>0.166666666597222</v>
      </c>
      <c r="H1355" s="57" t="s">
        <v>252</v>
      </c>
      <c r="I1355" s="57"/>
      <c r="J1355" s="57" t="s">
        <v>333</v>
      </c>
      <c r="K1355" s="57" t="s">
        <v>334</v>
      </c>
      <c r="L1355" s="57" t="s">
        <v>2315</v>
      </c>
      <c r="M1355" s="57" t="s">
        <v>336</v>
      </c>
      <c r="N1355" s="57" t="s">
        <v>289</v>
      </c>
      <c r="O1355" s="57" t="s">
        <v>2316</v>
      </c>
      <c r="P1355" s="57" t="s">
        <v>2317</v>
      </c>
      <c r="Q1355" s="57" t="s">
        <v>698</v>
      </c>
    </row>
    <row r="1356" s="50" customFormat="true" ht="14.25" hidden="false" customHeight="true" outlineLevel="0" collapsed="false">
      <c r="A1356" s="50" t="s">
        <v>264</v>
      </c>
      <c r="B1356" s="57" t="s">
        <v>264</v>
      </c>
      <c r="C1356" s="57" t="s">
        <v>265</v>
      </c>
      <c r="D1356" s="58" t="n">
        <v>46075.6388888889</v>
      </c>
      <c r="E1356" s="58" t="n">
        <v>46075.6388888889</v>
      </c>
      <c r="F1356" s="58" t="n">
        <v>46075.6645833333</v>
      </c>
      <c r="G1356" s="59" t="n">
        <f aca="false">F1356-E1356</f>
        <v>0.0256944444097222</v>
      </c>
      <c r="H1356" s="57" t="s">
        <v>252</v>
      </c>
      <c r="I1356" s="57"/>
      <c r="J1356" s="57" t="s">
        <v>253</v>
      </c>
      <c r="K1356" s="57" t="s">
        <v>266</v>
      </c>
      <c r="L1356" s="57" t="s">
        <v>2318</v>
      </c>
      <c r="M1356" s="57" t="s">
        <v>255</v>
      </c>
      <c r="N1356" s="57" t="s">
        <v>256</v>
      </c>
      <c r="O1356" s="57" t="s">
        <v>2319</v>
      </c>
      <c r="P1356" s="57" t="s">
        <v>2320</v>
      </c>
      <c r="Q1356" s="57" t="s">
        <v>706</v>
      </c>
    </row>
    <row r="1357" s="50" customFormat="true" ht="14.25" hidden="false" customHeight="true" outlineLevel="0" collapsed="false">
      <c r="A1357" s="50" t="s">
        <v>271</v>
      </c>
      <c r="B1357" s="57" t="s">
        <v>271</v>
      </c>
      <c r="C1357" s="57" t="s">
        <v>265</v>
      </c>
      <c r="D1357" s="58" t="n">
        <v>46075.6388888889</v>
      </c>
      <c r="E1357" s="58" t="n">
        <v>46075.6388888889</v>
      </c>
      <c r="F1357" s="58" t="n">
        <v>46075.6645833333</v>
      </c>
      <c r="G1357" s="59" t="n">
        <f aca="false">F1357-E1357</f>
        <v>0.0256944444097222</v>
      </c>
      <c r="H1357" s="57" t="s">
        <v>252</v>
      </c>
      <c r="I1357" s="57"/>
      <c r="J1357" s="57" t="s">
        <v>253</v>
      </c>
      <c r="K1357" s="57" t="s">
        <v>266</v>
      </c>
      <c r="L1357" s="57" t="s">
        <v>2318</v>
      </c>
      <c r="M1357" s="57" t="s">
        <v>255</v>
      </c>
      <c r="N1357" s="57" t="s">
        <v>256</v>
      </c>
      <c r="O1357" s="57" t="s">
        <v>2319</v>
      </c>
      <c r="P1357" s="57" t="s">
        <v>2321</v>
      </c>
      <c r="Q1357" s="57" t="s">
        <v>706</v>
      </c>
    </row>
    <row r="1358" s="50" customFormat="true" ht="14.25" hidden="false" customHeight="true" outlineLevel="0" collapsed="false">
      <c r="A1358" s="50" t="s">
        <v>272</v>
      </c>
      <c r="B1358" s="57" t="s">
        <v>272</v>
      </c>
      <c r="C1358" s="57" t="s">
        <v>265</v>
      </c>
      <c r="D1358" s="58" t="n">
        <v>46075.6388888889</v>
      </c>
      <c r="E1358" s="58" t="n">
        <v>46075.6388888889</v>
      </c>
      <c r="F1358" s="58" t="n">
        <v>46075.6645833333</v>
      </c>
      <c r="G1358" s="59" t="n">
        <f aca="false">F1358-E1358</f>
        <v>0.0256944444097222</v>
      </c>
      <c r="H1358" s="57" t="s">
        <v>252</v>
      </c>
      <c r="I1358" s="57"/>
      <c r="J1358" s="57" t="s">
        <v>253</v>
      </c>
      <c r="K1358" s="57" t="s">
        <v>266</v>
      </c>
      <c r="L1358" s="57" t="s">
        <v>2318</v>
      </c>
      <c r="M1358" s="57" t="s">
        <v>255</v>
      </c>
      <c r="N1358" s="57" t="s">
        <v>256</v>
      </c>
      <c r="O1358" s="57" t="s">
        <v>2319</v>
      </c>
      <c r="P1358" s="57" t="s">
        <v>2322</v>
      </c>
      <c r="Q1358" s="57" t="s">
        <v>706</v>
      </c>
    </row>
    <row r="1359" s="50" customFormat="true" ht="14.25" hidden="false" customHeight="true" outlineLevel="0" collapsed="false">
      <c r="A1359" s="50" t="s">
        <v>273</v>
      </c>
      <c r="B1359" s="57" t="s">
        <v>273</v>
      </c>
      <c r="C1359" s="57" t="s">
        <v>265</v>
      </c>
      <c r="D1359" s="58" t="n">
        <v>46075.6388888889</v>
      </c>
      <c r="E1359" s="58" t="n">
        <v>46075.6388888889</v>
      </c>
      <c r="F1359" s="58" t="n">
        <v>46075.6645833333</v>
      </c>
      <c r="G1359" s="59" t="n">
        <f aca="false">F1359-E1359</f>
        <v>0.0256944444097222</v>
      </c>
      <c r="H1359" s="57" t="s">
        <v>252</v>
      </c>
      <c r="I1359" s="57"/>
      <c r="J1359" s="57" t="s">
        <v>253</v>
      </c>
      <c r="K1359" s="57" t="s">
        <v>266</v>
      </c>
      <c r="L1359" s="57" t="s">
        <v>2318</v>
      </c>
      <c r="M1359" s="57" t="s">
        <v>255</v>
      </c>
      <c r="N1359" s="57" t="s">
        <v>256</v>
      </c>
      <c r="O1359" s="57" t="s">
        <v>2319</v>
      </c>
      <c r="P1359" s="57" t="s">
        <v>2323</v>
      </c>
      <c r="Q1359" s="57" t="s">
        <v>706</v>
      </c>
    </row>
    <row r="1360" s="50" customFormat="true" ht="14.25" hidden="false" customHeight="true" outlineLevel="0" collapsed="false">
      <c r="A1360" s="50" t="s">
        <v>367</v>
      </c>
      <c r="B1360" s="57" t="s">
        <v>367</v>
      </c>
      <c r="C1360" s="57" t="s">
        <v>324</v>
      </c>
      <c r="D1360" s="58" t="n">
        <v>46076.4034722222</v>
      </c>
      <c r="E1360" s="58" t="n">
        <v>46076.4034722222</v>
      </c>
      <c r="F1360" s="58" t="n">
        <v>46076.4201388889</v>
      </c>
      <c r="G1360" s="59" t="n">
        <f aca="false">F1360-E1360</f>
        <v>0.0166666667013889</v>
      </c>
      <c r="H1360" s="57" t="s">
        <v>252</v>
      </c>
      <c r="I1360" s="57"/>
      <c r="J1360" s="57" t="s">
        <v>253</v>
      </c>
      <c r="K1360" s="57" t="s">
        <v>266</v>
      </c>
      <c r="L1360" s="57" t="s">
        <v>2324</v>
      </c>
      <c r="M1360" s="57" t="s">
        <v>255</v>
      </c>
      <c r="N1360" s="57" t="s">
        <v>256</v>
      </c>
      <c r="O1360" s="57" t="s">
        <v>2325</v>
      </c>
      <c r="P1360" s="57" t="s">
        <v>2326</v>
      </c>
      <c r="Q1360" s="57" t="s">
        <v>706</v>
      </c>
    </row>
    <row r="1361" s="50" customFormat="true" ht="14.25" hidden="false" customHeight="true" outlineLevel="0" collapsed="false">
      <c r="A1361" s="50" t="s">
        <v>367</v>
      </c>
      <c r="B1361" s="57" t="s">
        <v>367</v>
      </c>
      <c r="C1361" s="57" t="s">
        <v>328</v>
      </c>
      <c r="D1361" s="58" t="n">
        <v>46076.4034722222</v>
      </c>
      <c r="E1361" s="58" t="n">
        <v>46076.4034722222</v>
      </c>
      <c r="F1361" s="58" t="n">
        <v>46076.4201388889</v>
      </c>
      <c r="G1361" s="59" t="n">
        <f aca="false">F1361-E1361</f>
        <v>0.0166666667013889</v>
      </c>
      <c r="H1361" s="57" t="s">
        <v>252</v>
      </c>
      <c r="I1361" s="57"/>
      <c r="J1361" s="57" t="s">
        <v>253</v>
      </c>
      <c r="K1361" s="57" t="s">
        <v>266</v>
      </c>
      <c r="L1361" s="57" t="s">
        <v>2324</v>
      </c>
      <c r="M1361" s="57" t="s">
        <v>255</v>
      </c>
      <c r="N1361" s="57" t="s">
        <v>256</v>
      </c>
      <c r="O1361" s="57" t="s">
        <v>2325</v>
      </c>
      <c r="P1361" s="57" t="s">
        <v>2327</v>
      </c>
      <c r="Q1361" s="57" t="s">
        <v>706</v>
      </c>
    </row>
    <row r="1362" s="50" customFormat="true" ht="14.25" hidden="false" customHeight="true" outlineLevel="0" collapsed="false">
      <c r="A1362" s="50" t="s">
        <v>367</v>
      </c>
      <c r="B1362" s="57" t="s">
        <v>367</v>
      </c>
      <c r="C1362" s="57" t="s">
        <v>327</v>
      </c>
      <c r="D1362" s="58" t="n">
        <v>46076.4034722222</v>
      </c>
      <c r="E1362" s="58" t="n">
        <v>46076.4034722222</v>
      </c>
      <c r="F1362" s="58" t="n">
        <v>46076.4201388889</v>
      </c>
      <c r="G1362" s="59" t="n">
        <f aca="false">F1362-E1362</f>
        <v>0.0166666667013889</v>
      </c>
      <c r="H1362" s="57" t="s">
        <v>252</v>
      </c>
      <c r="I1362" s="57"/>
      <c r="J1362" s="57" t="s">
        <v>253</v>
      </c>
      <c r="K1362" s="57" t="s">
        <v>266</v>
      </c>
      <c r="L1362" s="57" t="s">
        <v>2324</v>
      </c>
      <c r="M1362" s="57" t="s">
        <v>255</v>
      </c>
      <c r="N1362" s="57" t="s">
        <v>256</v>
      </c>
      <c r="O1362" s="57" t="s">
        <v>2325</v>
      </c>
      <c r="P1362" s="57" t="s">
        <v>2328</v>
      </c>
      <c r="Q1362" s="57" t="s">
        <v>706</v>
      </c>
    </row>
    <row r="1363" s="50" customFormat="true" ht="14.25" hidden="false" customHeight="true" outlineLevel="0" collapsed="false">
      <c r="A1363" s="50" t="s">
        <v>367</v>
      </c>
      <c r="B1363" s="57" t="s">
        <v>367</v>
      </c>
      <c r="C1363" s="57" t="s">
        <v>265</v>
      </c>
      <c r="D1363" s="58" t="n">
        <v>46076.4034722222</v>
      </c>
      <c r="E1363" s="58" t="n">
        <v>46076.4034722222</v>
      </c>
      <c r="F1363" s="58" t="n">
        <v>46076.4201388889</v>
      </c>
      <c r="G1363" s="59" t="n">
        <f aca="false">F1363-E1363</f>
        <v>0.0166666667013889</v>
      </c>
      <c r="H1363" s="57" t="s">
        <v>252</v>
      </c>
      <c r="I1363" s="57"/>
      <c r="J1363" s="57" t="s">
        <v>253</v>
      </c>
      <c r="K1363" s="57" t="s">
        <v>266</v>
      </c>
      <c r="L1363" s="57" t="s">
        <v>2324</v>
      </c>
      <c r="M1363" s="57" t="s">
        <v>255</v>
      </c>
      <c r="N1363" s="57" t="s">
        <v>256</v>
      </c>
      <c r="O1363" s="57" t="s">
        <v>2325</v>
      </c>
      <c r="P1363" s="57" t="s">
        <v>2329</v>
      </c>
      <c r="Q1363" s="57" t="s">
        <v>706</v>
      </c>
    </row>
    <row r="1364" s="50" customFormat="true" ht="28.5" hidden="false" customHeight="true" outlineLevel="0" collapsed="false">
      <c r="A1364" s="50" t="s">
        <v>425</v>
      </c>
      <c r="B1364" s="57" t="s">
        <v>425</v>
      </c>
      <c r="C1364" s="57" t="s">
        <v>265</v>
      </c>
      <c r="D1364" s="58" t="n">
        <v>46076.5513888889</v>
      </c>
      <c r="E1364" s="58" t="n">
        <v>46076.5513888889</v>
      </c>
      <c r="F1364" s="58" t="n">
        <v>46076.7506944445</v>
      </c>
      <c r="G1364" s="59" t="n">
        <f aca="false">F1364-E1364</f>
        <v>0.199305555590278</v>
      </c>
      <c r="H1364" s="57" t="s">
        <v>252</v>
      </c>
      <c r="I1364" s="57"/>
      <c r="J1364" s="57" t="s">
        <v>333</v>
      </c>
      <c r="K1364" s="57" t="s">
        <v>334</v>
      </c>
      <c r="L1364" s="60" t="s">
        <v>2330</v>
      </c>
      <c r="M1364" s="57" t="s">
        <v>336</v>
      </c>
      <c r="N1364" s="57" t="s">
        <v>289</v>
      </c>
      <c r="O1364" s="60" t="s">
        <v>2331</v>
      </c>
      <c r="P1364" s="57" t="s">
        <v>2332</v>
      </c>
      <c r="Q1364" s="57" t="s">
        <v>698</v>
      </c>
    </row>
    <row r="1365" s="50" customFormat="true" ht="14.25" hidden="false" customHeight="true" outlineLevel="0" collapsed="false">
      <c r="A1365" s="50" t="s">
        <v>410</v>
      </c>
      <c r="B1365" s="57" t="s">
        <v>410</v>
      </c>
      <c r="C1365" s="57" t="s">
        <v>411</v>
      </c>
      <c r="D1365" s="58" t="n">
        <v>46076.6736111111</v>
      </c>
      <c r="E1365" s="58" t="n">
        <v>46076.6736111111</v>
      </c>
      <c r="F1365" s="58" t="n">
        <v>46077.4375</v>
      </c>
      <c r="G1365" s="59" t="n">
        <f aca="false">F1365-E1365</f>
        <v>0.763888888888889</v>
      </c>
      <c r="H1365" s="57" t="s">
        <v>283</v>
      </c>
      <c r="I1365" s="57" t="s">
        <v>284</v>
      </c>
      <c r="J1365" s="57" t="s">
        <v>369</v>
      </c>
      <c r="K1365" s="57" t="s">
        <v>754</v>
      </c>
      <c r="L1365" s="57" t="s">
        <v>2333</v>
      </c>
      <c r="M1365" s="57" t="s">
        <v>371</v>
      </c>
      <c r="N1365" s="57" t="s">
        <v>502</v>
      </c>
      <c r="O1365" s="57" t="s">
        <v>2334</v>
      </c>
      <c r="P1365" s="57" t="s">
        <v>2335</v>
      </c>
      <c r="Q1365" s="57" t="s">
        <v>1227</v>
      </c>
    </row>
    <row r="1366" s="50" customFormat="true" ht="14.25" hidden="false" customHeight="true" outlineLevel="0" collapsed="false">
      <c r="A1366" s="50" t="s">
        <v>410</v>
      </c>
      <c r="B1366" s="57" t="s">
        <v>410</v>
      </c>
      <c r="C1366" s="57" t="s">
        <v>414</v>
      </c>
      <c r="D1366" s="58" t="n">
        <v>46076.6736111111</v>
      </c>
      <c r="E1366" s="58" t="n">
        <v>46076.6736111111</v>
      </c>
      <c r="F1366" s="58" t="n">
        <v>46077.4375</v>
      </c>
      <c r="G1366" s="59" t="n">
        <f aca="false">F1366-E1366</f>
        <v>0.763888888888889</v>
      </c>
      <c r="H1366" s="57" t="s">
        <v>283</v>
      </c>
      <c r="I1366" s="57" t="s">
        <v>284</v>
      </c>
      <c r="J1366" s="57" t="s">
        <v>369</v>
      </c>
      <c r="K1366" s="57" t="s">
        <v>754</v>
      </c>
      <c r="L1366" s="57" t="s">
        <v>2333</v>
      </c>
      <c r="M1366" s="57" t="s">
        <v>371</v>
      </c>
      <c r="N1366" s="57" t="s">
        <v>502</v>
      </c>
      <c r="O1366" s="57" t="s">
        <v>2334</v>
      </c>
      <c r="P1366" s="57" t="s">
        <v>2336</v>
      </c>
      <c r="Q1366" s="57" t="s">
        <v>1227</v>
      </c>
    </row>
    <row r="1367" s="50" customFormat="true" ht="14.25" hidden="false" customHeight="true" outlineLevel="0" collapsed="false">
      <c r="A1367" s="50" t="s">
        <v>410</v>
      </c>
      <c r="B1367" s="57" t="s">
        <v>410</v>
      </c>
      <c r="C1367" s="57" t="s">
        <v>415</v>
      </c>
      <c r="D1367" s="58" t="n">
        <v>46076.6736111111</v>
      </c>
      <c r="E1367" s="58" t="n">
        <v>46076.6736111111</v>
      </c>
      <c r="F1367" s="58" t="n">
        <v>46077.4375</v>
      </c>
      <c r="G1367" s="59" t="n">
        <f aca="false">F1367-E1367</f>
        <v>0.763888888888889</v>
      </c>
      <c r="H1367" s="57" t="s">
        <v>283</v>
      </c>
      <c r="I1367" s="57" t="s">
        <v>284</v>
      </c>
      <c r="J1367" s="57" t="s">
        <v>369</v>
      </c>
      <c r="K1367" s="57" t="s">
        <v>754</v>
      </c>
      <c r="L1367" s="57" t="s">
        <v>2333</v>
      </c>
      <c r="M1367" s="57" t="s">
        <v>371</v>
      </c>
      <c r="N1367" s="57" t="s">
        <v>502</v>
      </c>
      <c r="O1367" s="57" t="s">
        <v>2334</v>
      </c>
      <c r="P1367" s="57" t="s">
        <v>2337</v>
      </c>
      <c r="Q1367" s="57" t="s">
        <v>1227</v>
      </c>
    </row>
    <row r="1368" s="50" customFormat="true" ht="14.25" hidden="false" customHeight="true" outlineLevel="0" collapsed="false">
      <c r="A1368" s="50" t="s">
        <v>410</v>
      </c>
      <c r="B1368" s="57" t="s">
        <v>410</v>
      </c>
      <c r="C1368" s="57" t="s">
        <v>416</v>
      </c>
      <c r="D1368" s="58" t="n">
        <v>46076.6736111111</v>
      </c>
      <c r="E1368" s="58" t="n">
        <v>46076.6736111111</v>
      </c>
      <c r="F1368" s="58" t="n">
        <v>46077.4375</v>
      </c>
      <c r="G1368" s="59" t="n">
        <f aca="false">F1368-E1368</f>
        <v>0.763888888888889</v>
      </c>
      <c r="H1368" s="57" t="s">
        <v>283</v>
      </c>
      <c r="I1368" s="57" t="s">
        <v>284</v>
      </c>
      <c r="J1368" s="57" t="s">
        <v>369</v>
      </c>
      <c r="K1368" s="57" t="s">
        <v>754</v>
      </c>
      <c r="L1368" s="57" t="s">
        <v>2333</v>
      </c>
      <c r="M1368" s="57" t="s">
        <v>371</v>
      </c>
      <c r="N1368" s="57" t="s">
        <v>502</v>
      </c>
      <c r="O1368" s="57" t="s">
        <v>2334</v>
      </c>
      <c r="P1368" s="57" t="s">
        <v>2338</v>
      </c>
      <c r="Q1368" s="57" t="s">
        <v>1227</v>
      </c>
    </row>
    <row r="1369" s="50" customFormat="true" ht="14.25" hidden="false" customHeight="true" outlineLevel="0" collapsed="false">
      <c r="A1369" s="50" t="s">
        <v>410</v>
      </c>
      <c r="B1369" s="57" t="s">
        <v>410</v>
      </c>
      <c r="C1369" s="57" t="s">
        <v>417</v>
      </c>
      <c r="D1369" s="58" t="n">
        <v>46076.6736111111</v>
      </c>
      <c r="E1369" s="58" t="n">
        <v>46076.6736111111</v>
      </c>
      <c r="F1369" s="58" t="n">
        <v>46077.4375</v>
      </c>
      <c r="G1369" s="59" t="n">
        <f aca="false">F1369-E1369</f>
        <v>0.763888888888889</v>
      </c>
      <c r="H1369" s="57" t="s">
        <v>283</v>
      </c>
      <c r="I1369" s="57" t="s">
        <v>284</v>
      </c>
      <c r="J1369" s="57" t="s">
        <v>369</v>
      </c>
      <c r="K1369" s="57" t="s">
        <v>754</v>
      </c>
      <c r="L1369" s="57" t="s">
        <v>2333</v>
      </c>
      <c r="M1369" s="57" t="s">
        <v>371</v>
      </c>
      <c r="N1369" s="57" t="s">
        <v>502</v>
      </c>
      <c r="O1369" s="57" t="s">
        <v>2334</v>
      </c>
      <c r="P1369" s="57" t="s">
        <v>2339</v>
      </c>
      <c r="Q1369" s="57" t="s">
        <v>1227</v>
      </c>
    </row>
    <row r="1370" s="50" customFormat="true" ht="14.25" hidden="false" customHeight="true" outlineLevel="0" collapsed="false">
      <c r="A1370" s="50" t="s">
        <v>418</v>
      </c>
      <c r="B1370" s="57" t="s">
        <v>418</v>
      </c>
      <c r="C1370" s="57" t="s">
        <v>414</v>
      </c>
      <c r="D1370" s="58" t="n">
        <v>46076.6736111111</v>
      </c>
      <c r="E1370" s="58" t="n">
        <v>46076.6736111111</v>
      </c>
      <c r="F1370" s="58" t="n">
        <v>46077.4375</v>
      </c>
      <c r="G1370" s="59" t="n">
        <f aca="false">F1370-E1370</f>
        <v>0.763888888888889</v>
      </c>
      <c r="H1370" s="57" t="s">
        <v>283</v>
      </c>
      <c r="I1370" s="57" t="s">
        <v>284</v>
      </c>
      <c r="J1370" s="57" t="s">
        <v>369</v>
      </c>
      <c r="K1370" s="57" t="s">
        <v>754</v>
      </c>
      <c r="L1370" s="57" t="s">
        <v>2333</v>
      </c>
      <c r="M1370" s="57" t="s">
        <v>371</v>
      </c>
      <c r="N1370" s="57" t="s">
        <v>502</v>
      </c>
      <c r="O1370" s="57" t="s">
        <v>2334</v>
      </c>
      <c r="P1370" s="57" t="s">
        <v>2340</v>
      </c>
      <c r="Q1370" s="57" t="s">
        <v>1227</v>
      </c>
    </row>
    <row r="1371" s="50" customFormat="true" ht="14.25" hidden="false" customHeight="true" outlineLevel="0" collapsed="false">
      <c r="A1371" s="50" t="s">
        <v>418</v>
      </c>
      <c r="B1371" s="57" t="s">
        <v>418</v>
      </c>
      <c r="C1371" s="57" t="s">
        <v>415</v>
      </c>
      <c r="D1371" s="58" t="n">
        <v>46076.6736111111</v>
      </c>
      <c r="E1371" s="58" t="n">
        <v>46076.6736111111</v>
      </c>
      <c r="F1371" s="58" t="n">
        <v>46077.4375</v>
      </c>
      <c r="G1371" s="59" t="n">
        <f aca="false">F1371-E1371</f>
        <v>0.763888888888889</v>
      </c>
      <c r="H1371" s="57" t="s">
        <v>283</v>
      </c>
      <c r="I1371" s="57" t="s">
        <v>284</v>
      </c>
      <c r="J1371" s="57" t="s">
        <v>369</v>
      </c>
      <c r="K1371" s="57" t="s">
        <v>754</v>
      </c>
      <c r="L1371" s="57" t="s">
        <v>2333</v>
      </c>
      <c r="M1371" s="57" t="s">
        <v>371</v>
      </c>
      <c r="N1371" s="57" t="s">
        <v>502</v>
      </c>
      <c r="O1371" s="57" t="s">
        <v>2334</v>
      </c>
      <c r="P1371" s="57" t="s">
        <v>2341</v>
      </c>
      <c r="Q1371" s="57" t="s">
        <v>1227</v>
      </c>
    </row>
    <row r="1372" s="50" customFormat="true" ht="14.25" hidden="false" customHeight="true" outlineLevel="0" collapsed="false">
      <c r="A1372" s="50" t="s">
        <v>418</v>
      </c>
      <c r="B1372" s="57" t="s">
        <v>418</v>
      </c>
      <c r="C1372" s="57" t="s">
        <v>416</v>
      </c>
      <c r="D1372" s="58" t="n">
        <v>46076.6736111111</v>
      </c>
      <c r="E1372" s="58" t="n">
        <v>46076.6736111111</v>
      </c>
      <c r="F1372" s="58" t="n">
        <v>46077.4375</v>
      </c>
      <c r="G1372" s="59" t="n">
        <f aca="false">F1372-E1372</f>
        <v>0.763888888888889</v>
      </c>
      <c r="H1372" s="57" t="s">
        <v>283</v>
      </c>
      <c r="I1372" s="57" t="s">
        <v>284</v>
      </c>
      <c r="J1372" s="57" t="s">
        <v>369</v>
      </c>
      <c r="K1372" s="57" t="s">
        <v>754</v>
      </c>
      <c r="L1372" s="57" t="s">
        <v>2333</v>
      </c>
      <c r="M1372" s="57" t="s">
        <v>371</v>
      </c>
      <c r="N1372" s="57" t="s">
        <v>502</v>
      </c>
      <c r="O1372" s="57" t="s">
        <v>2334</v>
      </c>
      <c r="P1372" s="57" t="s">
        <v>2342</v>
      </c>
      <c r="Q1372" s="57" t="s">
        <v>1227</v>
      </c>
    </row>
    <row r="1373" s="50" customFormat="true" ht="14.25" hidden="false" customHeight="true" outlineLevel="0" collapsed="false">
      <c r="A1373" s="50" t="s">
        <v>418</v>
      </c>
      <c r="B1373" s="57" t="s">
        <v>418</v>
      </c>
      <c r="C1373" s="57" t="s">
        <v>417</v>
      </c>
      <c r="D1373" s="58" t="n">
        <v>46076.6736111111</v>
      </c>
      <c r="E1373" s="58" t="n">
        <v>46076.6736111111</v>
      </c>
      <c r="F1373" s="58" t="n">
        <v>46077.4375</v>
      </c>
      <c r="G1373" s="59" t="n">
        <f aca="false">F1373-E1373</f>
        <v>0.763888888888889</v>
      </c>
      <c r="H1373" s="57" t="s">
        <v>283</v>
      </c>
      <c r="I1373" s="57" t="s">
        <v>284</v>
      </c>
      <c r="J1373" s="57" t="s">
        <v>369</v>
      </c>
      <c r="K1373" s="57" t="s">
        <v>754</v>
      </c>
      <c r="L1373" s="57" t="s">
        <v>2333</v>
      </c>
      <c r="M1373" s="57" t="s">
        <v>371</v>
      </c>
      <c r="N1373" s="57" t="s">
        <v>502</v>
      </c>
      <c r="O1373" s="57" t="s">
        <v>2334</v>
      </c>
      <c r="P1373" s="57" t="s">
        <v>2343</v>
      </c>
      <c r="Q1373" s="57" t="s">
        <v>1227</v>
      </c>
    </row>
    <row r="1374" s="50" customFormat="true" ht="14.25" hidden="false" customHeight="true" outlineLevel="0" collapsed="false">
      <c r="A1374" s="50" t="s">
        <v>418</v>
      </c>
      <c r="B1374" s="57" t="s">
        <v>418</v>
      </c>
      <c r="C1374" s="57" t="s">
        <v>411</v>
      </c>
      <c r="D1374" s="58" t="n">
        <v>46076.6736111111</v>
      </c>
      <c r="E1374" s="58" t="n">
        <v>46076.6736111111</v>
      </c>
      <c r="F1374" s="58" t="n">
        <v>46077.4375</v>
      </c>
      <c r="G1374" s="59" t="n">
        <f aca="false">F1374-E1374</f>
        <v>0.763888888888889</v>
      </c>
      <c r="H1374" s="57" t="s">
        <v>283</v>
      </c>
      <c r="I1374" s="57" t="s">
        <v>284</v>
      </c>
      <c r="J1374" s="57" t="s">
        <v>369</v>
      </c>
      <c r="K1374" s="57" t="s">
        <v>754</v>
      </c>
      <c r="L1374" s="57" t="s">
        <v>2333</v>
      </c>
      <c r="M1374" s="57" t="s">
        <v>371</v>
      </c>
      <c r="N1374" s="57" t="s">
        <v>502</v>
      </c>
      <c r="O1374" s="57" t="s">
        <v>2334</v>
      </c>
      <c r="P1374" s="57" t="s">
        <v>2344</v>
      </c>
      <c r="Q1374" s="57" t="s">
        <v>1227</v>
      </c>
    </row>
    <row r="1375" s="50" customFormat="true" ht="14.25" hidden="false" customHeight="true" outlineLevel="0" collapsed="false">
      <c r="A1375" s="50" t="s">
        <v>419</v>
      </c>
      <c r="B1375" s="57" t="s">
        <v>419</v>
      </c>
      <c r="C1375" s="57" t="s">
        <v>420</v>
      </c>
      <c r="D1375" s="58" t="n">
        <v>46076.6736111111</v>
      </c>
      <c r="E1375" s="58" t="n">
        <v>46076.6736111111</v>
      </c>
      <c r="F1375" s="58" t="n">
        <v>46077.4375</v>
      </c>
      <c r="G1375" s="59" t="n">
        <f aca="false">F1375-E1375</f>
        <v>0.763888888888889</v>
      </c>
      <c r="H1375" s="57" t="s">
        <v>283</v>
      </c>
      <c r="I1375" s="57" t="s">
        <v>284</v>
      </c>
      <c r="J1375" s="57" t="s">
        <v>369</v>
      </c>
      <c r="K1375" s="57" t="s">
        <v>754</v>
      </c>
      <c r="L1375" s="57" t="s">
        <v>2333</v>
      </c>
      <c r="M1375" s="57" t="s">
        <v>371</v>
      </c>
      <c r="N1375" s="57" t="s">
        <v>502</v>
      </c>
      <c r="O1375" s="57" t="s">
        <v>2334</v>
      </c>
      <c r="P1375" s="57" t="s">
        <v>2345</v>
      </c>
      <c r="Q1375" s="57" t="s">
        <v>1227</v>
      </c>
    </row>
    <row r="1376" s="50" customFormat="true" ht="14.25" hidden="false" customHeight="true" outlineLevel="0" collapsed="false">
      <c r="A1376" s="50" t="s">
        <v>419</v>
      </c>
      <c r="B1376" s="57" t="s">
        <v>419</v>
      </c>
      <c r="C1376" s="57" t="s">
        <v>414</v>
      </c>
      <c r="D1376" s="58" t="n">
        <v>46076.6736111111</v>
      </c>
      <c r="E1376" s="58" t="n">
        <v>46076.6736111111</v>
      </c>
      <c r="F1376" s="58" t="n">
        <v>46077.4375</v>
      </c>
      <c r="G1376" s="59" t="n">
        <f aca="false">F1376-E1376</f>
        <v>0.763888888888889</v>
      </c>
      <c r="H1376" s="57" t="s">
        <v>283</v>
      </c>
      <c r="I1376" s="57" t="s">
        <v>284</v>
      </c>
      <c r="J1376" s="57" t="s">
        <v>369</v>
      </c>
      <c r="K1376" s="57" t="s">
        <v>754</v>
      </c>
      <c r="L1376" s="57" t="s">
        <v>2333</v>
      </c>
      <c r="M1376" s="57" t="s">
        <v>371</v>
      </c>
      <c r="N1376" s="57" t="s">
        <v>502</v>
      </c>
      <c r="O1376" s="57" t="s">
        <v>2334</v>
      </c>
      <c r="P1376" s="57" t="s">
        <v>2346</v>
      </c>
      <c r="Q1376" s="57" t="s">
        <v>1227</v>
      </c>
    </row>
    <row r="1377" s="50" customFormat="true" ht="14.25" hidden="false" customHeight="true" outlineLevel="0" collapsed="false">
      <c r="A1377" s="50" t="s">
        <v>419</v>
      </c>
      <c r="B1377" s="57" t="s">
        <v>419</v>
      </c>
      <c r="C1377" s="57" t="s">
        <v>411</v>
      </c>
      <c r="D1377" s="58" t="n">
        <v>46076.6736111111</v>
      </c>
      <c r="E1377" s="58" t="n">
        <v>46076.6736111111</v>
      </c>
      <c r="F1377" s="58" t="n">
        <v>46077.4375</v>
      </c>
      <c r="G1377" s="59" t="n">
        <f aca="false">F1377-E1377</f>
        <v>0.763888888888889</v>
      </c>
      <c r="H1377" s="57" t="s">
        <v>283</v>
      </c>
      <c r="I1377" s="57" t="s">
        <v>284</v>
      </c>
      <c r="J1377" s="57" t="s">
        <v>369</v>
      </c>
      <c r="K1377" s="57" t="s">
        <v>754</v>
      </c>
      <c r="L1377" s="57" t="s">
        <v>2333</v>
      </c>
      <c r="M1377" s="57" t="s">
        <v>371</v>
      </c>
      <c r="N1377" s="57" t="s">
        <v>502</v>
      </c>
      <c r="O1377" s="57" t="s">
        <v>2334</v>
      </c>
      <c r="P1377" s="57" t="s">
        <v>2347</v>
      </c>
      <c r="Q1377" s="57" t="s">
        <v>1227</v>
      </c>
    </row>
    <row r="1378" s="50" customFormat="true" ht="14.25" hidden="false" customHeight="true" outlineLevel="0" collapsed="false">
      <c r="A1378" s="50" t="s">
        <v>937</v>
      </c>
      <c r="B1378" s="57" t="s">
        <v>48</v>
      </c>
      <c r="C1378" s="57" t="s">
        <v>294</v>
      </c>
      <c r="D1378" s="58" t="n">
        <v>46077.2916666667</v>
      </c>
      <c r="E1378" s="58" t="n">
        <v>46077.2916666667</v>
      </c>
      <c r="F1378" s="58" t="n">
        <v>46077.3333333333</v>
      </c>
      <c r="G1378" s="59" t="n">
        <f aca="false">F1378-E1378</f>
        <v>0.0416666665972222</v>
      </c>
      <c r="H1378" s="57" t="s">
        <v>252</v>
      </c>
      <c r="I1378" s="57"/>
      <c r="J1378" s="57" t="s">
        <v>253</v>
      </c>
      <c r="K1378" s="57" t="s">
        <v>266</v>
      </c>
      <c r="L1378" s="57" t="s">
        <v>2348</v>
      </c>
      <c r="M1378" s="57" t="s">
        <v>255</v>
      </c>
      <c r="N1378" s="57" t="s">
        <v>256</v>
      </c>
      <c r="O1378" s="57" t="s">
        <v>2349</v>
      </c>
      <c r="P1378" s="57" t="s">
        <v>2350</v>
      </c>
      <c r="Q1378" s="57" t="s">
        <v>706</v>
      </c>
    </row>
    <row r="1379" s="50" customFormat="true" ht="14.25" hidden="false" customHeight="true" outlineLevel="0" collapsed="false">
      <c r="A1379" s="50" t="s">
        <v>937</v>
      </c>
      <c r="B1379" s="57" t="s">
        <v>48</v>
      </c>
      <c r="C1379" s="57" t="s">
        <v>295</v>
      </c>
      <c r="D1379" s="58" t="n">
        <v>46077.2916666667</v>
      </c>
      <c r="E1379" s="58" t="n">
        <v>46077.2916666667</v>
      </c>
      <c r="F1379" s="58" t="n">
        <v>46077.3333333333</v>
      </c>
      <c r="G1379" s="59" t="n">
        <f aca="false">F1379-E1379</f>
        <v>0.0416666665972222</v>
      </c>
      <c r="H1379" s="57" t="s">
        <v>252</v>
      </c>
      <c r="I1379" s="57"/>
      <c r="J1379" s="57" t="s">
        <v>253</v>
      </c>
      <c r="K1379" s="57" t="s">
        <v>266</v>
      </c>
      <c r="L1379" s="57" t="s">
        <v>2348</v>
      </c>
      <c r="M1379" s="57" t="s">
        <v>255</v>
      </c>
      <c r="N1379" s="57" t="s">
        <v>256</v>
      </c>
      <c r="O1379" s="57" t="s">
        <v>2349</v>
      </c>
      <c r="P1379" s="57" t="s">
        <v>2351</v>
      </c>
      <c r="Q1379" s="57" t="s">
        <v>706</v>
      </c>
    </row>
    <row r="1380" s="50" customFormat="true" ht="14.25" hidden="false" customHeight="true" outlineLevel="0" collapsed="false">
      <c r="A1380" s="50" t="s">
        <v>937</v>
      </c>
      <c r="B1380" s="57" t="s">
        <v>48</v>
      </c>
      <c r="C1380" s="57" t="s">
        <v>296</v>
      </c>
      <c r="D1380" s="58" t="n">
        <v>46077.2916666667</v>
      </c>
      <c r="E1380" s="58" t="n">
        <v>46077.2916666667</v>
      </c>
      <c r="F1380" s="58" t="n">
        <v>46077.3333333333</v>
      </c>
      <c r="G1380" s="59" t="n">
        <f aca="false">F1380-E1380</f>
        <v>0.0416666665972222</v>
      </c>
      <c r="H1380" s="57" t="s">
        <v>252</v>
      </c>
      <c r="I1380" s="57"/>
      <c r="J1380" s="57" t="s">
        <v>253</v>
      </c>
      <c r="K1380" s="57" t="s">
        <v>266</v>
      </c>
      <c r="L1380" s="57" t="s">
        <v>2348</v>
      </c>
      <c r="M1380" s="57" t="s">
        <v>255</v>
      </c>
      <c r="N1380" s="57" t="s">
        <v>256</v>
      </c>
      <c r="O1380" s="57" t="s">
        <v>2349</v>
      </c>
      <c r="P1380" s="57" t="s">
        <v>2352</v>
      </c>
      <c r="Q1380" s="57" t="s">
        <v>706</v>
      </c>
    </row>
    <row r="1381" s="50" customFormat="true" ht="14.25" hidden="false" customHeight="true" outlineLevel="0" collapsed="false">
      <c r="A1381" s="50" t="s">
        <v>937</v>
      </c>
      <c r="B1381" s="57" t="s">
        <v>48</v>
      </c>
      <c r="C1381" s="57" t="s">
        <v>297</v>
      </c>
      <c r="D1381" s="58" t="n">
        <v>46077.2916666667</v>
      </c>
      <c r="E1381" s="58" t="n">
        <v>46077.2916666667</v>
      </c>
      <c r="F1381" s="58" t="n">
        <v>46077.3333333333</v>
      </c>
      <c r="G1381" s="59" t="n">
        <f aca="false">F1381-E1381</f>
        <v>0.0416666665972222</v>
      </c>
      <c r="H1381" s="57" t="s">
        <v>252</v>
      </c>
      <c r="I1381" s="57"/>
      <c r="J1381" s="57" t="s">
        <v>253</v>
      </c>
      <c r="K1381" s="57" t="s">
        <v>266</v>
      </c>
      <c r="L1381" s="57" t="s">
        <v>2348</v>
      </c>
      <c r="M1381" s="57" t="s">
        <v>255</v>
      </c>
      <c r="N1381" s="57" t="s">
        <v>256</v>
      </c>
      <c r="O1381" s="57" t="s">
        <v>2349</v>
      </c>
      <c r="P1381" s="57" t="s">
        <v>2353</v>
      </c>
      <c r="Q1381" s="57" t="s">
        <v>706</v>
      </c>
    </row>
    <row r="1382" s="50" customFormat="true" ht="14.25" hidden="false" customHeight="true" outlineLevel="0" collapsed="false">
      <c r="A1382" s="50" t="s">
        <v>937</v>
      </c>
      <c r="B1382" s="57" t="s">
        <v>48</v>
      </c>
      <c r="C1382" s="57" t="s">
        <v>298</v>
      </c>
      <c r="D1382" s="58" t="n">
        <v>46077.2916666667</v>
      </c>
      <c r="E1382" s="58" t="n">
        <v>46077.2916666667</v>
      </c>
      <c r="F1382" s="58" t="n">
        <v>46077.3333333333</v>
      </c>
      <c r="G1382" s="59" t="n">
        <f aca="false">F1382-E1382</f>
        <v>0.0416666665972222</v>
      </c>
      <c r="H1382" s="57" t="s">
        <v>252</v>
      </c>
      <c r="I1382" s="57"/>
      <c r="J1382" s="57" t="s">
        <v>253</v>
      </c>
      <c r="K1382" s="57" t="s">
        <v>266</v>
      </c>
      <c r="L1382" s="57" t="s">
        <v>2348</v>
      </c>
      <c r="M1382" s="57" t="s">
        <v>255</v>
      </c>
      <c r="N1382" s="57" t="s">
        <v>256</v>
      </c>
      <c r="O1382" s="57" t="s">
        <v>2349</v>
      </c>
      <c r="P1382" s="57" t="s">
        <v>2354</v>
      </c>
      <c r="Q1382" s="57" t="s">
        <v>706</v>
      </c>
    </row>
    <row r="1383" s="50" customFormat="true" ht="14.25" hidden="false" customHeight="true" outlineLevel="0" collapsed="false">
      <c r="A1383" s="50" t="s">
        <v>937</v>
      </c>
      <c r="B1383" s="57" t="s">
        <v>48</v>
      </c>
      <c r="C1383" s="57" t="s">
        <v>299</v>
      </c>
      <c r="D1383" s="58" t="n">
        <v>46077.2916666667</v>
      </c>
      <c r="E1383" s="58" t="n">
        <v>46077.2916666667</v>
      </c>
      <c r="F1383" s="58" t="n">
        <v>46077.3333333333</v>
      </c>
      <c r="G1383" s="59" t="n">
        <f aca="false">F1383-E1383</f>
        <v>0.0416666665972222</v>
      </c>
      <c r="H1383" s="57" t="s">
        <v>252</v>
      </c>
      <c r="I1383" s="57"/>
      <c r="J1383" s="57" t="s">
        <v>253</v>
      </c>
      <c r="K1383" s="57" t="s">
        <v>266</v>
      </c>
      <c r="L1383" s="57" t="s">
        <v>2348</v>
      </c>
      <c r="M1383" s="57" t="s">
        <v>255</v>
      </c>
      <c r="N1383" s="57" t="s">
        <v>256</v>
      </c>
      <c r="O1383" s="57" t="s">
        <v>2349</v>
      </c>
      <c r="P1383" s="57" t="s">
        <v>2355</v>
      </c>
      <c r="Q1383" s="57" t="s">
        <v>706</v>
      </c>
    </row>
    <row r="1384" s="50" customFormat="true" ht="14.25" hidden="false" customHeight="true" outlineLevel="0" collapsed="false">
      <c r="A1384" s="50" t="s">
        <v>937</v>
      </c>
      <c r="B1384" s="57" t="s">
        <v>48</v>
      </c>
      <c r="C1384" s="57" t="s">
        <v>300</v>
      </c>
      <c r="D1384" s="58" t="n">
        <v>46077.2916666667</v>
      </c>
      <c r="E1384" s="58" t="n">
        <v>46077.2916666667</v>
      </c>
      <c r="F1384" s="58" t="n">
        <v>46077.3333333333</v>
      </c>
      <c r="G1384" s="59" t="n">
        <f aca="false">F1384-E1384</f>
        <v>0.0416666665972222</v>
      </c>
      <c r="H1384" s="57" t="s">
        <v>252</v>
      </c>
      <c r="I1384" s="57"/>
      <c r="J1384" s="57" t="s">
        <v>253</v>
      </c>
      <c r="K1384" s="57" t="s">
        <v>266</v>
      </c>
      <c r="L1384" s="57" t="s">
        <v>2348</v>
      </c>
      <c r="M1384" s="57" t="s">
        <v>255</v>
      </c>
      <c r="N1384" s="57" t="s">
        <v>256</v>
      </c>
      <c r="O1384" s="57" t="s">
        <v>2349</v>
      </c>
      <c r="P1384" s="57" t="s">
        <v>2356</v>
      </c>
      <c r="Q1384" s="57" t="s">
        <v>706</v>
      </c>
    </row>
    <row r="1385" s="50" customFormat="true" ht="14.25" hidden="false" customHeight="true" outlineLevel="0" collapsed="false">
      <c r="A1385" s="50" t="s">
        <v>937</v>
      </c>
      <c r="B1385" s="57" t="s">
        <v>48</v>
      </c>
      <c r="C1385" s="57" t="s">
        <v>301</v>
      </c>
      <c r="D1385" s="58" t="n">
        <v>46077.2916666667</v>
      </c>
      <c r="E1385" s="58" t="n">
        <v>46077.2916666667</v>
      </c>
      <c r="F1385" s="58" t="n">
        <v>46077.3333333333</v>
      </c>
      <c r="G1385" s="59" t="n">
        <f aca="false">F1385-E1385</f>
        <v>0.0416666665972222</v>
      </c>
      <c r="H1385" s="57" t="s">
        <v>252</v>
      </c>
      <c r="I1385" s="57"/>
      <c r="J1385" s="57" t="s">
        <v>253</v>
      </c>
      <c r="K1385" s="57" t="s">
        <v>266</v>
      </c>
      <c r="L1385" s="57" t="s">
        <v>2348</v>
      </c>
      <c r="M1385" s="57" t="s">
        <v>255</v>
      </c>
      <c r="N1385" s="57" t="s">
        <v>256</v>
      </c>
      <c r="O1385" s="57" t="s">
        <v>2349</v>
      </c>
      <c r="P1385" s="57" t="s">
        <v>2357</v>
      </c>
      <c r="Q1385" s="57" t="s">
        <v>706</v>
      </c>
    </row>
    <row r="1386" s="50" customFormat="true" ht="14.25" hidden="false" customHeight="true" outlineLevel="0" collapsed="false">
      <c r="A1386" s="50" t="s">
        <v>946</v>
      </c>
      <c r="B1386" s="57" t="s">
        <v>48</v>
      </c>
      <c r="C1386" s="57" t="s">
        <v>302</v>
      </c>
      <c r="D1386" s="58" t="n">
        <v>46077.2916666667</v>
      </c>
      <c r="E1386" s="58" t="n">
        <v>46077.2916666667</v>
      </c>
      <c r="F1386" s="58" t="n">
        <v>46077.3333333333</v>
      </c>
      <c r="G1386" s="59" t="n">
        <f aca="false">F1386-E1386</f>
        <v>0.0416666665972222</v>
      </c>
      <c r="H1386" s="57" t="s">
        <v>252</v>
      </c>
      <c r="I1386" s="57"/>
      <c r="J1386" s="57" t="s">
        <v>253</v>
      </c>
      <c r="K1386" s="57" t="s">
        <v>266</v>
      </c>
      <c r="L1386" s="57" t="s">
        <v>2348</v>
      </c>
      <c r="M1386" s="57" t="s">
        <v>255</v>
      </c>
      <c r="N1386" s="57" t="s">
        <v>256</v>
      </c>
      <c r="O1386" s="57" t="s">
        <v>2349</v>
      </c>
      <c r="P1386" s="57" t="s">
        <v>2358</v>
      </c>
      <c r="Q1386" s="57" t="s">
        <v>706</v>
      </c>
    </row>
    <row r="1387" s="50" customFormat="true" ht="14.25" hidden="false" customHeight="true" outlineLevel="0" collapsed="false">
      <c r="A1387" s="50" t="s">
        <v>946</v>
      </c>
      <c r="B1387" s="57" t="s">
        <v>48</v>
      </c>
      <c r="C1387" s="57" t="s">
        <v>303</v>
      </c>
      <c r="D1387" s="58" t="n">
        <v>46077.2916666667</v>
      </c>
      <c r="E1387" s="58" t="n">
        <v>46077.2916666667</v>
      </c>
      <c r="F1387" s="58" t="n">
        <v>46077.3333333333</v>
      </c>
      <c r="G1387" s="59" t="n">
        <f aca="false">F1387-E1387</f>
        <v>0.0416666665972222</v>
      </c>
      <c r="H1387" s="57" t="s">
        <v>252</v>
      </c>
      <c r="I1387" s="57"/>
      <c r="J1387" s="57" t="s">
        <v>253</v>
      </c>
      <c r="K1387" s="57" t="s">
        <v>266</v>
      </c>
      <c r="L1387" s="57" t="s">
        <v>2348</v>
      </c>
      <c r="M1387" s="57" t="s">
        <v>255</v>
      </c>
      <c r="N1387" s="57" t="s">
        <v>256</v>
      </c>
      <c r="O1387" s="57" t="s">
        <v>2349</v>
      </c>
      <c r="P1387" s="57" t="s">
        <v>2359</v>
      </c>
      <c r="Q1387" s="57" t="s">
        <v>706</v>
      </c>
    </row>
    <row r="1388" s="50" customFormat="true" ht="14.25" hidden="false" customHeight="true" outlineLevel="0" collapsed="false">
      <c r="A1388" s="50" t="s">
        <v>946</v>
      </c>
      <c r="B1388" s="57" t="s">
        <v>48</v>
      </c>
      <c r="C1388" s="57" t="s">
        <v>304</v>
      </c>
      <c r="D1388" s="58" t="n">
        <v>46077.2916666667</v>
      </c>
      <c r="E1388" s="58" t="n">
        <v>46077.2916666667</v>
      </c>
      <c r="F1388" s="58" t="n">
        <v>46077.3333333333</v>
      </c>
      <c r="G1388" s="59" t="n">
        <f aca="false">F1388-E1388</f>
        <v>0.0416666665972222</v>
      </c>
      <c r="H1388" s="57" t="s">
        <v>252</v>
      </c>
      <c r="I1388" s="57"/>
      <c r="J1388" s="57" t="s">
        <v>253</v>
      </c>
      <c r="K1388" s="57" t="s">
        <v>266</v>
      </c>
      <c r="L1388" s="57" t="s">
        <v>2348</v>
      </c>
      <c r="M1388" s="57" t="s">
        <v>255</v>
      </c>
      <c r="N1388" s="57" t="s">
        <v>256</v>
      </c>
      <c r="O1388" s="57" t="s">
        <v>2349</v>
      </c>
      <c r="P1388" s="57" t="s">
        <v>2360</v>
      </c>
      <c r="Q1388" s="57" t="s">
        <v>706</v>
      </c>
    </row>
    <row r="1389" s="50" customFormat="true" ht="14.25" hidden="false" customHeight="true" outlineLevel="0" collapsed="false">
      <c r="A1389" s="50" t="s">
        <v>946</v>
      </c>
      <c r="B1389" s="57" t="s">
        <v>48</v>
      </c>
      <c r="C1389" s="57" t="s">
        <v>305</v>
      </c>
      <c r="D1389" s="58" t="n">
        <v>46077.2916666667</v>
      </c>
      <c r="E1389" s="58" t="n">
        <v>46077.2916666667</v>
      </c>
      <c r="F1389" s="58" t="n">
        <v>46077.3333333333</v>
      </c>
      <c r="G1389" s="59" t="n">
        <f aca="false">F1389-E1389</f>
        <v>0.0416666665972222</v>
      </c>
      <c r="H1389" s="57" t="s">
        <v>252</v>
      </c>
      <c r="I1389" s="57"/>
      <c r="J1389" s="57" t="s">
        <v>253</v>
      </c>
      <c r="K1389" s="57" t="s">
        <v>266</v>
      </c>
      <c r="L1389" s="57" t="s">
        <v>2348</v>
      </c>
      <c r="M1389" s="57" t="s">
        <v>255</v>
      </c>
      <c r="N1389" s="57" t="s">
        <v>256</v>
      </c>
      <c r="O1389" s="57" t="s">
        <v>2349</v>
      </c>
      <c r="P1389" s="57" t="s">
        <v>2361</v>
      </c>
      <c r="Q1389" s="57" t="s">
        <v>706</v>
      </c>
    </row>
    <row r="1390" s="50" customFormat="true" ht="14.25" hidden="false" customHeight="true" outlineLevel="0" collapsed="false">
      <c r="A1390" s="50" t="s">
        <v>946</v>
      </c>
      <c r="B1390" s="57" t="s">
        <v>48</v>
      </c>
      <c r="C1390" s="57" t="s">
        <v>306</v>
      </c>
      <c r="D1390" s="58" t="n">
        <v>46077.2916666667</v>
      </c>
      <c r="E1390" s="58" t="n">
        <v>46077.2916666667</v>
      </c>
      <c r="F1390" s="58" t="n">
        <v>46077.3333333333</v>
      </c>
      <c r="G1390" s="59" t="n">
        <f aca="false">F1390-E1390</f>
        <v>0.0416666665972222</v>
      </c>
      <c r="H1390" s="57" t="s">
        <v>252</v>
      </c>
      <c r="I1390" s="57"/>
      <c r="J1390" s="57" t="s">
        <v>253</v>
      </c>
      <c r="K1390" s="57" t="s">
        <v>266</v>
      </c>
      <c r="L1390" s="57" t="s">
        <v>2348</v>
      </c>
      <c r="M1390" s="57" t="s">
        <v>255</v>
      </c>
      <c r="N1390" s="57" t="s">
        <v>256</v>
      </c>
      <c r="O1390" s="57" t="s">
        <v>2349</v>
      </c>
      <c r="P1390" s="57" t="s">
        <v>2362</v>
      </c>
      <c r="Q1390" s="57" t="s">
        <v>706</v>
      </c>
    </row>
    <row r="1391" s="50" customFormat="true" ht="14.25" hidden="false" customHeight="true" outlineLevel="0" collapsed="false">
      <c r="A1391" s="50" t="s">
        <v>946</v>
      </c>
      <c r="B1391" s="57" t="s">
        <v>48</v>
      </c>
      <c r="C1391" s="57" t="s">
        <v>307</v>
      </c>
      <c r="D1391" s="58" t="n">
        <v>46077.2916666667</v>
      </c>
      <c r="E1391" s="58" t="n">
        <v>46077.2916666667</v>
      </c>
      <c r="F1391" s="58" t="n">
        <v>46077.3333333333</v>
      </c>
      <c r="G1391" s="59" t="n">
        <f aca="false">F1391-E1391</f>
        <v>0.0416666665972222</v>
      </c>
      <c r="H1391" s="57" t="s">
        <v>252</v>
      </c>
      <c r="I1391" s="57"/>
      <c r="J1391" s="57" t="s">
        <v>253</v>
      </c>
      <c r="K1391" s="57" t="s">
        <v>266</v>
      </c>
      <c r="L1391" s="57" t="s">
        <v>2348</v>
      </c>
      <c r="M1391" s="57" t="s">
        <v>255</v>
      </c>
      <c r="N1391" s="57" t="s">
        <v>256</v>
      </c>
      <c r="O1391" s="57" t="s">
        <v>2349</v>
      </c>
      <c r="P1391" s="57" t="s">
        <v>2363</v>
      </c>
      <c r="Q1391" s="57" t="s">
        <v>706</v>
      </c>
    </row>
    <row r="1392" s="50" customFormat="true" ht="14.25" hidden="false" customHeight="true" outlineLevel="0" collapsed="false">
      <c r="A1392" s="50" t="s">
        <v>946</v>
      </c>
      <c r="B1392" s="57" t="s">
        <v>48</v>
      </c>
      <c r="C1392" s="57" t="s">
        <v>308</v>
      </c>
      <c r="D1392" s="58" t="n">
        <v>46077.2916666667</v>
      </c>
      <c r="E1392" s="58" t="n">
        <v>46077.2916666667</v>
      </c>
      <c r="F1392" s="58" t="n">
        <v>46077.3333333333</v>
      </c>
      <c r="G1392" s="59" t="n">
        <f aca="false">F1392-E1392</f>
        <v>0.0416666665972222</v>
      </c>
      <c r="H1392" s="57" t="s">
        <v>252</v>
      </c>
      <c r="I1392" s="57"/>
      <c r="J1392" s="57" t="s">
        <v>253</v>
      </c>
      <c r="K1392" s="57" t="s">
        <v>266</v>
      </c>
      <c r="L1392" s="57" t="s">
        <v>2348</v>
      </c>
      <c r="M1392" s="57" t="s">
        <v>255</v>
      </c>
      <c r="N1392" s="57" t="s">
        <v>256</v>
      </c>
      <c r="O1392" s="57" t="s">
        <v>2349</v>
      </c>
      <c r="P1392" s="57" t="s">
        <v>2364</v>
      </c>
      <c r="Q1392" s="57" t="s">
        <v>706</v>
      </c>
    </row>
    <row r="1393" s="50" customFormat="true" ht="14.25" hidden="false" customHeight="true" outlineLevel="0" collapsed="false">
      <c r="A1393" s="50" t="s">
        <v>954</v>
      </c>
      <c r="B1393" s="57" t="s">
        <v>48</v>
      </c>
      <c r="C1393" s="57" t="s">
        <v>309</v>
      </c>
      <c r="D1393" s="58" t="n">
        <v>46077.2916666667</v>
      </c>
      <c r="E1393" s="58" t="n">
        <v>46077.2916666667</v>
      </c>
      <c r="F1393" s="58" t="n">
        <v>46077.3333333333</v>
      </c>
      <c r="G1393" s="59" t="n">
        <f aca="false">F1393-E1393</f>
        <v>0.0416666665972222</v>
      </c>
      <c r="H1393" s="57" t="s">
        <v>252</v>
      </c>
      <c r="I1393" s="57"/>
      <c r="J1393" s="57" t="s">
        <v>253</v>
      </c>
      <c r="K1393" s="57" t="s">
        <v>266</v>
      </c>
      <c r="L1393" s="57" t="s">
        <v>2348</v>
      </c>
      <c r="M1393" s="57" t="s">
        <v>255</v>
      </c>
      <c r="N1393" s="57" t="s">
        <v>256</v>
      </c>
      <c r="O1393" s="57" t="s">
        <v>2349</v>
      </c>
      <c r="P1393" s="57" t="s">
        <v>2365</v>
      </c>
      <c r="Q1393" s="57" t="s">
        <v>706</v>
      </c>
    </row>
    <row r="1394" s="50" customFormat="true" ht="14.25" hidden="false" customHeight="true" outlineLevel="0" collapsed="false">
      <c r="A1394" s="50" t="s">
        <v>954</v>
      </c>
      <c r="B1394" s="57" t="s">
        <v>48</v>
      </c>
      <c r="C1394" s="57" t="s">
        <v>310</v>
      </c>
      <c r="D1394" s="58" t="n">
        <v>46077.2916666667</v>
      </c>
      <c r="E1394" s="58" t="n">
        <v>46077.2916666667</v>
      </c>
      <c r="F1394" s="58" t="n">
        <v>46077.3333333333</v>
      </c>
      <c r="G1394" s="59" t="n">
        <f aca="false">F1394-E1394</f>
        <v>0.0416666665972222</v>
      </c>
      <c r="H1394" s="57" t="s">
        <v>252</v>
      </c>
      <c r="I1394" s="57"/>
      <c r="J1394" s="57" t="s">
        <v>253</v>
      </c>
      <c r="K1394" s="57" t="s">
        <v>266</v>
      </c>
      <c r="L1394" s="57" t="s">
        <v>2348</v>
      </c>
      <c r="M1394" s="57" t="s">
        <v>255</v>
      </c>
      <c r="N1394" s="57" t="s">
        <v>256</v>
      </c>
      <c r="O1394" s="57" t="s">
        <v>2349</v>
      </c>
      <c r="P1394" s="57" t="s">
        <v>2366</v>
      </c>
      <c r="Q1394" s="57" t="s">
        <v>706</v>
      </c>
    </row>
    <row r="1395" s="50" customFormat="true" ht="14.25" hidden="false" customHeight="true" outlineLevel="0" collapsed="false">
      <c r="A1395" s="50" t="s">
        <v>954</v>
      </c>
      <c r="B1395" s="57" t="s">
        <v>48</v>
      </c>
      <c r="C1395" s="57" t="s">
        <v>311</v>
      </c>
      <c r="D1395" s="58" t="n">
        <v>46077.2916666667</v>
      </c>
      <c r="E1395" s="58" t="n">
        <v>46077.2916666667</v>
      </c>
      <c r="F1395" s="58" t="n">
        <v>46077.3333333333</v>
      </c>
      <c r="G1395" s="59" t="n">
        <f aca="false">F1395-E1395</f>
        <v>0.0416666665972222</v>
      </c>
      <c r="H1395" s="57" t="s">
        <v>252</v>
      </c>
      <c r="I1395" s="57"/>
      <c r="J1395" s="57" t="s">
        <v>253</v>
      </c>
      <c r="K1395" s="57" t="s">
        <v>266</v>
      </c>
      <c r="L1395" s="57" t="s">
        <v>2348</v>
      </c>
      <c r="M1395" s="57" t="s">
        <v>255</v>
      </c>
      <c r="N1395" s="57" t="s">
        <v>256</v>
      </c>
      <c r="O1395" s="57" t="s">
        <v>2349</v>
      </c>
      <c r="P1395" s="57" t="s">
        <v>2367</v>
      </c>
      <c r="Q1395" s="57" t="s">
        <v>706</v>
      </c>
    </row>
    <row r="1396" s="50" customFormat="true" ht="14.25" hidden="false" customHeight="true" outlineLevel="0" collapsed="false">
      <c r="A1396" s="50" t="s">
        <v>954</v>
      </c>
      <c r="B1396" s="57" t="s">
        <v>48</v>
      </c>
      <c r="C1396" s="57" t="s">
        <v>312</v>
      </c>
      <c r="D1396" s="58" t="n">
        <v>46077.2916666667</v>
      </c>
      <c r="E1396" s="58" t="n">
        <v>46077.2916666667</v>
      </c>
      <c r="F1396" s="58" t="n">
        <v>46077.3333333333</v>
      </c>
      <c r="G1396" s="59" t="n">
        <f aca="false">F1396-E1396</f>
        <v>0.0416666665972222</v>
      </c>
      <c r="H1396" s="57" t="s">
        <v>252</v>
      </c>
      <c r="I1396" s="57"/>
      <c r="J1396" s="57" t="s">
        <v>253</v>
      </c>
      <c r="K1396" s="57" t="s">
        <v>266</v>
      </c>
      <c r="L1396" s="57" t="s">
        <v>2348</v>
      </c>
      <c r="M1396" s="57" t="s">
        <v>255</v>
      </c>
      <c r="N1396" s="57" t="s">
        <v>256</v>
      </c>
      <c r="O1396" s="57" t="s">
        <v>2349</v>
      </c>
      <c r="P1396" s="57" t="s">
        <v>2368</v>
      </c>
      <c r="Q1396" s="57" t="s">
        <v>706</v>
      </c>
    </row>
    <row r="1397" s="50" customFormat="true" ht="14.25" hidden="false" customHeight="true" outlineLevel="0" collapsed="false">
      <c r="A1397" s="50" t="s">
        <v>954</v>
      </c>
      <c r="B1397" s="57" t="s">
        <v>48</v>
      </c>
      <c r="C1397" s="57" t="s">
        <v>313</v>
      </c>
      <c r="D1397" s="58" t="n">
        <v>46077.2916666667</v>
      </c>
      <c r="E1397" s="58" t="n">
        <v>46077.2916666667</v>
      </c>
      <c r="F1397" s="58" t="n">
        <v>46077.3333333333</v>
      </c>
      <c r="G1397" s="59" t="n">
        <f aca="false">F1397-E1397</f>
        <v>0.0416666665972222</v>
      </c>
      <c r="H1397" s="57" t="s">
        <v>252</v>
      </c>
      <c r="I1397" s="57"/>
      <c r="J1397" s="57" t="s">
        <v>253</v>
      </c>
      <c r="K1397" s="57" t="s">
        <v>266</v>
      </c>
      <c r="L1397" s="57" t="s">
        <v>2348</v>
      </c>
      <c r="M1397" s="57" t="s">
        <v>255</v>
      </c>
      <c r="N1397" s="57" t="s">
        <v>256</v>
      </c>
      <c r="O1397" s="57" t="s">
        <v>2349</v>
      </c>
      <c r="P1397" s="57" t="s">
        <v>2369</v>
      </c>
      <c r="Q1397" s="57" t="s">
        <v>706</v>
      </c>
    </row>
    <row r="1398" s="50" customFormat="true" ht="14.25" hidden="false" customHeight="true" outlineLevel="0" collapsed="false">
      <c r="A1398" s="50" t="s">
        <v>960</v>
      </c>
      <c r="B1398" s="57" t="s">
        <v>48</v>
      </c>
      <c r="C1398" s="57" t="s">
        <v>314</v>
      </c>
      <c r="D1398" s="58" t="n">
        <v>46077.2916666667</v>
      </c>
      <c r="E1398" s="58" t="n">
        <v>46077.2916666667</v>
      </c>
      <c r="F1398" s="58" t="n">
        <v>46077.3333333333</v>
      </c>
      <c r="G1398" s="59" t="n">
        <f aca="false">F1398-E1398</f>
        <v>0.0416666665972222</v>
      </c>
      <c r="H1398" s="57" t="s">
        <v>252</v>
      </c>
      <c r="I1398" s="57"/>
      <c r="J1398" s="57" t="s">
        <v>253</v>
      </c>
      <c r="K1398" s="57" t="s">
        <v>266</v>
      </c>
      <c r="L1398" s="57" t="s">
        <v>2348</v>
      </c>
      <c r="M1398" s="57" t="s">
        <v>255</v>
      </c>
      <c r="N1398" s="57" t="s">
        <v>256</v>
      </c>
      <c r="O1398" s="57" t="s">
        <v>2349</v>
      </c>
      <c r="P1398" s="57" t="s">
        <v>2370</v>
      </c>
      <c r="Q1398" s="57" t="s">
        <v>706</v>
      </c>
    </row>
    <row r="1399" s="50" customFormat="true" ht="14.25" hidden="false" customHeight="true" outlineLevel="0" collapsed="false">
      <c r="A1399" s="50" t="s">
        <v>960</v>
      </c>
      <c r="B1399" s="57" t="s">
        <v>48</v>
      </c>
      <c r="C1399" s="57" t="s">
        <v>315</v>
      </c>
      <c r="D1399" s="58" t="n">
        <v>46077.2916666667</v>
      </c>
      <c r="E1399" s="58" t="n">
        <v>46077.2916666667</v>
      </c>
      <c r="F1399" s="58" t="n">
        <v>46077.3333333333</v>
      </c>
      <c r="G1399" s="59" t="n">
        <f aca="false">F1399-E1399</f>
        <v>0.0416666665972222</v>
      </c>
      <c r="H1399" s="57" t="s">
        <v>252</v>
      </c>
      <c r="I1399" s="57"/>
      <c r="J1399" s="57" t="s">
        <v>253</v>
      </c>
      <c r="K1399" s="57" t="s">
        <v>266</v>
      </c>
      <c r="L1399" s="57" t="s">
        <v>2348</v>
      </c>
      <c r="M1399" s="57" t="s">
        <v>255</v>
      </c>
      <c r="N1399" s="57" t="s">
        <v>256</v>
      </c>
      <c r="O1399" s="57" t="s">
        <v>2349</v>
      </c>
      <c r="P1399" s="57" t="s">
        <v>2371</v>
      </c>
      <c r="Q1399" s="57" t="s">
        <v>706</v>
      </c>
    </row>
    <row r="1400" s="50" customFormat="true" ht="14.25" hidden="false" customHeight="true" outlineLevel="0" collapsed="false">
      <c r="A1400" s="50" t="s">
        <v>960</v>
      </c>
      <c r="B1400" s="57" t="s">
        <v>48</v>
      </c>
      <c r="C1400" s="57" t="s">
        <v>316</v>
      </c>
      <c r="D1400" s="58" t="n">
        <v>46077.2916666667</v>
      </c>
      <c r="E1400" s="58" t="n">
        <v>46077.2916666667</v>
      </c>
      <c r="F1400" s="58" t="n">
        <v>46077.3333333333</v>
      </c>
      <c r="G1400" s="59" t="n">
        <f aca="false">F1400-E1400</f>
        <v>0.0416666665972222</v>
      </c>
      <c r="H1400" s="57" t="s">
        <v>252</v>
      </c>
      <c r="I1400" s="57"/>
      <c r="J1400" s="57" t="s">
        <v>253</v>
      </c>
      <c r="K1400" s="57" t="s">
        <v>266</v>
      </c>
      <c r="L1400" s="57" t="s">
        <v>2348</v>
      </c>
      <c r="M1400" s="57" t="s">
        <v>255</v>
      </c>
      <c r="N1400" s="57" t="s">
        <v>256</v>
      </c>
      <c r="O1400" s="57" t="s">
        <v>2349</v>
      </c>
      <c r="P1400" s="57" t="s">
        <v>2372</v>
      </c>
      <c r="Q1400" s="57" t="s">
        <v>706</v>
      </c>
    </row>
    <row r="1401" s="50" customFormat="true" ht="14.25" hidden="false" customHeight="true" outlineLevel="0" collapsed="false">
      <c r="A1401" s="50" t="s">
        <v>960</v>
      </c>
      <c r="B1401" s="57" t="s">
        <v>48</v>
      </c>
      <c r="C1401" s="57" t="s">
        <v>317</v>
      </c>
      <c r="D1401" s="58" t="n">
        <v>46077.2916666667</v>
      </c>
      <c r="E1401" s="58" t="n">
        <v>46077.2916666667</v>
      </c>
      <c r="F1401" s="58" t="n">
        <v>46077.3333333333</v>
      </c>
      <c r="G1401" s="59" t="n">
        <f aca="false">F1401-E1401</f>
        <v>0.0416666665972222</v>
      </c>
      <c r="H1401" s="57" t="s">
        <v>252</v>
      </c>
      <c r="I1401" s="57"/>
      <c r="J1401" s="57" t="s">
        <v>253</v>
      </c>
      <c r="K1401" s="57" t="s">
        <v>266</v>
      </c>
      <c r="L1401" s="57" t="s">
        <v>2348</v>
      </c>
      <c r="M1401" s="57" t="s">
        <v>255</v>
      </c>
      <c r="N1401" s="57" t="s">
        <v>256</v>
      </c>
      <c r="O1401" s="57" t="s">
        <v>2349</v>
      </c>
      <c r="P1401" s="57" t="s">
        <v>2373</v>
      </c>
      <c r="Q1401" s="57" t="s">
        <v>706</v>
      </c>
    </row>
    <row r="1402" s="50" customFormat="true" ht="14.25" hidden="false" customHeight="true" outlineLevel="0" collapsed="false">
      <c r="A1402" s="50" t="s">
        <v>965</v>
      </c>
      <c r="B1402" s="57" t="s">
        <v>48</v>
      </c>
      <c r="C1402" s="57" t="s">
        <v>318</v>
      </c>
      <c r="D1402" s="58" t="n">
        <v>46077.2916666667</v>
      </c>
      <c r="E1402" s="58" t="n">
        <v>46077.2916666667</v>
      </c>
      <c r="F1402" s="58" t="n">
        <v>46077.3333333333</v>
      </c>
      <c r="G1402" s="59" t="n">
        <f aca="false">F1402-E1402</f>
        <v>0.0416666665972222</v>
      </c>
      <c r="H1402" s="57" t="s">
        <v>252</v>
      </c>
      <c r="I1402" s="57"/>
      <c r="J1402" s="57" t="s">
        <v>253</v>
      </c>
      <c r="K1402" s="57" t="s">
        <v>266</v>
      </c>
      <c r="L1402" s="57" t="s">
        <v>2348</v>
      </c>
      <c r="M1402" s="57" t="s">
        <v>255</v>
      </c>
      <c r="N1402" s="57" t="s">
        <v>256</v>
      </c>
      <c r="O1402" s="57" t="s">
        <v>2349</v>
      </c>
      <c r="P1402" s="57" t="s">
        <v>2374</v>
      </c>
      <c r="Q1402" s="57" t="s">
        <v>706</v>
      </c>
    </row>
    <row r="1403" s="50" customFormat="true" ht="14.25" hidden="false" customHeight="true" outlineLevel="0" collapsed="false">
      <c r="A1403" s="50" t="s">
        <v>965</v>
      </c>
      <c r="B1403" s="57" t="s">
        <v>48</v>
      </c>
      <c r="C1403" s="57" t="s">
        <v>319</v>
      </c>
      <c r="D1403" s="58" t="n">
        <v>46077.2916666667</v>
      </c>
      <c r="E1403" s="58" t="n">
        <v>46077.2916666667</v>
      </c>
      <c r="F1403" s="58" t="n">
        <v>46077.3333333333</v>
      </c>
      <c r="G1403" s="59" t="n">
        <f aca="false">F1403-E1403</f>
        <v>0.0416666665972222</v>
      </c>
      <c r="H1403" s="57" t="s">
        <v>252</v>
      </c>
      <c r="I1403" s="57"/>
      <c r="J1403" s="57" t="s">
        <v>253</v>
      </c>
      <c r="K1403" s="57" t="s">
        <v>266</v>
      </c>
      <c r="L1403" s="57" t="s">
        <v>2348</v>
      </c>
      <c r="M1403" s="57" t="s">
        <v>255</v>
      </c>
      <c r="N1403" s="57" t="s">
        <v>256</v>
      </c>
      <c r="O1403" s="57" t="s">
        <v>2349</v>
      </c>
      <c r="P1403" s="57" t="s">
        <v>2375</v>
      </c>
      <c r="Q1403" s="57" t="s">
        <v>706</v>
      </c>
    </row>
    <row r="1404" s="50" customFormat="true" ht="14.25" hidden="false" customHeight="true" outlineLevel="0" collapsed="false">
      <c r="A1404" s="50" t="s">
        <v>965</v>
      </c>
      <c r="B1404" s="57" t="s">
        <v>48</v>
      </c>
      <c r="C1404" s="57" t="s">
        <v>320</v>
      </c>
      <c r="D1404" s="58" t="n">
        <v>46077.2916666667</v>
      </c>
      <c r="E1404" s="58" t="n">
        <v>46077.2916666667</v>
      </c>
      <c r="F1404" s="58" t="n">
        <v>46077.3333333333</v>
      </c>
      <c r="G1404" s="59" t="n">
        <f aca="false">F1404-E1404</f>
        <v>0.0416666665972222</v>
      </c>
      <c r="H1404" s="57" t="s">
        <v>252</v>
      </c>
      <c r="I1404" s="57"/>
      <c r="J1404" s="57" t="s">
        <v>253</v>
      </c>
      <c r="K1404" s="57" t="s">
        <v>266</v>
      </c>
      <c r="L1404" s="57" t="s">
        <v>2348</v>
      </c>
      <c r="M1404" s="57" t="s">
        <v>255</v>
      </c>
      <c r="N1404" s="57" t="s">
        <v>256</v>
      </c>
      <c r="O1404" s="57" t="s">
        <v>2349</v>
      </c>
      <c r="P1404" s="57" t="s">
        <v>2376</v>
      </c>
      <c r="Q1404" s="57" t="s">
        <v>706</v>
      </c>
    </row>
    <row r="1405" s="50" customFormat="true" ht="14.25" hidden="false" customHeight="true" outlineLevel="0" collapsed="false">
      <c r="A1405" s="50" t="s">
        <v>965</v>
      </c>
      <c r="B1405" s="57" t="s">
        <v>48</v>
      </c>
      <c r="C1405" s="57" t="s">
        <v>321</v>
      </c>
      <c r="D1405" s="58" t="n">
        <v>46077.2916666667</v>
      </c>
      <c r="E1405" s="58" t="n">
        <v>46077.2916666667</v>
      </c>
      <c r="F1405" s="58" t="n">
        <v>46077.3333333333</v>
      </c>
      <c r="G1405" s="59" t="n">
        <f aca="false">F1405-E1405</f>
        <v>0.0416666665972222</v>
      </c>
      <c r="H1405" s="57" t="s">
        <v>252</v>
      </c>
      <c r="I1405" s="57"/>
      <c r="J1405" s="57" t="s">
        <v>253</v>
      </c>
      <c r="K1405" s="57" t="s">
        <v>266</v>
      </c>
      <c r="L1405" s="57" t="s">
        <v>2348</v>
      </c>
      <c r="M1405" s="57" t="s">
        <v>255</v>
      </c>
      <c r="N1405" s="57" t="s">
        <v>256</v>
      </c>
      <c r="O1405" s="57" t="s">
        <v>2349</v>
      </c>
      <c r="P1405" s="57" t="s">
        <v>2377</v>
      </c>
      <c r="Q1405" s="57" t="s">
        <v>706</v>
      </c>
    </row>
    <row r="1406" s="50" customFormat="true" ht="14.25" hidden="false" customHeight="true" outlineLevel="0" collapsed="false">
      <c r="A1406" s="50" t="s">
        <v>965</v>
      </c>
      <c r="B1406" s="57" t="s">
        <v>48</v>
      </c>
      <c r="C1406" s="57" t="s">
        <v>322</v>
      </c>
      <c r="D1406" s="58" t="n">
        <v>46077.2916666667</v>
      </c>
      <c r="E1406" s="58" t="n">
        <v>46077.2916666667</v>
      </c>
      <c r="F1406" s="58" t="n">
        <v>46077.3333333333</v>
      </c>
      <c r="G1406" s="59" t="n">
        <f aca="false">F1406-E1406</f>
        <v>0.0416666665972222</v>
      </c>
      <c r="H1406" s="57" t="s">
        <v>252</v>
      </c>
      <c r="I1406" s="57"/>
      <c r="J1406" s="57" t="s">
        <v>253</v>
      </c>
      <c r="K1406" s="57" t="s">
        <v>266</v>
      </c>
      <c r="L1406" s="57" t="s">
        <v>2348</v>
      </c>
      <c r="M1406" s="57" t="s">
        <v>255</v>
      </c>
      <c r="N1406" s="57" t="s">
        <v>256</v>
      </c>
      <c r="O1406" s="57" t="s">
        <v>2349</v>
      </c>
      <c r="P1406" s="57" t="s">
        <v>2378</v>
      </c>
      <c r="Q1406" s="57" t="s">
        <v>706</v>
      </c>
    </row>
    <row r="1407" s="50" customFormat="true" ht="14.25" hidden="false" customHeight="true" outlineLevel="0" collapsed="false">
      <c r="A1407" s="50" t="s">
        <v>250</v>
      </c>
      <c r="B1407" s="57" t="s">
        <v>250</v>
      </c>
      <c r="C1407" s="57" t="s">
        <v>251</v>
      </c>
      <c r="D1407" s="58" t="n">
        <v>46077.2916666667</v>
      </c>
      <c r="E1407" s="58" t="n">
        <v>46077.2916666667</v>
      </c>
      <c r="F1407" s="58" t="n">
        <v>46077.3333333333</v>
      </c>
      <c r="G1407" s="59" t="n">
        <f aca="false">F1407-E1407</f>
        <v>0.0416666665972222</v>
      </c>
      <c r="H1407" s="57" t="s">
        <v>252</v>
      </c>
      <c r="I1407" s="57"/>
      <c r="J1407" s="57" t="s">
        <v>253</v>
      </c>
      <c r="K1407" s="57" t="s">
        <v>266</v>
      </c>
      <c r="L1407" s="57" t="s">
        <v>2348</v>
      </c>
      <c r="M1407" s="57" t="s">
        <v>255</v>
      </c>
      <c r="N1407" s="57" t="s">
        <v>256</v>
      </c>
      <c r="O1407" s="57" t="s">
        <v>2349</v>
      </c>
      <c r="P1407" s="57" t="s">
        <v>2379</v>
      </c>
      <c r="Q1407" s="57" t="s">
        <v>706</v>
      </c>
    </row>
    <row r="1408" s="50" customFormat="true" ht="14.25" hidden="false" customHeight="true" outlineLevel="0" collapsed="false">
      <c r="A1408" s="50" t="s">
        <v>250</v>
      </c>
      <c r="B1408" s="57" t="s">
        <v>250</v>
      </c>
      <c r="C1408" s="57" t="s">
        <v>258</v>
      </c>
      <c r="D1408" s="58" t="n">
        <v>46077.2916666667</v>
      </c>
      <c r="E1408" s="58" t="n">
        <v>46077.2916666667</v>
      </c>
      <c r="F1408" s="58" t="n">
        <v>46077.3333333333</v>
      </c>
      <c r="G1408" s="59" t="n">
        <f aca="false">F1408-E1408</f>
        <v>0.0416666665972222</v>
      </c>
      <c r="H1408" s="57" t="s">
        <v>252</v>
      </c>
      <c r="I1408" s="57"/>
      <c r="J1408" s="57" t="s">
        <v>253</v>
      </c>
      <c r="K1408" s="57" t="s">
        <v>266</v>
      </c>
      <c r="L1408" s="57" t="s">
        <v>2348</v>
      </c>
      <c r="M1408" s="57" t="s">
        <v>255</v>
      </c>
      <c r="N1408" s="57" t="s">
        <v>256</v>
      </c>
      <c r="O1408" s="57" t="s">
        <v>2349</v>
      </c>
      <c r="P1408" s="57" t="s">
        <v>2380</v>
      </c>
      <c r="Q1408" s="57" t="s">
        <v>706</v>
      </c>
    </row>
    <row r="1409" s="50" customFormat="true" ht="14.25" hidden="false" customHeight="true" outlineLevel="0" collapsed="false">
      <c r="A1409" s="50" t="s">
        <v>250</v>
      </c>
      <c r="B1409" s="57" t="s">
        <v>250</v>
      </c>
      <c r="C1409" s="57" t="s">
        <v>259</v>
      </c>
      <c r="D1409" s="58" t="n">
        <v>46077.2916666667</v>
      </c>
      <c r="E1409" s="58" t="n">
        <v>46077.2916666667</v>
      </c>
      <c r="F1409" s="58" t="n">
        <v>46077.3333333333</v>
      </c>
      <c r="G1409" s="59" t="n">
        <f aca="false">F1409-E1409</f>
        <v>0.0416666665972222</v>
      </c>
      <c r="H1409" s="57" t="s">
        <v>252</v>
      </c>
      <c r="I1409" s="57"/>
      <c r="J1409" s="57" t="s">
        <v>253</v>
      </c>
      <c r="K1409" s="57" t="s">
        <v>266</v>
      </c>
      <c r="L1409" s="57" t="s">
        <v>2348</v>
      </c>
      <c r="M1409" s="57" t="s">
        <v>255</v>
      </c>
      <c r="N1409" s="57" t="s">
        <v>256</v>
      </c>
      <c r="O1409" s="57" t="s">
        <v>2349</v>
      </c>
      <c r="P1409" s="57" t="s">
        <v>2381</v>
      </c>
      <c r="Q1409" s="57" t="s">
        <v>706</v>
      </c>
    </row>
    <row r="1410" s="50" customFormat="true" ht="14.25" hidden="false" customHeight="true" outlineLevel="0" collapsed="false">
      <c r="A1410" s="50" t="s">
        <v>250</v>
      </c>
      <c r="B1410" s="57" t="s">
        <v>250</v>
      </c>
      <c r="C1410" s="57" t="s">
        <v>260</v>
      </c>
      <c r="D1410" s="58" t="n">
        <v>46077.2916666667</v>
      </c>
      <c r="E1410" s="58" t="n">
        <v>46077.2916666667</v>
      </c>
      <c r="F1410" s="58" t="n">
        <v>46077.3333333333</v>
      </c>
      <c r="G1410" s="59" t="n">
        <f aca="false">F1410-E1410</f>
        <v>0.0416666665972222</v>
      </c>
      <c r="H1410" s="57" t="s">
        <v>252</v>
      </c>
      <c r="I1410" s="57"/>
      <c r="J1410" s="57" t="s">
        <v>253</v>
      </c>
      <c r="K1410" s="57" t="s">
        <v>266</v>
      </c>
      <c r="L1410" s="57" t="s">
        <v>2348</v>
      </c>
      <c r="M1410" s="57" t="s">
        <v>255</v>
      </c>
      <c r="N1410" s="57" t="s">
        <v>256</v>
      </c>
      <c r="O1410" s="57" t="s">
        <v>2349</v>
      </c>
      <c r="P1410" s="57" t="s">
        <v>2382</v>
      </c>
      <c r="Q1410" s="57" t="s">
        <v>706</v>
      </c>
    </row>
    <row r="1411" s="50" customFormat="true" ht="14.25" hidden="false" customHeight="true" outlineLevel="0" collapsed="false">
      <c r="A1411" s="50" t="s">
        <v>250</v>
      </c>
      <c r="B1411" s="57" t="s">
        <v>250</v>
      </c>
      <c r="C1411" s="57" t="s">
        <v>261</v>
      </c>
      <c r="D1411" s="58" t="n">
        <v>46077.2916666667</v>
      </c>
      <c r="E1411" s="58" t="n">
        <v>46077.2916666667</v>
      </c>
      <c r="F1411" s="58" t="n">
        <v>46077.3333333333</v>
      </c>
      <c r="G1411" s="59" t="n">
        <f aca="false">F1411-E1411</f>
        <v>0.0416666665972222</v>
      </c>
      <c r="H1411" s="57" t="s">
        <v>252</v>
      </c>
      <c r="I1411" s="57"/>
      <c r="J1411" s="57" t="s">
        <v>253</v>
      </c>
      <c r="K1411" s="57" t="s">
        <v>266</v>
      </c>
      <c r="L1411" s="57" t="s">
        <v>2348</v>
      </c>
      <c r="M1411" s="57" t="s">
        <v>255</v>
      </c>
      <c r="N1411" s="57" t="s">
        <v>256</v>
      </c>
      <c r="O1411" s="57" t="s">
        <v>2349</v>
      </c>
      <c r="P1411" s="57" t="s">
        <v>2383</v>
      </c>
      <c r="Q1411" s="57" t="s">
        <v>706</v>
      </c>
    </row>
    <row r="1412" s="50" customFormat="true" ht="14.25" hidden="false" customHeight="true" outlineLevel="0" collapsed="false">
      <c r="A1412" s="50" t="s">
        <v>262</v>
      </c>
      <c r="B1412" s="57" t="s">
        <v>262</v>
      </c>
      <c r="C1412" s="57" t="s">
        <v>251</v>
      </c>
      <c r="D1412" s="58" t="n">
        <v>46077.2916666667</v>
      </c>
      <c r="E1412" s="58" t="n">
        <v>46077.2916666667</v>
      </c>
      <c r="F1412" s="58" t="n">
        <v>46077.3333333333</v>
      </c>
      <c r="G1412" s="59" t="n">
        <f aca="false">F1412-E1412</f>
        <v>0.0416666665972222</v>
      </c>
      <c r="H1412" s="57" t="s">
        <v>252</v>
      </c>
      <c r="I1412" s="57"/>
      <c r="J1412" s="57" t="s">
        <v>253</v>
      </c>
      <c r="K1412" s="57" t="s">
        <v>266</v>
      </c>
      <c r="L1412" s="57" t="s">
        <v>2348</v>
      </c>
      <c r="M1412" s="57" t="s">
        <v>255</v>
      </c>
      <c r="N1412" s="57" t="s">
        <v>256</v>
      </c>
      <c r="O1412" s="57" t="s">
        <v>2349</v>
      </c>
      <c r="P1412" s="57" t="s">
        <v>2384</v>
      </c>
      <c r="Q1412" s="57" t="s">
        <v>706</v>
      </c>
    </row>
    <row r="1413" s="50" customFormat="true" ht="14.25" hidden="false" customHeight="true" outlineLevel="0" collapsed="false">
      <c r="A1413" s="50" t="s">
        <v>262</v>
      </c>
      <c r="B1413" s="57" t="s">
        <v>262</v>
      </c>
      <c r="C1413" s="57" t="s">
        <v>258</v>
      </c>
      <c r="D1413" s="58" t="n">
        <v>46077.2916666667</v>
      </c>
      <c r="E1413" s="58" t="n">
        <v>46077.2916666667</v>
      </c>
      <c r="F1413" s="58" t="n">
        <v>46077.3333333333</v>
      </c>
      <c r="G1413" s="59" t="n">
        <f aca="false">F1413-E1413</f>
        <v>0.0416666665972222</v>
      </c>
      <c r="H1413" s="57" t="s">
        <v>252</v>
      </c>
      <c r="I1413" s="57"/>
      <c r="J1413" s="57" t="s">
        <v>253</v>
      </c>
      <c r="K1413" s="57" t="s">
        <v>266</v>
      </c>
      <c r="L1413" s="57" t="s">
        <v>2348</v>
      </c>
      <c r="M1413" s="57" t="s">
        <v>255</v>
      </c>
      <c r="N1413" s="57" t="s">
        <v>256</v>
      </c>
      <c r="O1413" s="57" t="s">
        <v>2349</v>
      </c>
      <c r="P1413" s="57" t="s">
        <v>2385</v>
      </c>
      <c r="Q1413" s="57" t="s">
        <v>706</v>
      </c>
    </row>
    <row r="1414" s="50" customFormat="true" ht="14.25" hidden="false" customHeight="true" outlineLevel="0" collapsed="false">
      <c r="A1414" s="50" t="s">
        <v>262</v>
      </c>
      <c r="B1414" s="57" t="s">
        <v>262</v>
      </c>
      <c r="C1414" s="57" t="s">
        <v>259</v>
      </c>
      <c r="D1414" s="58" t="n">
        <v>46077.2916666667</v>
      </c>
      <c r="E1414" s="58" t="n">
        <v>46077.2916666667</v>
      </c>
      <c r="F1414" s="58" t="n">
        <v>46077.3333333333</v>
      </c>
      <c r="G1414" s="59" t="n">
        <f aca="false">F1414-E1414</f>
        <v>0.0416666665972222</v>
      </c>
      <c r="H1414" s="57" t="s">
        <v>252</v>
      </c>
      <c r="I1414" s="57"/>
      <c r="J1414" s="57" t="s">
        <v>253</v>
      </c>
      <c r="K1414" s="57" t="s">
        <v>266</v>
      </c>
      <c r="L1414" s="57" t="s">
        <v>2348</v>
      </c>
      <c r="M1414" s="57" t="s">
        <v>255</v>
      </c>
      <c r="N1414" s="57" t="s">
        <v>256</v>
      </c>
      <c r="O1414" s="57" t="s">
        <v>2349</v>
      </c>
      <c r="P1414" s="57" t="s">
        <v>2386</v>
      </c>
      <c r="Q1414" s="57" t="s">
        <v>706</v>
      </c>
    </row>
    <row r="1415" s="50" customFormat="true" ht="14.25" hidden="false" customHeight="true" outlineLevel="0" collapsed="false">
      <c r="A1415" s="50" t="s">
        <v>262</v>
      </c>
      <c r="B1415" s="57" t="s">
        <v>262</v>
      </c>
      <c r="C1415" s="57" t="s">
        <v>260</v>
      </c>
      <c r="D1415" s="58" t="n">
        <v>46077.2916666667</v>
      </c>
      <c r="E1415" s="58" t="n">
        <v>46077.2916666667</v>
      </c>
      <c r="F1415" s="58" t="n">
        <v>46077.3333333333</v>
      </c>
      <c r="G1415" s="59" t="n">
        <f aca="false">F1415-E1415</f>
        <v>0.0416666665972222</v>
      </c>
      <c r="H1415" s="57" t="s">
        <v>252</v>
      </c>
      <c r="I1415" s="57"/>
      <c r="J1415" s="57" t="s">
        <v>253</v>
      </c>
      <c r="K1415" s="57" t="s">
        <v>266</v>
      </c>
      <c r="L1415" s="57" t="s">
        <v>2348</v>
      </c>
      <c r="M1415" s="57" t="s">
        <v>255</v>
      </c>
      <c r="N1415" s="57" t="s">
        <v>256</v>
      </c>
      <c r="O1415" s="57" t="s">
        <v>2349</v>
      </c>
      <c r="P1415" s="57" t="s">
        <v>2387</v>
      </c>
      <c r="Q1415" s="57" t="s">
        <v>706</v>
      </c>
    </row>
    <row r="1416" s="50" customFormat="true" ht="14.25" hidden="false" customHeight="true" outlineLevel="0" collapsed="false">
      <c r="A1416" s="50" t="s">
        <v>262</v>
      </c>
      <c r="B1416" s="57" t="s">
        <v>262</v>
      </c>
      <c r="C1416" s="57" t="s">
        <v>261</v>
      </c>
      <c r="D1416" s="58" t="n">
        <v>46077.2916666667</v>
      </c>
      <c r="E1416" s="58" t="n">
        <v>46077.2916666667</v>
      </c>
      <c r="F1416" s="58" t="n">
        <v>46077.3333333333</v>
      </c>
      <c r="G1416" s="59" t="n">
        <f aca="false">F1416-E1416</f>
        <v>0.0416666665972222</v>
      </c>
      <c r="H1416" s="57" t="s">
        <v>252</v>
      </c>
      <c r="I1416" s="57"/>
      <c r="J1416" s="57" t="s">
        <v>253</v>
      </c>
      <c r="K1416" s="57" t="s">
        <v>266</v>
      </c>
      <c r="L1416" s="57" t="s">
        <v>2348</v>
      </c>
      <c r="M1416" s="57" t="s">
        <v>255</v>
      </c>
      <c r="N1416" s="57" t="s">
        <v>256</v>
      </c>
      <c r="O1416" s="57" t="s">
        <v>2349</v>
      </c>
      <c r="P1416" s="57" t="s">
        <v>2388</v>
      </c>
      <c r="Q1416" s="57" t="s">
        <v>706</v>
      </c>
    </row>
    <row r="1417" s="50" customFormat="true" ht="14.25" hidden="false" customHeight="true" outlineLevel="0" collapsed="false">
      <c r="A1417" s="50" t="s">
        <v>263</v>
      </c>
      <c r="B1417" s="57" t="s">
        <v>263</v>
      </c>
      <c r="C1417" s="57" t="s">
        <v>251</v>
      </c>
      <c r="D1417" s="58" t="n">
        <v>46077.2916666667</v>
      </c>
      <c r="E1417" s="58" t="n">
        <v>46077.2916666667</v>
      </c>
      <c r="F1417" s="58" t="n">
        <v>46077.3333333333</v>
      </c>
      <c r="G1417" s="59" t="n">
        <f aca="false">F1417-E1417</f>
        <v>0.0416666665972222</v>
      </c>
      <c r="H1417" s="57" t="s">
        <v>252</v>
      </c>
      <c r="I1417" s="57"/>
      <c r="J1417" s="57" t="s">
        <v>253</v>
      </c>
      <c r="K1417" s="57" t="s">
        <v>266</v>
      </c>
      <c r="L1417" s="57" t="s">
        <v>2348</v>
      </c>
      <c r="M1417" s="57" t="s">
        <v>255</v>
      </c>
      <c r="N1417" s="57" t="s">
        <v>256</v>
      </c>
      <c r="O1417" s="57" t="s">
        <v>2349</v>
      </c>
      <c r="P1417" s="57" t="s">
        <v>2389</v>
      </c>
      <c r="Q1417" s="57" t="s">
        <v>706</v>
      </c>
    </row>
    <row r="1418" s="50" customFormat="true" ht="14.25" hidden="false" customHeight="true" outlineLevel="0" collapsed="false">
      <c r="A1418" s="50" t="s">
        <v>263</v>
      </c>
      <c r="B1418" s="57" t="s">
        <v>263</v>
      </c>
      <c r="C1418" s="57" t="s">
        <v>258</v>
      </c>
      <c r="D1418" s="58" t="n">
        <v>46077.2916666667</v>
      </c>
      <c r="E1418" s="58" t="n">
        <v>46077.2916666667</v>
      </c>
      <c r="F1418" s="58" t="n">
        <v>46077.3333333333</v>
      </c>
      <c r="G1418" s="59" t="n">
        <f aca="false">F1418-E1418</f>
        <v>0.0416666665972222</v>
      </c>
      <c r="H1418" s="57" t="s">
        <v>252</v>
      </c>
      <c r="I1418" s="57"/>
      <c r="J1418" s="57" t="s">
        <v>253</v>
      </c>
      <c r="K1418" s="57" t="s">
        <v>266</v>
      </c>
      <c r="L1418" s="57" t="s">
        <v>2348</v>
      </c>
      <c r="M1418" s="57" t="s">
        <v>255</v>
      </c>
      <c r="N1418" s="57" t="s">
        <v>256</v>
      </c>
      <c r="O1418" s="57" t="s">
        <v>2349</v>
      </c>
      <c r="P1418" s="57" t="s">
        <v>2390</v>
      </c>
      <c r="Q1418" s="57" t="s">
        <v>706</v>
      </c>
    </row>
    <row r="1419" s="50" customFormat="true" ht="14.25" hidden="false" customHeight="true" outlineLevel="0" collapsed="false">
      <c r="A1419" s="50" t="s">
        <v>263</v>
      </c>
      <c r="B1419" s="57" t="s">
        <v>263</v>
      </c>
      <c r="C1419" s="57" t="s">
        <v>259</v>
      </c>
      <c r="D1419" s="58" t="n">
        <v>46077.2916666667</v>
      </c>
      <c r="E1419" s="58" t="n">
        <v>46077.2916666667</v>
      </c>
      <c r="F1419" s="58" t="n">
        <v>46077.3333333333</v>
      </c>
      <c r="G1419" s="59" t="n">
        <f aca="false">F1419-E1419</f>
        <v>0.0416666665972222</v>
      </c>
      <c r="H1419" s="57" t="s">
        <v>252</v>
      </c>
      <c r="I1419" s="57"/>
      <c r="J1419" s="57" t="s">
        <v>253</v>
      </c>
      <c r="K1419" s="57" t="s">
        <v>266</v>
      </c>
      <c r="L1419" s="57" t="s">
        <v>2348</v>
      </c>
      <c r="M1419" s="57" t="s">
        <v>255</v>
      </c>
      <c r="N1419" s="57" t="s">
        <v>256</v>
      </c>
      <c r="O1419" s="57" t="s">
        <v>2349</v>
      </c>
      <c r="P1419" s="57" t="s">
        <v>2391</v>
      </c>
      <c r="Q1419" s="57" t="s">
        <v>706</v>
      </c>
    </row>
    <row r="1420" s="50" customFormat="true" ht="14.25" hidden="false" customHeight="true" outlineLevel="0" collapsed="false">
      <c r="A1420" s="50" t="s">
        <v>263</v>
      </c>
      <c r="B1420" s="57" t="s">
        <v>263</v>
      </c>
      <c r="C1420" s="57" t="s">
        <v>260</v>
      </c>
      <c r="D1420" s="58" t="n">
        <v>46077.2916666667</v>
      </c>
      <c r="E1420" s="58" t="n">
        <v>46077.2916666667</v>
      </c>
      <c r="F1420" s="58" t="n">
        <v>46077.3333333333</v>
      </c>
      <c r="G1420" s="59" t="n">
        <f aca="false">F1420-E1420</f>
        <v>0.0416666665972222</v>
      </c>
      <c r="H1420" s="57" t="s">
        <v>252</v>
      </c>
      <c r="I1420" s="57"/>
      <c r="J1420" s="57" t="s">
        <v>253</v>
      </c>
      <c r="K1420" s="57" t="s">
        <v>266</v>
      </c>
      <c r="L1420" s="57" t="s">
        <v>2348</v>
      </c>
      <c r="M1420" s="57" t="s">
        <v>255</v>
      </c>
      <c r="N1420" s="57" t="s">
        <v>256</v>
      </c>
      <c r="O1420" s="57" t="s">
        <v>2349</v>
      </c>
      <c r="P1420" s="57" t="s">
        <v>2392</v>
      </c>
      <c r="Q1420" s="57" t="s">
        <v>706</v>
      </c>
    </row>
    <row r="1421" s="50" customFormat="true" ht="14.25" hidden="false" customHeight="true" outlineLevel="0" collapsed="false">
      <c r="A1421" s="50" t="s">
        <v>263</v>
      </c>
      <c r="B1421" s="57" t="s">
        <v>263</v>
      </c>
      <c r="C1421" s="57" t="s">
        <v>261</v>
      </c>
      <c r="D1421" s="58" t="n">
        <v>46077.2916666667</v>
      </c>
      <c r="E1421" s="58" t="n">
        <v>46077.2916666667</v>
      </c>
      <c r="F1421" s="58" t="n">
        <v>46077.3333333333</v>
      </c>
      <c r="G1421" s="59" t="n">
        <f aca="false">F1421-E1421</f>
        <v>0.0416666665972222</v>
      </c>
      <c r="H1421" s="57" t="s">
        <v>252</v>
      </c>
      <c r="I1421" s="57"/>
      <c r="J1421" s="57" t="s">
        <v>253</v>
      </c>
      <c r="K1421" s="57" t="s">
        <v>266</v>
      </c>
      <c r="L1421" s="57" t="s">
        <v>2348</v>
      </c>
      <c r="M1421" s="57" t="s">
        <v>255</v>
      </c>
      <c r="N1421" s="57" t="s">
        <v>256</v>
      </c>
      <c r="O1421" s="57" t="s">
        <v>2349</v>
      </c>
      <c r="P1421" s="57" t="s">
        <v>2393</v>
      </c>
      <c r="Q1421" s="57" t="s">
        <v>706</v>
      </c>
    </row>
    <row r="1422" s="50" customFormat="true" ht="14.25" hidden="false" customHeight="true" outlineLevel="0" collapsed="false">
      <c r="A1422" s="50" t="s">
        <v>358</v>
      </c>
      <c r="B1422" s="57" t="s">
        <v>358</v>
      </c>
      <c r="C1422" s="57" t="s">
        <v>324</v>
      </c>
      <c r="D1422" s="58" t="n">
        <v>46077.5861111111</v>
      </c>
      <c r="E1422" s="58" t="n">
        <v>46077.5861111111</v>
      </c>
      <c r="F1422" s="58" t="n">
        <v>46077.6284722222</v>
      </c>
      <c r="G1422" s="59" t="n">
        <f aca="false">F1422-E1422</f>
        <v>0.042361111099537</v>
      </c>
      <c r="H1422" s="57" t="s">
        <v>252</v>
      </c>
      <c r="I1422" s="57"/>
      <c r="J1422" s="57" t="s">
        <v>253</v>
      </c>
      <c r="K1422" s="57" t="s">
        <v>266</v>
      </c>
      <c r="L1422" s="57" t="s">
        <v>2394</v>
      </c>
      <c r="M1422" s="57" t="s">
        <v>255</v>
      </c>
      <c r="N1422" s="57" t="s">
        <v>256</v>
      </c>
      <c r="O1422" s="57" t="s">
        <v>2395</v>
      </c>
      <c r="P1422" s="57" t="s">
        <v>2396</v>
      </c>
      <c r="Q1422" s="57" t="s">
        <v>706</v>
      </c>
    </row>
    <row r="1423" s="50" customFormat="true" ht="14.25" hidden="false" customHeight="true" outlineLevel="0" collapsed="false">
      <c r="A1423" s="50" t="s">
        <v>358</v>
      </c>
      <c r="B1423" s="57" t="s">
        <v>358</v>
      </c>
      <c r="C1423" s="57" t="s">
        <v>326</v>
      </c>
      <c r="D1423" s="58" t="n">
        <v>46077.5861111111</v>
      </c>
      <c r="E1423" s="58" t="n">
        <v>46077.5861111111</v>
      </c>
      <c r="F1423" s="58" t="n">
        <v>46077.6284722222</v>
      </c>
      <c r="G1423" s="59" t="n">
        <f aca="false">F1423-E1423</f>
        <v>0.042361111099537</v>
      </c>
      <c r="H1423" s="57" t="s">
        <v>252</v>
      </c>
      <c r="I1423" s="57"/>
      <c r="J1423" s="57" t="s">
        <v>253</v>
      </c>
      <c r="K1423" s="57" t="s">
        <v>266</v>
      </c>
      <c r="L1423" s="57" t="s">
        <v>2394</v>
      </c>
      <c r="M1423" s="57" t="s">
        <v>255</v>
      </c>
      <c r="N1423" s="57" t="s">
        <v>256</v>
      </c>
      <c r="O1423" s="57" t="s">
        <v>2395</v>
      </c>
      <c r="P1423" s="57" t="s">
        <v>2397</v>
      </c>
      <c r="Q1423" s="57" t="s">
        <v>706</v>
      </c>
    </row>
    <row r="1424" s="50" customFormat="true" ht="14.25" hidden="false" customHeight="true" outlineLevel="0" collapsed="false">
      <c r="A1424" s="50" t="s">
        <v>358</v>
      </c>
      <c r="B1424" s="57" t="s">
        <v>358</v>
      </c>
      <c r="C1424" s="57" t="s">
        <v>327</v>
      </c>
      <c r="D1424" s="58" t="n">
        <v>46077.5861111111</v>
      </c>
      <c r="E1424" s="58" t="n">
        <v>46077.5861111111</v>
      </c>
      <c r="F1424" s="58" t="n">
        <v>46077.6284722222</v>
      </c>
      <c r="G1424" s="59" t="n">
        <f aca="false">F1424-E1424</f>
        <v>0.042361111099537</v>
      </c>
      <c r="H1424" s="57" t="s">
        <v>252</v>
      </c>
      <c r="I1424" s="57"/>
      <c r="J1424" s="57" t="s">
        <v>253</v>
      </c>
      <c r="K1424" s="57" t="s">
        <v>266</v>
      </c>
      <c r="L1424" s="57" t="s">
        <v>2394</v>
      </c>
      <c r="M1424" s="57" t="s">
        <v>255</v>
      </c>
      <c r="N1424" s="57" t="s">
        <v>256</v>
      </c>
      <c r="O1424" s="57" t="s">
        <v>2395</v>
      </c>
      <c r="P1424" s="57" t="s">
        <v>2398</v>
      </c>
      <c r="Q1424" s="57" t="s">
        <v>706</v>
      </c>
    </row>
    <row r="1425" s="50" customFormat="true" ht="14.25" hidden="false" customHeight="true" outlineLevel="0" collapsed="false">
      <c r="A1425" s="50" t="s">
        <v>358</v>
      </c>
      <c r="B1425" s="57" t="s">
        <v>358</v>
      </c>
      <c r="C1425" s="57" t="s">
        <v>328</v>
      </c>
      <c r="D1425" s="58" t="n">
        <v>46077.5861111111</v>
      </c>
      <c r="E1425" s="58" t="n">
        <v>46077.5861111111</v>
      </c>
      <c r="F1425" s="58" t="n">
        <v>46077.6284722222</v>
      </c>
      <c r="G1425" s="59" t="n">
        <f aca="false">F1425-E1425</f>
        <v>0.042361111099537</v>
      </c>
      <c r="H1425" s="57" t="s">
        <v>252</v>
      </c>
      <c r="I1425" s="57"/>
      <c r="J1425" s="57" t="s">
        <v>253</v>
      </c>
      <c r="K1425" s="57" t="s">
        <v>266</v>
      </c>
      <c r="L1425" s="57" t="s">
        <v>2394</v>
      </c>
      <c r="M1425" s="57" t="s">
        <v>255</v>
      </c>
      <c r="N1425" s="57" t="s">
        <v>256</v>
      </c>
      <c r="O1425" s="57" t="s">
        <v>2395</v>
      </c>
      <c r="P1425" s="57" t="s">
        <v>2399</v>
      </c>
      <c r="Q1425" s="57" t="s">
        <v>706</v>
      </c>
    </row>
    <row r="1426" s="50" customFormat="true" ht="14.25" hidden="false" customHeight="true" outlineLevel="0" collapsed="false">
      <c r="A1426" s="50" t="s">
        <v>361</v>
      </c>
      <c r="B1426" s="57" t="s">
        <v>361</v>
      </c>
      <c r="C1426" s="57" t="s">
        <v>324</v>
      </c>
      <c r="D1426" s="58" t="n">
        <v>46077.5861111111</v>
      </c>
      <c r="E1426" s="58" t="n">
        <v>46077.5861111111</v>
      </c>
      <c r="F1426" s="58" t="n">
        <v>46077.6284722222</v>
      </c>
      <c r="G1426" s="59" t="n">
        <f aca="false">F1426-E1426</f>
        <v>0.042361111099537</v>
      </c>
      <c r="H1426" s="57" t="s">
        <v>252</v>
      </c>
      <c r="I1426" s="57"/>
      <c r="J1426" s="57" t="s">
        <v>253</v>
      </c>
      <c r="K1426" s="57" t="s">
        <v>266</v>
      </c>
      <c r="L1426" s="57" t="s">
        <v>2394</v>
      </c>
      <c r="M1426" s="57" t="s">
        <v>255</v>
      </c>
      <c r="N1426" s="57" t="s">
        <v>256</v>
      </c>
      <c r="O1426" s="57" t="s">
        <v>2395</v>
      </c>
      <c r="P1426" s="57" t="s">
        <v>2400</v>
      </c>
      <c r="Q1426" s="57" t="s">
        <v>706</v>
      </c>
    </row>
    <row r="1427" s="50" customFormat="true" ht="14.25" hidden="false" customHeight="true" outlineLevel="0" collapsed="false">
      <c r="A1427" s="50" t="s">
        <v>361</v>
      </c>
      <c r="B1427" s="57" t="s">
        <v>361</v>
      </c>
      <c r="C1427" s="57" t="s">
        <v>326</v>
      </c>
      <c r="D1427" s="58" t="n">
        <v>46077.5861111111</v>
      </c>
      <c r="E1427" s="58" t="n">
        <v>46077.5861111111</v>
      </c>
      <c r="F1427" s="58" t="n">
        <v>46077.6284722222</v>
      </c>
      <c r="G1427" s="59" t="n">
        <f aca="false">F1427-E1427</f>
        <v>0.042361111099537</v>
      </c>
      <c r="H1427" s="57" t="s">
        <v>252</v>
      </c>
      <c r="I1427" s="57"/>
      <c r="J1427" s="57" t="s">
        <v>253</v>
      </c>
      <c r="K1427" s="57" t="s">
        <v>266</v>
      </c>
      <c r="L1427" s="57" t="s">
        <v>2394</v>
      </c>
      <c r="M1427" s="57" t="s">
        <v>255</v>
      </c>
      <c r="N1427" s="57" t="s">
        <v>256</v>
      </c>
      <c r="O1427" s="57" t="s">
        <v>2395</v>
      </c>
      <c r="P1427" s="57" t="s">
        <v>2401</v>
      </c>
      <c r="Q1427" s="57" t="s">
        <v>706</v>
      </c>
    </row>
    <row r="1428" s="50" customFormat="true" ht="14.25" hidden="false" customHeight="true" outlineLevel="0" collapsed="false">
      <c r="A1428" s="50" t="s">
        <v>361</v>
      </c>
      <c r="B1428" s="57" t="s">
        <v>361</v>
      </c>
      <c r="C1428" s="57" t="s">
        <v>327</v>
      </c>
      <c r="D1428" s="58" t="n">
        <v>46077.5861111111</v>
      </c>
      <c r="E1428" s="58" t="n">
        <v>46077.5861111111</v>
      </c>
      <c r="F1428" s="58" t="n">
        <v>46077.6284722222</v>
      </c>
      <c r="G1428" s="59" t="n">
        <f aca="false">F1428-E1428</f>
        <v>0.042361111099537</v>
      </c>
      <c r="H1428" s="57" t="s">
        <v>252</v>
      </c>
      <c r="I1428" s="57"/>
      <c r="J1428" s="57" t="s">
        <v>253</v>
      </c>
      <c r="K1428" s="57" t="s">
        <v>266</v>
      </c>
      <c r="L1428" s="57" t="s">
        <v>2394</v>
      </c>
      <c r="M1428" s="57" t="s">
        <v>255</v>
      </c>
      <c r="N1428" s="57" t="s">
        <v>256</v>
      </c>
      <c r="O1428" s="57" t="s">
        <v>2395</v>
      </c>
      <c r="P1428" s="57" t="s">
        <v>2402</v>
      </c>
      <c r="Q1428" s="57" t="s">
        <v>706</v>
      </c>
    </row>
    <row r="1429" s="50" customFormat="true" ht="14.25" hidden="false" customHeight="true" outlineLevel="0" collapsed="false">
      <c r="A1429" s="50" t="s">
        <v>361</v>
      </c>
      <c r="B1429" s="57" t="s">
        <v>361</v>
      </c>
      <c r="C1429" s="57" t="s">
        <v>328</v>
      </c>
      <c r="D1429" s="58" t="n">
        <v>46077.5861111111</v>
      </c>
      <c r="E1429" s="58" t="n">
        <v>46077.5861111111</v>
      </c>
      <c r="F1429" s="58" t="n">
        <v>46077.6284722222</v>
      </c>
      <c r="G1429" s="59" t="n">
        <f aca="false">F1429-E1429</f>
        <v>0.042361111099537</v>
      </c>
      <c r="H1429" s="57" t="s">
        <v>252</v>
      </c>
      <c r="I1429" s="57"/>
      <c r="J1429" s="57" t="s">
        <v>253</v>
      </c>
      <c r="K1429" s="57" t="s">
        <v>266</v>
      </c>
      <c r="L1429" s="57" t="s">
        <v>2394</v>
      </c>
      <c r="M1429" s="57" t="s">
        <v>255</v>
      </c>
      <c r="N1429" s="57" t="s">
        <v>256</v>
      </c>
      <c r="O1429" s="57" t="s">
        <v>2395</v>
      </c>
      <c r="P1429" s="57" t="s">
        <v>2403</v>
      </c>
      <c r="Q1429" s="57" t="s">
        <v>706</v>
      </c>
    </row>
    <row r="1430" s="50" customFormat="true" ht="14.25" hidden="false" customHeight="true" outlineLevel="0" collapsed="false">
      <c r="A1430" s="50" t="s">
        <v>362</v>
      </c>
      <c r="B1430" s="57" t="s">
        <v>362</v>
      </c>
      <c r="C1430" s="57" t="s">
        <v>363</v>
      </c>
      <c r="D1430" s="58" t="n">
        <v>46077.5861111111</v>
      </c>
      <c r="E1430" s="58" t="n">
        <v>46077.5861111111</v>
      </c>
      <c r="F1430" s="58" t="n">
        <v>46077.6284722222</v>
      </c>
      <c r="G1430" s="59" t="n">
        <f aca="false">F1430-E1430</f>
        <v>0.042361111099537</v>
      </c>
      <c r="H1430" s="57" t="s">
        <v>252</v>
      </c>
      <c r="I1430" s="57"/>
      <c r="J1430" s="57" t="s">
        <v>253</v>
      </c>
      <c r="K1430" s="57" t="s">
        <v>266</v>
      </c>
      <c r="L1430" s="57" t="s">
        <v>2394</v>
      </c>
      <c r="M1430" s="57" t="s">
        <v>255</v>
      </c>
      <c r="N1430" s="57" t="s">
        <v>256</v>
      </c>
      <c r="O1430" s="57" t="s">
        <v>2395</v>
      </c>
      <c r="P1430" s="57" t="s">
        <v>2404</v>
      </c>
      <c r="Q1430" s="57" t="s">
        <v>706</v>
      </c>
    </row>
    <row r="1431" s="50" customFormat="true" ht="14.25" hidden="false" customHeight="true" outlineLevel="0" collapsed="false">
      <c r="A1431" s="50" t="s">
        <v>362</v>
      </c>
      <c r="B1431" s="57" t="s">
        <v>362</v>
      </c>
      <c r="C1431" s="57" t="s">
        <v>265</v>
      </c>
      <c r="D1431" s="58" t="n">
        <v>46077.5861111111</v>
      </c>
      <c r="E1431" s="58" t="n">
        <v>46077.5861111111</v>
      </c>
      <c r="F1431" s="58" t="n">
        <v>46077.6284722222</v>
      </c>
      <c r="G1431" s="59" t="n">
        <f aca="false">F1431-E1431</f>
        <v>0.042361111099537</v>
      </c>
      <c r="H1431" s="57" t="s">
        <v>252</v>
      </c>
      <c r="I1431" s="57"/>
      <c r="J1431" s="57" t="s">
        <v>253</v>
      </c>
      <c r="K1431" s="57" t="s">
        <v>266</v>
      </c>
      <c r="L1431" s="57" t="s">
        <v>2394</v>
      </c>
      <c r="M1431" s="57" t="s">
        <v>255</v>
      </c>
      <c r="N1431" s="57" t="s">
        <v>256</v>
      </c>
      <c r="O1431" s="57" t="s">
        <v>2395</v>
      </c>
      <c r="P1431" s="57" t="s">
        <v>2405</v>
      </c>
      <c r="Q1431" s="57" t="s">
        <v>706</v>
      </c>
    </row>
    <row r="1432" s="50" customFormat="true" ht="14.25" hidden="false" customHeight="true" outlineLevel="0" collapsed="false">
      <c r="A1432" s="50" t="s">
        <v>367</v>
      </c>
      <c r="B1432" s="57" t="s">
        <v>367</v>
      </c>
      <c r="C1432" s="57" t="s">
        <v>324</v>
      </c>
      <c r="D1432" s="58" t="n">
        <v>46077.5861111111</v>
      </c>
      <c r="E1432" s="58" t="n">
        <v>46077.5861111111</v>
      </c>
      <c r="F1432" s="58" t="n">
        <v>46077.6284722222</v>
      </c>
      <c r="G1432" s="59" t="n">
        <f aca="false">F1432-E1432</f>
        <v>0.042361111099537</v>
      </c>
      <c r="H1432" s="57" t="s">
        <v>252</v>
      </c>
      <c r="I1432" s="57"/>
      <c r="J1432" s="57" t="s">
        <v>253</v>
      </c>
      <c r="K1432" s="57" t="s">
        <v>266</v>
      </c>
      <c r="L1432" s="57" t="s">
        <v>2394</v>
      </c>
      <c r="M1432" s="57" t="s">
        <v>255</v>
      </c>
      <c r="N1432" s="57" t="s">
        <v>256</v>
      </c>
      <c r="O1432" s="57" t="s">
        <v>2395</v>
      </c>
      <c r="P1432" s="57" t="s">
        <v>2406</v>
      </c>
      <c r="Q1432" s="57" t="s">
        <v>706</v>
      </c>
    </row>
    <row r="1433" s="50" customFormat="true" ht="14.25" hidden="false" customHeight="true" outlineLevel="0" collapsed="false">
      <c r="A1433" s="50" t="s">
        <v>367</v>
      </c>
      <c r="B1433" s="57" t="s">
        <v>367</v>
      </c>
      <c r="C1433" s="57" t="s">
        <v>328</v>
      </c>
      <c r="D1433" s="58" t="n">
        <v>46077.5861111111</v>
      </c>
      <c r="E1433" s="58" t="n">
        <v>46077.5861111111</v>
      </c>
      <c r="F1433" s="58" t="n">
        <v>46077.6284722222</v>
      </c>
      <c r="G1433" s="59" t="n">
        <f aca="false">F1433-E1433</f>
        <v>0.042361111099537</v>
      </c>
      <c r="H1433" s="57" t="s">
        <v>252</v>
      </c>
      <c r="I1433" s="57"/>
      <c r="J1433" s="57" t="s">
        <v>253</v>
      </c>
      <c r="K1433" s="57" t="s">
        <v>266</v>
      </c>
      <c r="L1433" s="57" t="s">
        <v>2394</v>
      </c>
      <c r="M1433" s="57" t="s">
        <v>255</v>
      </c>
      <c r="N1433" s="57" t="s">
        <v>256</v>
      </c>
      <c r="O1433" s="57" t="s">
        <v>2395</v>
      </c>
      <c r="P1433" s="57" t="s">
        <v>2407</v>
      </c>
      <c r="Q1433" s="57" t="s">
        <v>706</v>
      </c>
    </row>
    <row r="1434" s="50" customFormat="true" ht="14.25" hidden="false" customHeight="true" outlineLevel="0" collapsed="false">
      <c r="A1434" s="50" t="s">
        <v>367</v>
      </c>
      <c r="B1434" s="57" t="s">
        <v>367</v>
      </c>
      <c r="C1434" s="57" t="s">
        <v>327</v>
      </c>
      <c r="D1434" s="58" t="n">
        <v>46077.5861111111</v>
      </c>
      <c r="E1434" s="58" t="n">
        <v>46077.5861111111</v>
      </c>
      <c r="F1434" s="58" t="n">
        <v>46077.6284722222</v>
      </c>
      <c r="G1434" s="59" t="n">
        <f aca="false">F1434-E1434</f>
        <v>0.042361111099537</v>
      </c>
      <c r="H1434" s="57" t="s">
        <v>252</v>
      </c>
      <c r="I1434" s="57"/>
      <c r="J1434" s="57" t="s">
        <v>253</v>
      </c>
      <c r="K1434" s="57" t="s">
        <v>266</v>
      </c>
      <c r="L1434" s="57" t="s">
        <v>2394</v>
      </c>
      <c r="M1434" s="57" t="s">
        <v>255</v>
      </c>
      <c r="N1434" s="57" t="s">
        <v>256</v>
      </c>
      <c r="O1434" s="57" t="s">
        <v>2395</v>
      </c>
      <c r="P1434" s="57" t="s">
        <v>2408</v>
      </c>
      <c r="Q1434" s="57" t="s">
        <v>706</v>
      </c>
    </row>
    <row r="1435" s="50" customFormat="true" ht="14.25" hidden="false" customHeight="true" outlineLevel="0" collapsed="false">
      <c r="A1435" s="50" t="s">
        <v>367</v>
      </c>
      <c r="B1435" s="57" t="s">
        <v>367</v>
      </c>
      <c r="C1435" s="57" t="s">
        <v>265</v>
      </c>
      <c r="D1435" s="58" t="n">
        <v>46077.5861111111</v>
      </c>
      <c r="E1435" s="58" t="n">
        <v>46077.5861111111</v>
      </c>
      <c r="F1435" s="58" t="n">
        <v>46077.6284722222</v>
      </c>
      <c r="G1435" s="59" t="n">
        <f aca="false">F1435-E1435</f>
        <v>0.042361111099537</v>
      </c>
      <c r="H1435" s="57" t="s">
        <v>252</v>
      </c>
      <c r="I1435" s="57"/>
      <c r="J1435" s="57" t="s">
        <v>253</v>
      </c>
      <c r="K1435" s="57" t="s">
        <v>266</v>
      </c>
      <c r="L1435" s="57" t="s">
        <v>2394</v>
      </c>
      <c r="M1435" s="57" t="s">
        <v>255</v>
      </c>
      <c r="N1435" s="57" t="s">
        <v>256</v>
      </c>
      <c r="O1435" s="57" t="s">
        <v>2395</v>
      </c>
      <c r="P1435" s="57" t="s">
        <v>2409</v>
      </c>
      <c r="Q1435" s="57" t="s">
        <v>706</v>
      </c>
    </row>
    <row r="1436" s="50" customFormat="true" ht="14.25" hidden="false" customHeight="true" outlineLevel="0" collapsed="false">
      <c r="A1436" s="50" t="s">
        <v>460</v>
      </c>
      <c r="B1436" s="57" t="s">
        <v>460</v>
      </c>
      <c r="C1436" s="57" t="s">
        <v>328</v>
      </c>
      <c r="D1436" s="58" t="n">
        <v>46077.5861111111</v>
      </c>
      <c r="E1436" s="58" t="n">
        <v>46077.5861111111</v>
      </c>
      <c r="F1436" s="58" t="n">
        <v>46077.6284722222</v>
      </c>
      <c r="G1436" s="59" t="n">
        <f aca="false">F1436-E1436</f>
        <v>0.042361111099537</v>
      </c>
      <c r="H1436" s="57" t="s">
        <v>252</v>
      </c>
      <c r="I1436" s="57"/>
      <c r="J1436" s="57" t="s">
        <v>253</v>
      </c>
      <c r="K1436" s="57" t="s">
        <v>266</v>
      </c>
      <c r="L1436" s="57" t="s">
        <v>2394</v>
      </c>
      <c r="M1436" s="57" t="s">
        <v>255</v>
      </c>
      <c r="N1436" s="57" t="s">
        <v>256</v>
      </c>
      <c r="O1436" s="57" t="s">
        <v>2395</v>
      </c>
      <c r="P1436" s="57" t="s">
        <v>2410</v>
      </c>
      <c r="Q1436" s="57" t="s">
        <v>706</v>
      </c>
    </row>
    <row r="1437" s="50" customFormat="true" ht="14.25" hidden="false" customHeight="true" outlineLevel="0" collapsed="false">
      <c r="A1437" s="50" t="s">
        <v>460</v>
      </c>
      <c r="B1437" s="57" t="s">
        <v>460</v>
      </c>
      <c r="C1437" s="57" t="s">
        <v>326</v>
      </c>
      <c r="D1437" s="58" t="n">
        <v>46077.5861111111</v>
      </c>
      <c r="E1437" s="58" t="n">
        <v>46077.5861111111</v>
      </c>
      <c r="F1437" s="58" t="n">
        <v>46077.6284722222</v>
      </c>
      <c r="G1437" s="59" t="n">
        <f aca="false">F1437-E1437</f>
        <v>0.042361111099537</v>
      </c>
      <c r="H1437" s="57" t="s">
        <v>252</v>
      </c>
      <c r="I1437" s="57"/>
      <c r="J1437" s="57" t="s">
        <v>253</v>
      </c>
      <c r="K1437" s="57" t="s">
        <v>266</v>
      </c>
      <c r="L1437" s="57" t="s">
        <v>2394</v>
      </c>
      <c r="M1437" s="57" t="s">
        <v>255</v>
      </c>
      <c r="N1437" s="57" t="s">
        <v>256</v>
      </c>
      <c r="O1437" s="57" t="s">
        <v>2395</v>
      </c>
      <c r="P1437" s="57" t="s">
        <v>2411</v>
      </c>
      <c r="Q1437" s="57" t="s">
        <v>706</v>
      </c>
    </row>
    <row r="1438" s="50" customFormat="true" ht="14.25" hidden="false" customHeight="true" outlineLevel="0" collapsed="false">
      <c r="A1438" s="50" t="s">
        <v>460</v>
      </c>
      <c r="B1438" s="57" t="s">
        <v>460</v>
      </c>
      <c r="C1438" s="57" t="s">
        <v>327</v>
      </c>
      <c r="D1438" s="58" t="n">
        <v>46077.5861111111</v>
      </c>
      <c r="E1438" s="58" t="n">
        <v>46077.5861111111</v>
      </c>
      <c r="F1438" s="58" t="n">
        <v>46077.6284722222</v>
      </c>
      <c r="G1438" s="59" t="n">
        <f aca="false">F1438-E1438</f>
        <v>0.042361111099537</v>
      </c>
      <c r="H1438" s="57" t="s">
        <v>252</v>
      </c>
      <c r="I1438" s="57"/>
      <c r="J1438" s="57" t="s">
        <v>253</v>
      </c>
      <c r="K1438" s="57" t="s">
        <v>266</v>
      </c>
      <c r="L1438" s="57" t="s">
        <v>2394</v>
      </c>
      <c r="M1438" s="57" t="s">
        <v>255</v>
      </c>
      <c r="N1438" s="57" t="s">
        <v>256</v>
      </c>
      <c r="O1438" s="57" t="s">
        <v>2395</v>
      </c>
      <c r="P1438" s="57" t="s">
        <v>2412</v>
      </c>
      <c r="Q1438" s="57" t="s">
        <v>706</v>
      </c>
    </row>
    <row r="1439" s="50" customFormat="true" ht="14.25" hidden="false" customHeight="true" outlineLevel="0" collapsed="false">
      <c r="A1439" s="50" t="s">
        <v>460</v>
      </c>
      <c r="B1439" s="57" t="s">
        <v>460</v>
      </c>
      <c r="C1439" s="57" t="s">
        <v>324</v>
      </c>
      <c r="D1439" s="58" t="n">
        <v>46077.5861111111</v>
      </c>
      <c r="E1439" s="58" t="n">
        <v>46077.5861111111</v>
      </c>
      <c r="F1439" s="58" t="n">
        <v>46077.6284722222</v>
      </c>
      <c r="G1439" s="59" t="n">
        <f aca="false">F1439-E1439</f>
        <v>0.042361111099537</v>
      </c>
      <c r="H1439" s="57" t="s">
        <v>252</v>
      </c>
      <c r="I1439" s="57"/>
      <c r="J1439" s="57" t="s">
        <v>253</v>
      </c>
      <c r="K1439" s="57" t="s">
        <v>266</v>
      </c>
      <c r="L1439" s="57" t="s">
        <v>2394</v>
      </c>
      <c r="M1439" s="57" t="s">
        <v>255</v>
      </c>
      <c r="N1439" s="57" t="s">
        <v>256</v>
      </c>
      <c r="O1439" s="57" t="s">
        <v>2395</v>
      </c>
      <c r="P1439" s="57" t="s">
        <v>2413</v>
      </c>
      <c r="Q1439" s="57" t="s">
        <v>706</v>
      </c>
    </row>
    <row r="1440" s="50" customFormat="true" ht="14.25" hidden="false" customHeight="true" outlineLevel="0" collapsed="false">
      <c r="A1440" s="50" t="s">
        <v>461</v>
      </c>
      <c r="B1440" s="57" t="s">
        <v>461</v>
      </c>
      <c r="C1440" s="57" t="s">
        <v>324</v>
      </c>
      <c r="D1440" s="58" t="n">
        <v>46077.5861111111</v>
      </c>
      <c r="E1440" s="58" t="n">
        <v>46077.5861111111</v>
      </c>
      <c r="F1440" s="58" t="n">
        <v>46077.6284722222</v>
      </c>
      <c r="G1440" s="59" t="n">
        <f aca="false">F1440-E1440</f>
        <v>0.042361111099537</v>
      </c>
      <c r="H1440" s="57" t="s">
        <v>252</v>
      </c>
      <c r="I1440" s="57"/>
      <c r="J1440" s="57" t="s">
        <v>253</v>
      </c>
      <c r="K1440" s="57" t="s">
        <v>266</v>
      </c>
      <c r="L1440" s="57" t="s">
        <v>2394</v>
      </c>
      <c r="M1440" s="57" t="s">
        <v>255</v>
      </c>
      <c r="N1440" s="57" t="s">
        <v>256</v>
      </c>
      <c r="O1440" s="57" t="s">
        <v>2395</v>
      </c>
      <c r="P1440" s="57" t="s">
        <v>2414</v>
      </c>
      <c r="Q1440" s="57" t="s">
        <v>706</v>
      </c>
    </row>
    <row r="1441" s="50" customFormat="true" ht="14.25" hidden="false" customHeight="true" outlineLevel="0" collapsed="false">
      <c r="A1441" s="50" t="s">
        <v>461</v>
      </c>
      <c r="B1441" s="57" t="s">
        <v>461</v>
      </c>
      <c r="C1441" s="57" t="s">
        <v>326</v>
      </c>
      <c r="D1441" s="58" t="n">
        <v>46077.5861111111</v>
      </c>
      <c r="E1441" s="58" t="n">
        <v>46077.5861111111</v>
      </c>
      <c r="F1441" s="58" t="n">
        <v>46077.6284722222</v>
      </c>
      <c r="G1441" s="59" t="n">
        <f aca="false">F1441-E1441</f>
        <v>0.042361111099537</v>
      </c>
      <c r="H1441" s="57" t="s">
        <v>252</v>
      </c>
      <c r="I1441" s="57"/>
      <c r="J1441" s="57" t="s">
        <v>253</v>
      </c>
      <c r="K1441" s="57" t="s">
        <v>266</v>
      </c>
      <c r="L1441" s="57" t="s">
        <v>2394</v>
      </c>
      <c r="M1441" s="57" t="s">
        <v>255</v>
      </c>
      <c r="N1441" s="57" t="s">
        <v>256</v>
      </c>
      <c r="O1441" s="57" t="s">
        <v>2395</v>
      </c>
      <c r="P1441" s="57" t="s">
        <v>2415</v>
      </c>
      <c r="Q1441" s="57" t="s">
        <v>706</v>
      </c>
    </row>
    <row r="1442" s="50" customFormat="true" ht="28.5" hidden="false" customHeight="true" outlineLevel="0" collapsed="false">
      <c r="A1442" s="50" t="s">
        <v>367</v>
      </c>
      <c r="B1442" s="57" t="s">
        <v>367</v>
      </c>
      <c r="C1442" s="57" t="s">
        <v>328</v>
      </c>
      <c r="D1442" s="58" t="n">
        <v>46077.7090277778</v>
      </c>
      <c r="E1442" s="58" t="n">
        <v>46077.7090277778</v>
      </c>
      <c r="F1442" s="58" t="n">
        <v>46079.5243055556</v>
      </c>
      <c r="G1442" s="59" t="n">
        <f aca="false">F1442-E1442</f>
        <v>1.81527777780093</v>
      </c>
      <c r="H1442" s="57" t="s">
        <v>384</v>
      </c>
      <c r="I1442" s="57"/>
      <c r="J1442" s="57" t="s">
        <v>234</v>
      </c>
      <c r="K1442" s="57" t="s">
        <v>234</v>
      </c>
      <c r="L1442" s="60" t="s">
        <v>2416</v>
      </c>
      <c r="M1442" s="57" t="s">
        <v>386</v>
      </c>
      <c r="N1442" s="57" t="s">
        <v>440</v>
      </c>
      <c r="O1442" s="57" t="s">
        <v>2417</v>
      </c>
      <c r="P1442" s="57" t="s">
        <v>2418</v>
      </c>
      <c r="Q1442" s="57" t="s">
        <v>1141</v>
      </c>
    </row>
    <row r="1443" s="50" customFormat="true" ht="28.5" hidden="false" customHeight="true" outlineLevel="0" collapsed="false">
      <c r="A1443" s="50" t="s">
        <v>367</v>
      </c>
      <c r="B1443" s="57" t="s">
        <v>367</v>
      </c>
      <c r="C1443" s="57" t="s">
        <v>327</v>
      </c>
      <c r="D1443" s="58" t="n">
        <v>46077.7090277778</v>
      </c>
      <c r="E1443" s="58" t="n">
        <v>46077.7090277778</v>
      </c>
      <c r="F1443" s="58" t="n">
        <v>46079.5243055556</v>
      </c>
      <c r="G1443" s="59" t="n">
        <f aca="false">F1443-E1443</f>
        <v>1.81527777780093</v>
      </c>
      <c r="H1443" s="57" t="s">
        <v>384</v>
      </c>
      <c r="I1443" s="57"/>
      <c r="J1443" s="57" t="s">
        <v>234</v>
      </c>
      <c r="K1443" s="57" t="s">
        <v>234</v>
      </c>
      <c r="L1443" s="60" t="s">
        <v>2416</v>
      </c>
      <c r="M1443" s="57" t="s">
        <v>386</v>
      </c>
      <c r="N1443" s="57" t="s">
        <v>440</v>
      </c>
      <c r="O1443" s="57" t="s">
        <v>2417</v>
      </c>
      <c r="P1443" s="57" t="s">
        <v>2419</v>
      </c>
      <c r="Q1443" s="57" t="s">
        <v>1141</v>
      </c>
    </row>
    <row r="1444" s="50" customFormat="true" ht="28.5" hidden="false" customHeight="true" outlineLevel="0" collapsed="false">
      <c r="A1444" s="50" t="s">
        <v>367</v>
      </c>
      <c r="B1444" s="57" t="s">
        <v>367</v>
      </c>
      <c r="C1444" s="57" t="s">
        <v>265</v>
      </c>
      <c r="D1444" s="58" t="n">
        <v>46077.7090277778</v>
      </c>
      <c r="E1444" s="58" t="n">
        <v>46077.7090277778</v>
      </c>
      <c r="F1444" s="58" t="n">
        <v>46079.5243055556</v>
      </c>
      <c r="G1444" s="59" t="n">
        <f aca="false">F1444-E1444</f>
        <v>1.81527777780093</v>
      </c>
      <c r="H1444" s="57" t="s">
        <v>384</v>
      </c>
      <c r="I1444" s="57"/>
      <c r="J1444" s="57" t="s">
        <v>234</v>
      </c>
      <c r="K1444" s="57" t="s">
        <v>234</v>
      </c>
      <c r="L1444" s="60" t="s">
        <v>2416</v>
      </c>
      <c r="M1444" s="57" t="s">
        <v>386</v>
      </c>
      <c r="N1444" s="57" t="s">
        <v>440</v>
      </c>
      <c r="O1444" s="57" t="s">
        <v>2417</v>
      </c>
      <c r="P1444" s="57" t="s">
        <v>2420</v>
      </c>
      <c r="Q1444" s="57" t="s">
        <v>1141</v>
      </c>
    </row>
    <row r="1445" s="50" customFormat="true" ht="14.25" hidden="false" customHeight="true" outlineLevel="0" collapsed="false">
      <c r="A1445" s="50" t="s">
        <v>762</v>
      </c>
      <c r="B1445" s="57" t="s">
        <v>32</v>
      </c>
      <c r="C1445" s="57" t="s">
        <v>576</v>
      </c>
      <c r="D1445" s="58" t="n">
        <v>46077.8680555556</v>
      </c>
      <c r="E1445" s="58" t="n">
        <v>46077.8680555556</v>
      </c>
      <c r="F1445" s="58" t="n">
        <v>46077.8972222222</v>
      </c>
      <c r="G1445" s="59" t="n">
        <f aca="false">F1445-E1445</f>
        <v>0.0291666665972222</v>
      </c>
      <c r="H1445" s="57" t="s">
        <v>252</v>
      </c>
      <c r="I1445" s="57"/>
      <c r="J1445" s="57" t="s">
        <v>253</v>
      </c>
      <c r="K1445" s="57" t="s">
        <v>266</v>
      </c>
      <c r="L1445" s="57" t="s">
        <v>1713</v>
      </c>
      <c r="M1445" s="57" t="s">
        <v>255</v>
      </c>
      <c r="N1445" s="57" t="s">
        <v>268</v>
      </c>
      <c r="O1445" s="57" t="s">
        <v>1285</v>
      </c>
      <c r="P1445" s="57" t="s">
        <v>2421</v>
      </c>
      <c r="Q1445" s="57" t="s">
        <v>706</v>
      </c>
    </row>
    <row r="1446" s="50" customFormat="true" ht="14.25" hidden="false" customHeight="true" outlineLevel="0" collapsed="false">
      <c r="A1446" s="50" t="s">
        <v>762</v>
      </c>
      <c r="B1446" s="57" t="s">
        <v>32</v>
      </c>
      <c r="C1446" s="57" t="s">
        <v>577</v>
      </c>
      <c r="D1446" s="58" t="n">
        <v>46077.8680555556</v>
      </c>
      <c r="E1446" s="58" t="n">
        <v>46077.8680555556</v>
      </c>
      <c r="F1446" s="58" t="n">
        <v>46077.8972222222</v>
      </c>
      <c r="G1446" s="59" t="n">
        <f aca="false">F1446-E1446</f>
        <v>0.0291666665972222</v>
      </c>
      <c r="H1446" s="57" t="s">
        <v>252</v>
      </c>
      <c r="I1446" s="57"/>
      <c r="J1446" s="57" t="s">
        <v>253</v>
      </c>
      <c r="K1446" s="57" t="s">
        <v>266</v>
      </c>
      <c r="L1446" s="57" t="s">
        <v>1713</v>
      </c>
      <c r="M1446" s="57" t="s">
        <v>255</v>
      </c>
      <c r="N1446" s="57" t="s">
        <v>268</v>
      </c>
      <c r="O1446" s="57" t="s">
        <v>1285</v>
      </c>
      <c r="P1446" s="57" t="s">
        <v>2422</v>
      </c>
      <c r="Q1446" s="57" t="s">
        <v>706</v>
      </c>
    </row>
    <row r="1447" s="50" customFormat="true" ht="14.25" hidden="false" customHeight="true" outlineLevel="0" collapsed="false">
      <c r="A1447" s="50" t="s">
        <v>762</v>
      </c>
      <c r="B1447" s="57" t="s">
        <v>32</v>
      </c>
      <c r="C1447" s="57" t="s">
        <v>578</v>
      </c>
      <c r="D1447" s="58" t="n">
        <v>46077.8680555556</v>
      </c>
      <c r="E1447" s="58" t="n">
        <v>46077.8680555556</v>
      </c>
      <c r="F1447" s="58" t="n">
        <v>46077.8972222222</v>
      </c>
      <c r="G1447" s="59" t="n">
        <f aca="false">F1447-E1447</f>
        <v>0.0291666665972222</v>
      </c>
      <c r="H1447" s="57" t="s">
        <v>252</v>
      </c>
      <c r="I1447" s="57"/>
      <c r="J1447" s="57" t="s">
        <v>253</v>
      </c>
      <c r="K1447" s="57" t="s">
        <v>266</v>
      </c>
      <c r="L1447" s="57" t="s">
        <v>1713</v>
      </c>
      <c r="M1447" s="57" t="s">
        <v>255</v>
      </c>
      <c r="N1447" s="57" t="s">
        <v>268</v>
      </c>
      <c r="O1447" s="57" t="s">
        <v>1285</v>
      </c>
      <c r="P1447" s="57" t="s">
        <v>2423</v>
      </c>
      <c r="Q1447" s="57" t="s">
        <v>706</v>
      </c>
    </row>
    <row r="1448" s="50" customFormat="true" ht="14.25" hidden="false" customHeight="true" outlineLevel="0" collapsed="false">
      <c r="A1448" s="50" t="s">
        <v>762</v>
      </c>
      <c r="B1448" s="57" t="s">
        <v>32</v>
      </c>
      <c r="C1448" s="57" t="s">
        <v>579</v>
      </c>
      <c r="D1448" s="58" t="n">
        <v>46077.8680555556</v>
      </c>
      <c r="E1448" s="58" t="n">
        <v>46077.8680555556</v>
      </c>
      <c r="F1448" s="58" t="n">
        <v>46077.8972222222</v>
      </c>
      <c r="G1448" s="59" t="n">
        <f aca="false">F1448-E1448</f>
        <v>0.0291666665972222</v>
      </c>
      <c r="H1448" s="57" t="s">
        <v>252</v>
      </c>
      <c r="I1448" s="57"/>
      <c r="J1448" s="57" t="s">
        <v>253</v>
      </c>
      <c r="K1448" s="57" t="s">
        <v>266</v>
      </c>
      <c r="L1448" s="57" t="s">
        <v>1713</v>
      </c>
      <c r="M1448" s="57" t="s">
        <v>255</v>
      </c>
      <c r="N1448" s="57" t="s">
        <v>268</v>
      </c>
      <c r="O1448" s="57" t="s">
        <v>1285</v>
      </c>
      <c r="P1448" s="57" t="s">
        <v>2424</v>
      </c>
      <c r="Q1448" s="57" t="s">
        <v>706</v>
      </c>
    </row>
    <row r="1449" s="50" customFormat="true" ht="14.25" hidden="false" customHeight="true" outlineLevel="0" collapsed="false">
      <c r="A1449" s="50" t="s">
        <v>264</v>
      </c>
      <c r="B1449" s="57" t="s">
        <v>264</v>
      </c>
      <c r="C1449" s="57" t="s">
        <v>265</v>
      </c>
      <c r="D1449" s="58" t="n">
        <v>46077.8680555556</v>
      </c>
      <c r="E1449" s="58" t="n">
        <v>46077.8680555556</v>
      </c>
      <c r="F1449" s="58" t="n">
        <v>46077.8972222222</v>
      </c>
      <c r="G1449" s="59" t="n">
        <f aca="false">F1449-E1449</f>
        <v>0.0291666665972222</v>
      </c>
      <c r="H1449" s="57" t="s">
        <v>252</v>
      </c>
      <c r="I1449" s="57"/>
      <c r="J1449" s="57" t="s">
        <v>253</v>
      </c>
      <c r="K1449" s="57" t="s">
        <v>266</v>
      </c>
      <c r="L1449" s="57" t="s">
        <v>2425</v>
      </c>
      <c r="M1449" s="57" t="s">
        <v>255</v>
      </c>
      <c r="N1449" s="57" t="s">
        <v>256</v>
      </c>
      <c r="O1449" s="57" t="s">
        <v>2395</v>
      </c>
      <c r="P1449" s="57" t="s">
        <v>2426</v>
      </c>
      <c r="Q1449" s="57" t="s">
        <v>706</v>
      </c>
    </row>
    <row r="1450" s="50" customFormat="true" ht="14.25" hidden="false" customHeight="true" outlineLevel="0" collapsed="false">
      <c r="A1450" s="50" t="s">
        <v>271</v>
      </c>
      <c r="B1450" s="57" t="s">
        <v>271</v>
      </c>
      <c r="C1450" s="57" t="s">
        <v>265</v>
      </c>
      <c r="D1450" s="58" t="n">
        <v>46077.8680555556</v>
      </c>
      <c r="E1450" s="58" t="n">
        <v>46077.8680555556</v>
      </c>
      <c r="F1450" s="58" t="n">
        <v>46077.8972222222</v>
      </c>
      <c r="G1450" s="59" t="n">
        <f aca="false">F1450-E1450</f>
        <v>0.0291666665972222</v>
      </c>
      <c r="H1450" s="57" t="s">
        <v>252</v>
      </c>
      <c r="I1450" s="57"/>
      <c r="J1450" s="57" t="s">
        <v>253</v>
      </c>
      <c r="K1450" s="57" t="s">
        <v>266</v>
      </c>
      <c r="L1450" s="57" t="s">
        <v>2425</v>
      </c>
      <c r="M1450" s="57" t="s">
        <v>255</v>
      </c>
      <c r="N1450" s="57" t="s">
        <v>256</v>
      </c>
      <c r="O1450" s="57" t="s">
        <v>2395</v>
      </c>
      <c r="P1450" s="57" t="s">
        <v>2427</v>
      </c>
      <c r="Q1450" s="57" t="s">
        <v>706</v>
      </c>
    </row>
    <row r="1451" s="50" customFormat="true" ht="14.25" hidden="false" customHeight="true" outlineLevel="0" collapsed="false">
      <c r="A1451" s="50" t="s">
        <v>272</v>
      </c>
      <c r="B1451" s="57" t="s">
        <v>272</v>
      </c>
      <c r="C1451" s="57" t="s">
        <v>265</v>
      </c>
      <c r="D1451" s="58" t="n">
        <v>46077.8680555556</v>
      </c>
      <c r="E1451" s="58" t="n">
        <v>46077.8680555556</v>
      </c>
      <c r="F1451" s="58" t="n">
        <v>46077.8972222222</v>
      </c>
      <c r="G1451" s="59" t="n">
        <f aca="false">F1451-E1451</f>
        <v>0.0291666665972222</v>
      </c>
      <c r="H1451" s="57" t="s">
        <v>252</v>
      </c>
      <c r="I1451" s="57"/>
      <c r="J1451" s="57" t="s">
        <v>253</v>
      </c>
      <c r="K1451" s="57" t="s">
        <v>266</v>
      </c>
      <c r="L1451" s="57" t="s">
        <v>2425</v>
      </c>
      <c r="M1451" s="57" t="s">
        <v>255</v>
      </c>
      <c r="N1451" s="57" t="s">
        <v>256</v>
      </c>
      <c r="O1451" s="57" t="s">
        <v>2395</v>
      </c>
      <c r="P1451" s="57" t="s">
        <v>2428</v>
      </c>
      <c r="Q1451" s="57" t="s">
        <v>706</v>
      </c>
    </row>
    <row r="1452" s="50" customFormat="true" ht="14.25" hidden="false" customHeight="true" outlineLevel="0" collapsed="false">
      <c r="A1452" s="50" t="s">
        <v>273</v>
      </c>
      <c r="B1452" s="57" t="s">
        <v>273</v>
      </c>
      <c r="C1452" s="57" t="s">
        <v>265</v>
      </c>
      <c r="D1452" s="58" t="n">
        <v>46077.8680555556</v>
      </c>
      <c r="E1452" s="58" t="n">
        <v>46077.8680555556</v>
      </c>
      <c r="F1452" s="58" t="n">
        <v>46077.8972222222</v>
      </c>
      <c r="G1452" s="59" t="n">
        <f aca="false">F1452-E1452</f>
        <v>0.0291666665972222</v>
      </c>
      <c r="H1452" s="57" t="s">
        <v>252</v>
      </c>
      <c r="I1452" s="57"/>
      <c r="J1452" s="57" t="s">
        <v>253</v>
      </c>
      <c r="K1452" s="57" t="s">
        <v>266</v>
      </c>
      <c r="L1452" s="57" t="s">
        <v>2425</v>
      </c>
      <c r="M1452" s="57" t="s">
        <v>255</v>
      </c>
      <c r="N1452" s="57" t="s">
        <v>256</v>
      </c>
      <c r="O1452" s="57" t="s">
        <v>2395</v>
      </c>
      <c r="P1452" s="57" t="s">
        <v>2429</v>
      </c>
      <c r="Q1452" s="57" t="s">
        <v>706</v>
      </c>
    </row>
    <row r="1453" s="50" customFormat="true" ht="14.25" hidden="false" customHeight="true" outlineLevel="0" collapsed="false">
      <c r="A1453" s="50" t="s">
        <v>358</v>
      </c>
      <c r="B1453" s="57" t="s">
        <v>358</v>
      </c>
      <c r="C1453" s="57" t="s">
        <v>324</v>
      </c>
      <c r="D1453" s="58" t="n">
        <v>46077.8923611111</v>
      </c>
      <c r="E1453" s="58" t="n">
        <v>46077.8923611111</v>
      </c>
      <c r="F1453" s="58" t="n">
        <v>46078.3555555556</v>
      </c>
      <c r="G1453" s="59" t="n">
        <f aca="false">F1453-E1453</f>
        <v>0.463194444502315</v>
      </c>
      <c r="H1453" s="57" t="s">
        <v>252</v>
      </c>
      <c r="I1453" s="57"/>
      <c r="J1453" s="57" t="s">
        <v>253</v>
      </c>
      <c r="K1453" s="57" t="s">
        <v>266</v>
      </c>
      <c r="L1453" s="57" t="s">
        <v>2430</v>
      </c>
      <c r="M1453" s="57" t="s">
        <v>255</v>
      </c>
      <c r="N1453" s="57" t="s">
        <v>256</v>
      </c>
      <c r="O1453" s="57" t="s">
        <v>2431</v>
      </c>
      <c r="P1453" s="57" t="s">
        <v>2432</v>
      </c>
      <c r="Q1453" s="57" t="s">
        <v>706</v>
      </c>
    </row>
    <row r="1454" s="50" customFormat="true" ht="14.25" hidden="false" customHeight="true" outlineLevel="0" collapsed="false">
      <c r="A1454" s="50" t="s">
        <v>358</v>
      </c>
      <c r="B1454" s="57" t="s">
        <v>358</v>
      </c>
      <c r="C1454" s="57" t="s">
        <v>326</v>
      </c>
      <c r="D1454" s="58" t="n">
        <v>46077.8923611111</v>
      </c>
      <c r="E1454" s="58" t="n">
        <v>46077.8923611111</v>
      </c>
      <c r="F1454" s="58" t="n">
        <v>46078.3555555556</v>
      </c>
      <c r="G1454" s="59" t="n">
        <f aca="false">F1454-E1454</f>
        <v>0.463194444502315</v>
      </c>
      <c r="H1454" s="57" t="s">
        <v>252</v>
      </c>
      <c r="I1454" s="57"/>
      <c r="J1454" s="57" t="s">
        <v>253</v>
      </c>
      <c r="K1454" s="57" t="s">
        <v>266</v>
      </c>
      <c r="L1454" s="57" t="s">
        <v>2430</v>
      </c>
      <c r="M1454" s="57" t="s">
        <v>255</v>
      </c>
      <c r="N1454" s="57" t="s">
        <v>256</v>
      </c>
      <c r="O1454" s="57" t="s">
        <v>2431</v>
      </c>
      <c r="P1454" s="57" t="s">
        <v>2433</v>
      </c>
      <c r="Q1454" s="57" t="s">
        <v>706</v>
      </c>
    </row>
    <row r="1455" s="50" customFormat="true" ht="14.25" hidden="false" customHeight="true" outlineLevel="0" collapsed="false">
      <c r="A1455" s="50" t="s">
        <v>358</v>
      </c>
      <c r="B1455" s="57" t="s">
        <v>358</v>
      </c>
      <c r="C1455" s="57" t="s">
        <v>327</v>
      </c>
      <c r="D1455" s="58" t="n">
        <v>46077.8923611111</v>
      </c>
      <c r="E1455" s="58" t="n">
        <v>46077.8923611111</v>
      </c>
      <c r="F1455" s="58" t="n">
        <v>46078.3555555556</v>
      </c>
      <c r="G1455" s="59" t="n">
        <f aca="false">F1455-E1455</f>
        <v>0.463194444502315</v>
      </c>
      <c r="H1455" s="57" t="s">
        <v>252</v>
      </c>
      <c r="I1455" s="57"/>
      <c r="J1455" s="57" t="s">
        <v>253</v>
      </c>
      <c r="K1455" s="57" t="s">
        <v>266</v>
      </c>
      <c r="L1455" s="57" t="s">
        <v>2430</v>
      </c>
      <c r="M1455" s="57" t="s">
        <v>255</v>
      </c>
      <c r="N1455" s="57" t="s">
        <v>256</v>
      </c>
      <c r="O1455" s="57" t="s">
        <v>2431</v>
      </c>
      <c r="P1455" s="57" t="s">
        <v>2434</v>
      </c>
      <c r="Q1455" s="57" t="s">
        <v>706</v>
      </c>
    </row>
    <row r="1456" s="50" customFormat="true" ht="14.25" hidden="false" customHeight="true" outlineLevel="0" collapsed="false">
      <c r="A1456" s="50" t="s">
        <v>358</v>
      </c>
      <c r="B1456" s="57" t="s">
        <v>358</v>
      </c>
      <c r="C1456" s="57" t="s">
        <v>328</v>
      </c>
      <c r="D1456" s="58" t="n">
        <v>46077.8923611111</v>
      </c>
      <c r="E1456" s="58" t="n">
        <v>46077.8923611111</v>
      </c>
      <c r="F1456" s="58" t="n">
        <v>46078.3555555556</v>
      </c>
      <c r="G1456" s="59" t="n">
        <f aca="false">F1456-E1456</f>
        <v>0.463194444502315</v>
      </c>
      <c r="H1456" s="57" t="s">
        <v>252</v>
      </c>
      <c r="I1456" s="57"/>
      <c r="J1456" s="57" t="s">
        <v>253</v>
      </c>
      <c r="K1456" s="57" t="s">
        <v>266</v>
      </c>
      <c r="L1456" s="57" t="s">
        <v>2430</v>
      </c>
      <c r="M1456" s="57" t="s">
        <v>255</v>
      </c>
      <c r="N1456" s="57" t="s">
        <v>256</v>
      </c>
      <c r="O1456" s="57" t="s">
        <v>2431</v>
      </c>
      <c r="P1456" s="57" t="s">
        <v>2435</v>
      </c>
      <c r="Q1456" s="57" t="s">
        <v>706</v>
      </c>
    </row>
    <row r="1457" s="50" customFormat="true" ht="14.25" hidden="false" customHeight="true" outlineLevel="0" collapsed="false">
      <c r="A1457" s="50" t="s">
        <v>361</v>
      </c>
      <c r="B1457" s="57" t="s">
        <v>361</v>
      </c>
      <c r="C1457" s="57" t="s">
        <v>324</v>
      </c>
      <c r="D1457" s="58" t="n">
        <v>46077.8923611111</v>
      </c>
      <c r="E1457" s="58" t="n">
        <v>46077.8923611111</v>
      </c>
      <c r="F1457" s="58" t="n">
        <v>46078.3555555556</v>
      </c>
      <c r="G1457" s="59" t="n">
        <f aca="false">F1457-E1457</f>
        <v>0.463194444502315</v>
      </c>
      <c r="H1457" s="57" t="s">
        <v>252</v>
      </c>
      <c r="I1457" s="57"/>
      <c r="J1457" s="57" t="s">
        <v>253</v>
      </c>
      <c r="K1457" s="57" t="s">
        <v>266</v>
      </c>
      <c r="L1457" s="57" t="s">
        <v>2430</v>
      </c>
      <c r="M1457" s="57" t="s">
        <v>255</v>
      </c>
      <c r="N1457" s="57" t="s">
        <v>256</v>
      </c>
      <c r="O1457" s="57" t="s">
        <v>2431</v>
      </c>
      <c r="P1457" s="57" t="s">
        <v>2436</v>
      </c>
      <c r="Q1457" s="57" t="s">
        <v>706</v>
      </c>
    </row>
    <row r="1458" s="50" customFormat="true" ht="14.25" hidden="false" customHeight="true" outlineLevel="0" collapsed="false">
      <c r="A1458" s="50" t="s">
        <v>361</v>
      </c>
      <c r="B1458" s="57" t="s">
        <v>361</v>
      </c>
      <c r="C1458" s="57" t="s">
        <v>326</v>
      </c>
      <c r="D1458" s="58" t="n">
        <v>46077.8923611111</v>
      </c>
      <c r="E1458" s="58" t="n">
        <v>46077.8923611111</v>
      </c>
      <c r="F1458" s="58" t="n">
        <v>46078.3555555556</v>
      </c>
      <c r="G1458" s="59" t="n">
        <f aca="false">F1458-E1458</f>
        <v>0.463194444502315</v>
      </c>
      <c r="H1458" s="57" t="s">
        <v>252</v>
      </c>
      <c r="I1458" s="57"/>
      <c r="J1458" s="57" t="s">
        <v>253</v>
      </c>
      <c r="K1458" s="57" t="s">
        <v>266</v>
      </c>
      <c r="L1458" s="57" t="s">
        <v>2430</v>
      </c>
      <c r="M1458" s="57" t="s">
        <v>255</v>
      </c>
      <c r="N1458" s="57" t="s">
        <v>256</v>
      </c>
      <c r="O1458" s="57" t="s">
        <v>2431</v>
      </c>
      <c r="P1458" s="57" t="s">
        <v>2437</v>
      </c>
      <c r="Q1458" s="57" t="s">
        <v>706</v>
      </c>
    </row>
    <row r="1459" s="50" customFormat="true" ht="14.25" hidden="false" customHeight="true" outlineLevel="0" collapsed="false">
      <c r="A1459" s="50" t="s">
        <v>361</v>
      </c>
      <c r="B1459" s="57" t="s">
        <v>361</v>
      </c>
      <c r="C1459" s="57" t="s">
        <v>327</v>
      </c>
      <c r="D1459" s="58" t="n">
        <v>46077.8923611111</v>
      </c>
      <c r="E1459" s="58" t="n">
        <v>46077.8923611111</v>
      </c>
      <c r="F1459" s="58" t="n">
        <v>46078.3555555556</v>
      </c>
      <c r="G1459" s="59" t="n">
        <f aca="false">F1459-E1459</f>
        <v>0.463194444502315</v>
      </c>
      <c r="H1459" s="57" t="s">
        <v>252</v>
      </c>
      <c r="I1459" s="57"/>
      <c r="J1459" s="57" t="s">
        <v>253</v>
      </c>
      <c r="K1459" s="57" t="s">
        <v>266</v>
      </c>
      <c r="L1459" s="57" t="s">
        <v>2430</v>
      </c>
      <c r="M1459" s="57" t="s">
        <v>255</v>
      </c>
      <c r="N1459" s="57" t="s">
        <v>256</v>
      </c>
      <c r="O1459" s="57" t="s">
        <v>2431</v>
      </c>
      <c r="P1459" s="57" t="s">
        <v>2438</v>
      </c>
      <c r="Q1459" s="57" t="s">
        <v>706</v>
      </c>
    </row>
    <row r="1460" s="50" customFormat="true" ht="14.25" hidden="false" customHeight="true" outlineLevel="0" collapsed="false">
      <c r="A1460" s="50" t="s">
        <v>361</v>
      </c>
      <c r="B1460" s="57" t="s">
        <v>361</v>
      </c>
      <c r="C1460" s="57" t="s">
        <v>328</v>
      </c>
      <c r="D1460" s="58" t="n">
        <v>46077.8923611111</v>
      </c>
      <c r="E1460" s="58" t="n">
        <v>46077.8923611111</v>
      </c>
      <c r="F1460" s="58" t="n">
        <v>46078.3555555556</v>
      </c>
      <c r="G1460" s="59" t="n">
        <f aca="false">F1460-E1460</f>
        <v>0.463194444502315</v>
      </c>
      <c r="H1460" s="57" t="s">
        <v>252</v>
      </c>
      <c r="I1460" s="57"/>
      <c r="J1460" s="57" t="s">
        <v>253</v>
      </c>
      <c r="K1460" s="57" t="s">
        <v>266</v>
      </c>
      <c r="L1460" s="57" t="s">
        <v>2430</v>
      </c>
      <c r="M1460" s="57" t="s">
        <v>255</v>
      </c>
      <c r="N1460" s="57" t="s">
        <v>256</v>
      </c>
      <c r="O1460" s="57" t="s">
        <v>2431</v>
      </c>
      <c r="P1460" s="57" t="s">
        <v>2439</v>
      </c>
      <c r="Q1460" s="57" t="s">
        <v>706</v>
      </c>
    </row>
    <row r="1461" s="50" customFormat="true" ht="14.25" hidden="false" customHeight="true" outlineLevel="0" collapsed="false">
      <c r="A1461" s="50" t="s">
        <v>362</v>
      </c>
      <c r="B1461" s="57" t="s">
        <v>362</v>
      </c>
      <c r="C1461" s="57" t="s">
        <v>363</v>
      </c>
      <c r="D1461" s="58" t="n">
        <v>46077.8923611111</v>
      </c>
      <c r="E1461" s="58" t="n">
        <v>46077.8923611111</v>
      </c>
      <c r="F1461" s="58" t="n">
        <v>46078.3555555556</v>
      </c>
      <c r="G1461" s="59" t="n">
        <f aca="false">F1461-E1461</f>
        <v>0.463194444502315</v>
      </c>
      <c r="H1461" s="57" t="s">
        <v>252</v>
      </c>
      <c r="I1461" s="57"/>
      <c r="J1461" s="57" t="s">
        <v>253</v>
      </c>
      <c r="K1461" s="57" t="s">
        <v>266</v>
      </c>
      <c r="L1461" s="57" t="s">
        <v>2430</v>
      </c>
      <c r="M1461" s="57" t="s">
        <v>255</v>
      </c>
      <c r="N1461" s="57" t="s">
        <v>256</v>
      </c>
      <c r="O1461" s="57" t="s">
        <v>2431</v>
      </c>
      <c r="P1461" s="57" t="s">
        <v>2440</v>
      </c>
      <c r="Q1461" s="57" t="s">
        <v>706</v>
      </c>
    </row>
    <row r="1462" s="50" customFormat="true" ht="14.25" hidden="false" customHeight="true" outlineLevel="0" collapsed="false">
      <c r="A1462" s="50" t="s">
        <v>362</v>
      </c>
      <c r="B1462" s="57" t="s">
        <v>362</v>
      </c>
      <c r="C1462" s="57" t="s">
        <v>265</v>
      </c>
      <c r="D1462" s="58" t="n">
        <v>46077.8923611111</v>
      </c>
      <c r="E1462" s="58" t="n">
        <v>46077.8923611111</v>
      </c>
      <c r="F1462" s="58" t="n">
        <v>46078.3555555556</v>
      </c>
      <c r="G1462" s="59" t="n">
        <f aca="false">F1462-E1462</f>
        <v>0.463194444502315</v>
      </c>
      <c r="H1462" s="57" t="s">
        <v>252</v>
      </c>
      <c r="I1462" s="57"/>
      <c r="J1462" s="57" t="s">
        <v>253</v>
      </c>
      <c r="K1462" s="57" t="s">
        <v>266</v>
      </c>
      <c r="L1462" s="57" t="s">
        <v>2430</v>
      </c>
      <c r="M1462" s="57" t="s">
        <v>255</v>
      </c>
      <c r="N1462" s="57" t="s">
        <v>256</v>
      </c>
      <c r="O1462" s="57" t="s">
        <v>2431</v>
      </c>
      <c r="P1462" s="57" t="s">
        <v>2441</v>
      </c>
      <c r="Q1462" s="57" t="s">
        <v>706</v>
      </c>
    </row>
    <row r="1463" s="50" customFormat="true" ht="14.25" hidden="false" customHeight="true" outlineLevel="0" collapsed="false">
      <c r="A1463" s="50" t="s">
        <v>937</v>
      </c>
      <c r="B1463" s="57" t="s">
        <v>48</v>
      </c>
      <c r="C1463" s="57" t="s">
        <v>294</v>
      </c>
      <c r="D1463" s="58" t="n">
        <v>46078.0138888889</v>
      </c>
      <c r="E1463" s="58" t="n">
        <v>46078.0138888889</v>
      </c>
      <c r="F1463" s="58" t="n">
        <v>46078.3298611111</v>
      </c>
      <c r="G1463" s="59" t="n">
        <f aca="false">F1463-E1463</f>
        <v>0.315972222199074</v>
      </c>
      <c r="H1463" s="57" t="s">
        <v>252</v>
      </c>
      <c r="I1463" s="57"/>
      <c r="J1463" s="57" t="s">
        <v>253</v>
      </c>
      <c r="K1463" s="57" t="s">
        <v>266</v>
      </c>
      <c r="L1463" s="57" t="s">
        <v>2442</v>
      </c>
      <c r="M1463" s="57" t="s">
        <v>255</v>
      </c>
      <c r="N1463" s="57" t="s">
        <v>256</v>
      </c>
      <c r="O1463" s="57" t="s">
        <v>2395</v>
      </c>
      <c r="P1463" s="57" t="s">
        <v>2443</v>
      </c>
      <c r="Q1463" s="57" t="s">
        <v>706</v>
      </c>
    </row>
    <row r="1464" s="50" customFormat="true" ht="14.25" hidden="false" customHeight="true" outlineLevel="0" collapsed="false">
      <c r="A1464" s="50" t="s">
        <v>937</v>
      </c>
      <c r="B1464" s="57" t="s">
        <v>48</v>
      </c>
      <c r="C1464" s="57" t="s">
        <v>295</v>
      </c>
      <c r="D1464" s="58" t="n">
        <v>46078.0138888889</v>
      </c>
      <c r="E1464" s="58" t="n">
        <v>46078.0138888889</v>
      </c>
      <c r="F1464" s="58" t="n">
        <v>46078.3298611111</v>
      </c>
      <c r="G1464" s="59" t="n">
        <f aca="false">F1464-E1464</f>
        <v>0.315972222199074</v>
      </c>
      <c r="H1464" s="57" t="s">
        <v>252</v>
      </c>
      <c r="I1464" s="57"/>
      <c r="J1464" s="57" t="s">
        <v>253</v>
      </c>
      <c r="K1464" s="57" t="s">
        <v>266</v>
      </c>
      <c r="L1464" s="57" t="s">
        <v>2442</v>
      </c>
      <c r="M1464" s="57" t="s">
        <v>255</v>
      </c>
      <c r="N1464" s="57" t="s">
        <v>256</v>
      </c>
      <c r="O1464" s="57" t="s">
        <v>2395</v>
      </c>
      <c r="P1464" s="57" t="s">
        <v>2444</v>
      </c>
      <c r="Q1464" s="57" t="s">
        <v>706</v>
      </c>
    </row>
    <row r="1465" s="50" customFormat="true" ht="14.25" hidden="false" customHeight="true" outlineLevel="0" collapsed="false">
      <c r="A1465" s="50" t="s">
        <v>937</v>
      </c>
      <c r="B1465" s="57" t="s">
        <v>48</v>
      </c>
      <c r="C1465" s="57" t="s">
        <v>296</v>
      </c>
      <c r="D1465" s="58" t="n">
        <v>46078.0138888889</v>
      </c>
      <c r="E1465" s="58" t="n">
        <v>46078.0138888889</v>
      </c>
      <c r="F1465" s="58" t="n">
        <v>46078.3298611111</v>
      </c>
      <c r="G1465" s="59" t="n">
        <f aca="false">F1465-E1465</f>
        <v>0.315972222199074</v>
      </c>
      <c r="H1465" s="57" t="s">
        <v>252</v>
      </c>
      <c r="I1465" s="57"/>
      <c r="J1465" s="57" t="s">
        <v>253</v>
      </c>
      <c r="K1465" s="57" t="s">
        <v>266</v>
      </c>
      <c r="L1465" s="57" t="s">
        <v>2442</v>
      </c>
      <c r="M1465" s="57" t="s">
        <v>255</v>
      </c>
      <c r="N1465" s="57" t="s">
        <v>256</v>
      </c>
      <c r="O1465" s="57" t="s">
        <v>2395</v>
      </c>
      <c r="P1465" s="57" t="s">
        <v>2445</v>
      </c>
      <c r="Q1465" s="57" t="s">
        <v>706</v>
      </c>
    </row>
    <row r="1466" s="50" customFormat="true" ht="14.25" hidden="false" customHeight="true" outlineLevel="0" collapsed="false">
      <c r="A1466" s="50" t="s">
        <v>937</v>
      </c>
      <c r="B1466" s="57" t="s">
        <v>48</v>
      </c>
      <c r="C1466" s="57" t="s">
        <v>297</v>
      </c>
      <c r="D1466" s="58" t="n">
        <v>46078.0138888889</v>
      </c>
      <c r="E1466" s="58" t="n">
        <v>46078.0138888889</v>
      </c>
      <c r="F1466" s="58" t="n">
        <v>46078.3298611111</v>
      </c>
      <c r="G1466" s="59" t="n">
        <f aca="false">F1466-E1466</f>
        <v>0.315972222199074</v>
      </c>
      <c r="H1466" s="57" t="s">
        <v>252</v>
      </c>
      <c r="I1466" s="57"/>
      <c r="J1466" s="57" t="s">
        <v>253</v>
      </c>
      <c r="K1466" s="57" t="s">
        <v>266</v>
      </c>
      <c r="L1466" s="57" t="s">
        <v>2442</v>
      </c>
      <c r="M1466" s="57" t="s">
        <v>255</v>
      </c>
      <c r="N1466" s="57" t="s">
        <v>256</v>
      </c>
      <c r="O1466" s="57" t="s">
        <v>2395</v>
      </c>
      <c r="P1466" s="57" t="s">
        <v>2446</v>
      </c>
      <c r="Q1466" s="57" t="s">
        <v>706</v>
      </c>
    </row>
    <row r="1467" s="50" customFormat="true" ht="14.25" hidden="false" customHeight="true" outlineLevel="0" collapsed="false">
      <c r="A1467" s="50" t="s">
        <v>937</v>
      </c>
      <c r="B1467" s="57" t="s">
        <v>48</v>
      </c>
      <c r="C1467" s="57" t="s">
        <v>298</v>
      </c>
      <c r="D1467" s="58" t="n">
        <v>46078.0138888889</v>
      </c>
      <c r="E1467" s="58" t="n">
        <v>46078.0138888889</v>
      </c>
      <c r="F1467" s="58" t="n">
        <v>46078.3298611111</v>
      </c>
      <c r="G1467" s="59" t="n">
        <f aca="false">F1467-E1467</f>
        <v>0.315972222199074</v>
      </c>
      <c r="H1467" s="57" t="s">
        <v>252</v>
      </c>
      <c r="I1467" s="57"/>
      <c r="J1467" s="57" t="s">
        <v>253</v>
      </c>
      <c r="K1467" s="57" t="s">
        <v>266</v>
      </c>
      <c r="L1467" s="57" t="s">
        <v>2442</v>
      </c>
      <c r="M1467" s="57" t="s">
        <v>255</v>
      </c>
      <c r="N1467" s="57" t="s">
        <v>256</v>
      </c>
      <c r="O1467" s="57" t="s">
        <v>2395</v>
      </c>
      <c r="P1467" s="57" t="s">
        <v>2447</v>
      </c>
      <c r="Q1467" s="57" t="s">
        <v>706</v>
      </c>
    </row>
    <row r="1468" s="50" customFormat="true" ht="14.25" hidden="false" customHeight="true" outlineLevel="0" collapsed="false">
      <c r="A1468" s="50" t="s">
        <v>937</v>
      </c>
      <c r="B1468" s="57" t="s">
        <v>48</v>
      </c>
      <c r="C1468" s="57" t="s">
        <v>299</v>
      </c>
      <c r="D1468" s="58" t="n">
        <v>46078.0138888889</v>
      </c>
      <c r="E1468" s="58" t="n">
        <v>46078.0138888889</v>
      </c>
      <c r="F1468" s="58" t="n">
        <v>46078.3298611111</v>
      </c>
      <c r="G1468" s="59" t="n">
        <f aca="false">F1468-E1468</f>
        <v>0.315972222199074</v>
      </c>
      <c r="H1468" s="57" t="s">
        <v>252</v>
      </c>
      <c r="I1468" s="57"/>
      <c r="J1468" s="57" t="s">
        <v>253</v>
      </c>
      <c r="K1468" s="57" t="s">
        <v>266</v>
      </c>
      <c r="L1468" s="57" t="s">
        <v>2442</v>
      </c>
      <c r="M1468" s="57" t="s">
        <v>255</v>
      </c>
      <c r="N1468" s="57" t="s">
        <v>256</v>
      </c>
      <c r="O1468" s="57" t="s">
        <v>2395</v>
      </c>
      <c r="P1468" s="57" t="s">
        <v>2448</v>
      </c>
      <c r="Q1468" s="57" t="s">
        <v>706</v>
      </c>
    </row>
    <row r="1469" s="50" customFormat="true" ht="14.25" hidden="false" customHeight="true" outlineLevel="0" collapsed="false">
      <c r="A1469" s="50" t="s">
        <v>937</v>
      </c>
      <c r="B1469" s="57" t="s">
        <v>48</v>
      </c>
      <c r="C1469" s="57" t="s">
        <v>300</v>
      </c>
      <c r="D1469" s="58" t="n">
        <v>46078.0138888889</v>
      </c>
      <c r="E1469" s="58" t="n">
        <v>46078.0138888889</v>
      </c>
      <c r="F1469" s="58" t="n">
        <v>46078.3298611111</v>
      </c>
      <c r="G1469" s="59" t="n">
        <f aca="false">F1469-E1469</f>
        <v>0.315972222199074</v>
      </c>
      <c r="H1469" s="57" t="s">
        <v>252</v>
      </c>
      <c r="I1469" s="57"/>
      <c r="J1469" s="57" t="s">
        <v>253</v>
      </c>
      <c r="K1469" s="57" t="s">
        <v>266</v>
      </c>
      <c r="L1469" s="57" t="s">
        <v>2442</v>
      </c>
      <c r="M1469" s="57" t="s">
        <v>255</v>
      </c>
      <c r="N1469" s="57" t="s">
        <v>256</v>
      </c>
      <c r="O1469" s="57" t="s">
        <v>2395</v>
      </c>
      <c r="P1469" s="57" t="s">
        <v>2449</v>
      </c>
      <c r="Q1469" s="57" t="s">
        <v>706</v>
      </c>
    </row>
    <row r="1470" s="50" customFormat="true" ht="14.25" hidden="false" customHeight="true" outlineLevel="0" collapsed="false">
      <c r="A1470" s="50" t="s">
        <v>937</v>
      </c>
      <c r="B1470" s="57" t="s">
        <v>48</v>
      </c>
      <c r="C1470" s="57" t="s">
        <v>301</v>
      </c>
      <c r="D1470" s="58" t="n">
        <v>46078.0138888889</v>
      </c>
      <c r="E1470" s="58" t="n">
        <v>46078.0138888889</v>
      </c>
      <c r="F1470" s="58" t="n">
        <v>46078.3298611111</v>
      </c>
      <c r="G1470" s="59" t="n">
        <f aca="false">F1470-E1470</f>
        <v>0.315972222199074</v>
      </c>
      <c r="H1470" s="57" t="s">
        <v>252</v>
      </c>
      <c r="I1470" s="57"/>
      <c r="J1470" s="57" t="s">
        <v>253</v>
      </c>
      <c r="K1470" s="57" t="s">
        <v>266</v>
      </c>
      <c r="L1470" s="57" t="s">
        <v>2442</v>
      </c>
      <c r="M1470" s="57" t="s">
        <v>255</v>
      </c>
      <c r="N1470" s="57" t="s">
        <v>256</v>
      </c>
      <c r="O1470" s="57" t="s">
        <v>2395</v>
      </c>
      <c r="P1470" s="57" t="s">
        <v>2450</v>
      </c>
      <c r="Q1470" s="57" t="s">
        <v>706</v>
      </c>
    </row>
    <row r="1471" s="50" customFormat="true" ht="14.25" hidden="false" customHeight="true" outlineLevel="0" collapsed="false">
      <c r="A1471" s="50" t="s">
        <v>946</v>
      </c>
      <c r="B1471" s="57" t="s">
        <v>48</v>
      </c>
      <c r="C1471" s="57" t="s">
        <v>302</v>
      </c>
      <c r="D1471" s="58" t="n">
        <v>46078.0138888889</v>
      </c>
      <c r="E1471" s="58" t="n">
        <v>46078.0138888889</v>
      </c>
      <c r="F1471" s="58" t="n">
        <v>46078.3298611111</v>
      </c>
      <c r="G1471" s="59" t="n">
        <f aca="false">F1471-E1471</f>
        <v>0.315972222199074</v>
      </c>
      <c r="H1471" s="57" t="s">
        <v>252</v>
      </c>
      <c r="I1471" s="57"/>
      <c r="J1471" s="57" t="s">
        <v>253</v>
      </c>
      <c r="K1471" s="57" t="s">
        <v>266</v>
      </c>
      <c r="L1471" s="57" t="s">
        <v>2442</v>
      </c>
      <c r="M1471" s="57" t="s">
        <v>255</v>
      </c>
      <c r="N1471" s="57" t="s">
        <v>256</v>
      </c>
      <c r="O1471" s="57" t="s">
        <v>2395</v>
      </c>
      <c r="P1471" s="57" t="s">
        <v>2451</v>
      </c>
      <c r="Q1471" s="57" t="s">
        <v>706</v>
      </c>
    </row>
    <row r="1472" s="50" customFormat="true" ht="14.25" hidden="false" customHeight="true" outlineLevel="0" collapsed="false">
      <c r="A1472" s="50" t="s">
        <v>946</v>
      </c>
      <c r="B1472" s="57" t="s">
        <v>48</v>
      </c>
      <c r="C1472" s="57" t="s">
        <v>303</v>
      </c>
      <c r="D1472" s="58" t="n">
        <v>46078.0138888889</v>
      </c>
      <c r="E1472" s="58" t="n">
        <v>46078.0138888889</v>
      </c>
      <c r="F1472" s="58" t="n">
        <v>46078.3298611111</v>
      </c>
      <c r="G1472" s="59" t="n">
        <f aca="false">F1472-E1472</f>
        <v>0.315972222199074</v>
      </c>
      <c r="H1472" s="57" t="s">
        <v>252</v>
      </c>
      <c r="I1472" s="57"/>
      <c r="J1472" s="57" t="s">
        <v>253</v>
      </c>
      <c r="K1472" s="57" t="s">
        <v>266</v>
      </c>
      <c r="L1472" s="57" t="s">
        <v>2442</v>
      </c>
      <c r="M1472" s="57" t="s">
        <v>255</v>
      </c>
      <c r="N1472" s="57" t="s">
        <v>256</v>
      </c>
      <c r="O1472" s="57" t="s">
        <v>2395</v>
      </c>
      <c r="P1472" s="57" t="s">
        <v>2452</v>
      </c>
      <c r="Q1472" s="57" t="s">
        <v>706</v>
      </c>
    </row>
    <row r="1473" s="50" customFormat="true" ht="14.25" hidden="false" customHeight="true" outlineLevel="0" collapsed="false">
      <c r="A1473" s="50" t="s">
        <v>946</v>
      </c>
      <c r="B1473" s="57" t="s">
        <v>48</v>
      </c>
      <c r="C1473" s="57" t="s">
        <v>304</v>
      </c>
      <c r="D1473" s="58" t="n">
        <v>46078.0138888889</v>
      </c>
      <c r="E1473" s="58" t="n">
        <v>46078.0138888889</v>
      </c>
      <c r="F1473" s="58" t="n">
        <v>46078.3298611111</v>
      </c>
      <c r="G1473" s="59" t="n">
        <f aca="false">F1473-E1473</f>
        <v>0.315972222199074</v>
      </c>
      <c r="H1473" s="57" t="s">
        <v>252</v>
      </c>
      <c r="I1473" s="57"/>
      <c r="J1473" s="57" t="s">
        <v>253</v>
      </c>
      <c r="K1473" s="57" t="s">
        <v>266</v>
      </c>
      <c r="L1473" s="57" t="s">
        <v>2442</v>
      </c>
      <c r="M1473" s="57" t="s">
        <v>255</v>
      </c>
      <c r="N1473" s="57" t="s">
        <v>256</v>
      </c>
      <c r="O1473" s="57" t="s">
        <v>2395</v>
      </c>
      <c r="P1473" s="57" t="s">
        <v>2453</v>
      </c>
      <c r="Q1473" s="57" t="s">
        <v>706</v>
      </c>
    </row>
    <row r="1474" s="50" customFormat="true" ht="14.25" hidden="false" customHeight="true" outlineLevel="0" collapsed="false">
      <c r="A1474" s="50" t="s">
        <v>946</v>
      </c>
      <c r="B1474" s="57" t="s">
        <v>48</v>
      </c>
      <c r="C1474" s="57" t="s">
        <v>305</v>
      </c>
      <c r="D1474" s="58" t="n">
        <v>46078.0138888889</v>
      </c>
      <c r="E1474" s="58" t="n">
        <v>46078.0138888889</v>
      </c>
      <c r="F1474" s="58" t="n">
        <v>46078.3298611111</v>
      </c>
      <c r="G1474" s="59" t="n">
        <f aca="false">F1474-E1474</f>
        <v>0.315972222199074</v>
      </c>
      <c r="H1474" s="57" t="s">
        <v>252</v>
      </c>
      <c r="I1474" s="57"/>
      <c r="J1474" s="57" t="s">
        <v>253</v>
      </c>
      <c r="K1474" s="57" t="s">
        <v>266</v>
      </c>
      <c r="L1474" s="57" t="s">
        <v>2442</v>
      </c>
      <c r="M1474" s="57" t="s">
        <v>255</v>
      </c>
      <c r="N1474" s="57" t="s">
        <v>256</v>
      </c>
      <c r="O1474" s="57" t="s">
        <v>2395</v>
      </c>
      <c r="P1474" s="57" t="s">
        <v>2454</v>
      </c>
      <c r="Q1474" s="57" t="s">
        <v>706</v>
      </c>
    </row>
    <row r="1475" s="50" customFormat="true" ht="14.25" hidden="false" customHeight="true" outlineLevel="0" collapsed="false">
      <c r="A1475" s="50" t="s">
        <v>946</v>
      </c>
      <c r="B1475" s="57" t="s">
        <v>48</v>
      </c>
      <c r="C1475" s="57" t="s">
        <v>306</v>
      </c>
      <c r="D1475" s="58" t="n">
        <v>46078.0138888889</v>
      </c>
      <c r="E1475" s="58" t="n">
        <v>46078.0138888889</v>
      </c>
      <c r="F1475" s="58" t="n">
        <v>46078.3298611111</v>
      </c>
      <c r="G1475" s="59" t="n">
        <f aca="false">F1475-E1475</f>
        <v>0.315972222199074</v>
      </c>
      <c r="H1475" s="57" t="s">
        <v>252</v>
      </c>
      <c r="I1475" s="57"/>
      <c r="J1475" s="57" t="s">
        <v>253</v>
      </c>
      <c r="K1475" s="57" t="s">
        <v>266</v>
      </c>
      <c r="L1475" s="57" t="s">
        <v>2442</v>
      </c>
      <c r="M1475" s="57" t="s">
        <v>255</v>
      </c>
      <c r="N1475" s="57" t="s">
        <v>256</v>
      </c>
      <c r="O1475" s="57" t="s">
        <v>2395</v>
      </c>
      <c r="P1475" s="57" t="s">
        <v>2455</v>
      </c>
      <c r="Q1475" s="57" t="s">
        <v>706</v>
      </c>
    </row>
    <row r="1476" s="50" customFormat="true" ht="14.25" hidden="false" customHeight="true" outlineLevel="0" collapsed="false">
      <c r="A1476" s="50" t="s">
        <v>946</v>
      </c>
      <c r="B1476" s="57" t="s">
        <v>48</v>
      </c>
      <c r="C1476" s="57" t="s">
        <v>307</v>
      </c>
      <c r="D1476" s="58" t="n">
        <v>46078.0138888889</v>
      </c>
      <c r="E1476" s="58" t="n">
        <v>46078.0138888889</v>
      </c>
      <c r="F1476" s="58" t="n">
        <v>46078.3298611111</v>
      </c>
      <c r="G1476" s="59" t="n">
        <f aca="false">F1476-E1476</f>
        <v>0.315972222199074</v>
      </c>
      <c r="H1476" s="57" t="s">
        <v>252</v>
      </c>
      <c r="I1476" s="57"/>
      <c r="J1476" s="57" t="s">
        <v>253</v>
      </c>
      <c r="K1476" s="57" t="s">
        <v>266</v>
      </c>
      <c r="L1476" s="57" t="s">
        <v>2442</v>
      </c>
      <c r="M1476" s="57" t="s">
        <v>255</v>
      </c>
      <c r="N1476" s="57" t="s">
        <v>256</v>
      </c>
      <c r="O1476" s="57" t="s">
        <v>2395</v>
      </c>
      <c r="P1476" s="57" t="s">
        <v>2456</v>
      </c>
      <c r="Q1476" s="57" t="s">
        <v>706</v>
      </c>
    </row>
    <row r="1477" s="50" customFormat="true" ht="14.25" hidden="false" customHeight="true" outlineLevel="0" collapsed="false">
      <c r="A1477" s="50" t="s">
        <v>946</v>
      </c>
      <c r="B1477" s="57" t="s">
        <v>48</v>
      </c>
      <c r="C1477" s="57" t="s">
        <v>308</v>
      </c>
      <c r="D1477" s="58" t="n">
        <v>46078.0138888889</v>
      </c>
      <c r="E1477" s="58" t="n">
        <v>46078.0138888889</v>
      </c>
      <c r="F1477" s="58" t="n">
        <v>46078.3298611111</v>
      </c>
      <c r="G1477" s="59" t="n">
        <f aca="false">F1477-E1477</f>
        <v>0.315972222199074</v>
      </c>
      <c r="H1477" s="57" t="s">
        <v>252</v>
      </c>
      <c r="I1477" s="57"/>
      <c r="J1477" s="57" t="s">
        <v>253</v>
      </c>
      <c r="K1477" s="57" t="s">
        <v>266</v>
      </c>
      <c r="L1477" s="57" t="s">
        <v>2442</v>
      </c>
      <c r="M1477" s="57" t="s">
        <v>255</v>
      </c>
      <c r="N1477" s="57" t="s">
        <v>256</v>
      </c>
      <c r="O1477" s="57" t="s">
        <v>2395</v>
      </c>
      <c r="P1477" s="57" t="s">
        <v>2457</v>
      </c>
      <c r="Q1477" s="57" t="s">
        <v>706</v>
      </c>
    </row>
    <row r="1478" s="50" customFormat="true" ht="14.25" hidden="false" customHeight="true" outlineLevel="0" collapsed="false">
      <c r="A1478" s="50" t="s">
        <v>954</v>
      </c>
      <c r="B1478" s="57" t="s">
        <v>48</v>
      </c>
      <c r="C1478" s="57" t="s">
        <v>309</v>
      </c>
      <c r="D1478" s="58" t="n">
        <v>46078.0138888889</v>
      </c>
      <c r="E1478" s="58" t="n">
        <v>46078.0138888889</v>
      </c>
      <c r="F1478" s="58" t="n">
        <v>46078.3298611111</v>
      </c>
      <c r="G1478" s="59" t="n">
        <f aca="false">F1478-E1478</f>
        <v>0.315972222199074</v>
      </c>
      <c r="H1478" s="57" t="s">
        <v>252</v>
      </c>
      <c r="I1478" s="57"/>
      <c r="J1478" s="57" t="s">
        <v>253</v>
      </c>
      <c r="K1478" s="57" t="s">
        <v>266</v>
      </c>
      <c r="L1478" s="57" t="s">
        <v>2442</v>
      </c>
      <c r="M1478" s="57" t="s">
        <v>255</v>
      </c>
      <c r="N1478" s="57" t="s">
        <v>256</v>
      </c>
      <c r="O1478" s="57" t="s">
        <v>2395</v>
      </c>
      <c r="P1478" s="57" t="s">
        <v>2458</v>
      </c>
      <c r="Q1478" s="57" t="s">
        <v>706</v>
      </c>
    </row>
    <row r="1479" s="50" customFormat="true" ht="14.25" hidden="false" customHeight="true" outlineLevel="0" collapsed="false">
      <c r="A1479" s="50" t="s">
        <v>954</v>
      </c>
      <c r="B1479" s="57" t="s">
        <v>48</v>
      </c>
      <c r="C1479" s="57" t="s">
        <v>310</v>
      </c>
      <c r="D1479" s="58" t="n">
        <v>46078.0138888889</v>
      </c>
      <c r="E1479" s="58" t="n">
        <v>46078.0138888889</v>
      </c>
      <c r="F1479" s="58" t="n">
        <v>46078.3298611111</v>
      </c>
      <c r="G1479" s="59" t="n">
        <f aca="false">F1479-E1479</f>
        <v>0.315972222199074</v>
      </c>
      <c r="H1479" s="57" t="s">
        <v>252</v>
      </c>
      <c r="I1479" s="57"/>
      <c r="J1479" s="57" t="s">
        <v>253</v>
      </c>
      <c r="K1479" s="57" t="s">
        <v>266</v>
      </c>
      <c r="L1479" s="57" t="s">
        <v>2442</v>
      </c>
      <c r="M1479" s="57" t="s">
        <v>255</v>
      </c>
      <c r="N1479" s="57" t="s">
        <v>256</v>
      </c>
      <c r="O1479" s="57" t="s">
        <v>2395</v>
      </c>
      <c r="P1479" s="57" t="s">
        <v>2459</v>
      </c>
      <c r="Q1479" s="57" t="s">
        <v>706</v>
      </c>
    </row>
    <row r="1480" s="50" customFormat="true" ht="14.25" hidden="false" customHeight="true" outlineLevel="0" collapsed="false">
      <c r="A1480" s="50" t="s">
        <v>954</v>
      </c>
      <c r="B1480" s="57" t="s">
        <v>48</v>
      </c>
      <c r="C1480" s="57" t="s">
        <v>311</v>
      </c>
      <c r="D1480" s="58" t="n">
        <v>46078.0138888889</v>
      </c>
      <c r="E1480" s="58" t="n">
        <v>46078.0138888889</v>
      </c>
      <c r="F1480" s="58" t="n">
        <v>46078.3298611111</v>
      </c>
      <c r="G1480" s="59" t="n">
        <f aca="false">F1480-E1480</f>
        <v>0.315972222199074</v>
      </c>
      <c r="H1480" s="57" t="s">
        <v>252</v>
      </c>
      <c r="I1480" s="57"/>
      <c r="J1480" s="57" t="s">
        <v>253</v>
      </c>
      <c r="K1480" s="57" t="s">
        <v>266</v>
      </c>
      <c r="L1480" s="57" t="s">
        <v>2442</v>
      </c>
      <c r="M1480" s="57" t="s">
        <v>255</v>
      </c>
      <c r="N1480" s="57" t="s">
        <v>256</v>
      </c>
      <c r="O1480" s="57" t="s">
        <v>2395</v>
      </c>
      <c r="P1480" s="57" t="s">
        <v>2460</v>
      </c>
      <c r="Q1480" s="57" t="s">
        <v>706</v>
      </c>
    </row>
    <row r="1481" s="50" customFormat="true" ht="14.25" hidden="false" customHeight="true" outlineLevel="0" collapsed="false">
      <c r="A1481" s="50" t="s">
        <v>954</v>
      </c>
      <c r="B1481" s="57" t="s">
        <v>48</v>
      </c>
      <c r="C1481" s="57" t="s">
        <v>312</v>
      </c>
      <c r="D1481" s="58" t="n">
        <v>46078.0138888889</v>
      </c>
      <c r="E1481" s="58" t="n">
        <v>46078.0138888889</v>
      </c>
      <c r="F1481" s="58" t="n">
        <v>46078.3298611111</v>
      </c>
      <c r="G1481" s="59" t="n">
        <f aca="false">F1481-E1481</f>
        <v>0.315972222199074</v>
      </c>
      <c r="H1481" s="57" t="s">
        <v>252</v>
      </c>
      <c r="I1481" s="57"/>
      <c r="J1481" s="57" t="s">
        <v>253</v>
      </c>
      <c r="K1481" s="57" t="s">
        <v>266</v>
      </c>
      <c r="L1481" s="57" t="s">
        <v>2442</v>
      </c>
      <c r="M1481" s="57" t="s">
        <v>255</v>
      </c>
      <c r="N1481" s="57" t="s">
        <v>256</v>
      </c>
      <c r="O1481" s="57" t="s">
        <v>2395</v>
      </c>
      <c r="P1481" s="57" t="s">
        <v>2461</v>
      </c>
      <c r="Q1481" s="57" t="s">
        <v>706</v>
      </c>
    </row>
    <row r="1482" s="50" customFormat="true" ht="14.25" hidden="false" customHeight="true" outlineLevel="0" collapsed="false">
      <c r="A1482" s="50" t="s">
        <v>954</v>
      </c>
      <c r="B1482" s="57" t="s">
        <v>48</v>
      </c>
      <c r="C1482" s="57" t="s">
        <v>313</v>
      </c>
      <c r="D1482" s="58" t="n">
        <v>46078.0138888889</v>
      </c>
      <c r="E1482" s="58" t="n">
        <v>46078.0138888889</v>
      </c>
      <c r="F1482" s="58" t="n">
        <v>46078.3298611111</v>
      </c>
      <c r="G1482" s="59" t="n">
        <f aca="false">F1482-E1482</f>
        <v>0.315972222199074</v>
      </c>
      <c r="H1482" s="57" t="s">
        <v>252</v>
      </c>
      <c r="I1482" s="57"/>
      <c r="J1482" s="57" t="s">
        <v>253</v>
      </c>
      <c r="K1482" s="57" t="s">
        <v>266</v>
      </c>
      <c r="L1482" s="57" t="s">
        <v>2442</v>
      </c>
      <c r="M1482" s="57" t="s">
        <v>255</v>
      </c>
      <c r="N1482" s="57" t="s">
        <v>256</v>
      </c>
      <c r="O1482" s="57" t="s">
        <v>2395</v>
      </c>
      <c r="P1482" s="57" t="s">
        <v>2462</v>
      </c>
      <c r="Q1482" s="57" t="s">
        <v>706</v>
      </c>
    </row>
    <row r="1483" s="50" customFormat="true" ht="14.25" hidden="false" customHeight="true" outlineLevel="0" collapsed="false">
      <c r="A1483" s="50" t="s">
        <v>960</v>
      </c>
      <c r="B1483" s="57" t="s">
        <v>48</v>
      </c>
      <c r="C1483" s="57" t="s">
        <v>314</v>
      </c>
      <c r="D1483" s="58" t="n">
        <v>46078.0138888889</v>
      </c>
      <c r="E1483" s="58" t="n">
        <v>46078.0138888889</v>
      </c>
      <c r="F1483" s="58" t="n">
        <v>46078.3298611111</v>
      </c>
      <c r="G1483" s="59" t="n">
        <f aca="false">F1483-E1483</f>
        <v>0.315972222199074</v>
      </c>
      <c r="H1483" s="57" t="s">
        <v>252</v>
      </c>
      <c r="I1483" s="57"/>
      <c r="J1483" s="57" t="s">
        <v>253</v>
      </c>
      <c r="K1483" s="57" t="s">
        <v>266</v>
      </c>
      <c r="L1483" s="57" t="s">
        <v>2442</v>
      </c>
      <c r="M1483" s="57" t="s">
        <v>255</v>
      </c>
      <c r="N1483" s="57" t="s">
        <v>256</v>
      </c>
      <c r="O1483" s="57" t="s">
        <v>2395</v>
      </c>
      <c r="P1483" s="57" t="s">
        <v>2463</v>
      </c>
      <c r="Q1483" s="57" t="s">
        <v>706</v>
      </c>
    </row>
    <row r="1484" s="50" customFormat="true" ht="14.25" hidden="false" customHeight="true" outlineLevel="0" collapsed="false">
      <c r="A1484" s="50" t="s">
        <v>960</v>
      </c>
      <c r="B1484" s="57" t="s">
        <v>48</v>
      </c>
      <c r="C1484" s="57" t="s">
        <v>315</v>
      </c>
      <c r="D1484" s="58" t="n">
        <v>46078.0138888889</v>
      </c>
      <c r="E1484" s="58" t="n">
        <v>46078.0138888889</v>
      </c>
      <c r="F1484" s="58" t="n">
        <v>46078.3298611111</v>
      </c>
      <c r="G1484" s="59" t="n">
        <f aca="false">F1484-E1484</f>
        <v>0.315972222199074</v>
      </c>
      <c r="H1484" s="57" t="s">
        <v>252</v>
      </c>
      <c r="I1484" s="57"/>
      <c r="J1484" s="57" t="s">
        <v>253</v>
      </c>
      <c r="K1484" s="57" t="s">
        <v>266</v>
      </c>
      <c r="L1484" s="57" t="s">
        <v>2442</v>
      </c>
      <c r="M1484" s="57" t="s">
        <v>255</v>
      </c>
      <c r="N1484" s="57" t="s">
        <v>256</v>
      </c>
      <c r="O1484" s="57" t="s">
        <v>2395</v>
      </c>
      <c r="P1484" s="57" t="s">
        <v>2464</v>
      </c>
      <c r="Q1484" s="57" t="s">
        <v>706</v>
      </c>
    </row>
    <row r="1485" s="50" customFormat="true" ht="14.25" hidden="false" customHeight="true" outlineLevel="0" collapsed="false">
      <c r="A1485" s="50" t="s">
        <v>960</v>
      </c>
      <c r="B1485" s="57" t="s">
        <v>48</v>
      </c>
      <c r="C1485" s="57" t="s">
        <v>316</v>
      </c>
      <c r="D1485" s="58" t="n">
        <v>46078.0138888889</v>
      </c>
      <c r="E1485" s="58" t="n">
        <v>46078.0138888889</v>
      </c>
      <c r="F1485" s="58" t="n">
        <v>46078.3298611111</v>
      </c>
      <c r="G1485" s="59" t="n">
        <f aca="false">F1485-E1485</f>
        <v>0.315972222199074</v>
      </c>
      <c r="H1485" s="57" t="s">
        <v>252</v>
      </c>
      <c r="I1485" s="57"/>
      <c r="J1485" s="57" t="s">
        <v>253</v>
      </c>
      <c r="K1485" s="57" t="s">
        <v>266</v>
      </c>
      <c r="L1485" s="57" t="s">
        <v>2442</v>
      </c>
      <c r="M1485" s="57" t="s">
        <v>255</v>
      </c>
      <c r="N1485" s="57" t="s">
        <v>256</v>
      </c>
      <c r="O1485" s="57" t="s">
        <v>2395</v>
      </c>
      <c r="P1485" s="57" t="s">
        <v>2465</v>
      </c>
      <c r="Q1485" s="57" t="s">
        <v>706</v>
      </c>
    </row>
    <row r="1486" s="50" customFormat="true" ht="14.25" hidden="false" customHeight="true" outlineLevel="0" collapsed="false">
      <c r="A1486" s="50" t="s">
        <v>960</v>
      </c>
      <c r="B1486" s="57" t="s">
        <v>48</v>
      </c>
      <c r="C1486" s="57" t="s">
        <v>317</v>
      </c>
      <c r="D1486" s="58" t="n">
        <v>46078.0138888889</v>
      </c>
      <c r="E1486" s="58" t="n">
        <v>46078.0138888889</v>
      </c>
      <c r="F1486" s="58" t="n">
        <v>46078.3298611111</v>
      </c>
      <c r="G1486" s="59" t="n">
        <f aca="false">F1486-E1486</f>
        <v>0.315972222199074</v>
      </c>
      <c r="H1486" s="57" t="s">
        <v>252</v>
      </c>
      <c r="I1486" s="57"/>
      <c r="J1486" s="57" t="s">
        <v>253</v>
      </c>
      <c r="K1486" s="57" t="s">
        <v>266</v>
      </c>
      <c r="L1486" s="57" t="s">
        <v>2442</v>
      </c>
      <c r="M1486" s="57" t="s">
        <v>255</v>
      </c>
      <c r="N1486" s="57" t="s">
        <v>256</v>
      </c>
      <c r="O1486" s="57" t="s">
        <v>2395</v>
      </c>
      <c r="P1486" s="57" t="s">
        <v>2466</v>
      </c>
      <c r="Q1486" s="57" t="s">
        <v>706</v>
      </c>
    </row>
    <row r="1487" s="50" customFormat="true" ht="14.25" hidden="false" customHeight="true" outlineLevel="0" collapsed="false">
      <c r="A1487" s="50" t="s">
        <v>965</v>
      </c>
      <c r="B1487" s="57" t="s">
        <v>48</v>
      </c>
      <c r="C1487" s="57" t="s">
        <v>318</v>
      </c>
      <c r="D1487" s="58" t="n">
        <v>46078.0138888889</v>
      </c>
      <c r="E1487" s="58" t="n">
        <v>46078.0138888889</v>
      </c>
      <c r="F1487" s="58" t="n">
        <v>46078.3298611111</v>
      </c>
      <c r="G1487" s="59" t="n">
        <f aca="false">F1487-E1487</f>
        <v>0.315972222199074</v>
      </c>
      <c r="H1487" s="57" t="s">
        <v>252</v>
      </c>
      <c r="I1487" s="57"/>
      <c r="J1487" s="57" t="s">
        <v>253</v>
      </c>
      <c r="K1487" s="57" t="s">
        <v>266</v>
      </c>
      <c r="L1487" s="57" t="s">
        <v>2442</v>
      </c>
      <c r="M1487" s="57" t="s">
        <v>255</v>
      </c>
      <c r="N1487" s="57" t="s">
        <v>256</v>
      </c>
      <c r="O1487" s="57" t="s">
        <v>2395</v>
      </c>
      <c r="P1487" s="57" t="s">
        <v>2467</v>
      </c>
      <c r="Q1487" s="57" t="s">
        <v>706</v>
      </c>
    </row>
    <row r="1488" s="50" customFormat="true" ht="14.25" hidden="false" customHeight="true" outlineLevel="0" collapsed="false">
      <c r="A1488" s="50" t="s">
        <v>965</v>
      </c>
      <c r="B1488" s="57" t="s">
        <v>48</v>
      </c>
      <c r="C1488" s="57" t="s">
        <v>319</v>
      </c>
      <c r="D1488" s="58" t="n">
        <v>46078.0138888889</v>
      </c>
      <c r="E1488" s="58" t="n">
        <v>46078.0138888889</v>
      </c>
      <c r="F1488" s="58" t="n">
        <v>46078.3298611111</v>
      </c>
      <c r="G1488" s="59" t="n">
        <f aca="false">F1488-E1488</f>
        <v>0.315972222199074</v>
      </c>
      <c r="H1488" s="57" t="s">
        <v>252</v>
      </c>
      <c r="I1488" s="57"/>
      <c r="J1488" s="57" t="s">
        <v>253</v>
      </c>
      <c r="K1488" s="57" t="s">
        <v>266</v>
      </c>
      <c r="L1488" s="57" t="s">
        <v>2442</v>
      </c>
      <c r="M1488" s="57" t="s">
        <v>255</v>
      </c>
      <c r="N1488" s="57" t="s">
        <v>256</v>
      </c>
      <c r="O1488" s="57" t="s">
        <v>2395</v>
      </c>
      <c r="P1488" s="57" t="s">
        <v>2468</v>
      </c>
      <c r="Q1488" s="57" t="s">
        <v>706</v>
      </c>
    </row>
    <row r="1489" s="50" customFormat="true" ht="14.25" hidden="false" customHeight="true" outlineLevel="0" collapsed="false">
      <c r="A1489" s="50" t="s">
        <v>965</v>
      </c>
      <c r="B1489" s="57" t="s">
        <v>48</v>
      </c>
      <c r="C1489" s="57" t="s">
        <v>320</v>
      </c>
      <c r="D1489" s="58" t="n">
        <v>46078.0138888889</v>
      </c>
      <c r="E1489" s="58" t="n">
        <v>46078.0138888889</v>
      </c>
      <c r="F1489" s="58" t="n">
        <v>46078.3298611111</v>
      </c>
      <c r="G1489" s="59" t="n">
        <f aca="false">F1489-E1489</f>
        <v>0.315972222199074</v>
      </c>
      <c r="H1489" s="57" t="s">
        <v>252</v>
      </c>
      <c r="I1489" s="57"/>
      <c r="J1489" s="57" t="s">
        <v>253</v>
      </c>
      <c r="K1489" s="57" t="s">
        <v>266</v>
      </c>
      <c r="L1489" s="57" t="s">
        <v>2442</v>
      </c>
      <c r="M1489" s="57" t="s">
        <v>255</v>
      </c>
      <c r="N1489" s="57" t="s">
        <v>256</v>
      </c>
      <c r="O1489" s="57" t="s">
        <v>2395</v>
      </c>
      <c r="P1489" s="57" t="s">
        <v>2469</v>
      </c>
      <c r="Q1489" s="57" t="s">
        <v>706</v>
      </c>
    </row>
    <row r="1490" s="50" customFormat="true" ht="14.25" hidden="false" customHeight="true" outlineLevel="0" collapsed="false">
      <c r="A1490" s="50" t="s">
        <v>965</v>
      </c>
      <c r="B1490" s="57" t="s">
        <v>48</v>
      </c>
      <c r="C1490" s="57" t="s">
        <v>321</v>
      </c>
      <c r="D1490" s="58" t="n">
        <v>46078.0138888889</v>
      </c>
      <c r="E1490" s="58" t="n">
        <v>46078.0138888889</v>
      </c>
      <c r="F1490" s="58" t="n">
        <v>46078.3298611111</v>
      </c>
      <c r="G1490" s="59" t="n">
        <f aca="false">F1490-E1490</f>
        <v>0.315972222199074</v>
      </c>
      <c r="H1490" s="57" t="s">
        <v>252</v>
      </c>
      <c r="I1490" s="57"/>
      <c r="J1490" s="57" t="s">
        <v>253</v>
      </c>
      <c r="K1490" s="57" t="s">
        <v>266</v>
      </c>
      <c r="L1490" s="57" t="s">
        <v>2442</v>
      </c>
      <c r="M1490" s="57" t="s">
        <v>255</v>
      </c>
      <c r="N1490" s="57" t="s">
        <v>256</v>
      </c>
      <c r="O1490" s="57" t="s">
        <v>2395</v>
      </c>
      <c r="P1490" s="57" t="s">
        <v>2470</v>
      </c>
      <c r="Q1490" s="57" t="s">
        <v>706</v>
      </c>
    </row>
    <row r="1491" s="50" customFormat="true" ht="14.25" hidden="false" customHeight="true" outlineLevel="0" collapsed="false">
      <c r="A1491" s="50" t="s">
        <v>965</v>
      </c>
      <c r="B1491" s="57" t="s">
        <v>48</v>
      </c>
      <c r="C1491" s="57" t="s">
        <v>322</v>
      </c>
      <c r="D1491" s="58" t="n">
        <v>46078.0138888889</v>
      </c>
      <c r="E1491" s="58" t="n">
        <v>46078.0138888889</v>
      </c>
      <c r="F1491" s="58" t="n">
        <v>46078.3298611111</v>
      </c>
      <c r="G1491" s="59" t="n">
        <f aca="false">F1491-E1491</f>
        <v>0.315972222199074</v>
      </c>
      <c r="H1491" s="57" t="s">
        <v>252</v>
      </c>
      <c r="I1491" s="57"/>
      <c r="J1491" s="57" t="s">
        <v>253</v>
      </c>
      <c r="K1491" s="57" t="s">
        <v>266</v>
      </c>
      <c r="L1491" s="57" t="s">
        <v>2442</v>
      </c>
      <c r="M1491" s="57" t="s">
        <v>255</v>
      </c>
      <c r="N1491" s="57" t="s">
        <v>256</v>
      </c>
      <c r="O1491" s="57" t="s">
        <v>2395</v>
      </c>
      <c r="P1491" s="57" t="s">
        <v>2471</v>
      </c>
      <c r="Q1491" s="57" t="s">
        <v>706</v>
      </c>
    </row>
    <row r="1492" s="50" customFormat="true" ht="14.25" hidden="false" customHeight="true" outlineLevel="0" collapsed="false">
      <c r="A1492" s="50" t="s">
        <v>250</v>
      </c>
      <c r="B1492" s="57" t="s">
        <v>250</v>
      </c>
      <c r="C1492" s="57" t="s">
        <v>251</v>
      </c>
      <c r="D1492" s="58" t="n">
        <v>46078.0138888889</v>
      </c>
      <c r="E1492" s="58" t="n">
        <v>46078.0138888889</v>
      </c>
      <c r="F1492" s="58" t="n">
        <v>46078.3298611111</v>
      </c>
      <c r="G1492" s="59" t="n">
        <f aca="false">F1492-E1492</f>
        <v>0.315972222199074</v>
      </c>
      <c r="H1492" s="57" t="s">
        <v>252</v>
      </c>
      <c r="I1492" s="57"/>
      <c r="J1492" s="57" t="s">
        <v>253</v>
      </c>
      <c r="K1492" s="57" t="s">
        <v>266</v>
      </c>
      <c r="L1492" s="57" t="s">
        <v>2442</v>
      </c>
      <c r="M1492" s="57" t="s">
        <v>255</v>
      </c>
      <c r="N1492" s="57" t="s">
        <v>256</v>
      </c>
      <c r="O1492" s="57" t="s">
        <v>2395</v>
      </c>
      <c r="P1492" s="57" t="s">
        <v>2472</v>
      </c>
      <c r="Q1492" s="57" t="s">
        <v>706</v>
      </c>
    </row>
    <row r="1493" s="50" customFormat="true" ht="14.25" hidden="false" customHeight="true" outlineLevel="0" collapsed="false">
      <c r="A1493" s="50" t="s">
        <v>250</v>
      </c>
      <c r="B1493" s="57" t="s">
        <v>250</v>
      </c>
      <c r="C1493" s="57" t="s">
        <v>258</v>
      </c>
      <c r="D1493" s="58" t="n">
        <v>46078.0138888889</v>
      </c>
      <c r="E1493" s="58" t="n">
        <v>46078.0138888889</v>
      </c>
      <c r="F1493" s="58" t="n">
        <v>46078.3298611111</v>
      </c>
      <c r="G1493" s="59" t="n">
        <f aca="false">F1493-E1493</f>
        <v>0.315972222199074</v>
      </c>
      <c r="H1493" s="57" t="s">
        <v>252</v>
      </c>
      <c r="I1493" s="57"/>
      <c r="J1493" s="57" t="s">
        <v>253</v>
      </c>
      <c r="K1493" s="57" t="s">
        <v>266</v>
      </c>
      <c r="L1493" s="57" t="s">
        <v>2442</v>
      </c>
      <c r="M1493" s="57" t="s">
        <v>255</v>
      </c>
      <c r="N1493" s="57" t="s">
        <v>256</v>
      </c>
      <c r="O1493" s="57" t="s">
        <v>2395</v>
      </c>
      <c r="P1493" s="57" t="s">
        <v>2473</v>
      </c>
      <c r="Q1493" s="57" t="s">
        <v>706</v>
      </c>
    </row>
    <row r="1494" s="50" customFormat="true" ht="14.25" hidden="false" customHeight="true" outlineLevel="0" collapsed="false">
      <c r="A1494" s="50" t="s">
        <v>250</v>
      </c>
      <c r="B1494" s="57" t="s">
        <v>250</v>
      </c>
      <c r="C1494" s="57" t="s">
        <v>259</v>
      </c>
      <c r="D1494" s="58" t="n">
        <v>46078.0138888889</v>
      </c>
      <c r="E1494" s="58" t="n">
        <v>46078.0138888889</v>
      </c>
      <c r="F1494" s="58" t="n">
        <v>46078.3298611111</v>
      </c>
      <c r="G1494" s="59" t="n">
        <f aca="false">F1494-E1494</f>
        <v>0.315972222199074</v>
      </c>
      <c r="H1494" s="57" t="s">
        <v>252</v>
      </c>
      <c r="I1494" s="57"/>
      <c r="J1494" s="57" t="s">
        <v>253</v>
      </c>
      <c r="K1494" s="57" t="s">
        <v>266</v>
      </c>
      <c r="L1494" s="57" t="s">
        <v>2442</v>
      </c>
      <c r="M1494" s="57" t="s">
        <v>255</v>
      </c>
      <c r="N1494" s="57" t="s">
        <v>256</v>
      </c>
      <c r="O1494" s="57" t="s">
        <v>2395</v>
      </c>
      <c r="P1494" s="57" t="s">
        <v>2474</v>
      </c>
      <c r="Q1494" s="57" t="s">
        <v>706</v>
      </c>
    </row>
    <row r="1495" s="50" customFormat="true" ht="14.25" hidden="false" customHeight="true" outlineLevel="0" collapsed="false">
      <c r="A1495" s="50" t="s">
        <v>250</v>
      </c>
      <c r="B1495" s="57" t="s">
        <v>250</v>
      </c>
      <c r="C1495" s="57" t="s">
        <v>260</v>
      </c>
      <c r="D1495" s="58" t="n">
        <v>46078.0138888889</v>
      </c>
      <c r="E1495" s="58" t="n">
        <v>46078.0138888889</v>
      </c>
      <c r="F1495" s="58" t="n">
        <v>46078.3298611111</v>
      </c>
      <c r="G1495" s="59" t="n">
        <f aca="false">F1495-E1495</f>
        <v>0.315972222199074</v>
      </c>
      <c r="H1495" s="57" t="s">
        <v>252</v>
      </c>
      <c r="I1495" s="57"/>
      <c r="J1495" s="57" t="s">
        <v>253</v>
      </c>
      <c r="K1495" s="57" t="s">
        <v>266</v>
      </c>
      <c r="L1495" s="57" t="s">
        <v>2442</v>
      </c>
      <c r="M1495" s="57" t="s">
        <v>255</v>
      </c>
      <c r="N1495" s="57" t="s">
        <v>256</v>
      </c>
      <c r="O1495" s="57" t="s">
        <v>2395</v>
      </c>
      <c r="P1495" s="57" t="s">
        <v>2475</v>
      </c>
      <c r="Q1495" s="57" t="s">
        <v>706</v>
      </c>
    </row>
    <row r="1496" s="50" customFormat="true" ht="14.25" hidden="false" customHeight="true" outlineLevel="0" collapsed="false">
      <c r="A1496" s="50" t="s">
        <v>250</v>
      </c>
      <c r="B1496" s="57" t="s">
        <v>250</v>
      </c>
      <c r="C1496" s="57" t="s">
        <v>261</v>
      </c>
      <c r="D1496" s="58" t="n">
        <v>46078.0138888889</v>
      </c>
      <c r="E1496" s="58" t="n">
        <v>46078.0138888889</v>
      </c>
      <c r="F1496" s="58" t="n">
        <v>46078.3298611111</v>
      </c>
      <c r="G1496" s="59" t="n">
        <f aca="false">F1496-E1496</f>
        <v>0.315972222199074</v>
      </c>
      <c r="H1496" s="57" t="s">
        <v>252</v>
      </c>
      <c r="I1496" s="57"/>
      <c r="J1496" s="57" t="s">
        <v>253</v>
      </c>
      <c r="K1496" s="57" t="s">
        <v>266</v>
      </c>
      <c r="L1496" s="57" t="s">
        <v>2442</v>
      </c>
      <c r="M1496" s="57" t="s">
        <v>255</v>
      </c>
      <c r="N1496" s="57" t="s">
        <v>256</v>
      </c>
      <c r="O1496" s="57" t="s">
        <v>2395</v>
      </c>
      <c r="P1496" s="57" t="s">
        <v>2476</v>
      </c>
      <c r="Q1496" s="57" t="s">
        <v>706</v>
      </c>
    </row>
    <row r="1497" s="50" customFormat="true" ht="14.25" hidden="false" customHeight="true" outlineLevel="0" collapsed="false">
      <c r="A1497" s="50" t="s">
        <v>262</v>
      </c>
      <c r="B1497" s="57" t="s">
        <v>262</v>
      </c>
      <c r="C1497" s="57" t="s">
        <v>251</v>
      </c>
      <c r="D1497" s="58" t="n">
        <v>46078.0138888889</v>
      </c>
      <c r="E1497" s="58" t="n">
        <v>46078.0138888889</v>
      </c>
      <c r="F1497" s="58" t="n">
        <v>46078.3298611111</v>
      </c>
      <c r="G1497" s="59" t="n">
        <f aca="false">F1497-E1497</f>
        <v>0.315972222199074</v>
      </c>
      <c r="H1497" s="57" t="s">
        <v>252</v>
      </c>
      <c r="I1497" s="57"/>
      <c r="J1497" s="57" t="s">
        <v>253</v>
      </c>
      <c r="K1497" s="57" t="s">
        <v>266</v>
      </c>
      <c r="L1497" s="57" t="s">
        <v>2442</v>
      </c>
      <c r="M1497" s="57" t="s">
        <v>255</v>
      </c>
      <c r="N1497" s="57" t="s">
        <v>256</v>
      </c>
      <c r="O1497" s="57" t="s">
        <v>2395</v>
      </c>
      <c r="P1497" s="57" t="s">
        <v>2477</v>
      </c>
      <c r="Q1497" s="57" t="s">
        <v>706</v>
      </c>
    </row>
    <row r="1498" s="50" customFormat="true" ht="14.25" hidden="false" customHeight="true" outlineLevel="0" collapsed="false">
      <c r="A1498" s="50" t="s">
        <v>262</v>
      </c>
      <c r="B1498" s="57" t="s">
        <v>262</v>
      </c>
      <c r="C1498" s="57" t="s">
        <v>258</v>
      </c>
      <c r="D1498" s="58" t="n">
        <v>46078.0138888889</v>
      </c>
      <c r="E1498" s="58" t="n">
        <v>46078.0138888889</v>
      </c>
      <c r="F1498" s="58" t="n">
        <v>46078.3298611111</v>
      </c>
      <c r="G1498" s="59" t="n">
        <f aca="false">F1498-E1498</f>
        <v>0.315972222199074</v>
      </c>
      <c r="H1498" s="57" t="s">
        <v>252</v>
      </c>
      <c r="I1498" s="57"/>
      <c r="J1498" s="57" t="s">
        <v>253</v>
      </c>
      <c r="K1498" s="57" t="s">
        <v>266</v>
      </c>
      <c r="L1498" s="57" t="s">
        <v>2442</v>
      </c>
      <c r="M1498" s="57" t="s">
        <v>255</v>
      </c>
      <c r="N1498" s="57" t="s">
        <v>256</v>
      </c>
      <c r="O1498" s="57" t="s">
        <v>2395</v>
      </c>
      <c r="P1498" s="57" t="s">
        <v>2478</v>
      </c>
      <c r="Q1498" s="57" t="s">
        <v>706</v>
      </c>
    </row>
    <row r="1499" s="50" customFormat="true" ht="14.25" hidden="false" customHeight="true" outlineLevel="0" collapsed="false">
      <c r="A1499" s="50" t="s">
        <v>262</v>
      </c>
      <c r="B1499" s="57" t="s">
        <v>262</v>
      </c>
      <c r="C1499" s="57" t="s">
        <v>259</v>
      </c>
      <c r="D1499" s="58" t="n">
        <v>46078.0138888889</v>
      </c>
      <c r="E1499" s="58" t="n">
        <v>46078.0138888889</v>
      </c>
      <c r="F1499" s="58" t="n">
        <v>46078.3298611111</v>
      </c>
      <c r="G1499" s="59" t="n">
        <f aca="false">F1499-E1499</f>
        <v>0.315972222199074</v>
      </c>
      <c r="H1499" s="57" t="s">
        <v>252</v>
      </c>
      <c r="I1499" s="57"/>
      <c r="J1499" s="57" t="s">
        <v>253</v>
      </c>
      <c r="K1499" s="57" t="s">
        <v>266</v>
      </c>
      <c r="L1499" s="57" t="s">
        <v>2442</v>
      </c>
      <c r="M1499" s="57" t="s">
        <v>255</v>
      </c>
      <c r="N1499" s="57" t="s">
        <v>256</v>
      </c>
      <c r="O1499" s="57" t="s">
        <v>2395</v>
      </c>
      <c r="P1499" s="57" t="s">
        <v>2479</v>
      </c>
      <c r="Q1499" s="57" t="s">
        <v>706</v>
      </c>
    </row>
    <row r="1500" s="50" customFormat="true" ht="14.25" hidden="false" customHeight="true" outlineLevel="0" collapsed="false">
      <c r="A1500" s="50" t="s">
        <v>262</v>
      </c>
      <c r="B1500" s="57" t="s">
        <v>262</v>
      </c>
      <c r="C1500" s="57" t="s">
        <v>260</v>
      </c>
      <c r="D1500" s="58" t="n">
        <v>46078.0138888889</v>
      </c>
      <c r="E1500" s="58" t="n">
        <v>46078.0138888889</v>
      </c>
      <c r="F1500" s="58" t="n">
        <v>46078.3298611111</v>
      </c>
      <c r="G1500" s="59" t="n">
        <f aca="false">F1500-E1500</f>
        <v>0.315972222199074</v>
      </c>
      <c r="H1500" s="57" t="s">
        <v>252</v>
      </c>
      <c r="I1500" s="57"/>
      <c r="J1500" s="57" t="s">
        <v>253</v>
      </c>
      <c r="K1500" s="57" t="s">
        <v>266</v>
      </c>
      <c r="L1500" s="57" t="s">
        <v>2442</v>
      </c>
      <c r="M1500" s="57" t="s">
        <v>255</v>
      </c>
      <c r="N1500" s="57" t="s">
        <v>256</v>
      </c>
      <c r="O1500" s="57" t="s">
        <v>2395</v>
      </c>
      <c r="P1500" s="57" t="s">
        <v>2480</v>
      </c>
      <c r="Q1500" s="57" t="s">
        <v>706</v>
      </c>
    </row>
    <row r="1501" s="50" customFormat="true" ht="14.25" hidden="false" customHeight="true" outlineLevel="0" collapsed="false">
      <c r="A1501" s="50" t="s">
        <v>262</v>
      </c>
      <c r="B1501" s="57" t="s">
        <v>262</v>
      </c>
      <c r="C1501" s="57" t="s">
        <v>261</v>
      </c>
      <c r="D1501" s="58" t="n">
        <v>46078.0138888889</v>
      </c>
      <c r="E1501" s="58" t="n">
        <v>46078.0138888889</v>
      </c>
      <c r="F1501" s="58" t="n">
        <v>46078.3298611111</v>
      </c>
      <c r="G1501" s="59" t="n">
        <f aca="false">F1501-E1501</f>
        <v>0.315972222199074</v>
      </c>
      <c r="H1501" s="57" t="s">
        <v>252</v>
      </c>
      <c r="I1501" s="57"/>
      <c r="J1501" s="57" t="s">
        <v>253</v>
      </c>
      <c r="K1501" s="57" t="s">
        <v>266</v>
      </c>
      <c r="L1501" s="57" t="s">
        <v>2442</v>
      </c>
      <c r="M1501" s="57" t="s">
        <v>255</v>
      </c>
      <c r="N1501" s="57" t="s">
        <v>256</v>
      </c>
      <c r="O1501" s="57" t="s">
        <v>2395</v>
      </c>
      <c r="P1501" s="57" t="s">
        <v>2481</v>
      </c>
      <c r="Q1501" s="57" t="s">
        <v>706</v>
      </c>
    </row>
    <row r="1502" s="50" customFormat="true" ht="14.25" hidden="false" customHeight="true" outlineLevel="0" collapsed="false">
      <c r="A1502" s="50" t="s">
        <v>263</v>
      </c>
      <c r="B1502" s="57" t="s">
        <v>263</v>
      </c>
      <c r="C1502" s="57" t="s">
        <v>251</v>
      </c>
      <c r="D1502" s="58" t="n">
        <v>46078.0138888889</v>
      </c>
      <c r="E1502" s="58" t="n">
        <v>46078.0138888889</v>
      </c>
      <c r="F1502" s="58" t="n">
        <v>46078.3298611111</v>
      </c>
      <c r="G1502" s="59" t="n">
        <f aca="false">F1502-E1502</f>
        <v>0.315972222199074</v>
      </c>
      <c r="H1502" s="57" t="s">
        <v>252</v>
      </c>
      <c r="I1502" s="57"/>
      <c r="J1502" s="57" t="s">
        <v>253</v>
      </c>
      <c r="K1502" s="57" t="s">
        <v>266</v>
      </c>
      <c r="L1502" s="57" t="s">
        <v>2442</v>
      </c>
      <c r="M1502" s="57" t="s">
        <v>255</v>
      </c>
      <c r="N1502" s="57" t="s">
        <v>256</v>
      </c>
      <c r="O1502" s="57" t="s">
        <v>2395</v>
      </c>
      <c r="P1502" s="57" t="s">
        <v>2482</v>
      </c>
      <c r="Q1502" s="57" t="s">
        <v>706</v>
      </c>
    </row>
    <row r="1503" s="50" customFormat="true" ht="14.25" hidden="false" customHeight="true" outlineLevel="0" collapsed="false">
      <c r="A1503" s="50" t="s">
        <v>263</v>
      </c>
      <c r="B1503" s="57" t="s">
        <v>263</v>
      </c>
      <c r="C1503" s="57" t="s">
        <v>258</v>
      </c>
      <c r="D1503" s="58" t="n">
        <v>46078.0138888889</v>
      </c>
      <c r="E1503" s="58" t="n">
        <v>46078.0138888889</v>
      </c>
      <c r="F1503" s="58" t="n">
        <v>46078.3298611111</v>
      </c>
      <c r="G1503" s="59" t="n">
        <f aca="false">F1503-E1503</f>
        <v>0.315972222199074</v>
      </c>
      <c r="H1503" s="57" t="s">
        <v>252</v>
      </c>
      <c r="I1503" s="57"/>
      <c r="J1503" s="57" t="s">
        <v>253</v>
      </c>
      <c r="K1503" s="57" t="s">
        <v>266</v>
      </c>
      <c r="L1503" s="57" t="s">
        <v>2442</v>
      </c>
      <c r="M1503" s="57" t="s">
        <v>255</v>
      </c>
      <c r="N1503" s="57" t="s">
        <v>256</v>
      </c>
      <c r="O1503" s="57" t="s">
        <v>2395</v>
      </c>
      <c r="P1503" s="57" t="s">
        <v>2483</v>
      </c>
      <c r="Q1503" s="57" t="s">
        <v>706</v>
      </c>
    </row>
    <row r="1504" s="50" customFormat="true" ht="14.25" hidden="false" customHeight="true" outlineLevel="0" collapsed="false">
      <c r="A1504" s="50" t="s">
        <v>263</v>
      </c>
      <c r="B1504" s="57" t="s">
        <v>263</v>
      </c>
      <c r="C1504" s="57" t="s">
        <v>259</v>
      </c>
      <c r="D1504" s="58" t="n">
        <v>46078.0138888889</v>
      </c>
      <c r="E1504" s="58" t="n">
        <v>46078.0138888889</v>
      </c>
      <c r="F1504" s="58" t="n">
        <v>46078.3298611111</v>
      </c>
      <c r="G1504" s="59" t="n">
        <f aca="false">F1504-E1504</f>
        <v>0.315972222199074</v>
      </c>
      <c r="H1504" s="57" t="s">
        <v>252</v>
      </c>
      <c r="I1504" s="57"/>
      <c r="J1504" s="57" t="s">
        <v>253</v>
      </c>
      <c r="K1504" s="57" t="s">
        <v>266</v>
      </c>
      <c r="L1504" s="57" t="s">
        <v>2442</v>
      </c>
      <c r="M1504" s="57" t="s">
        <v>255</v>
      </c>
      <c r="N1504" s="57" t="s">
        <v>256</v>
      </c>
      <c r="O1504" s="57" t="s">
        <v>2395</v>
      </c>
      <c r="P1504" s="57" t="s">
        <v>2484</v>
      </c>
      <c r="Q1504" s="57" t="s">
        <v>706</v>
      </c>
    </row>
    <row r="1505" s="50" customFormat="true" ht="14.25" hidden="false" customHeight="true" outlineLevel="0" collapsed="false">
      <c r="A1505" s="50" t="s">
        <v>263</v>
      </c>
      <c r="B1505" s="57" t="s">
        <v>263</v>
      </c>
      <c r="C1505" s="57" t="s">
        <v>260</v>
      </c>
      <c r="D1505" s="58" t="n">
        <v>46078.0138888889</v>
      </c>
      <c r="E1505" s="58" t="n">
        <v>46078.0138888889</v>
      </c>
      <c r="F1505" s="58" t="n">
        <v>46078.3298611111</v>
      </c>
      <c r="G1505" s="59" t="n">
        <f aca="false">F1505-E1505</f>
        <v>0.315972222199074</v>
      </c>
      <c r="H1505" s="57" t="s">
        <v>252</v>
      </c>
      <c r="I1505" s="57"/>
      <c r="J1505" s="57" t="s">
        <v>253</v>
      </c>
      <c r="K1505" s="57" t="s">
        <v>266</v>
      </c>
      <c r="L1505" s="57" t="s">
        <v>2442</v>
      </c>
      <c r="M1505" s="57" t="s">
        <v>255</v>
      </c>
      <c r="N1505" s="57" t="s">
        <v>256</v>
      </c>
      <c r="O1505" s="57" t="s">
        <v>2395</v>
      </c>
      <c r="P1505" s="57" t="s">
        <v>2485</v>
      </c>
      <c r="Q1505" s="57" t="s">
        <v>706</v>
      </c>
    </row>
    <row r="1506" s="50" customFormat="true" ht="14.25" hidden="false" customHeight="true" outlineLevel="0" collapsed="false">
      <c r="A1506" s="50" t="s">
        <v>263</v>
      </c>
      <c r="B1506" s="57" t="s">
        <v>263</v>
      </c>
      <c r="C1506" s="57" t="s">
        <v>261</v>
      </c>
      <c r="D1506" s="58" t="n">
        <v>46078.0138888889</v>
      </c>
      <c r="E1506" s="58" t="n">
        <v>46078.0138888889</v>
      </c>
      <c r="F1506" s="58" t="n">
        <v>46078.3298611111</v>
      </c>
      <c r="G1506" s="59" t="n">
        <f aca="false">F1506-E1506</f>
        <v>0.315972222199074</v>
      </c>
      <c r="H1506" s="57" t="s">
        <v>252</v>
      </c>
      <c r="I1506" s="57"/>
      <c r="J1506" s="57" t="s">
        <v>253</v>
      </c>
      <c r="K1506" s="57" t="s">
        <v>266</v>
      </c>
      <c r="L1506" s="57" t="s">
        <v>2442</v>
      </c>
      <c r="M1506" s="57" t="s">
        <v>255</v>
      </c>
      <c r="N1506" s="57" t="s">
        <v>256</v>
      </c>
      <c r="O1506" s="57" t="s">
        <v>2395</v>
      </c>
      <c r="P1506" s="57" t="s">
        <v>2486</v>
      </c>
      <c r="Q1506" s="57" t="s">
        <v>706</v>
      </c>
    </row>
    <row r="1507" s="50" customFormat="true" ht="14.25" hidden="false" customHeight="true" outlineLevel="0" collapsed="false">
      <c r="A1507" s="50" t="s">
        <v>460</v>
      </c>
      <c r="B1507" s="57" t="s">
        <v>460</v>
      </c>
      <c r="C1507" s="57" t="s">
        <v>328</v>
      </c>
      <c r="D1507" s="58" t="n">
        <v>46078.1736111111</v>
      </c>
      <c r="E1507" s="58" t="n">
        <v>46078.1736111111</v>
      </c>
      <c r="F1507" s="58" t="n">
        <v>46078.3555555556</v>
      </c>
      <c r="G1507" s="59" t="n">
        <f aca="false">F1507-E1507</f>
        <v>0.181944444502315</v>
      </c>
      <c r="H1507" s="57" t="s">
        <v>252</v>
      </c>
      <c r="I1507" s="57"/>
      <c r="J1507" s="57" t="s">
        <v>253</v>
      </c>
      <c r="K1507" s="57" t="s">
        <v>266</v>
      </c>
      <c r="L1507" s="57" t="s">
        <v>2487</v>
      </c>
      <c r="M1507" s="57" t="s">
        <v>255</v>
      </c>
      <c r="N1507" s="57" t="s">
        <v>256</v>
      </c>
      <c r="O1507" s="57" t="s">
        <v>2488</v>
      </c>
      <c r="P1507" s="57" t="s">
        <v>2489</v>
      </c>
      <c r="Q1507" s="57" t="s">
        <v>706</v>
      </c>
    </row>
    <row r="1508" s="50" customFormat="true" ht="14.25" hidden="false" customHeight="true" outlineLevel="0" collapsed="false">
      <c r="A1508" s="50" t="s">
        <v>460</v>
      </c>
      <c r="B1508" s="57" t="s">
        <v>460</v>
      </c>
      <c r="C1508" s="57" t="s">
        <v>326</v>
      </c>
      <c r="D1508" s="58" t="n">
        <v>46078.1736111111</v>
      </c>
      <c r="E1508" s="58" t="n">
        <v>46078.1736111111</v>
      </c>
      <c r="F1508" s="58" t="n">
        <v>46078.3555555556</v>
      </c>
      <c r="G1508" s="59" t="n">
        <f aca="false">F1508-E1508</f>
        <v>0.181944444502315</v>
      </c>
      <c r="H1508" s="57" t="s">
        <v>252</v>
      </c>
      <c r="I1508" s="57"/>
      <c r="J1508" s="57" t="s">
        <v>253</v>
      </c>
      <c r="K1508" s="57" t="s">
        <v>266</v>
      </c>
      <c r="L1508" s="57" t="s">
        <v>2487</v>
      </c>
      <c r="M1508" s="57" t="s">
        <v>255</v>
      </c>
      <c r="N1508" s="57" t="s">
        <v>256</v>
      </c>
      <c r="O1508" s="57" t="s">
        <v>2488</v>
      </c>
      <c r="P1508" s="57" t="s">
        <v>2490</v>
      </c>
      <c r="Q1508" s="57" t="s">
        <v>706</v>
      </c>
    </row>
    <row r="1509" s="50" customFormat="true" ht="14.25" hidden="false" customHeight="true" outlineLevel="0" collapsed="false">
      <c r="A1509" s="50" t="s">
        <v>460</v>
      </c>
      <c r="B1509" s="57" t="s">
        <v>460</v>
      </c>
      <c r="C1509" s="57" t="s">
        <v>327</v>
      </c>
      <c r="D1509" s="58" t="n">
        <v>46078.1736111111</v>
      </c>
      <c r="E1509" s="58" t="n">
        <v>46078.1736111111</v>
      </c>
      <c r="F1509" s="58" t="n">
        <v>46078.3555555556</v>
      </c>
      <c r="G1509" s="59" t="n">
        <f aca="false">F1509-E1509</f>
        <v>0.181944444502315</v>
      </c>
      <c r="H1509" s="57" t="s">
        <v>252</v>
      </c>
      <c r="I1509" s="57"/>
      <c r="J1509" s="57" t="s">
        <v>253</v>
      </c>
      <c r="K1509" s="57" t="s">
        <v>266</v>
      </c>
      <c r="L1509" s="57" t="s">
        <v>2487</v>
      </c>
      <c r="M1509" s="57" t="s">
        <v>255</v>
      </c>
      <c r="N1509" s="57" t="s">
        <v>256</v>
      </c>
      <c r="O1509" s="57" t="s">
        <v>2488</v>
      </c>
      <c r="P1509" s="57" t="s">
        <v>2491</v>
      </c>
      <c r="Q1509" s="57" t="s">
        <v>706</v>
      </c>
    </row>
    <row r="1510" s="50" customFormat="true" ht="14.25" hidden="false" customHeight="true" outlineLevel="0" collapsed="false">
      <c r="A1510" s="50" t="s">
        <v>460</v>
      </c>
      <c r="B1510" s="57" t="s">
        <v>460</v>
      </c>
      <c r="C1510" s="57" t="s">
        <v>324</v>
      </c>
      <c r="D1510" s="58" t="n">
        <v>46078.1736111111</v>
      </c>
      <c r="E1510" s="58" t="n">
        <v>46078.1736111111</v>
      </c>
      <c r="F1510" s="58" t="n">
        <v>46078.3555555556</v>
      </c>
      <c r="G1510" s="59" t="n">
        <f aca="false">F1510-E1510</f>
        <v>0.181944444502315</v>
      </c>
      <c r="H1510" s="57" t="s">
        <v>252</v>
      </c>
      <c r="I1510" s="57"/>
      <c r="J1510" s="57" t="s">
        <v>253</v>
      </c>
      <c r="K1510" s="57" t="s">
        <v>266</v>
      </c>
      <c r="L1510" s="57" t="s">
        <v>2487</v>
      </c>
      <c r="M1510" s="57" t="s">
        <v>255</v>
      </c>
      <c r="N1510" s="57" t="s">
        <v>256</v>
      </c>
      <c r="O1510" s="57" t="s">
        <v>2488</v>
      </c>
      <c r="P1510" s="57" t="s">
        <v>2492</v>
      </c>
      <c r="Q1510" s="57" t="s">
        <v>706</v>
      </c>
    </row>
    <row r="1511" s="50" customFormat="true" ht="14.25" hidden="false" customHeight="true" outlineLevel="0" collapsed="false">
      <c r="A1511" s="50" t="s">
        <v>461</v>
      </c>
      <c r="B1511" s="57" t="s">
        <v>461</v>
      </c>
      <c r="C1511" s="57" t="s">
        <v>324</v>
      </c>
      <c r="D1511" s="58" t="n">
        <v>46078.1736111111</v>
      </c>
      <c r="E1511" s="58" t="n">
        <v>46078.1736111111</v>
      </c>
      <c r="F1511" s="58" t="n">
        <v>46078.3555555556</v>
      </c>
      <c r="G1511" s="59" t="n">
        <f aca="false">F1511-E1511</f>
        <v>0.181944444502315</v>
      </c>
      <c r="H1511" s="57" t="s">
        <v>252</v>
      </c>
      <c r="I1511" s="57"/>
      <c r="J1511" s="57" t="s">
        <v>253</v>
      </c>
      <c r="K1511" s="57" t="s">
        <v>266</v>
      </c>
      <c r="L1511" s="57" t="s">
        <v>2487</v>
      </c>
      <c r="M1511" s="57" t="s">
        <v>255</v>
      </c>
      <c r="N1511" s="57" t="s">
        <v>256</v>
      </c>
      <c r="O1511" s="57" t="s">
        <v>2488</v>
      </c>
      <c r="P1511" s="57" t="s">
        <v>2493</v>
      </c>
      <c r="Q1511" s="57" t="s">
        <v>706</v>
      </c>
    </row>
    <row r="1512" s="50" customFormat="true" ht="14.25" hidden="false" customHeight="true" outlineLevel="0" collapsed="false">
      <c r="A1512" s="50" t="s">
        <v>461</v>
      </c>
      <c r="B1512" s="57" t="s">
        <v>461</v>
      </c>
      <c r="C1512" s="57" t="s">
        <v>326</v>
      </c>
      <c r="D1512" s="58" t="n">
        <v>46078.1736111111</v>
      </c>
      <c r="E1512" s="58" t="n">
        <v>46078.1736111111</v>
      </c>
      <c r="F1512" s="58" t="n">
        <v>46078.3555555556</v>
      </c>
      <c r="G1512" s="59" t="n">
        <f aca="false">F1512-E1512</f>
        <v>0.181944444502315</v>
      </c>
      <c r="H1512" s="57" t="s">
        <v>252</v>
      </c>
      <c r="I1512" s="57"/>
      <c r="J1512" s="57" t="s">
        <v>253</v>
      </c>
      <c r="K1512" s="57" t="s">
        <v>266</v>
      </c>
      <c r="L1512" s="57" t="s">
        <v>2487</v>
      </c>
      <c r="M1512" s="57" t="s">
        <v>255</v>
      </c>
      <c r="N1512" s="57" t="s">
        <v>256</v>
      </c>
      <c r="O1512" s="57" t="s">
        <v>2488</v>
      </c>
      <c r="P1512" s="57" t="s">
        <v>2494</v>
      </c>
      <c r="Q1512" s="57" t="s">
        <v>706</v>
      </c>
    </row>
    <row r="1513" s="50" customFormat="true" ht="14.25" hidden="false" customHeight="true" outlineLevel="0" collapsed="false">
      <c r="A1513" s="50" t="s">
        <v>2495</v>
      </c>
      <c r="B1513" s="57" t="s">
        <v>36</v>
      </c>
      <c r="C1513" s="57" t="s">
        <v>354</v>
      </c>
      <c r="D1513" s="58" t="n">
        <v>46078.2291666667</v>
      </c>
      <c r="E1513" s="58" t="n">
        <v>46078.2291666667</v>
      </c>
      <c r="F1513" s="58" t="n">
        <v>46078.3333333333</v>
      </c>
      <c r="G1513" s="59" t="n">
        <f aca="false">F1513-E1513</f>
        <v>0.104166666597222</v>
      </c>
      <c r="H1513" s="57" t="s">
        <v>252</v>
      </c>
      <c r="I1513" s="57"/>
      <c r="J1513" s="57" t="s">
        <v>253</v>
      </c>
      <c r="K1513" s="57" t="s">
        <v>266</v>
      </c>
      <c r="L1513" s="57" t="s">
        <v>2496</v>
      </c>
      <c r="M1513" s="57" t="s">
        <v>255</v>
      </c>
      <c r="N1513" s="57" t="s">
        <v>256</v>
      </c>
      <c r="O1513" s="57" t="s">
        <v>2497</v>
      </c>
      <c r="P1513" s="57" t="s">
        <v>2498</v>
      </c>
      <c r="Q1513" s="57" t="s">
        <v>706</v>
      </c>
    </row>
    <row r="1514" s="50" customFormat="true" ht="14.25" hidden="false" customHeight="true" outlineLevel="0" collapsed="false">
      <c r="A1514" s="50" t="s">
        <v>2495</v>
      </c>
      <c r="B1514" s="57" t="s">
        <v>36</v>
      </c>
      <c r="C1514" s="57" t="s">
        <v>452</v>
      </c>
      <c r="D1514" s="58" t="n">
        <v>46078.2291666667</v>
      </c>
      <c r="E1514" s="58" t="n">
        <v>46078.2291666667</v>
      </c>
      <c r="F1514" s="58" t="n">
        <v>46078.3333333333</v>
      </c>
      <c r="G1514" s="59" t="n">
        <f aca="false">F1514-E1514</f>
        <v>0.104166666597222</v>
      </c>
      <c r="H1514" s="57" t="s">
        <v>252</v>
      </c>
      <c r="I1514" s="57"/>
      <c r="J1514" s="57" t="s">
        <v>253</v>
      </c>
      <c r="K1514" s="57" t="s">
        <v>266</v>
      </c>
      <c r="L1514" s="57" t="s">
        <v>2496</v>
      </c>
      <c r="M1514" s="57" t="s">
        <v>255</v>
      </c>
      <c r="N1514" s="57" t="s">
        <v>256</v>
      </c>
      <c r="O1514" s="57" t="s">
        <v>2497</v>
      </c>
      <c r="P1514" s="57" t="s">
        <v>2499</v>
      </c>
      <c r="Q1514" s="57" t="s">
        <v>706</v>
      </c>
    </row>
    <row r="1515" s="50" customFormat="true" ht="14.25" hidden="false" customHeight="true" outlineLevel="0" collapsed="false">
      <c r="A1515" s="50" t="s">
        <v>2500</v>
      </c>
      <c r="B1515" s="57" t="s">
        <v>36</v>
      </c>
      <c r="C1515" s="57" t="s">
        <v>2501</v>
      </c>
      <c r="D1515" s="58" t="n">
        <v>46078.2291666667</v>
      </c>
      <c r="E1515" s="58" t="n">
        <v>46078.2291666667</v>
      </c>
      <c r="F1515" s="58" t="n">
        <v>46078.3333333333</v>
      </c>
      <c r="G1515" s="59" t="n">
        <f aca="false">F1515-E1515</f>
        <v>0.104166666597222</v>
      </c>
      <c r="H1515" s="57" t="s">
        <v>252</v>
      </c>
      <c r="I1515" s="57"/>
      <c r="J1515" s="57" t="s">
        <v>253</v>
      </c>
      <c r="K1515" s="57" t="s">
        <v>266</v>
      </c>
      <c r="L1515" s="57" t="s">
        <v>2496</v>
      </c>
      <c r="M1515" s="57" t="s">
        <v>255</v>
      </c>
      <c r="N1515" s="57" t="s">
        <v>256</v>
      </c>
      <c r="O1515" s="57" t="s">
        <v>2497</v>
      </c>
      <c r="P1515" s="57" t="s">
        <v>2502</v>
      </c>
      <c r="Q1515" s="57" t="s">
        <v>706</v>
      </c>
    </row>
    <row r="1516" s="50" customFormat="true" ht="14.25" hidden="false" customHeight="true" outlineLevel="0" collapsed="false">
      <c r="A1516" s="50" t="s">
        <v>2500</v>
      </c>
      <c r="B1516" s="57" t="s">
        <v>36</v>
      </c>
      <c r="C1516" s="57" t="s">
        <v>2503</v>
      </c>
      <c r="D1516" s="58" t="n">
        <v>46078.2291666667</v>
      </c>
      <c r="E1516" s="58" t="n">
        <v>46078.2291666667</v>
      </c>
      <c r="F1516" s="58" t="n">
        <v>46078.3333333333</v>
      </c>
      <c r="G1516" s="59" t="n">
        <f aca="false">F1516-E1516</f>
        <v>0.104166666597222</v>
      </c>
      <c r="H1516" s="57" t="s">
        <v>252</v>
      </c>
      <c r="I1516" s="57"/>
      <c r="J1516" s="57" t="s">
        <v>253</v>
      </c>
      <c r="K1516" s="57" t="s">
        <v>266</v>
      </c>
      <c r="L1516" s="57" t="s">
        <v>2496</v>
      </c>
      <c r="M1516" s="57" t="s">
        <v>255</v>
      </c>
      <c r="N1516" s="57" t="s">
        <v>256</v>
      </c>
      <c r="O1516" s="57" t="s">
        <v>2497</v>
      </c>
      <c r="P1516" s="57" t="s">
        <v>2504</v>
      </c>
      <c r="Q1516" s="57" t="s">
        <v>706</v>
      </c>
    </row>
    <row r="1517" s="50" customFormat="true" ht="14.25" hidden="false" customHeight="true" outlineLevel="0" collapsed="false">
      <c r="A1517" s="50" t="s">
        <v>2500</v>
      </c>
      <c r="B1517" s="57" t="s">
        <v>36</v>
      </c>
      <c r="C1517" s="57" t="s">
        <v>2505</v>
      </c>
      <c r="D1517" s="58" t="n">
        <v>46078.2291666667</v>
      </c>
      <c r="E1517" s="58" t="n">
        <v>46078.2291666667</v>
      </c>
      <c r="F1517" s="58" t="n">
        <v>46078.3333333333</v>
      </c>
      <c r="G1517" s="59" t="n">
        <f aca="false">F1517-E1517</f>
        <v>0.104166666597222</v>
      </c>
      <c r="H1517" s="57" t="s">
        <v>252</v>
      </c>
      <c r="I1517" s="57"/>
      <c r="J1517" s="57" t="s">
        <v>253</v>
      </c>
      <c r="K1517" s="57" t="s">
        <v>266</v>
      </c>
      <c r="L1517" s="57" t="s">
        <v>2496</v>
      </c>
      <c r="M1517" s="57" t="s">
        <v>255</v>
      </c>
      <c r="N1517" s="57" t="s">
        <v>256</v>
      </c>
      <c r="O1517" s="57" t="s">
        <v>2497</v>
      </c>
      <c r="P1517" s="57" t="s">
        <v>2506</v>
      </c>
      <c r="Q1517" s="57" t="s">
        <v>706</v>
      </c>
    </row>
    <row r="1518" s="50" customFormat="true" ht="14.25" hidden="false" customHeight="true" outlineLevel="0" collapsed="false">
      <c r="A1518" s="50" t="s">
        <v>2500</v>
      </c>
      <c r="B1518" s="57" t="s">
        <v>36</v>
      </c>
      <c r="C1518" s="57" t="s">
        <v>2507</v>
      </c>
      <c r="D1518" s="58" t="n">
        <v>46078.2291666667</v>
      </c>
      <c r="E1518" s="58" t="n">
        <v>46078.2291666667</v>
      </c>
      <c r="F1518" s="58" t="n">
        <v>46078.3333333333</v>
      </c>
      <c r="G1518" s="59" t="n">
        <f aca="false">F1518-E1518</f>
        <v>0.104166666597222</v>
      </c>
      <c r="H1518" s="57" t="s">
        <v>252</v>
      </c>
      <c r="I1518" s="57"/>
      <c r="J1518" s="57" t="s">
        <v>253</v>
      </c>
      <c r="K1518" s="57" t="s">
        <v>266</v>
      </c>
      <c r="L1518" s="57" t="s">
        <v>2496</v>
      </c>
      <c r="M1518" s="57" t="s">
        <v>255</v>
      </c>
      <c r="N1518" s="57" t="s">
        <v>256</v>
      </c>
      <c r="O1518" s="57" t="s">
        <v>2497</v>
      </c>
      <c r="P1518" s="57" t="s">
        <v>2508</v>
      </c>
      <c r="Q1518" s="57" t="s">
        <v>706</v>
      </c>
    </row>
    <row r="1519" s="50" customFormat="true" ht="14.25" hidden="false" customHeight="true" outlineLevel="0" collapsed="false">
      <c r="A1519" s="50" t="s">
        <v>2509</v>
      </c>
      <c r="B1519" s="57" t="s">
        <v>36</v>
      </c>
      <c r="C1519" s="57" t="s">
        <v>2510</v>
      </c>
      <c r="D1519" s="58" t="n">
        <v>46078.2291666667</v>
      </c>
      <c r="E1519" s="58" t="n">
        <v>46078.2291666667</v>
      </c>
      <c r="F1519" s="58" t="n">
        <v>46078.3333333333</v>
      </c>
      <c r="G1519" s="59" t="n">
        <f aca="false">F1519-E1519</f>
        <v>0.104166666597222</v>
      </c>
      <c r="H1519" s="57" t="s">
        <v>252</v>
      </c>
      <c r="I1519" s="57"/>
      <c r="J1519" s="57" t="s">
        <v>253</v>
      </c>
      <c r="K1519" s="57" t="s">
        <v>266</v>
      </c>
      <c r="L1519" s="57" t="s">
        <v>2496</v>
      </c>
      <c r="M1519" s="57" t="s">
        <v>255</v>
      </c>
      <c r="N1519" s="57" t="s">
        <v>256</v>
      </c>
      <c r="O1519" s="57" t="s">
        <v>2497</v>
      </c>
      <c r="P1519" s="57" t="s">
        <v>2511</v>
      </c>
      <c r="Q1519" s="57" t="s">
        <v>706</v>
      </c>
    </row>
    <row r="1520" s="50" customFormat="true" ht="14.25" hidden="false" customHeight="true" outlineLevel="0" collapsed="false">
      <c r="A1520" s="50" t="s">
        <v>2509</v>
      </c>
      <c r="B1520" s="57" t="s">
        <v>36</v>
      </c>
      <c r="C1520" s="57" t="s">
        <v>2512</v>
      </c>
      <c r="D1520" s="58" t="n">
        <v>46078.2291666667</v>
      </c>
      <c r="E1520" s="58" t="n">
        <v>46078.2291666667</v>
      </c>
      <c r="F1520" s="58" t="n">
        <v>46078.3333333333</v>
      </c>
      <c r="G1520" s="59" t="n">
        <f aca="false">F1520-E1520</f>
        <v>0.104166666597222</v>
      </c>
      <c r="H1520" s="57" t="s">
        <v>252</v>
      </c>
      <c r="I1520" s="57"/>
      <c r="J1520" s="57" t="s">
        <v>253</v>
      </c>
      <c r="K1520" s="57" t="s">
        <v>266</v>
      </c>
      <c r="L1520" s="57" t="s">
        <v>2496</v>
      </c>
      <c r="M1520" s="57" t="s">
        <v>255</v>
      </c>
      <c r="N1520" s="57" t="s">
        <v>256</v>
      </c>
      <c r="O1520" s="57" t="s">
        <v>2497</v>
      </c>
      <c r="P1520" s="57" t="s">
        <v>2513</v>
      </c>
      <c r="Q1520" s="57" t="s">
        <v>706</v>
      </c>
    </row>
    <row r="1521" s="50" customFormat="true" ht="14.25" hidden="false" customHeight="true" outlineLevel="0" collapsed="false">
      <c r="A1521" s="50" t="s">
        <v>2509</v>
      </c>
      <c r="B1521" s="57" t="s">
        <v>36</v>
      </c>
      <c r="C1521" s="57" t="s">
        <v>2514</v>
      </c>
      <c r="D1521" s="58" t="n">
        <v>46078.2291666667</v>
      </c>
      <c r="E1521" s="58" t="n">
        <v>46078.2291666667</v>
      </c>
      <c r="F1521" s="58" t="n">
        <v>46078.3333333333</v>
      </c>
      <c r="G1521" s="59" t="n">
        <f aca="false">F1521-E1521</f>
        <v>0.104166666597222</v>
      </c>
      <c r="H1521" s="57" t="s">
        <v>252</v>
      </c>
      <c r="I1521" s="57"/>
      <c r="J1521" s="57" t="s">
        <v>253</v>
      </c>
      <c r="K1521" s="57" t="s">
        <v>266</v>
      </c>
      <c r="L1521" s="57" t="s">
        <v>2496</v>
      </c>
      <c r="M1521" s="57" t="s">
        <v>255</v>
      </c>
      <c r="N1521" s="57" t="s">
        <v>256</v>
      </c>
      <c r="O1521" s="57" t="s">
        <v>2497</v>
      </c>
      <c r="P1521" s="57" t="s">
        <v>2515</v>
      </c>
      <c r="Q1521" s="57" t="s">
        <v>706</v>
      </c>
    </row>
    <row r="1522" s="50" customFormat="true" ht="14.25" hidden="false" customHeight="true" outlineLevel="0" collapsed="false">
      <c r="A1522" s="50" t="s">
        <v>2509</v>
      </c>
      <c r="B1522" s="57" t="s">
        <v>36</v>
      </c>
      <c r="C1522" s="57" t="s">
        <v>2516</v>
      </c>
      <c r="D1522" s="58" t="n">
        <v>46078.2291666667</v>
      </c>
      <c r="E1522" s="58" t="n">
        <v>46078.2291666667</v>
      </c>
      <c r="F1522" s="58" t="n">
        <v>46078.3333333333</v>
      </c>
      <c r="G1522" s="59" t="n">
        <f aca="false">F1522-E1522</f>
        <v>0.104166666597222</v>
      </c>
      <c r="H1522" s="57" t="s">
        <v>252</v>
      </c>
      <c r="I1522" s="57"/>
      <c r="J1522" s="57" t="s">
        <v>253</v>
      </c>
      <c r="K1522" s="57" t="s">
        <v>266</v>
      </c>
      <c r="L1522" s="57" t="s">
        <v>2496</v>
      </c>
      <c r="M1522" s="57" t="s">
        <v>255</v>
      </c>
      <c r="N1522" s="57" t="s">
        <v>256</v>
      </c>
      <c r="O1522" s="57" t="s">
        <v>2497</v>
      </c>
      <c r="P1522" s="57" t="s">
        <v>2517</v>
      </c>
      <c r="Q1522" s="57" t="s">
        <v>706</v>
      </c>
    </row>
    <row r="1523" s="50" customFormat="true" ht="14.25" hidden="false" customHeight="true" outlineLevel="0" collapsed="false">
      <c r="A1523" s="50" t="s">
        <v>264</v>
      </c>
      <c r="B1523" s="57" t="s">
        <v>264</v>
      </c>
      <c r="C1523" s="57" t="s">
        <v>265</v>
      </c>
      <c r="D1523" s="58" t="n">
        <v>46078.5</v>
      </c>
      <c r="E1523" s="58" t="n">
        <v>46078.5</v>
      </c>
      <c r="F1523" s="58" t="n">
        <v>46078.5555555556</v>
      </c>
      <c r="G1523" s="59" t="n">
        <f aca="false">F1523-E1523</f>
        <v>0.0555555556018519</v>
      </c>
      <c r="H1523" s="57" t="s">
        <v>252</v>
      </c>
      <c r="I1523" s="57"/>
      <c r="J1523" s="57" t="s">
        <v>253</v>
      </c>
      <c r="K1523" s="57" t="s">
        <v>266</v>
      </c>
      <c r="L1523" s="57" t="s">
        <v>2518</v>
      </c>
      <c r="M1523" s="57" t="s">
        <v>255</v>
      </c>
      <c r="N1523" s="57" t="s">
        <v>256</v>
      </c>
      <c r="O1523" s="61" t="s">
        <v>2519</v>
      </c>
      <c r="P1523" s="57" t="s">
        <v>2520</v>
      </c>
      <c r="Q1523" s="57" t="s">
        <v>706</v>
      </c>
    </row>
    <row r="1524" s="50" customFormat="true" ht="14.25" hidden="false" customHeight="true" outlineLevel="0" collapsed="false">
      <c r="A1524" s="50" t="s">
        <v>271</v>
      </c>
      <c r="B1524" s="57" t="s">
        <v>271</v>
      </c>
      <c r="C1524" s="57" t="s">
        <v>265</v>
      </c>
      <c r="D1524" s="58" t="n">
        <v>46078.5</v>
      </c>
      <c r="E1524" s="58" t="n">
        <v>46078.5</v>
      </c>
      <c r="F1524" s="58" t="n">
        <v>46078.5555555556</v>
      </c>
      <c r="G1524" s="59" t="n">
        <f aca="false">F1524-E1524</f>
        <v>0.0555555556018519</v>
      </c>
      <c r="H1524" s="57" t="s">
        <v>252</v>
      </c>
      <c r="I1524" s="57"/>
      <c r="J1524" s="57" t="s">
        <v>253</v>
      </c>
      <c r="K1524" s="57" t="s">
        <v>266</v>
      </c>
      <c r="L1524" s="57" t="s">
        <v>2518</v>
      </c>
      <c r="M1524" s="57" t="s">
        <v>255</v>
      </c>
      <c r="N1524" s="57" t="s">
        <v>256</v>
      </c>
      <c r="O1524" s="61" t="s">
        <v>2519</v>
      </c>
      <c r="P1524" s="57" t="s">
        <v>2521</v>
      </c>
      <c r="Q1524" s="57" t="s">
        <v>706</v>
      </c>
    </row>
    <row r="1525" s="50" customFormat="true" ht="14.25" hidden="false" customHeight="true" outlineLevel="0" collapsed="false">
      <c r="A1525" s="50" t="s">
        <v>272</v>
      </c>
      <c r="B1525" s="57" t="s">
        <v>272</v>
      </c>
      <c r="C1525" s="57" t="s">
        <v>265</v>
      </c>
      <c r="D1525" s="58" t="n">
        <v>46078.5</v>
      </c>
      <c r="E1525" s="58" t="n">
        <v>46078.5</v>
      </c>
      <c r="F1525" s="58" t="n">
        <v>46078.5555555556</v>
      </c>
      <c r="G1525" s="59" t="n">
        <f aca="false">F1525-E1525</f>
        <v>0.0555555556018519</v>
      </c>
      <c r="H1525" s="57" t="s">
        <v>252</v>
      </c>
      <c r="I1525" s="57"/>
      <c r="J1525" s="57" t="s">
        <v>253</v>
      </c>
      <c r="K1525" s="57" t="s">
        <v>266</v>
      </c>
      <c r="L1525" s="57" t="s">
        <v>2518</v>
      </c>
      <c r="M1525" s="57" t="s">
        <v>255</v>
      </c>
      <c r="N1525" s="57" t="s">
        <v>256</v>
      </c>
      <c r="O1525" s="61" t="s">
        <v>2519</v>
      </c>
      <c r="P1525" s="57" t="s">
        <v>2522</v>
      </c>
      <c r="Q1525" s="57" t="s">
        <v>706</v>
      </c>
    </row>
    <row r="1526" s="50" customFormat="true" ht="14.25" hidden="false" customHeight="true" outlineLevel="0" collapsed="false">
      <c r="A1526" s="50" t="s">
        <v>273</v>
      </c>
      <c r="B1526" s="57" t="s">
        <v>273</v>
      </c>
      <c r="C1526" s="57" t="s">
        <v>265</v>
      </c>
      <c r="D1526" s="58" t="n">
        <v>46078.5</v>
      </c>
      <c r="E1526" s="58" t="n">
        <v>46078.5</v>
      </c>
      <c r="F1526" s="58" t="n">
        <v>46078.5555555556</v>
      </c>
      <c r="G1526" s="59" t="n">
        <f aca="false">F1526-E1526</f>
        <v>0.0555555556018519</v>
      </c>
      <c r="H1526" s="57" t="s">
        <v>252</v>
      </c>
      <c r="I1526" s="57"/>
      <c r="J1526" s="57" t="s">
        <v>253</v>
      </c>
      <c r="K1526" s="57" t="s">
        <v>266</v>
      </c>
      <c r="L1526" s="57" t="s">
        <v>2518</v>
      </c>
      <c r="M1526" s="57" t="s">
        <v>255</v>
      </c>
      <c r="N1526" s="57" t="s">
        <v>256</v>
      </c>
      <c r="O1526" s="61" t="s">
        <v>2519</v>
      </c>
      <c r="P1526" s="57" t="s">
        <v>2523</v>
      </c>
      <c r="Q1526" s="57" t="s">
        <v>706</v>
      </c>
    </row>
    <row r="1527" s="50" customFormat="true" ht="28.5" hidden="false" customHeight="true" outlineLevel="0" collapsed="false">
      <c r="A1527" s="50" t="s">
        <v>770</v>
      </c>
      <c r="B1527" s="57" t="s">
        <v>771</v>
      </c>
      <c r="C1527" s="57" t="s">
        <v>772</v>
      </c>
      <c r="D1527" s="58" t="n">
        <v>46078.54375</v>
      </c>
      <c r="E1527" s="58" t="n">
        <v>46078.54375</v>
      </c>
      <c r="F1527" s="58" t="n">
        <v>46078.7875</v>
      </c>
      <c r="G1527" s="59" t="n">
        <f aca="false">F1527-E1527</f>
        <v>0.24375</v>
      </c>
      <c r="H1527" s="57" t="s">
        <v>252</v>
      </c>
      <c r="I1527" s="57"/>
      <c r="J1527" s="57" t="s">
        <v>253</v>
      </c>
      <c r="K1527" s="57" t="s">
        <v>266</v>
      </c>
      <c r="L1527" s="60" t="s">
        <v>2524</v>
      </c>
      <c r="M1527" s="57" t="s">
        <v>255</v>
      </c>
      <c r="N1527" s="57" t="s">
        <v>256</v>
      </c>
      <c r="O1527" s="57" t="s">
        <v>2525</v>
      </c>
      <c r="P1527" s="57" t="s">
        <v>2526</v>
      </c>
      <c r="Q1527" s="57" t="s">
        <v>706</v>
      </c>
    </row>
    <row r="1528" s="50" customFormat="true" ht="28.5" hidden="false" customHeight="true" outlineLevel="0" collapsed="false">
      <c r="A1528" s="50" t="s">
        <v>775</v>
      </c>
      <c r="B1528" s="57" t="s">
        <v>771</v>
      </c>
      <c r="C1528" s="57" t="s">
        <v>776</v>
      </c>
      <c r="D1528" s="58" t="n">
        <v>46078.54375</v>
      </c>
      <c r="E1528" s="58" t="n">
        <v>46078.54375</v>
      </c>
      <c r="F1528" s="58" t="n">
        <v>46078.7875</v>
      </c>
      <c r="G1528" s="59" t="n">
        <f aca="false">F1528-E1528</f>
        <v>0.24375</v>
      </c>
      <c r="H1528" s="57" t="s">
        <v>252</v>
      </c>
      <c r="I1528" s="57"/>
      <c r="J1528" s="57" t="s">
        <v>253</v>
      </c>
      <c r="K1528" s="57" t="s">
        <v>266</v>
      </c>
      <c r="L1528" s="60" t="s">
        <v>2524</v>
      </c>
      <c r="M1528" s="57" t="s">
        <v>255</v>
      </c>
      <c r="N1528" s="57" t="s">
        <v>256</v>
      </c>
      <c r="O1528" s="57" t="s">
        <v>2525</v>
      </c>
      <c r="P1528" s="57" t="s">
        <v>2527</v>
      </c>
      <c r="Q1528" s="57" t="s">
        <v>706</v>
      </c>
    </row>
    <row r="1529" s="50" customFormat="true" ht="28.5" hidden="false" customHeight="true" outlineLevel="0" collapsed="false">
      <c r="A1529" s="50" t="s">
        <v>778</v>
      </c>
      <c r="B1529" s="57" t="s">
        <v>771</v>
      </c>
      <c r="C1529" s="57" t="s">
        <v>779</v>
      </c>
      <c r="D1529" s="58" t="n">
        <v>46078.54375</v>
      </c>
      <c r="E1529" s="58" t="n">
        <v>46078.54375</v>
      </c>
      <c r="F1529" s="58" t="n">
        <v>46078.7875</v>
      </c>
      <c r="G1529" s="59" t="n">
        <f aca="false">F1529-E1529</f>
        <v>0.24375</v>
      </c>
      <c r="H1529" s="57" t="s">
        <v>252</v>
      </c>
      <c r="I1529" s="57"/>
      <c r="J1529" s="57" t="s">
        <v>253</v>
      </c>
      <c r="K1529" s="57" t="s">
        <v>266</v>
      </c>
      <c r="L1529" s="60" t="s">
        <v>2524</v>
      </c>
      <c r="M1529" s="57" t="s">
        <v>255</v>
      </c>
      <c r="N1529" s="57" t="s">
        <v>256</v>
      </c>
      <c r="O1529" s="57" t="s">
        <v>2525</v>
      </c>
      <c r="P1529" s="57" t="s">
        <v>2528</v>
      </c>
      <c r="Q1529" s="57" t="s">
        <v>706</v>
      </c>
    </row>
    <row r="1530" s="50" customFormat="true" ht="28.5" hidden="false" customHeight="true" outlineLevel="0" collapsed="false">
      <c r="A1530" s="50" t="s">
        <v>781</v>
      </c>
      <c r="B1530" s="57" t="s">
        <v>782</v>
      </c>
      <c r="C1530" s="57" t="s">
        <v>783</v>
      </c>
      <c r="D1530" s="58" t="n">
        <v>46078.54375</v>
      </c>
      <c r="E1530" s="58" t="n">
        <v>46078.54375</v>
      </c>
      <c r="F1530" s="58" t="n">
        <v>46078.7875</v>
      </c>
      <c r="G1530" s="59" t="n">
        <f aca="false">F1530-E1530</f>
        <v>0.24375</v>
      </c>
      <c r="H1530" s="57" t="s">
        <v>252</v>
      </c>
      <c r="I1530" s="57"/>
      <c r="J1530" s="57" t="s">
        <v>253</v>
      </c>
      <c r="K1530" s="57" t="s">
        <v>266</v>
      </c>
      <c r="L1530" s="60" t="s">
        <v>2524</v>
      </c>
      <c r="M1530" s="57" t="s">
        <v>255</v>
      </c>
      <c r="N1530" s="57" t="s">
        <v>256</v>
      </c>
      <c r="O1530" s="57" t="s">
        <v>2525</v>
      </c>
      <c r="P1530" s="57" t="s">
        <v>2529</v>
      </c>
      <c r="Q1530" s="57" t="s">
        <v>706</v>
      </c>
    </row>
    <row r="1531" s="50" customFormat="true" ht="28.5" hidden="false" customHeight="true" outlineLevel="0" collapsed="false">
      <c r="A1531" s="50" t="s">
        <v>785</v>
      </c>
      <c r="B1531" s="57" t="s">
        <v>782</v>
      </c>
      <c r="C1531" s="57" t="s">
        <v>786</v>
      </c>
      <c r="D1531" s="58" t="n">
        <v>46078.54375</v>
      </c>
      <c r="E1531" s="58" t="n">
        <v>46078.54375</v>
      </c>
      <c r="F1531" s="58" t="n">
        <v>46078.7875</v>
      </c>
      <c r="G1531" s="59" t="n">
        <f aca="false">F1531-E1531</f>
        <v>0.24375</v>
      </c>
      <c r="H1531" s="57" t="s">
        <v>252</v>
      </c>
      <c r="I1531" s="57"/>
      <c r="J1531" s="57" t="s">
        <v>253</v>
      </c>
      <c r="K1531" s="57" t="s">
        <v>266</v>
      </c>
      <c r="L1531" s="60" t="s">
        <v>2524</v>
      </c>
      <c r="M1531" s="57" t="s">
        <v>255</v>
      </c>
      <c r="N1531" s="57" t="s">
        <v>256</v>
      </c>
      <c r="O1531" s="57" t="s">
        <v>2525</v>
      </c>
      <c r="P1531" s="57" t="s">
        <v>2530</v>
      </c>
      <c r="Q1531" s="57" t="s">
        <v>706</v>
      </c>
    </row>
    <row r="1532" s="50" customFormat="true" ht="28.5" hidden="false" customHeight="true" outlineLevel="0" collapsed="false">
      <c r="A1532" s="50" t="s">
        <v>788</v>
      </c>
      <c r="B1532" s="57" t="s">
        <v>782</v>
      </c>
      <c r="C1532" s="57" t="s">
        <v>789</v>
      </c>
      <c r="D1532" s="58" t="n">
        <v>46078.54375</v>
      </c>
      <c r="E1532" s="58" t="n">
        <v>46078.54375</v>
      </c>
      <c r="F1532" s="58" t="n">
        <v>46078.7875</v>
      </c>
      <c r="G1532" s="59" t="n">
        <f aca="false">F1532-E1532</f>
        <v>0.24375</v>
      </c>
      <c r="H1532" s="57" t="s">
        <v>252</v>
      </c>
      <c r="I1532" s="57"/>
      <c r="J1532" s="57" t="s">
        <v>253</v>
      </c>
      <c r="K1532" s="57" t="s">
        <v>266</v>
      </c>
      <c r="L1532" s="60" t="s">
        <v>2524</v>
      </c>
      <c r="M1532" s="57" t="s">
        <v>255</v>
      </c>
      <c r="N1532" s="57" t="s">
        <v>256</v>
      </c>
      <c r="O1532" s="57" t="s">
        <v>2525</v>
      </c>
      <c r="P1532" s="57" t="s">
        <v>2531</v>
      </c>
      <c r="Q1532" s="57" t="s">
        <v>706</v>
      </c>
    </row>
    <row r="1533" s="50" customFormat="true" ht="28.5" hidden="false" customHeight="true" outlineLevel="0" collapsed="false">
      <c r="A1533" s="50" t="s">
        <v>791</v>
      </c>
      <c r="B1533" s="57" t="s">
        <v>782</v>
      </c>
      <c r="C1533" s="57" t="s">
        <v>792</v>
      </c>
      <c r="D1533" s="58" t="n">
        <v>46078.54375</v>
      </c>
      <c r="E1533" s="58" t="n">
        <v>46078.54375</v>
      </c>
      <c r="F1533" s="58" t="n">
        <v>46078.7875</v>
      </c>
      <c r="G1533" s="59" t="n">
        <f aca="false">F1533-E1533</f>
        <v>0.24375</v>
      </c>
      <c r="H1533" s="57" t="s">
        <v>252</v>
      </c>
      <c r="I1533" s="57"/>
      <c r="J1533" s="57" t="s">
        <v>253</v>
      </c>
      <c r="K1533" s="57" t="s">
        <v>266</v>
      </c>
      <c r="L1533" s="60" t="s">
        <v>2524</v>
      </c>
      <c r="M1533" s="57" t="s">
        <v>255</v>
      </c>
      <c r="N1533" s="57" t="s">
        <v>256</v>
      </c>
      <c r="O1533" s="57" t="s">
        <v>2525</v>
      </c>
      <c r="P1533" s="57" t="s">
        <v>2532</v>
      </c>
      <c r="Q1533" s="57" t="s">
        <v>706</v>
      </c>
    </row>
    <row r="1534" s="50" customFormat="true" ht="14.25" hidden="false" customHeight="true" outlineLevel="0" collapsed="false">
      <c r="A1534" s="50" t="s">
        <v>358</v>
      </c>
      <c r="B1534" s="57" t="s">
        <v>358</v>
      </c>
      <c r="C1534" s="57" t="s">
        <v>324</v>
      </c>
      <c r="D1534" s="58" t="n">
        <v>46078.5659722222</v>
      </c>
      <c r="E1534" s="58" t="n">
        <v>46078.5659722222</v>
      </c>
      <c r="F1534" s="58" t="n">
        <v>46078.60625</v>
      </c>
      <c r="G1534" s="59" t="n">
        <f aca="false">F1534-E1534</f>
        <v>0.0402777778009259</v>
      </c>
      <c r="H1534" s="57" t="s">
        <v>252</v>
      </c>
      <c r="I1534" s="57"/>
      <c r="J1534" s="57" t="s">
        <v>253</v>
      </c>
      <c r="K1534" s="57" t="s">
        <v>266</v>
      </c>
      <c r="L1534" s="57" t="s">
        <v>2533</v>
      </c>
      <c r="M1534" s="57" t="s">
        <v>255</v>
      </c>
      <c r="N1534" s="57" t="s">
        <v>256</v>
      </c>
      <c r="O1534" s="57" t="s">
        <v>2534</v>
      </c>
      <c r="P1534" s="57" t="s">
        <v>2535</v>
      </c>
      <c r="Q1534" s="57" t="s">
        <v>706</v>
      </c>
    </row>
    <row r="1535" s="50" customFormat="true" ht="14.25" hidden="false" customHeight="true" outlineLevel="0" collapsed="false">
      <c r="A1535" s="50" t="s">
        <v>358</v>
      </c>
      <c r="B1535" s="57" t="s">
        <v>358</v>
      </c>
      <c r="C1535" s="57" t="s">
        <v>326</v>
      </c>
      <c r="D1535" s="58" t="n">
        <v>46078.5659722222</v>
      </c>
      <c r="E1535" s="58" t="n">
        <v>46078.5659722222</v>
      </c>
      <c r="F1535" s="58" t="n">
        <v>46078.60625</v>
      </c>
      <c r="G1535" s="59" t="n">
        <f aca="false">F1535-E1535</f>
        <v>0.0402777778009259</v>
      </c>
      <c r="H1535" s="57" t="s">
        <v>252</v>
      </c>
      <c r="I1535" s="57"/>
      <c r="J1535" s="57" t="s">
        <v>253</v>
      </c>
      <c r="K1535" s="57" t="s">
        <v>266</v>
      </c>
      <c r="L1535" s="57" t="s">
        <v>2533</v>
      </c>
      <c r="M1535" s="57" t="s">
        <v>255</v>
      </c>
      <c r="N1535" s="57" t="s">
        <v>256</v>
      </c>
      <c r="O1535" s="57" t="s">
        <v>2534</v>
      </c>
      <c r="P1535" s="57" t="s">
        <v>2536</v>
      </c>
      <c r="Q1535" s="57" t="s">
        <v>706</v>
      </c>
    </row>
    <row r="1536" s="50" customFormat="true" ht="14.25" hidden="false" customHeight="true" outlineLevel="0" collapsed="false">
      <c r="A1536" s="50" t="s">
        <v>358</v>
      </c>
      <c r="B1536" s="57" t="s">
        <v>358</v>
      </c>
      <c r="C1536" s="57" t="s">
        <v>327</v>
      </c>
      <c r="D1536" s="58" t="n">
        <v>46078.5659722222</v>
      </c>
      <c r="E1536" s="58" t="n">
        <v>46078.5659722222</v>
      </c>
      <c r="F1536" s="58" t="n">
        <v>46078.60625</v>
      </c>
      <c r="G1536" s="59" t="n">
        <f aca="false">F1536-E1536</f>
        <v>0.0402777778009259</v>
      </c>
      <c r="H1536" s="57" t="s">
        <v>252</v>
      </c>
      <c r="I1536" s="57"/>
      <c r="J1536" s="57" t="s">
        <v>253</v>
      </c>
      <c r="K1536" s="57" t="s">
        <v>266</v>
      </c>
      <c r="L1536" s="57" t="s">
        <v>2533</v>
      </c>
      <c r="M1536" s="57" t="s">
        <v>255</v>
      </c>
      <c r="N1536" s="57" t="s">
        <v>256</v>
      </c>
      <c r="O1536" s="57" t="s">
        <v>2534</v>
      </c>
      <c r="P1536" s="57" t="s">
        <v>2537</v>
      </c>
      <c r="Q1536" s="57" t="s">
        <v>706</v>
      </c>
    </row>
    <row r="1537" s="50" customFormat="true" ht="14.25" hidden="false" customHeight="true" outlineLevel="0" collapsed="false">
      <c r="A1537" s="50" t="s">
        <v>358</v>
      </c>
      <c r="B1537" s="57" t="s">
        <v>358</v>
      </c>
      <c r="C1537" s="57" t="s">
        <v>328</v>
      </c>
      <c r="D1537" s="58" t="n">
        <v>46078.5659722222</v>
      </c>
      <c r="E1537" s="58" t="n">
        <v>46078.5659722222</v>
      </c>
      <c r="F1537" s="58" t="n">
        <v>46078.60625</v>
      </c>
      <c r="G1537" s="59" t="n">
        <f aca="false">F1537-E1537</f>
        <v>0.0402777778009259</v>
      </c>
      <c r="H1537" s="57" t="s">
        <v>252</v>
      </c>
      <c r="I1537" s="57"/>
      <c r="J1537" s="57" t="s">
        <v>253</v>
      </c>
      <c r="K1537" s="57" t="s">
        <v>266</v>
      </c>
      <c r="L1537" s="57" t="s">
        <v>2533</v>
      </c>
      <c r="M1537" s="57" t="s">
        <v>255</v>
      </c>
      <c r="N1537" s="57" t="s">
        <v>256</v>
      </c>
      <c r="O1537" s="57" t="s">
        <v>2534</v>
      </c>
      <c r="P1537" s="57" t="s">
        <v>2538</v>
      </c>
      <c r="Q1537" s="57" t="s">
        <v>706</v>
      </c>
    </row>
    <row r="1538" s="50" customFormat="true" ht="14.25" hidden="false" customHeight="true" outlineLevel="0" collapsed="false">
      <c r="A1538" s="50" t="s">
        <v>361</v>
      </c>
      <c r="B1538" s="57" t="s">
        <v>361</v>
      </c>
      <c r="C1538" s="57" t="s">
        <v>324</v>
      </c>
      <c r="D1538" s="58" t="n">
        <v>46078.5659722222</v>
      </c>
      <c r="E1538" s="58" t="n">
        <v>46078.5659722222</v>
      </c>
      <c r="F1538" s="58" t="n">
        <v>46078.60625</v>
      </c>
      <c r="G1538" s="59" t="n">
        <f aca="false">F1538-E1538</f>
        <v>0.0402777778009259</v>
      </c>
      <c r="H1538" s="57" t="s">
        <v>252</v>
      </c>
      <c r="I1538" s="57"/>
      <c r="J1538" s="57" t="s">
        <v>253</v>
      </c>
      <c r="K1538" s="57" t="s">
        <v>266</v>
      </c>
      <c r="L1538" s="57" t="s">
        <v>2533</v>
      </c>
      <c r="M1538" s="57" t="s">
        <v>255</v>
      </c>
      <c r="N1538" s="57" t="s">
        <v>256</v>
      </c>
      <c r="O1538" s="57" t="s">
        <v>2534</v>
      </c>
      <c r="P1538" s="57" t="s">
        <v>2539</v>
      </c>
      <c r="Q1538" s="57" t="s">
        <v>706</v>
      </c>
    </row>
    <row r="1539" s="50" customFormat="true" ht="14.25" hidden="false" customHeight="true" outlineLevel="0" collapsed="false">
      <c r="A1539" s="50" t="s">
        <v>361</v>
      </c>
      <c r="B1539" s="57" t="s">
        <v>361</v>
      </c>
      <c r="C1539" s="57" t="s">
        <v>326</v>
      </c>
      <c r="D1539" s="58" t="n">
        <v>46078.5659722222</v>
      </c>
      <c r="E1539" s="58" t="n">
        <v>46078.5659722222</v>
      </c>
      <c r="F1539" s="58" t="n">
        <v>46078.60625</v>
      </c>
      <c r="G1539" s="59" t="n">
        <f aca="false">F1539-E1539</f>
        <v>0.0402777778009259</v>
      </c>
      <c r="H1539" s="57" t="s">
        <v>252</v>
      </c>
      <c r="I1539" s="57"/>
      <c r="J1539" s="57" t="s">
        <v>253</v>
      </c>
      <c r="K1539" s="57" t="s">
        <v>266</v>
      </c>
      <c r="L1539" s="57" t="s">
        <v>2533</v>
      </c>
      <c r="M1539" s="57" t="s">
        <v>255</v>
      </c>
      <c r="N1539" s="57" t="s">
        <v>256</v>
      </c>
      <c r="O1539" s="57" t="s">
        <v>2534</v>
      </c>
      <c r="P1539" s="57" t="s">
        <v>2540</v>
      </c>
      <c r="Q1539" s="57" t="s">
        <v>706</v>
      </c>
    </row>
    <row r="1540" s="50" customFormat="true" ht="14.25" hidden="false" customHeight="true" outlineLevel="0" collapsed="false">
      <c r="A1540" s="50" t="s">
        <v>361</v>
      </c>
      <c r="B1540" s="57" t="s">
        <v>361</v>
      </c>
      <c r="C1540" s="57" t="s">
        <v>327</v>
      </c>
      <c r="D1540" s="58" t="n">
        <v>46078.5659722222</v>
      </c>
      <c r="E1540" s="58" t="n">
        <v>46078.5659722222</v>
      </c>
      <c r="F1540" s="58" t="n">
        <v>46078.60625</v>
      </c>
      <c r="G1540" s="59" t="n">
        <f aca="false">F1540-E1540</f>
        <v>0.0402777778009259</v>
      </c>
      <c r="H1540" s="57" t="s">
        <v>252</v>
      </c>
      <c r="I1540" s="57"/>
      <c r="J1540" s="57" t="s">
        <v>253</v>
      </c>
      <c r="K1540" s="57" t="s">
        <v>266</v>
      </c>
      <c r="L1540" s="57" t="s">
        <v>2533</v>
      </c>
      <c r="M1540" s="57" t="s">
        <v>255</v>
      </c>
      <c r="N1540" s="57" t="s">
        <v>256</v>
      </c>
      <c r="O1540" s="57" t="s">
        <v>2534</v>
      </c>
      <c r="P1540" s="57" t="s">
        <v>2541</v>
      </c>
      <c r="Q1540" s="57" t="s">
        <v>706</v>
      </c>
    </row>
    <row r="1541" s="50" customFormat="true" ht="14.25" hidden="false" customHeight="true" outlineLevel="0" collapsed="false">
      <c r="A1541" s="50" t="s">
        <v>361</v>
      </c>
      <c r="B1541" s="57" t="s">
        <v>361</v>
      </c>
      <c r="C1541" s="57" t="s">
        <v>328</v>
      </c>
      <c r="D1541" s="58" t="n">
        <v>46078.5659722222</v>
      </c>
      <c r="E1541" s="58" t="n">
        <v>46078.5659722222</v>
      </c>
      <c r="F1541" s="58" t="n">
        <v>46078.60625</v>
      </c>
      <c r="G1541" s="59" t="n">
        <f aca="false">F1541-E1541</f>
        <v>0.0402777778009259</v>
      </c>
      <c r="H1541" s="57" t="s">
        <v>252</v>
      </c>
      <c r="I1541" s="57"/>
      <c r="J1541" s="57" t="s">
        <v>253</v>
      </c>
      <c r="K1541" s="57" t="s">
        <v>266</v>
      </c>
      <c r="L1541" s="57" t="s">
        <v>2533</v>
      </c>
      <c r="M1541" s="57" t="s">
        <v>255</v>
      </c>
      <c r="N1541" s="57" t="s">
        <v>256</v>
      </c>
      <c r="O1541" s="57" t="s">
        <v>2534</v>
      </c>
      <c r="P1541" s="57" t="s">
        <v>2542</v>
      </c>
      <c r="Q1541" s="57" t="s">
        <v>706</v>
      </c>
    </row>
    <row r="1542" s="50" customFormat="true" ht="14.25" hidden="false" customHeight="true" outlineLevel="0" collapsed="false">
      <c r="A1542" s="50" t="s">
        <v>362</v>
      </c>
      <c r="B1542" s="57" t="s">
        <v>362</v>
      </c>
      <c r="C1542" s="57" t="s">
        <v>363</v>
      </c>
      <c r="D1542" s="58" t="n">
        <v>46078.5659722222</v>
      </c>
      <c r="E1542" s="58" t="n">
        <v>46078.5659722222</v>
      </c>
      <c r="F1542" s="58" t="n">
        <v>46078.60625</v>
      </c>
      <c r="G1542" s="59" t="n">
        <f aca="false">F1542-E1542</f>
        <v>0.0402777778009259</v>
      </c>
      <c r="H1542" s="57" t="s">
        <v>252</v>
      </c>
      <c r="I1542" s="57"/>
      <c r="J1542" s="57" t="s">
        <v>253</v>
      </c>
      <c r="K1542" s="57" t="s">
        <v>266</v>
      </c>
      <c r="L1542" s="57" t="s">
        <v>2533</v>
      </c>
      <c r="M1542" s="57" t="s">
        <v>255</v>
      </c>
      <c r="N1542" s="57" t="s">
        <v>256</v>
      </c>
      <c r="O1542" s="57" t="s">
        <v>2534</v>
      </c>
      <c r="P1542" s="57" t="s">
        <v>2543</v>
      </c>
      <c r="Q1542" s="57" t="s">
        <v>706</v>
      </c>
    </row>
    <row r="1543" s="50" customFormat="true" ht="14.25" hidden="false" customHeight="true" outlineLevel="0" collapsed="false">
      <c r="A1543" s="50" t="s">
        <v>362</v>
      </c>
      <c r="B1543" s="57" t="s">
        <v>362</v>
      </c>
      <c r="C1543" s="57" t="s">
        <v>265</v>
      </c>
      <c r="D1543" s="58" t="n">
        <v>46078.5659722222</v>
      </c>
      <c r="E1543" s="58" t="n">
        <v>46078.5659722222</v>
      </c>
      <c r="F1543" s="58" t="n">
        <v>46078.60625</v>
      </c>
      <c r="G1543" s="59" t="n">
        <f aca="false">F1543-E1543</f>
        <v>0.0402777778009259</v>
      </c>
      <c r="H1543" s="57" t="s">
        <v>252</v>
      </c>
      <c r="I1543" s="57"/>
      <c r="J1543" s="57" t="s">
        <v>253</v>
      </c>
      <c r="K1543" s="57" t="s">
        <v>266</v>
      </c>
      <c r="L1543" s="57" t="s">
        <v>2533</v>
      </c>
      <c r="M1543" s="57" t="s">
        <v>255</v>
      </c>
      <c r="N1543" s="57" t="s">
        <v>256</v>
      </c>
      <c r="O1543" s="57" t="s">
        <v>2534</v>
      </c>
      <c r="P1543" s="57" t="s">
        <v>2544</v>
      </c>
      <c r="Q1543" s="57" t="s">
        <v>706</v>
      </c>
    </row>
    <row r="1544" s="50" customFormat="true" ht="14.25" hidden="false" customHeight="true" outlineLevel="0" collapsed="false">
      <c r="A1544" s="50" t="s">
        <v>339</v>
      </c>
      <c r="B1544" s="57" t="s">
        <v>339</v>
      </c>
      <c r="C1544" s="57" t="s">
        <v>324</v>
      </c>
      <c r="D1544" s="58" t="n">
        <v>46078.5694444444</v>
      </c>
      <c r="E1544" s="58" t="n">
        <v>46078.5694444444</v>
      </c>
      <c r="F1544" s="58" t="n">
        <v>46078.6180555556</v>
      </c>
      <c r="G1544" s="59" t="n">
        <f aca="false">F1544-E1544</f>
        <v>0.0486111111921296</v>
      </c>
      <c r="H1544" s="57" t="s">
        <v>252</v>
      </c>
      <c r="I1544" s="57"/>
      <c r="J1544" s="57" t="s">
        <v>253</v>
      </c>
      <c r="K1544" s="57" t="s">
        <v>266</v>
      </c>
      <c r="L1544" s="57" t="s">
        <v>2545</v>
      </c>
      <c r="M1544" s="57" t="s">
        <v>255</v>
      </c>
      <c r="N1544" s="57" t="s">
        <v>256</v>
      </c>
      <c r="O1544" s="57" t="s">
        <v>2534</v>
      </c>
      <c r="P1544" s="57" t="s">
        <v>2546</v>
      </c>
      <c r="Q1544" s="57" t="s">
        <v>706</v>
      </c>
    </row>
    <row r="1545" s="50" customFormat="true" ht="14.25" hidden="false" customHeight="true" outlineLevel="0" collapsed="false">
      <c r="A1545" s="50" t="s">
        <v>339</v>
      </c>
      <c r="B1545" s="57" t="s">
        <v>339</v>
      </c>
      <c r="C1545" s="57" t="s">
        <v>327</v>
      </c>
      <c r="D1545" s="58" t="n">
        <v>46078.5694444444</v>
      </c>
      <c r="E1545" s="58" t="n">
        <v>46078.5694444444</v>
      </c>
      <c r="F1545" s="58" t="n">
        <v>46078.6180555556</v>
      </c>
      <c r="G1545" s="59" t="n">
        <f aca="false">F1545-E1545</f>
        <v>0.0486111111921296</v>
      </c>
      <c r="H1545" s="57" t="s">
        <v>252</v>
      </c>
      <c r="I1545" s="57"/>
      <c r="J1545" s="57" t="s">
        <v>253</v>
      </c>
      <c r="K1545" s="57" t="s">
        <v>266</v>
      </c>
      <c r="L1545" s="57" t="s">
        <v>2545</v>
      </c>
      <c r="M1545" s="57" t="s">
        <v>255</v>
      </c>
      <c r="N1545" s="57" t="s">
        <v>256</v>
      </c>
      <c r="O1545" s="57" t="s">
        <v>2534</v>
      </c>
      <c r="P1545" s="57" t="s">
        <v>2547</v>
      </c>
      <c r="Q1545" s="57" t="s">
        <v>706</v>
      </c>
    </row>
    <row r="1546" s="50" customFormat="true" ht="14.25" hidden="false" customHeight="true" outlineLevel="0" collapsed="false">
      <c r="A1546" s="50" t="s">
        <v>339</v>
      </c>
      <c r="B1546" s="57" t="s">
        <v>339</v>
      </c>
      <c r="C1546" s="57" t="s">
        <v>326</v>
      </c>
      <c r="D1546" s="58" t="n">
        <v>46078.5694444444</v>
      </c>
      <c r="E1546" s="58" t="n">
        <v>46078.5694444444</v>
      </c>
      <c r="F1546" s="58" t="n">
        <v>46078.6180555556</v>
      </c>
      <c r="G1546" s="59" t="n">
        <f aca="false">F1546-E1546</f>
        <v>0.0486111111921296</v>
      </c>
      <c r="H1546" s="57" t="s">
        <v>252</v>
      </c>
      <c r="I1546" s="57"/>
      <c r="J1546" s="57" t="s">
        <v>253</v>
      </c>
      <c r="K1546" s="57" t="s">
        <v>266</v>
      </c>
      <c r="L1546" s="57" t="s">
        <v>2545</v>
      </c>
      <c r="M1546" s="57" t="s">
        <v>255</v>
      </c>
      <c r="N1546" s="57" t="s">
        <v>256</v>
      </c>
      <c r="O1546" s="57" t="s">
        <v>2534</v>
      </c>
      <c r="P1546" s="57" t="s">
        <v>2548</v>
      </c>
      <c r="Q1546" s="57" t="s">
        <v>706</v>
      </c>
    </row>
    <row r="1547" s="50" customFormat="true" ht="14.25" hidden="false" customHeight="true" outlineLevel="0" collapsed="false">
      <c r="A1547" s="50" t="s">
        <v>339</v>
      </c>
      <c r="B1547" s="57" t="s">
        <v>339</v>
      </c>
      <c r="C1547" s="57" t="s">
        <v>265</v>
      </c>
      <c r="D1547" s="58" t="n">
        <v>46078.5694444444</v>
      </c>
      <c r="E1547" s="58" t="n">
        <v>46078.5694444444</v>
      </c>
      <c r="F1547" s="58" t="n">
        <v>46078.6180555556</v>
      </c>
      <c r="G1547" s="59" t="n">
        <f aca="false">F1547-E1547</f>
        <v>0.0486111111921296</v>
      </c>
      <c r="H1547" s="57" t="s">
        <v>252</v>
      </c>
      <c r="I1547" s="57"/>
      <c r="J1547" s="57" t="s">
        <v>253</v>
      </c>
      <c r="K1547" s="57" t="s">
        <v>266</v>
      </c>
      <c r="L1547" s="57" t="s">
        <v>2545</v>
      </c>
      <c r="M1547" s="57" t="s">
        <v>255</v>
      </c>
      <c r="N1547" s="57" t="s">
        <v>256</v>
      </c>
      <c r="O1547" s="57" t="s">
        <v>2534</v>
      </c>
      <c r="P1547" s="57" t="s">
        <v>2549</v>
      </c>
      <c r="Q1547" s="57" t="s">
        <v>706</v>
      </c>
    </row>
    <row r="1548" s="50" customFormat="true" ht="14.25" hidden="false" customHeight="true" outlineLevel="0" collapsed="false">
      <c r="A1548" s="50" t="s">
        <v>340</v>
      </c>
      <c r="B1548" s="57" t="s">
        <v>340</v>
      </c>
      <c r="C1548" s="57" t="s">
        <v>327</v>
      </c>
      <c r="D1548" s="58" t="n">
        <v>46078.5694444444</v>
      </c>
      <c r="E1548" s="58" t="n">
        <v>46078.5694444444</v>
      </c>
      <c r="F1548" s="58" t="n">
        <v>46078.6180555556</v>
      </c>
      <c r="G1548" s="59" t="n">
        <f aca="false">F1548-E1548</f>
        <v>0.0486111111921296</v>
      </c>
      <c r="H1548" s="57" t="s">
        <v>252</v>
      </c>
      <c r="I1548" s="57"/>
      <c r="J1548" s="57" t="s">
        <v>253</v>
      </c>
      <c r="K1548" s="57" t="s">
        <v>266</v>
      </c>
      <c r="L1548" s="57" t="s">
        <v>2545</v>
      </c>
      <c r="M1548" s="57" t="s">
        <v>255</v>
      </c>
      <c r="N1548" s="57" t="s">
        <v>256</v>
      </c>
      <c r="O1548" s="57" t="s">
        <v>2534</v>
      </c>
      <c r="P1548" s="57" t="s">
        <v>2550</v>
      </c>
      <c r="Q1548" s="57" t="s">
        <v>706</v>
      </c>
    </row>
    <row r="1549" s="50" customFormat="true" ht="14.25" hidden="false" customHeight="true" outlineLevel="0" collapsed="false">
      <c r="A1549" s="50" t="s">
        <v>340</v>
      </c>
      <c r="B1549" s="57" t="s">
        <v>340</v>
      </c>
      <c r="C1549" s="57" t="s">
        <v>326</v>
      </c>
      <c r="D1549" s="58" t="n">
        <v>46078.5694444444</v>
      </c>
      <c r="E1549" s="58" t="n">
        <v>46078.5694444444</v>
      </c>
      <c r="F1549" s="58" t="n">
        <v>46078.6180555556</v>
      </c>
      <c r="G1549" s="59" t="n">
        <f aca="false">F1549-E1549</f>
        <v>0.0486111111921296</v>
      </c>
      <c r="H1549" s="57" t="s">
        <v>252</v>
      </c>
      <c r="I1549" s="57"/>
      <c r="J1549" s="57" t="s">
        <v>253</v>
      </c>
      <c r="K1549" s="57" t="s">
        <v>266</v>
      </c>
      <c r="L1549" s="57" t="s">
        <v>2545</v>
      </c>
      <c r="M1549" s="57" t="s">
        <v>255</v>
      </c>
      <c r="N1549" s="57" t="s">
        <v>256</v>
      </c>
      <c r="O1549" s="57" t="s">
        <v>2534</v>
      </c>
      <c r="P1549" s="57" t="s">
        <v>2551</v>
      </c>
      <c r="Q1549" s="57" t="s">
        <v>706</v>
      </c>
    </row>
    <row r="1550" s="50" customFormat="true" ht="14.25" hidden="false" customHeight="true" outlineLevel="0" collapsed="false">
      <c r="A1550" s="50" t="s">
        <v>340</v>
      </c>
      <c r="B1550" s="57" t="s">
        <v>340</v>
      </c>
      <c r="C1550" s="57" t="s">
        <v>324</v>
      </c>
      <c r="D1550" s="58" t="n">
        <v>46078.5694444444</v>
      </c>
      <c r="E1550" s="58" t="n">
        <v>46078.5694444444</v>
      </c>
      <c r="F1550" s="58" t="n">
        <v>46078.6180555556</v>
      </c>
      <c r="G1550" s="59" t="n">
        <f aca="false">F1550-E1550</f>
        <v>0.0486111111921296</v>
      </c>
      <c r="H1550" s="57" t="s">
        <v>252</v>
      </c>
      <c r="I1550" s="57"/>
      <c r="J1550" s="57" t="s">
        <v>253</v>
      </c>
      <c r="K1550" s="57" t="s">
        <v>266</v>
      </c>
      <c r="L1550" s="57" t="s">
        <v>2545</v>
      </c>
      <c r="M1550" s="57" t="s">
        <v>255</v>
      </c>
      <c r="N1550" s="57" t="s">
        <v>256</v>
      </c>
      <c r="O1550" s="57" t="s">
        <v>2534</v>
      </c>
      <c r="P1550" s="57" t="s">
        <v>2552</v>
      </c>
      <c r="Q1550" s="57" t="s">
        <v>706</v>
      </c>
    </row>
    <row r="1551" s="50" customFormat="true" ht="14.25" hidden="false" customHeight="true" outlineLevel="0" collapsed="false">
      <c r="A1551" s="50" t="s">
        <v>340</v>
      </c>
      <c r="B1551" s="57" t="s">
        <v>340</v>
      </c>
      <c r="C1551" s="57" t="s">
        <v>265</v>
      </c>
      <c r="D1551" s="58" t="n">
        <v>46078.5694444444</v>
      </c>
      <c r="E1551" s="58" t="n">
        <v>46078.5694444444</v>
      </c>
      <c r="F1551" s="58" t="n">
        <v>46078.6180555556</v>
      </c>
      <c r="G1551" s="59" t="n">
        <f aca="false">F1551-E1551</f>
        <v>0.0486111111921296</v>
      </c>
      <c r="H1551" s="57" t="s">
        <v>252</v>
      </c>
      <c r="I1551" s="57"/>
      <c r="J1551" s="57" t="s">
        <v>253</v>
      </c>
      <c r="K1551" s="57" t="s">
        <v>266</v>
      </c>
      <c r="L1551" s="57" t="s">
        <v>2545</v>
      </c>
      <c r="M1551" s="57" t="s">
        <v>255</v>
      </c>
      <c r="N1551" s="57" t="s">
        <v>256</v>
      </c>
      <c r="O1551" s="57" t="s">
        <v>2534</v>
      </c>
      <c r="P1551" s="57" t="s">
        <v>2553</v>
      </c>
      <c r="Q1551" s="57" t="s">
        <v>706</v>
      </c>
    </row>
    <row r="1552" s="50" customFormat="true" ht="14.25" hidden="false" customHeight="true" outlineLevel="0" collapsed="false">
      <c r="A1552" s="50" t="s">
        <v>341</v>
      </c>
      <c r="B1552" s="57" t="s">
        <v>341</v>
      </c>
      <c r="C1552" s="57" t="s">
        <v>326</v>
      </c>
      <c r="D1552" s="58" t="n">
        <v>46078.5694444444</v>
      </c>
      <c r="E1552" s="58" t="n">
        <v>46078.5694444444</v>
      </c>
      <c r="F1552" s="58" t="n">
        <v>46078.6180555556</v>
      </c>
      <c r="G1552" s="59" t="n">
        <f aca="false">F1552-E1552</f>
        <v>0.0486111111921296</v>
      </c>
      <c r="H1552" s="57" t="s">
        <v>252</v>
      </c>
      <c r="I1552" s="57"/>
      <c r="J1552" s="57" t="s">
        <v>253</v>
      </c>
      <c r="K1552" s="57" t="s">
        <v>266</v>
      </c>
      <c r="L1552" s="57" t="s">
        <v>2545</v>
      </c>
      <c r="M1552" s="57" t="s">
        <v>255</v>
      </c>
      <c r="N1552" s="57" t="s">
        <v>256</v>
      </c>
      <c r="O1552" s="57" t="s">
        <v>2534</v>
      </c>
      <c r="P1552" s="57" t="s">
        <v>2554</v>
      </c>
      <c r="Q1552" s="57" t="s">
        <v>706</v>
      </c>
    </row>
    <row r="1553" s="50" customFormat="true" ht="14.25" hidden="false" customHeight="true" outlineLevel="0" collapsed="false">
      <c r="A1553" s="50" t="s">
        <v>341</v>
      </c>
      <c r="B1553" s="57" t="s">
        <v>341</v>
      </c>
      <c r="C1553" s="57" t="s">
        <v>324</v>
      </c>
      <c r="D1553" s="58" t="n">
        <v>46078.5694444444</v>
      </c>
      <c r="E1553" s="58" t="n">
        <v>46078.5694444444</v>
      </c>
      <c r="F1553" s="58" t="n">
        <v>46078.6180555556</v>
      </c>
      <c r="G1553" s="59" t="n">
        <f aca="false">F1553-E1553</f>
        <v>0.0486111111921296</v>
      </c>
      <c r="H1553" s="57" t="s">
        <v>252</v>
      </c>
      <c r="I1553" s="57"/>
      <c r="J1553" s="57" t="s">
        <v>253</v>
      </c>
      <c r="K1553" s="57" t="s">
        <v>266</v>
      </c>
      <c r="L1553" s="57" t="s">
        <v>2545</v>
      </c>
      <c r="M1553" s="57" t="s">
        <v>255</v>
      </c>
      <c r="N1553" s="57" t="s">
        <v>256</v>
      </c>
      <c r="O1553" s="57" t="s">
        <v>2534</v>
      </c>
      <c r="P1553" s="57" t="s">
        <v>2555</v>
      </c>
      <c r="Q1553" s="57" t="s">
        <v>706</v>
      </c>
    </row>
    <row r="1554" s="50" customFormat="true" ht="14.25" hidden="false" customHeight="true" outlineLevel="0" collapsed="false">
      <c r="A1554" s="50" t="s">
        <v>739</v>
      </c>
      <c r="B1554" s="57" t="s">
        <v>45</v>
      </c>
      <c r="C1554" s="57" t="s">
        <v>447</v>
      </c>
      <c r="D1554" s="58" t="n">
        <v>46079.2618055556</v>
      </c>
      <c r="E1554" s="58" t="n">
        <v>46079.2618055556</v>
      </c>
      <c r="F1554" s="58" t="n">
        <v>46079.2763888889</v>
      </c>
      <c r="G1554" s="59" t="n">
        <f aca="false">F1554-E1554</f>
        <v>0.0145833332986111</v>
      </c>
      <c r="H1554" s="57" t="s">
        <v>283</v>
      </c>
      <c r="I1554" s="57" t="s">
        <v>284</v>
      </c>
      <c r="J1554" s="57" t="s">
        <v>285</v>
      </c>
      <c r="K1554" s="57" t="s">
        <v>286</v>
      </c>
      <c r="L1554" s="57" t="s">
        <v>2556</v>
      </c>
      <c r="M1554" s="57" t="s">
        <v>288</v>
      </c>
      <c r="N1554" s="57" t="s">
        <v>289</v>
      </c>
      <c r="O1554" s="57" t="s">
        <v>662</v>
      </c>
      <c r="P1554" s="57" t="s">
        <v>2557</v>
      </c>
      <c r="Q1554" s="57" t="s">
        <v>694</v>
      </c>
    </row>
    <row r="1555" s="50" customFormat="true" ht="14.25" hidden="false" customHeight="true" outlineLevel="0" collapsed="false">
      <c r="A1555" s="50" t="s">
        <v>739</v>
      </c>
      <c r="B1555" s="57" t="s">
        <v>45</v>
      </c>
      <c r="C1555" s="57" t="s">
        <v>594</v>
      </c>
      <c r="D1555" s="58" t="n">
        <v>46079.2618055556</v>
      </c>
      <c r="E1555" s="58" t="n">
        <v>46079.2618055556</v>
      </c>
      <c r="F1555" s="58" t="n">
        <v>46079.2763888889</v>
      </c>
      <c r="G1555" s="59" t="n">
        <f aca="false">F1555-E1555</f>
        <v>0.0145833332986111</v>
      </c>
      <c r="H1555" s="57" t="s">
        <v>283</v>
      </c>
      <c r="I1555" s="57" t="s">
        <v>284</v>
      </c>
      <c r="J1555" s="57" t="s">
        <v>285</v>
      </c>
      <c r="K1555" s="57" t="s">
        <v>286</v>
      </c>
      <c r="L1555" s="57" t="s">
        <v>2556</v>
      </c>
      <c r="M1555" s="57" t="s">
        <v>288</v>
      </c>
      <c r="N1555" s="57" t="s">
        <v>289</v>
      </c>
      <c r="O1555" s="57" t="s">
        <v>662</v>
      </c>
      <c r="P1555" s="57" t="s">
        <v>2558</v>
      </c>
      <c r="Q1555" s="57" t="s">
        <v>694</v>
      </c>
    </row>
    <row r="1556" s="50" customFormat="true" ht="14.25" hidden="false" customHeight="true" outlineLevel="0" collapsed="false">
      <c r="A1556" s="50" t="s">
        <v>739</v>
      </c>
      <c r="B1556" s="57" t="s">
        <v>45</v>
      </c>
      <c r="C1556" s="57" t="s">
        <v>595</v>
      </c>
      <c r="D1556" s="58" t="n">
        <v>46079.2618055556</v>
      </c>
      <c r="E1556" s="58" t="n">
        <v>46079.2618055556</v>
      </c>
      <c r="F1556" s="58" t="n">
        <v>46079.2763888889</v>
      </c>
      <c r="G1556" s="59" t="n">
        <f aca="false">F1556-E1556</f>
        <v>0.0145833332986111</v>
      </c>
      <c r="H1556" s="57" t="s">
        <v>283</v>
      </c>
      <c r="I1556" s="57" t="s">
        <v>284</v>
      </c>
      <c r="J1556" s="57" t="s">
        <v>285</v>
      </c>
      <c r="K1556" s="57" t="s">
        <v>286</v>
      </c>
      <c r="L1556" s="57" t="s">
        <v>2556</v>
      </c>
      <c r="M1556" s="57" t="s">
        <v>288</v>
      </c>
      <c r="N1556" s="57" t="s">
        <v>289</v>
      </c>
      <c r="O1556" s="57" t="s">
        <v>662</v>
      </c>
      <c r="P1556" s="57" t="s">
        <v>2559</v>
      </c>
      <c r="Q1556" s="57" t="s">
        <v>694</v>
      </c>
    </row>
    <row r="1557" s="50" customFormat="true" ht="14.25" hidden="false" customHeight="true" outlineLevel="0" collapsed="false">
      <c r="A1557" s="50" t="s">
        <v>739</v>
      </c>
      <c r="B1557" s="57" t="s">
        <v>45</v>
      </c>
      <c r="C1557" s="57" t="s">
        <v>596</v>
      </c>
      <c r="D1557" s="58" t="n">
        <v>46079.2618055556</v>
      </c>
      <c r="E1557" s="58" t="n">
        <v>46079.2618055556</v>
      </c>
      <c r="F1557" s="58" t="n">
        <v>46079.2763888889</v>
      </c>
      <c r="G1557" s="59" t="n">
        <f aca="false">F1557-E1557</f>
        <v>0.0145833332986111</v>
      </c>
      <c r="H1557" s="57" t="s">
        <v>283</v>
      </c>
      <c r="I1557" s="57" t="s">
        <v>284</v>
      </c>
      <c r="J1557" s="57" t="s">
        <v>285</v>
      </c>
      <c r="K1557" s="57" t="s">
        <v>286</v>
      </c>
      <c r="L1557" s="57" t="s">
        <v>2556</v>
      </c>
      <c r="M1557" s="57" t="s">
        <v>288</v>
      </c>
      <c r="N1557" s="57" t="s">
        <v>289</v>
      </c>
      <c r="O1557" s="57" t="s">
        <v>662</v>
      </c>
      <c r="P1557" s="57" t="s">
        <v>2560</v>
      </c>
      <c r="Q1557" s="57" t="s">
        <v>694</v>
      </c>
    </row>
    <row r="1558" s="50" customFormat="true" ht="14.25" hidden="false" customHeight="true" outlineLevel="0" collapsed="false">
      <c r="A1558" s="50" t="s">
        <v>739</v>
      </c>
      <c r="B1558" s="57" t="s">
        <v>45</v>
      </c>
      <c r="C1558" s="57" t="s">
        <v>597</v>
      </c>
      <c r="D1558" s="58" t="n">
        <v>46079.2618055556</v>
      </c>
      <c r="E1558" s="58" t="n">
        <v>46079.2618055556</v>
      </c>
      <c r="F1558" s="58" t="n">
        <v>46079.2763888889</v>
      </c>
      <c r="G1558" s="59" t="n">
        <f aca="false">F1558-E1558</f>
        <v>0.0145833332986111</v>
      </c>
      <c r="H1558" s="57" t="s">
        <v>283</v>
      </c>
      <c r="I1558" s="57" t="s">
        <v>284</v>
      </c>
      <c r="J1558" s="57" t="s">
        <v>285</v>
      </c>
      <c r="K1558" s="57" t="s">
        <v>286</v>
      </c>
      <c r="L1558" s="57" t="s">
        <v>2556</v>
      </c>
      <c r="M1558" s="57" t="s">
        <v>288</v>
      </c>
      <c r="N1558" s="57" t="s">
        <v>289</v>
      </c>
      <c r="O1558" s="57" t="s">
        <v>662</v>
      </c>
      <c r="P1558" s="57" t="s">
        <v>2561</v>
      </c>
      <c r="Q1558" s="57" t="s">
        <v>694</v>
      </c>
    </row>
    <row r="1559" s="50" customFormat="true" ht="14.25" hidden="false" customHeight="true" outlineLevel="0" collapsed="false">
      <c r="A1559" s="50" t="s">
        <v>739</v>
      </c>
      <c r="B1559" s="57" t="s">
        <v>45</v>
      </c>
      <c r="C1559" s="57" t="s">
        <v>598</v>
      </c>
      <c r="D1559" s="58" t="n">
        <v>46079.2618055556</v>
      </c>
      <c r="E1559" s="58" t="n">
        <v>46079.2618055556</v>
      </c>
      <c r="F1559" s="58" t="n">
        <v>46079.2763888889</v>
      </c>
      <c r="G1559" s="59" t="n">
        <f aca="false">F1559-E1559</f>
        <v>0.0145833332986111</v>
      </c>
      <c r="H1559" s="57" t="s">
        <v>283</v>
      </c>
      <c r="I1559" s="57" t="s">
        <v>284</v>
      </c>
      <c r="J1559" s="57" t="s">
        <v>285</v>
      </c>
      <c r="K1559" s="57" t="s">
        <v>286</v>
      </c>
      <c r="L1559" s="57" t="s">
        <v>2556</v>
      </c>
      <c r="M1559" s="57" t="s">
        <v>288</v>
      </c>
      <c r="N1559" s="57" t="s">
        <v>289</v>
      </c>
      <c r="O1559" s="57" t="s">
        <v>662</v>
      </c>
      <c r="P1559" s="57" t="s">
        <v>2562</v>
      </c>
      <c r="Q1559" s="57" t="s">
        <v>694</v>
      </c>
    </row>
    <row r="1560" s="50" customFormat="true" ht="14.25" hidden="false" customHeight="true" outlineLevel="0" collapsed="false">
      <c r="A1560" s="50" t="s">
        <v>739</v>
      </c>
      <c r="B1560" s="57" t="s">
        <v>45</v>
      </c>
      <c r="C1560" s="57" t="s">
        <v>599</v>
      </c>
      <c r="D1560" s="58" t="n">
        <v>46079.2618055556</v>
      </c>
      <c r="E1560" s="58" t="n">
        <v>46079.2618055556</v>
      </c>
      <c r="F1560" s="58" t="n">
        <v>46079.2763888889</v>
      </c>
      <c r="G1560" s="59" t="n">
        <f aca="false">F1560-E1560</f>
        <v>0.0145833332986111</v>
      </c>
      <c r="H1560" s="57" t="s">
        <v>283</v>
      </c>
      <c r="I1560" s="57" t="s">
        <v>284</v>
      </c>
      <c r="J1560" s="57" t="s">
        <v>285</v>
      </c>
      <c r="K1560" s="57" t="s">
        <v>286</v>
      </c>
      <c r="L1560" s="57" t="s">
        <v>2556</v>
      </c>
      <c r="M1560" s="57" t="s">
        <v>288</v>
      </c>
      <c r="N1560" s="57" t="s">
        <v>289</v>
      </c>
      <c r="O1560" s="57" t="s">
        <v>662</v>
      </c>
      <c r="P1560" s="57" t="s">
        <v>2563</v>
      </c>
      <c r="Q1560" s="57" t="s">
        <v>694</v>
      </c>
    </row>
    <row r="1561" s="50" customFormat="true" ht="14.25" hidden="false" customHeight="true" outlineLevel="0" collapsed="false">
      <c r="A1561" s="50" t="s">
        <v>739</v>
      </c>
      <c r="B1561" s="57" t="s">
        <v>45</v>
      </c>
      <c r="C1561" s="57" t="s">
        <v>600</v>
      </c>
      <c r="D1561" s="58" t="n">
        <v>46079.2618055556</v>
      </c>
      <c r="E1561" s="58" t="n">
        <v>46079.2618055556</v>
      </c>
      <c r="F1561" s="58" t="n">
        <v>46079.2763888889</v>
      </c>
      <c r="G1561" s="59" t="n">
        <f aca="false">F1561-E1561</f>
        <v>0.0145833332986111</v>
      </c>
      <c r="H1561" s="57" t="s">
        <v>283</v>
      </c>
      <c r="I1561" s="57" t="s">
        <v>284</v>
      </c>
      <c r="J1561" s="57" t="s">
        <v>285</v>
      </c>
      <c r="K1561" s="57" t="s">
        <v>286</v>
      </c>
      <c r="L1561" s="57" t="s">
        <v>2556</v>
      </c>
      <c r="M1561" s="57" t="s">
        <v>288</v>
      </c>
      <c r="N1561" s="57" t="s">
        <v>289</v>
      </c>
      <c r="O1561" s="57" t="s">
        <v>662</v>
      </c>
      <c r="P1561" s="57" t="s">
        <v>2564</v>
      </c>
      <c r="Q1561" s="57" t="s">
        <v>694</v>
      </c>
    </row>
    <row r="1562" s="50" customFormat="true" ht="14.25" hidden="false" customHeight="true" outlineLevel="0" collapsed="false">
      <c r="A1562" s="50" t="s">
        <v>739</v>
      </c>
      <c r="B1562" s="57" t="s">
        <v>45</v>
      </c>
      <c r="C1562" s="57" t="s">
        <v>601</v>
      </c>
      <c r="D1562" s="58" t="n">
        <v>46079.2618055556</v>
      </c>
      <c r="E1562" s="58" t="n">
        <v>46079.2618055556</v>
      </c>
      <c r="F1562" s="58" t="n">
        <v>46079.2763888889</v>
      </c>
      <c r="G1562" s="59" t="n">
        <f aca="false">F1562-E1562</f>
        <v>0.0145833332986111</v>
      </c>
      <c r="H1562" s="57" t="s">
        <v>283</v>
      </c>
      <c r="I1562" s="57" t="s">
        <v>284</v>
      </c>
      <c r="J1562" s="57" t="s">
        <v>285</v>
      </c>
      <c r="K1562" s="57" t="s">
        <v>286</v>
      </c>
      <c r="L1562" s="57" t="s">
        <v>2556</v>
      </c>
      <c r="M1562" s="57" t="s">
        <v>288</v>
      </c>
      <c r="N1562" s="57" t="s">
        <v>289</v>
      </c>
      <c r="O1562" s="57" t="s">
        <v>662</v>
      </c>
      <c r="P1562" s="57" t="s">
        <v>2565</v>
      </c>
      <c r="Q1562" s="57" t="s">
        <v>694</v>
      </c>
    </row>
    <row r="1563" s="50" customFormat="true" ht="14.25" hidden="false" customHeight="true" outlineLevel="0" collapsed="false">
      <c r="A1563" s="50" t="s">
        <v>739</v>
      </c>
      <c r="B1563" s="57" t="s">
        <v>45</v>
      </c>
      <c r="C1563" s="57" t="s">
        <v>602</v>
      </c>
      <c r="D1563" s="58" t="n">
        <v>46079.2618055556</v>
      </c>
      <c r="E1563" s="58" t="n">
        <v>46079.2618055556</v>
      </c>
      <c r="F1563" s="58" t="n">
        <v>46079.2763888889</v>
      </c>
      <c r="G1563" s="59" t="n">
        <f aca="false">F1563-E1563</f>
        <v>0.0145833332986111</v>
      </c>
      <c r="H1563" s="57" t="s">
        <v>283</v>
      </c>
      <c r="I1563" s="57" t="s">
        <v>284</v>
      </c>
      <c r="J1563" s="57" t="s">
        <v>285</v>
      </c>
      <c r="K1563" s="57" t="s">
        <v>286</v>
      </c>
      <c r="L1563" s="57" t="s">
        <v>2556</v>
      </c>
      <c r="M1563" s="57" t="s">
        <v>288</v>
      </c>
      <c r="N1563" s="57" t="s">
        <v>289</v>
      </c>
      <c r="O1563" s="57" t="s">
        <v>662</v>
      </c>
      <c r="P1563" s="57" t="s">
        <v>2566</v>
      </c>
      <c r="Q1563" s="57" t="s">
        <v>694</v>
      </c>
    </row>
    <row r="1564" s="50" customFormat="true" ht="14.25" hidden="false" customHeight="true" outlineLevel="0" collapsed="false">
      <c r="A1564" s="50" t="s">
        <v>739</v>
      </c>
      <c r="B1564" s="57" t="s">
        <v>45</v>
      </c>
      <c r="C1564" s="57" t="s">
        <v>603</v>
      </c>
      <c r="D1564" s="58" t="n">
        <v>46079.2618055556</v>
      </c>
      <c r="E1564" s="58" t="n">
        <v>46079.2618055556</v>
      </c>
      <c r="F1564" s="58" t="n">
        <v>46079.2763888889</v>
      </c>
      <c r="G1564" s="59" t="n">
        <f aca="false">F1564-E1564</f>
        <v>0.0145833332986111</v>
      </c>
      <c r="H1564" s="57" t="s">
        <v>283</v>
      </c>
      <c r="I1564" s="57" t="s">
        <v>284</v>
      </c>
      <c r="J1564" s="57" t="s">
        <v>285</v>
      </c>
      <c r="K1564" s="57" t="s">
        <v>286</v>
      </c>
      <c r="L1564" s="57" t="s">
        <v>2556</v>
      </c>
      <c r="M1564" s="57" t="s">
        <v>288</v>
      </c>
      <c r="N1564" s="57" t="s">
        <v>289</v>
      </c>
      <c r="O1564" s="57" t="s">
        <v>662</v>
      </c>
      <c r="P1564" s="57" t="s">
        <v>2567</v>
      </c>
      <c r="Q1564" s="57" t="s">
        <v>694</v>
      </c>
    </row>
    <row r="1565" s="50" customFormat="true" ht="14.25" hidden="false" customHeight="true" outlineLevel="0" collapsed="false">
      <c r="A1565" s="50" t="s">
        <v>739</v>
      </c>
      <c r="B1565" s="57" t="s">
        <v>45</v>
      </c>
      <c r="C1565" s="57" t="s">
        <v>604</v>
      </c>
      <c r="D1565" s="58" t="n">
        <v>46079.2618055556</v>
      </c>
      <c r="E1565" s="58" t="n">
        <v>46079.2618055556</v>
      </c>
      <c r="F1565" s="58" t="n">
        <v>46079.2763888889</v>
      </c>
      <c r="G1565" s="59" t="n">
        <f aca="false">F1565-E1565</f>
        <v>0.0145833332986111</v>
      </c>
      <c r="H1565" s="57" t="s">
        <v>283</v>
      </c>
      <c r="I1565" s="57" t="s">
        <v>284</v>
      </c>
      <c r="J1565" s="57" t="s">
        <v>285</v>
      </c>
      <c r="K1565" s="57" t="s">
        <v>286</v>
      </c>
      <c r="L1565" s="57" t="s">
        <v>2556</v>
      </c>
      <c r="M1565" s="57" t="s">
        <v>288</v>
      </c>
      <c r="N1565" s="57" t="s">
        <v>289</v>
      </c>
      <c r="O1565" s="57" t="s">
        <v>662</v>
      </c>
      <c r="P1565" s="57" t="s">
        <v>2568</v>
      </c>
      <c r="Q1565" s="57" t="s">
        <v>694</v>
      </c>
    </row>
    <row r="1566" s="50" customFormat="true" ht="14.25" hidden="false" customHeight="true" outlineLevel="0" collapsed="false">
      <c r="A1566" s="50" t="s">
        <v>2495</v>
      </c>
      <c r="B1566" s="57" t="s">
        <v>36</v>
      </c>
      <c r="C1566" s="57" t="s">
        <v>354</v>
      </c>
      <c r="D1566" s="58" t="n">
        <v>46079.3930555556</v>
      </c>
      <c r="E1566" s="58" t="n">
        <v>46079.3930555556</v>
      </c>
      <c r="F1566" s="58" t="n">
        <v>46079.4791666667</v>
      </c>
      <c r="G1566" s="59" t="n">
        <f aca="false">F1566-E1566</f>
        <v>0.0861111111111111</v>
      </c>
      <c r="H1566" s="57" t="s">
        <v>384</v>
      </c>
      <c r="I1566" s="57"/>
      <c r="J1566" s="57" t="s">
        <v>377</v>
      </c>
      <c r="K1566" s="57" t="s">
        <v>378</v>
      </c>
      <c r="L1566" s="57" t="s">
        <v>2569</v>
      </c>
      <c r="M1566" s="57" t="s">
        <v>386</v>
      </c>
      <c r="N1566" s="57" t="s">
        <v>387</v>
      </c>
      <c r="O1566" s="57" t="s">
        <v>2570</v>
      </c>
      <c r="P1566" s="57" t="s">
        <v>2571</v>
      </c>
      <c r="Q1566" s="57" t="s">
        <v>1736</v>
      </c>
    </row>
    <row r="1567" s="50" customFormat="true" ht="14.25" hidden="false" customHeight="true" outlineLevel="0" collapsed="false">
      <c r="A1567" s="50" t="s">
        <v>2495</v>
      </c>
      <c r="B1567" s="57" t="s">
        <v>36</v>
      </c>
      <c r="C1567" s="57" t="s">
        <v>452</v>
      </c>
      <c r="D1567" s="58" t="n">
        <v>46079.3930555556</v>
      </c>
      <c r="E1567" s="58" t="n">
        <v>46079.3930555556</v>
      </c>
      <c r="F1567" s="58" t="n">
        <v>46079.4791666667</v>
      </c>
      <c r="G1567" s="59" t="n">
        <f aca="false">F1567-E1567</f>
        <v>0.0861111111111111</v>
      </c>
      <c r="H1567" s="57" t="s">
        <v>384</v>
      </c>
      <c r="I1567" s="57"/>
      <c r="J1567" s="57" t="s">
        <v>377</v>
      </c>
      <c r="K1567" s="57" t="s">
        <v>378</v>
      </c>
      <c r="L1567" s="57" t="s">
        <v>2569</v>
      </c>
      <c r="M1567" s="57" t="s">
        <v>386</v>
      </c>
      <c r="N1567" s="57" t="s">
        <v>387</v>
      </c>
      <c r="O1567" s="57" t="s">
        <v>2570</v>
      </c>
      <c r="P1567" s="57" t="s">
        <v>2572</v>
      </c>
      <c r="Q1567" s="57" t="s">
        <v>1736</v>
      </c>
    </row>
    <row r="1568" s="50" customFormat="true" ht="14.25" hidden="false" customHeight="true" outlineLevel="0" collapsed="false">
      <c r="A1568" s="50" t="s">
        <v>2500</v>
      </c>
      <c r="B1568" s="57" t="s">
        <v>36</v>
      </c>
      <c r="C1568" s="57" t="s">
        <v>2501</v>
      </c>
      <c r="D1568" s="58" t="n">
        <v>46079.3930555556</v>
      </c>
      <c r="E1568" s="58" t="n">
        <v>46079.3930555556</v>
      </c>
      <c r="F1568" s="58" t="n">
        <v>46079.4791666667</v>
      </c>
      <c r="G1568" s="59" t="n">
        <f aca="false">F1568-E1568</f>
        <v>0.0861111111111111</v>
      </c>
      <c r="H1568" s="57" t="s">
        <v>384</v>
      </c>
      <c r="I1568" s="57"/>
      <c r="J1568" s="57" t="s">
        <v>377</v>
      </c>
      <c r="K1568" s="57" t="s">
        <v>378</v>
      </c>
      <c r="L1568" s="57" t="s">
        <v>2569</v>
      </c>
      <c r="M1568" s="57" t="s">
        <v>386</v>
      </c>
      <c r="N1568" s="57" t="s">
        <v>387</v>
      </c>
      <c r="O1568" s="57" t="s">
        <v>2570</v>
      </c>
      <c r="P1568" s="57" t="s">
        <v>2573</v>
      </c>
      <c r="Q1568" s="57" t="s">
        <v>1736</v>
      </c>
    </row>
    <row r="1569" s="50" customFormat="true" ht="14.25" hidden="false" customHeight="true" outlineLevel="0" collapsed="false">
      <c r="A1569" s="50" t="s">
        <v>2500</v>
      </c>
      <c r="B1569" s="57" t="s">
        <v>36</v>
      </c>
      <c r="C1569" s="57" t="s">
        <v>2503</v>
      </c>
      <c r="D1569" s="58" t="n">
        <v>46079.3930555556</v>
      </c>
      <c r="E1569" s="58" t="n">
        <v>46079.3930555556</v>
      </c>
      <c r="F1569" s="58" t="n">
        <v>46079.4791666667</v>
      </c>
      <c r="G1569" s="59" t="n">
        <f aca="false">F1569-E1569</f>
        <v>0.0861111111111111</v>
      </c>
      <c r="H1569" s="57" t="s">
        <v>384</v>
      </c>
      <c r="I1569" s="57"/>
      <c r="J1569" s="57" t="s">
        <v>377</v>
      </c>
      <c r="K1569" s="57" t="s">
        <v>378</v>
      </c>
      <c r="L1569" s="57" t="s">
        <v>2569</v>
      </c>
      <c r="M1569" s="57" t="s">
        <v>386</v>
      </c>
      <c r="N1569" s="57" t="s">
        <v>387</v>
      </c>
      <c r="O1569" s="57" t="s">
        <v>2570</v>
      </c>
      <c r="P1569" s="57" t="s">
        <v>2574</v>
      </c>
      <c r="Q1569" s="57" t="s">
        <v>1736</v>
      </c>
    </row>
    <row r="1570" s="50" customFormat="true" ht="14.25" hidden="false" customHeight="true" outlineLevel="0" collapsed="false">
      <c r="A1570" s="50" t="s">
        <v>2500</v>
      </c>
      <c r="B1570" s="57" t="s">
        <v>36</v>
      </c>
      <c r="C1570" s="57" t="s">
        <v>2505</v>
      </c>
      <c r="D1570" s="58" t="n">
        <v>46079.3930555556</v>
      </c>
      <c r="E1570" s="58" t="n">
        <v>46079.3930555556</v>
      </c>
      <c r="F1570" s="58" t="n">
        <v>46079.4791666667</v>
      </c>
      <c r="G1570" s="59" t="n">
        <f aca="false">F1570-E1570</f>
        <v>0.0861111111111111</v>
      </c>
      <c r="H1570" s="57" t="s">
        <v>384</v>
      </c>
      <c r="I1570" s="57"/>
      <c r="J1570" s="57" t="s">
        <v>377</v>
      </c>
      <c r="K1570" s="57" t="s">
        <v>378</v>
      </c>
      <c r="L1570" s="57" t="s">
        <v>2569</v>
      </c>
      <c r="M1570" s="57" t="s">
        <v>386</v>
      </c>
      <c r="N1570" s="57" t="s">
        <v>387</v>
      </c>
      <c r="O1570" s="57" t="s">
        <v>2570</v>
      </c>
      <c r="P1570" s="57" t="s">
        <v>2575</v>
      </c>
      <c r="Q1570" s="57" t="s">
        <v>1736</v>
      </c>
    </row>
    <row r="1571" s="50" customFormat="true" ht="14.25" hidden="false" customHeight="true" outlineLevel="0" collapsed="false">
      <c r="A1571" s="50" t="s">
        <v>2500</v>
      </c>
      <c r="B1571" s="57" t="s">
        <v>36</v>
      </c>
      <c r="C1571" s="57" t="s">
        <v>2507</v>
      </c>
      <c r="D1571" s="58" t="n">
        <v>46079.3930555556</v>
      </c>
      <c r="E1571" s="58" t="n">
        <v>46079.3930555556</v>
      </c>
      <c r="F1571" s="58" t="n">
        <v>46079.4791666667</v>
      </c>
      <c r="G1571" s="59" t="n">
        <f aca="false">F1571-E1571</f>
        <v>0.0861111111111111</v>
      </c>
      <c r="H1571" s="57" t="s">
        <v>384</v>
      </c>
      <c r="I1571" s="57"/>
      <c r="J1571" s="57" t="s">
        <v>377</v>
      </c>
      <c r="K1571" s="57" t="s">
        <v>378</v>
      </c>
      <c r="L1571" s="57" t="s">
        <v>2569</v>
      </c>
      <c r="M1571" s="57" t="s">
        <v>386</v>
      </c>
      <c r="N1571" s="57" t="s">
        <v>387</v>
      </c>
      <c r="O1571" s="57" t="s">
        <v>2570</v>
      </c>
      <c r="P1571" s="57" t="s">
        <v>2576</v>
      </c>
      <c r="Q1571" s="57" t="s">
        <v>1736</v>
      </c>
    </row>
    <row r="1572" s="50" customFormat="true" ht="14.25" hidden="false" customHeight="true" outlineLevel="0" collapsed="false">
      <c r="A1572" s="50" t="s">
        <v>2509</v>
      </c>
      <c r="B1572" s="57" t="s">
        <v>36</v>
      </c>
      <c r="C1572" s="57" t="s">
        <v>2510</v>
      </c>
      <c r="D1572" s="58" t="n">
        <v>46079.3930555556</v>
      </c>
      <c r="E1572" s="58" t="n">
        <v>46079.3930555556</v>
      </c>
      <c r="F1572" s="58" t="n">
        <v>46079.4791666667</v>
      </c>
      <c r="G1572" s="59" t="n">
        <f aca="false">F1572-E1572</f>
        <v>0.0861111111111111</v>
      </c>
      <c r="H1572" s="57" t="s">
        <v>384</v>
      </c>
      <c r="I1572" s="57"/>
      <c r="J1572" s="57" t="s">
        <v>377</v>
      </c>
      <c r="K1572" s="57" t="s">
        <v>378</v>
      </c>
      <c r="L1572" s="57" t="s">
        <v>2569</v>
      </c>
      <c r="M1572" s="57" t="s">
        <v>386</v>
      </c>
      <c r="N1572" s="57" t="s">
        <v>387</v>
      </c>
      <c r="O1572" s="57" t="s">
        <v>2570</v>
      </c>
      <c r="P1572" s="57" t="s">
        <v>2577</v>
      </c>
      <c r="Q1572" s="57" t="s">
        <v>1736</v>
      </c>
    </row>
    <row r="1573" s="50" customFormat="true" ht="14.25" hidden="false" customHeight="true" outlineLevel="0" collapsed="false">
      <c r="A1573" s="50" t="s">
        <v>2509</v>
      </c>
      <c r="B1573" s="57" t="s">
        <v>36</v>
      </c>
      <c r="C1573" s="57" t="s">
        <v>2512</v>
      </c>
      <c r="D1573" s="58" t="n">
        <v>46079.3930555556</v>
      </c>
      <c r="E1573" s="58" t="n">
        <v>46079.3930555556</v>
      </c>
      <c r="F1573" s="58" t="n">
        <v>46079.4791666667</v>
      </c>
      <c r="G1573" s="59" t="n">
        <f aca="false">F1573-E1573</f>
        <v>0.0861111111111111</v>
      </c>
      <c r="H1573" s="57" t="s">
        <v>384</v>
      </c>
      <c r="I1573" s="57"/>
      <c r="J1573" s="57" t="s">
        <v>377</v>
      </c>
      <c r="K1573" s="57" t="s">
        <v>378</v>
      </c>
      <c r="L1573" s="57" t="s">
        <v>2569</v>
      </c>
      <c r="M1573" s="57" t="s">
        <v>386</v>
      </c>
      <c r="N1573" s="57" t="s">
        <v>387</v>
      </c>
      <c r="O1573" s="57" t="s">
        <v>2570</v>
      </c>
      <c r="P1573" s="57" t="s">
        <v>2578</v>
      </c>
      <c r="Q1573" s="57" t="s">
        <v>1736</v>
      </c>
    </row>
    <row r="1574" s="50" customFormat="true" ht="14.25" hidden="false" customHeight="true" outlineLevel="0" collapsed="false">
      <c r="A1574" s="50" t="s">
        <v>2509</v>
      </c>
      <c r="B1574" s="57" t="s">
        <v>36</v>
      </c>
      <c r="C1574" s="57" t="s">
        <v>2514</v>
      </c>
      <c r="D1574" s="58" t="n">
        <v>46079.3930555556</v>
      </c>
      <c r="E1574" s="58" t="n">
        <v>46079.3930555556</v>
      </c>
      <c r="F1574" s="58" t="n">
        <v>46079.4791666667</v>
      </c>
      <c r="G1574" s="59" t="n">
        <f aca="false">F1574-E1574</f>
        <v>0.0861111111111111</v>
      </c>
      <c r="H1574" s="57" t="s">
        <v>384</v>
      </c>
      <c r="I1574" s="57"/>
      <c r="J1574" s="57" t="s">
        <v>377</v>
      </c>
      <c r="K1574" s="57" t="s">
        <v>378</v>
      </c>
      <c r="L1574" s="57" t="s">
        <v>2569</v>
      </c>
      <c r="M1574" s="57" t="s">
        <v>386</v>
      </c>
      <c r="N1574" s="57" t="s">
        <v>387</v>
      </c>
      <c r="O1574" s="57" t="s">
        <v>2570</v>
      </c>
      <c r="P1574" s="57" t="s">
        <v>2579</v>
      </c>
      <c r="Q1574" s="57" t="s">
        <v>1736</v>
      </c>
    </row>
    <row r="1575" s="50" customFormat="true" ht="14.25" hidden="false" customHeight="true" outlineLevel="0" collapsed="false">
      <c r="A1575" s="50" t="s">
        <v>2509</v>
      </c>
      <c r="B1575" s="57" t="s">
        <v>36</v>
      </c>
      <c r="C1575" s="57" t="s">
        <v>2516</v>
      </c>
      <c r="D1575" s="58" t="n">
        <v>46079.3930555556</v>
      </c>
      <c r="E1575" s="58" t="n">
        <v>46079.3930555556</v>
      </c>
      <c r="F1575" s="58" t="n">
        <v>46079.4791666667</v>
      </c>
      <c r="G1575" s="59" t="n">
        <f aca="false">F1575-E1575</f>
        <v>0.0861111111111111</v>
      </c>
      <c r="H1575" s="57" t="s">
        <v>384</v>
      </c>
      <c r="I1575" s="57"/>
      <c r="J1575" s="57" t="s">
        <v>377</v>
      </c>
      <c r="K1575" s="57" t="s">
        <v>378</v>
      </c>
      <c r="L1575" s="57" t="s">
        <v>2569</v>
      </c>
      <c r="M1575" s="57" t="s">
        <v>386</v>
      </c>
      <c r="N1575" s="57" t="s">
        <v>387</v>
      </c>
      <c r="O1575" s="57" t="s">
        <v>2570</v>
      </c>
      <c r="P1575" s="57" t="s">
        <v>2580</v>
      </c>
      <c r="Q1575" s="57" t="s">
        <v>1736</v>
      </c>
    </row>
    <row r="1576" s="50" customFormat="true" ht="14.25" hidden="false" customHeight="true" outlineLevel="0" collapsed="false">
      <c r="A1576" s="50" t="s">
        <v>450</v>
      </c>
      <c r="B1576" s="57" t="s">
        <v>450</v>
      </c>
      <c r="C1576" s="57" t="s">
        <v>326</v>
      </c>
      <c r="D1576" s="58" t="n">
        <v>46079.5763888889</v>
      </c>
      <c r="E1576" s="58" t="n">
        <v>46079.5763888889</v>
      </c>
      <c r="F1576" s="58" t="n">
        <v>46079.6159722222</v>
      </c>
      <c r="G1576" s="59" t="n">
        <f aca="false">F1576-E1576</f>
        <v>0.0395833332986111</v>
      </c>
      <c r="H1576" s="57" t="s">
        <v>283</v>
      </c>
      <c r="I1576" s="57" t="s">
        <v>284</v>
      </c>
      <c r="J1576" s="57" t="s">
        <v>285</v>
      </c>
      <c r="K1576" s="57" t="s">
        <v>286</v>
      </c>
      <c r="L1576" s="57" t="s">
        <v>2556</v>
      </c>
      <c r="M1576" s="57" t="s">
        <v>288</v>
      </c>
      <c r="N1576" s="57" t="s">
        <v>289</v>
      </c>
      <c r="O1576" s="57" t="s">
        <v>2581</v>
      </c>
      <c r="P1576" s="57" t="s">
        <v>2582</v>
      </c>
      <c r="Q1576" s="57" t="s">
        <v>694</v>
      </c>
    </row>
    <row r="1577" s="50" customFormat="true" ht="14.25" hidden="false" customHeight="true" outlineLevel="0" collapsed="false">
      <c r="A1577" s="50" t="s">
        <v>450</v>
      </c>
      <c r="B1577" s="57" t="s">
        <v>450</v>
      </c>
      <c r="C1577" s="57" t="s">
        <v>324</v>
      </c>
      <c r="D1577" s="58" t="n">
        <v>46079.5763888889</v>
      </c>
      <c r="E1577" s="58" t="n">
        <v>46079.5763888889</v>
      </c>
      <c r="F1577" s="58" t="n">
        <v>46079.6159722222</v>
      </c>
      <c r="G1577" s="59" t="n">
        <f aca="false">F1577-E1577</f>
        <v>0.0395833332986111</v>
      </c>
      <c r="H1577" s="57" t="s">
        <v>283</v>
      </c>
      <c r="I1577" s="57" t="s">
        <v>284</v>
      </c>
      <c r="J1577" s="57" t="s">
        <v>285</v>
      </c>
      <c r="K1577" s="57" t="s">
        <v>286</v>
      </c>
      <c r="L1577" s="57" t="s">
        <v>2556</v>
      </c>
      <c r="M1577" s="57" t="s">
        <v>288</v>
      </c>
      <c r="N1577" s="57" t="s">
        <v>289</v>
      </c>
      <c r="O1577" s="57" t="s">
        <v>2581</v>
      </c>
      <c r="P1577" s="57" t="s">
        <v>2583</v>
      </c>
      <c r="Q1577" s="57" t="s">
        <v>694</v>
      </c>
    </row>
    <row r="1578" s="50" customFormat="true" ht="14.25" hidden="false" customHeight="true" outlineLevel="0" collapsed="false">
      <c r="A1578" s="50" t="s">
        <v>450</v>
      </c>
      <c r="B1578" s="57" t="s">
        <v>450</v>
      </c>
      <c r="C1578" s="57" t="s">
        <v>328</v>
      </c>
      <c r="D1578" s="58" t="n">
        <v>46079.5763888889</v>
      </c>
      <c r="E1578" s="58" t="n">
        <v>46079.5763888889</v>
      </c>
      <c r="F1578" s="58" t="n">
        <v>46079.6159722222</v>
      </c>
      <c r="G1578" s="59" t="n">
        <f aca="false">F1578-E1578</f>
        <v>0.0395833332986111</v>
      </c>
      <c r="H1578" s="57" t="s">
        <v>283</v>
      </c>
      <c r="I1578" s="57" t="s">
        <v>284</v>
      </c>
      <c r="J1578" s="57" t="s">
        <v>285</v>
      </c>
      <c r="K1578" s="57" t="s">
        <v>286</v>
      </c>
      <c r="L1578" s="57" t="s">
        <v>2556</v>
      </c>
      <c r="M1578" s="57" t="s">
        <v>288</v>
      </c>
      <c r="N1578" s="57" t="s">
        <v>289</v>
      </c>
      <c r="O1578" s="57" t="s">
        <v>2581</v>
      </c>
      <c r="P1578" s="57" t="s">
        <v>2584</v>
      </c>
      <c r="Q1578" s="57" t="s">
        <v>694</v>
      </c>
    </row>
    <row r="1579" s="50" customFormat="true" ht="14.25" hidden="false" customHeight="true" outlineLevel="0" collapsed="false">
      <c r="A1579" s="50" t="s">
        <v>450</v>
      </c>
      <c r="B1579" s="57" t="s">
        <v>450</v>
      </c>
      <c r="C1579" s="57" t="s">
        <v>327</v>
      </c>
      <c r="D1579" s="58" t="n">
        <v>46079.5763888889</v>
      </c>
      <c r="E1579" s="58" t="n">
        <v>46079.5763888889</v>
      </c>
      <c r="F1579" s="58" t="n">
        <v>46079.6159722222</v>
      </c>
      <c r="G1579" s="59" t="n">
        <f aca="false">F1579-E1579</f>
        <v>0.0395833332986111</v>
      </c>
      <c r="H1579" s="57" t="s">
        <v>283</v>
      </c>
      <c r="I1579" s="57" t="s">
        <v>284</v>
      </c>
      <c r="J1579" s="57" t="s">
        <v>285</v>
      </c>
      <c r="K1579" s="57" t="s">
        <v>286</v>
      </c>
      <c r="L1579" s="57" t="s">
        <v>2556</v>
      </c>
      <c r="M1579" s="57" t="s">
        <v>288</v>
      </c>
      <c r="N1579" s="57" t="s">
        <v>289</v>
      </c>
      <c r="O1579" s="57" t="s">
        <v>2581</v>
      </c>
      <c r="P1579" s="57" t="s">
        <v>2585</v>
      </c>
      <c r="Q1579" s="57" t="s">
        <v>694</v>
      </c>
    </row>
    <row r="1580" s="50" customFormat="true" ht="14.25" hidden="false" customHeight="true" outlineLevel="0" collapsed="false">
      <c r="A1580" s="50" t="s">
        <v>358</v>
      </c>
      <c r="B1580" s="57" t="s">
        <v>358</v>
      </c>
      <c r="C1580" s="57" t="s">
        <v>324</v>
      </c>
      <c r="D1580" s="58" t="n">
        <v>46079.6527777778</v>
      </c>
      <c r="E1580" s="58" t="n">
        <v>46079.6527777778</v>
      </c>
      <c r="F1580" s="58" t="n">
        <v>46079.6854166667</v>
      </c>
      <c r="G1580" s="59" t="n">
        <f aca="false">F1580-E1580</f>
        <v>0.032638888900463</v>
      </c>
      <c r="H1580" s="57" t="s">
        <v>252</v>
      </c>
      <c r="I1580" s="57"/>
      <c r="J1580" s="57" t="s">
        <v>253</v>
      </c>
      <c r="K1580" s="57" t="s">
        <v>266</v>
      </c>
      <c r="L1580" s="57" t="s">
        <v>2586</v>
      </c>
      <c r="M1580" s="57" t="s">
        <v>255</v>
      </c>
      <c r="N1580" s="57" t="s">
        <v>256</v>
      </c>
      <c r="O1580" s="57" t="s">
        <v>2587</v>
      </c>
      <c r="P1580" s="57" t="s">
        <v>2588</v>
      </c>
      <c r="Q1580" s="57" t="s">
        <v>706</v>
      </c>
    </row>
    <row r="1581" s="50" customFormat="true" ht="14.25" hidden="false" customHeight="true" outlineLevel="0" collapsed="false">
      <c r="A1581" s="50" t="s">
        <v>358</v>
      </c>
      <c r="B1581" s="57" t="s">
        <v>358</v>
      </c>
      <c r="C1581" s="57" t="s">
        <v>326</v>
      </c>
      <c r="D1581" s="58" t="n">
        <v>46079.6527777778</v>
      </c>
      <c r="E1581" s="58" t="n">
        <v>46079.6527777778</v>
      </c>
      <c r="F1581" s="58" t="n">
        <v>46079.6854166667</v>
      </c>
      <c r="G1581" s="59" t="n">
        <f aca="false">F1581-E1581</f>
        <v>0.032638888900463</v>
      </c>
      <c r="H1581" s="57" t="s">
        <v>252</v>
      </c>
      <c r="I1581" s="57"/>
      <c r="J1581" s="57" t="s">
        <v>253</v>
      </c>
      <c r="K1581" s="57" t="s">
        <v>266</v>
      </c>
      <c r="L1581" s="57" t="s">
        <v>2586</v>
      </c>
      <c r="M1581" s="57" t="s">
        <v>255</v>
      </c>
      <c r="N1581" s="57" t="s">
        <v>256</v>
      </c>
      <c r="O1581" s="57" t="s">
        <v>2587</v>
      </c>
      <c r="P1581" s="57" t="s">
        <v>2589</v>
      </c>
      <c r="Q1581" s="57" t="s">
        <v>706</v>
      </c>
    </row>
    <row r="1582" s="50" customFormat="true" ht="14.25" hidden="false" customHeight="true" outlineLevel="0" collapsed="false">
      <c r="A1582" s="50" t="s">
        <v>358</v>
      </c>
      <c r="B1582" s="57" t="s">
        <v>358</v>
      </c>
      <c r="C1582" s="57" t="s">
        <v>327</v>
      </c>
      <c r="D1582" s="58" t="n">
        <v>46079.6527777778</v>
      </c>
      <c r="E1582" s="58" t="n">
        <v>46079.6527777778</v>
      </c>
      <c r="F1582" s="58" t="n">
        <v>46079.6854166667</v>
      </c>
      <c r="G1582" s="59" t="n">
        <f aca="false">F1582-E1582</f>
        <v>0.032638888900463</v>
      </c>
      <c r="H1582" s="57" t="s">
        <v>252</v>
      </c>
      <c r="I1582" s="57"/>
      <c r="J1582" s="57" t="s">
        <v>253</v>
      </c>
      <c r="K1582" s="57" t="s">
        <v>266</v>
      </c>
      <c r="L1582" s="57" t="s">
        <v>2586</v>
      </c>
      <c r="M1582" s="57" t="s">
        <v>255</v>
      </c>
      <c r="N1582" s="57" t="s">
        <v>256</v>
      </c>
      <c r="O1582" s="57" t="s">
        <v>2587</v>
      </c>
      <c r="P1582" s="57" t="s">
        <v>2590</v>
      </c>
      <c r="Q1582" s="57" t="s">
        <v>706</v>
      </c>
    </row>
    <row r="1583" s="50" customFormat="true" ht="14.25" hidden="false" customHeight="true" outlineLevel="0" collapsed="false">
      <c r="A1583" s="50" t="s">
        <v>358</v>
      </c>
      <c r="B1583" s="57" t="s">
        <v>358</v>
      </c>
      <c r="C1583" s="57" t="s">
        <v>328</v>
      </c>
      <c r="D1583" s="58" t="n">
        <v>46079.6527777778</v>
      </c>
      <c r="E1583" s="58" t="n">
        <v>46079.6527777778</v>
      </c>
      <c r="F1583" s="58" t="n">
        <v>46079.6854166667</v>
      </c>
      <c r="G1583" s="59" t="n">
        <f aca="false">F1583-E1583</f>
        <v>0.032638888900463</v>
      </c>
      <c r="H1583" s="57" t="s">
        <v>252</v>
      </c>
      <c r="I1583" s="57"/>
      <c r="J1583" s="57" t="s">
        <v>253</v>
      </c>
      <c r="K1583" s="57" t="s">
        <v>266</v>
      </c>
      <c r="L1583" s="57" t="s">
        <v>2586</v>
      </c>
      <c r="M1583" s="57" t="s">
        <v>255</v>
      </c>
      <c r="N1583" s="57" t="s">
        <v>256</v>
      </c>
      <c r="O1583" s="57" t="s">
        <v>2587</v>
      </c>
      <c r="P1583" s="57" t="s">
        <v>2591</v>
      </c>
      <c r="Q1583" s="57" t="s">
        <v>706</v>
      </c>
    </row>
    <row r="1584" s="50" customFormat="true" ht="14.25" hidden="false" customHeight="true" outlineLevel="0" collapsed="false">
      <c r="A1584" s="50" t="s">
        <v>361</v>
      </c>
      <c r="B1584" s="57" t="s">
        <v>361</v>
      </c>
      <c r="C1584" s="57" t="s">
        <v>324</v>
      </c>
      <c r="D1584" s="58" t="n">
        <v>46079.6527777778</v>
      </c>
      <c r="E1584" s="58" t="n">
        <v>46079.6527777778</v>
      </c>
      <c r="F1584" s="58" t="n">
        <v>46079.6854166667</v>
      </c>
      <c r="G1584" s="59" t="n">
        <f aca="false">F1584-E1584</f>
        <v>0.032638888900463</v>
      </c>
      <c r="H1584" s="57" t="s">
        <v>252</v>
      </c>
      <c r="I1584" s="57"/>
      <c r="J1584" s="57" t="s">
        <v>253</v>
      </c>
      <c r="K1584" s="57" t="s">
        <v>266</v>
      </c>
      <c r="L1584" s="57" t="s">
        <v>2586</v>
      </c>
      <c r="M1584" s="57" t="s">
        <v>255</v>
      </c>
      <c r="N1584" s="57" t="s">
        <v>256</v>
      </c>
      <c r="O1584" s="57" t="s">
        <v>2587</v>
      </c>
      <c r="P1584" s="57" t="s">
        <v>2592</v>
      </c>
      <c r="Q1584" s="57" t="s">
        <v>706</v>
      </c>
    </row>
    <row r="1585" s="50" customFormat="true" ht="14.25" hidden="false" customHeight="true" outlineLevel="0" collapsed="false">
      <c r="A1585" s="50" t="s">
        <v>361</v>
      </c>
      <c r="B1585" s="57" t="s">
        <v>361</v>
      </c>
      <c r="C1585" s="57" t="s">
        <v>326</v>
      </c>
      <c r="D1585" s="58" t="n">
        <v>46079.6527777778</v>
      </c>
      <c r="E1585" s="58" t="n">
        <v>46079.6527777778</v>
      </c>
      <c r="F1585" s="58" t="n">
        <v>46079.6854166667</v>
      </c>
      <c r="G1585" s="59" t="n">
        <f aca="false">F1585-E1585</f>
        <v>0.032638888900463</v>
      </c>
      <c r="H1585" s="57" t="s">
        <v>252</v>
      </c>
      <c r="I1585" s="57"/>
      <c r="J1585" s="57" t="s">
        <v>253</v>
      </c>
      <c r="K1585" s="57" t="s">
        <v>266</v>
      </c>
      <c r="L1585" s="57" t="s">
        <v>2586</v>
      </c>
      <c r="M1585" s="57" t="s">
        <v>255</v>
      </c>
      <c r="N1585" s="57" t="s">
        <v>256</v>
      </c>
      <c r="O1585" s="57" t="s">
        <v>2587</v>
      </c>
      <c r="P1585" s="57" t="s">
        <v>2593</v>
      </c>
      <c r="Q1585" s="57" t="s">
        <v>706</v>
      </c>
    </row>
    <row r="1586" s="50" customFormat="true" ht="14.25" hidden="false" customHeight="true" outlineLevel="0" collapsed="false">
      <c r="A1586" s="50" t="s">
        <v>361</v>
      </c>
      <c r="B1586" s="57" t="s">
        <v>361</v>
      </c>
      <c r="C1586" s="57" t="s">
        <v>327</v>
      </c>
      <c r="D1586" s="58" t="n">
        <v>46079.6527777778</v>
      </c>
      <c r="E1586" s="58" t="n">
        <v>46079.6527777778</v>
      </c>
      <c r="F1586" s="58" t="n">
        <v>46079.6854166667</v>
      </c>
      <c r="G1586" s="59" t="n">
        <f aca="false">F1586-E1586</f>
        <v>0.032638888900463</v>
      </c>
      <c r="H1586" s="57" t="s">
        <v>252</v>
      </c>
      <c r="I1586" s="57"/>
      <c r="J1586" s="57" t="s">
        <v>253</v>
      </c>
      <c r="K1586" s="57" t="s">
        <v>266</v>
      </c>
      <c r="L1586" s="57" t="s">
        <v>2586</v>
      </c>
      <c r="M1586" s="57" t="s">
        <v>255</v>
      </c>
      <c r="N1586" s="57" t="s">
        <v>256</v>
      </c>
      <c r="O1586" s="57" t="s">
        <v>2587</v>
      </c>
      <c r="P1586" s="57" t="s">
        <v>2594</v>
      </c>
      <c r="Q1586" s="57" t="s">
        <v>706</v>
      </c>
    </row>
    <row r="1587" s="50" customFormat="true" ht="14.25" hidden="false" customHeight="true" outlineLevel="0" collapsed="false">
      <c r="A1587" s="50" t="s">
        <v>361</v>
      </c>
      <c r="B1587" s="57" t="s">
        <v>361</v>
      </c>
      <c r="C1587" s="57" t="s">
        <v>328</v>
      </c>
      <c r="D1587" s="58" t="n">
        <v>46079.6527777778</v>
      </c>
      <c r="E1587" s="58" t="n">
        <v>46079.6527777778</v>
      </c>
      <c r="F1587" s="58" t="n">
        <v>46079.6854166667</v>
      </c>
      <c r="G1587" s="59" t="n">
        <f aca="false">F1587-E1587</f>
        <v>0.032638888900463</v>
      </c>
      <c r="H1587" s="57" t="s">
        <v>252</v>
      </c>
      <c r="I1587" s="57"/>
      <c r="J1587" s="57" t="s">
        <v>253</v>
      </c>
      <c r="K1587" s="57" t="s">
        <v>266</v>
      </c>
      <c r="L1587" s="57" t="s">
        <v>2586</v>
      </c>
      <c r="M1587" s="57" t="s">
        <v>255</v>
      </c>
      <c r="N1587" s="57" t="s">
        <v>256</v>
      </c>
      <c r="O1587" s="57" t="s">
        <v>2587</v>
      </c>
      <c r="P1587" s="57" t="s">
        <v>2595</v>
      </c>
      <c r="Q1587" s="57" t="s">
        <v>706</v>
      </c>
    </row>
    <row r="1588" s="50" customFormat="true" ht="14.25" hidden="false" customHeight="true" outlineLevel="0" collapsed="false">
      <c r="A1588" s="50" t="s">
        <v>362</v>
      </c>
      <c r="B1588" s="57" t="s">
        <v>362</v>
      </c>
      <c r="C1588" s="57" t="s">
        <v>363</v>
      </c>
      <c r="D1588" s="58" t="n">
        <v>46079.6527777778</v>
      </c>
      <c r="E1588" s="58" t="n">
        <v>46079.6527777778</v>
      </c>
      <c r="F1588" s="58" t="n">
        <v>46079.6854166667</v>
      </c>
      <c r="G1588" s="59" t="n">
        <f aca="false">F1588-E1588</f>
        <v>0.032638888900463</v>
      </c>
      <c r="H1588" s="57" t="s">
        <v>252</v>
      </c>
      <c r="I1588" s="57"/>
      <c r="J1588" s="57" t="s">
        <v>253</v>
      </c>
      <c r="K1588" s="57" t="s">
        <v>266</v>
      </c>
      <c r="L1588" s="57" t="s">
        <v>2586</v>
      </c>
      <c r="M1588" s="57" t="s">
        <v>255</v>
      </c>
      <c r="N1588" s="57" t="s">
        <v>256</v>
      </c>
      <c r="O1588" s="57" t="s">
        <v>2587</v>
      </c>
      <c r="P1588" s="57" t="s">
        <v>2596</v>
      </c>
      <c r="Q1588" s="57" t="s">
        <v>706</v>
      </c>
    </row>
    <row r="1589" s="50" customFormat="true" ht="14.25" hidden="false" customHeight="true" outlineLevel="0" collapsed="false">
      <c r="A1589" s="50" t="s">
        <v>362</v>
      </c>
      <c r="B1589" s="57" t="s">
        <v>362</v>
      </c>
      <c r="C1589" s="57" t="s">
        <v>265</v>
      </c>
      <c r="D1589" s="58" t="n">
        <v>46079.6527777778</v>
      </c>
      <c r="E1589" s="58" t="n">
        <v>46079.6527777778</v>
      </c>
      <c r="F1589" s="58" t="n">
        <v>46079.6854166667</v>
      </c>
      <c r="G1589" s="59" t="n">
        <f aca="false">F1589-E1589</f>
        <v>0.032638888900463</v>
      </c>
      <c r="H1589" s="57" t="s">
        <v>252</v>
      </c>
      <c r="I1589" s="57"/>
      <c r="J1589" s="57" t="s">
        <v>253</v>
      </c>
      <c r="K1589" s="57" t="s">
        <v>266</v>
      </c>
      <c r="L1589" s="57" t="s">
        <v>2586</v>
      </c>
      <c r="M1589" s="57" t="s">
        <v>255</v>
      </c>
      <c r="N1589" s="57" t="s">
        <v>256</v>
      </c>
      <c r="O1589" s="57" t="s">
        <v>2587</v>
      </c>
      <c r="P1589" s="57" t="s">
        <v>2597</v>
      </c>
      <c r="Q1589" s="57" t="s">
        <v>706</v>
      </c>
    </row>
    <row r="1590" s="50" customFormat="true" ht="14.25" hidden="false" customHeight="true" outlineLevel="0" collapsed="false">
      <c r="A1590" s="50" t="s">
        <v>937</v>
      </c>
      <c r="B1590" s="57" t="s">
        <v>48</v>
      </c>
      <c r="C1590" s="57" t="s">
        <v>294</v>
      </c>
      <c r="D1590" s="58" t="n">
        <v>46079.6666666667</v>
      </c>
      <c r="E1590" s="58" t="n">
        <v>46079.6666666667</v>
      </c>
      <c r="F1590" s="58" t="n">
        <v>46079.7430555556</v>
      </c>
      <c r="G1590" s="59" t="n">
        <f aca="false">F1590-E1590</f>
        <v>0.0763888888888889</v>
      </c>
      <c r="H1590" s="57" t="s">
        <v>384</v>
      </c>
      <c r="I1590" s="57"/>
      <c r="J1590" s="57" t="s">
        <v>377</v>
      </c>
      <c r="K1590" s="57" t="s">
        <v>378</v>
      </c>
      <c r="L1590" s="57" t="s">
        <v>2598</v>
      </c>
      <c r="M1590" s="57" t="s">
        <v>386</v>
      </c>
      <c r="N1590" s="57" t="s">
        <v>387</v>
      </c>
      <c r="O1590" s="57" t="s">
        <v>2599</v>
      </c>
      <c r="P1590" s="57" t="s">
        <v>2600</v>
      </c>
      <c r="Q1590" s="57" t="s">
        <v>1736</v>
      </c>
    </row>
    <row r="1591" s="50" customFormat="true" ht="14.25" hidden="false" customHeight="true" outlineLevel="0" collapsed="false">
      <c r="A1591" s="50" t="s">
        <v>937</v>
      </c>
      <c r="B1591" s="57" t="s">
        <v>48</v>
      </c>
      <c r="C1591" s="57" t="s">
        <v>295</v>
      </c>
      <c r="D1591" s="58" t="n">
        <v>46079.6666666667</v>
      </c>
      <c r="E1591" s="58" t="n">
        <v>46079.6666666667</v>
      </c>
      <c r="F1591" s="58" t="n">
        <v>46079.7430555556</v>
      </c>
      <c r="G1591" s="59" t="n">
        <f aca="false">F1591-E1591</f>
        <v>0.0763888888888889</v>
      </c>
      <c r="H1591" s="57" t="s">
        <v>384</v>
      </c>
      <c r="I1591" s="57"/>
      <c r="J1591" s="57" t="s">
        <v>377</v>
      </c>
      <c r="K1591" s="57" t="s">
        <v>378</v>
      </c>
      <c r="L1591" s="57" t="s">
        <v>2598</v>
      </c>
      <c r="M1591" s="57" t="s">
        <v>386</v>
      </c>
      <c r="N1591" s="57" t="s">
        <v>387</v>
      </c>
      <c r="O1591" s="57" t="s">
        <v>2599</v>
      </c>
      <c r="P1591" s="57" t="s">
        <v>2601</v>
      </c>
      <c r="Q1591" s="57" t="s">
        <v>1736</v>
      </c>
    </row>
    <row r="1592" s="50" customFormat="true" ht="14.25" hidden="false" customHeight="true" outlineLevel="0" collapsed="false">
      <c r="A1592" s="50" t="s">
        <v>937</v>
      </c>
      <c r="B1592" s="57" t="s">
        <v>48</v>
      </c>
      <c r="C1592" s="57" t="s">
        <v>296</v>
      </c>
      <c r="D1592" s="58" t="n">
        <v>46079.6666666667</v>
      </c>
      <c r="E1592" s="58" t="n">
        <v>46079.6666666667</v>
      </c>
      <c r="F1592" s="58" t="n">
        <v>46079.7430555556</v>
      </c>
      <c r="G1592" s="59" t="n">
        <f aca="false">F1592-E1592</f>
        <v>0.0763888888888889</v>
      </c>
      <c r="H1592" s="57" t="s">
        <v>384</v>
      </c>
      <c r="I1592" s="57"/>
      <c r="J1592" s="57" t="s">
        <v>377</v>
      </c>
      <c r="K1592" s="57" t="s">
        <v>378</v>
      </c>
      <c r="L1592" s="57" t="s">
        <v>2598</v>
      </c>
      <c r="M1592" s="57" t="s">
        <v>386</v>
      </c>
      <c r="N1592" s="57" t="s">
        <v>387</v>
      </c>
      <c r="O1592" s="57" t="s">
        <v>2599</v>
      </c>
      <c r="P1592" s="57" t="s">
        <v>2602</v>
      </c>
      <c r="Q1592" s="57" t="s">
        <v>1736</v>
      </c>
    </row>
    <row r="1593" s="50" customFormat="true" ht="14.25" hidden="false" customHeight="true" outlineLevel="0" collapsed="false">
      <c r="A1593" s="50" t="s">
        <v>937</v>
      </c>
      <c r="B1593" s="57" t="s">
        <v>48</v>
      </c>
      <c r="C1593" s="57" t="s">
        <v>297</v>
      </c>
      <c r="D1593" s="58" t="n">
        <v>46079.6666666667</v>
      </c>
      <c r="E1593" s="58" t="n">
        <v>46079.6666666667</v>
      </c>
      <c r="F1593" s="58" t="n">
        <v>46079.7430555556</v>
      </c>
      <c r="G1593" s="59" t="n">
        <f aca="false">F1593-E1593</f>
        <v>0.0763888888888889</v>
      </c>
      <c r="H1593" s="57" t="s">
        <v>384</v>
      </c>
      <c r="I1593" s="57"/>
      <c r="J1593" s="57" t="s">
        <v>377</v>
      </c>
      <c r="K1593" s="57" t="s">
        <v>378</v>
      </c>
      <c r="L1593" s="57" t="s">
        <v>2598</v>
      </c>
      <c r="M1593" s="57" t="s">
        <v>386</v>
      </c>
      <c r="N1593" s="57" t="s">
        <v>387</v>
      </c>
      <c r="O1593" s="57" t="s">
        <v>2599</v>
      </c>
      <c r="P1593" s="57" t="s">
        <v>2603</v>
      </c>
      <c r="Q1593" s="57" t="s">
        <v>1736</v>
      </c>
    </row>
    <row r="1594" s="50" customFormat="true" ht="14.25" hidden="false" customHeight="true" outlineLevel="0" collapsed="false">
      <c r="A1594" s="50" t="s">
        <v>937</v>
      </c>
      <c r="B1594" s="57" t="s">
        <v>48</v>
      </c>
      <c r="C1594" s="57" t="s">
        <v>298</v>
      </c>
      <c r="D1594" s="58" t="n">
        <v>46079.6666666667</v>
      </c>
      <c r="E1594" s="58" t="n">
        <v>46079.6666666667</v>
      </c>
      <c r="F1594" s="58" t="n">
        <v>46079.7430555556</v>
      </c>
      <c r="G1594" s="59" t="n">
        <f aca="false">F1594-E1594</f>
        <v>0.0763888888888889</v>
      </c>
      <c r="H1594" s="57" t="s">
        <v>384</v>
      </c>
      <c r="I1594" s="57"/>
      <c r="J1594" s="57" t="s">
        <v>377</v>
      </c>
      <c r="K1594" s="57" t="s">
        <v>378</v>
      </c>
      <c r="L1594" s="57" t="s">
        <v>2598</v>
      </c>
      <c r="M1594" s="57" t="s">
        <v>386</v>
      </c>
      <c r="N1594" s="57" t="s">
        <v>387</v>
      </c>
      <c r="O1594" s="57" t="s">
        <v>2599</v>
      </c>
      <c r="P1594" s="57" t="s">
        <v>2604</v>
      </c>
      <c r="Q1594" s="57" t="s">
        <v>1736</v>
      </c>
    </row>
    <row r="1595" s="50" customFormat="true" ht="14.25" hidden="false" customHeight="true" outlineLevel="0" collapsed="false">
      <c r="A1595" s="50" t="s">
        <v>937</v>
      </c>
      <c r="B1595" s="57" t="s">
        <v>48</v>
      </c>
      <c r="C1595" s="57" t="s">
        <v>299</v>
      </c>
      <c r="D1595" s="58" t="n">
        <v>46079.6666666667</v>
      </c>
      <c r="E1595" s="58" t="n">
        <v>46079.6666666667</v>
      </c>
      <c r="F1595" s="58" t="n">
        <v>46079.7430555556</v>
      </c>
      <c r="G1595" s="59" t="n">
        <f aca="false">F1595-E1595</f>
        <v>0.0763888888888889</v>
      </c>
      <c r="H1595" s="57" t="s">
        <v>384</v>
      </c>
      <c r="I1595" s="57"/>
      <c r="J1595" s="57" t="s">
        <v>377</v>
      </c>
      <c r="K1595" s="57" t="s">
        <v>378</v>
      </c>
      <c r="L1595" s="57" t="s">
        <v>2598</v>
      </c>
      <c r="M1595" s="57" t="s">
        <v>386</v>
      </c>
      <c r="N1595" s="57" t="s">
        <v>387</v>
      </c>
      <c r="O1595" s="57" t="s">
        <v>2599</v>
      </c>
      <c r="P1595" s="57" t="s">
        <v>2605</v>
      </c>
      <c r="Q1595" s="57" t="s">
        <v>1736</v>
      </c>
    </row>
    <row r="1596" s="50" customFormat="true" ht="14.25" hidden="false" customHeight="true" outlineLevel="0" collapsed="false">
      <c r="A1596" s="50" t="s">
        <v>937</v>
      </c>
      <c r="B1596" s="57" t="s">
        <v>48</v>
      </c>
      <c r="C1596" s="57" t="s">
        <v>300</v>
      </c>
      <c r="D1596" s="58" t="n">
        <v>46079.6666666667</v>
      </c>
      <c r="E1596" s="58" t="n">
        <v>46079.6666666667</v>
      </c>
      <c r="F1596" s="58" t="n">
        <v>46079.7430555556</v>
      </c>
      <c r="G1596" s="59" t="n">
        <f aca="false">F1596-E1596</f>
        <v>0.0763888888888889</v>
      </c>
      <c r="H1596" s="57" t="s">
        <v>384</v>
      </c>
      <c r="I1596" s="57"/>
      <c r="J1596" s="57" t="s">
        <v>377</v>
      </c>
      <c r="K1596" s="57" t="s">
        <v>378</v>
      </c>
      <c r="L1596" s="57" t="s">
        <v>2598</v>
      </c>
      <c r="M1596" s="57" t="s">
        <v>386</v>
      </c>
      <c r="N1596" s="57" t="s">
        <v>387</v>
      </c>
      <c r="O1596" s="57" t="s">
        <v>2599</v>
      </c>
      <c r="P1596" s="57" t="s">
        <v>2606</v>
      </c>
      <c r="Q1596" s="57" t="s">
        <v>1736</v>
      </c>
    </row>
    <row r="1597" s="50" customFormat="true" ht="14.25" hidden="false" customHeight="true" outlineLevel="0" collapsed="false">
      <c r="A1597" s="50" t="s">
        <v>937</v>
      </c>
      <c r="B1597" s="57" t="s">
        <v>48</v>
      </c>
      <c r="C1597" s="57" t="s">
        <v>301</v>
      </c>
      <c r="D1597" s="58" t="n">
        <v>46079.6666666667</v>
      </c>
      <c r="E1597" s="58" t="n">
        <v>46079.6666666667</v>
      </c>
      <c r="F1597" s="58" t="n">
        <v>46079.7430555556</v>
      </c>
      <c r="G1597" s="59" t="n">
        <f aca="false">F1597-E1597</f>
        <v>0.0763888888888889</v>
      </c>
      <c r="H1597" s="57" t="s">
        <v>384</v>
      </c>
      <c r="I1597" s="57"/>
      <c r="J1597" s="57" t="s">
        <v>377</v>
      </c>
      <c r="K1597" s="57" t="s">
        <v>378</v>
      </c>
      <c r="L1597" s="57" t="s">
        <v>2598</v>
      </c>
      <c r="M1597" s="57" t="s">
        <v>386</v>
      </c>
      <c r="N1597" s="57" t="s">
        <v>387</v>
      </c>
      <c r="O1597" s="57" t="s">
        <v>2599</v>
      </c>
      <c r="P1597" s="57" t="s">
        <v>2607</v>
      </c>
      <c r="Q1597" s="57" t="s">
        <v>1736</v>
      </c>
    </row>
    <row r="1598" s="50" customFormat="true" ht="14.25" hidden="false" customHeight="true" outlineLevel="0" collapsed="false">
      <c r="A1598" s="50" t="s">
        <v>946</v>
      </c>
      <c r="B1598" s="57" t="s">
        <v>48</v>
      </c>
      <c r="C1598" s="57" t="s">
        <v>302</v>
      </c>
      <c r="D1598" s="58" t="n">
        <v>46079.6666666667</v>
      </c>
      <c r="E1598" s="58" t="n">
        <v>46079.6666666667</v>
      </c>
      <c r="F1598" s="58" t="n">
        <v>46079.7430555556</v>
      </c>
      <c r="G1598" s="59" t="n">
        <f aca="false">F1598-E1598</f>
        <v>0.0763888888888889</v>
      </c>
      <c r="H1598" s="57" t="s">
        <v>384</v>
      </c>
      <c r="I1598" s="57"/>
      <c r="J1598" s="57" t="s">
        <v>377</v>
      </c>
      <c r="K1598" s="57" t="s">
        <v>378</v>
      </c>
      <c r="L1598" s="57" t="s">
        <v>2598</v>
      </c>
      <c r="M1598" s="57" t="s">
        <v>386</v>
      </c>
      <c r="N1598" s="57" t="s">
        <v>387</v>
      </c>
      <c r="O1598" s="57" t="s">
        <v>2599</v>
      </c>
      <c r="P1598" s="57" t="s">
        <v>2608</v>
      </c>
      <c r="Q1598" s="57" t="s">
        <v>1736</v>
      </c>
    </row>
    <row r="1599" s="50" customFormat="true" ht="14.25" hidden="false" customHeight="true" outlineLevel="0" collapsed="false">
      <c r="A1599" s="50" t="s">
        <v>946</v>
      </c>
      <c r="B1599" s="57" t="s">
        <v>48</v>
      </c>
      <c r="C1599" s="57" t="s">
        <v>303</v>
      </c>
      <c r="D1599" s="58" t="n">
        <v>46079.6666666667</v>
      </c>
      <c r="E1599" s="58" t="n">
        <v>46079.6666666667</v>
      </c>
      <c r="F1599" s="58" t="n">
        <v>46079.7430555556</v>
      </c>
      <c r="G1599" s="59" t="n">
        <f aca="false">F1599-E1599</f>
        <v>0.0763888888888889</v>
      </c>
      <c r="H1599" s="57" t="s">
        <v>384</v>
      </c>
      <c r="I1599" s="57"/>
      <c r="J1599" s="57" t="s">
        <v>377</v>
      </c>
      <c r="K1599" s="57" t="s">
        <v>378</v>
      </c>
      <c r="L1599" s="57" t="s">
        <v>2598</v>
      </c>
      <c r="M1599" s="57" t="s">
        <v>386</v>
      </c>
      <c r="N1599" s="57" t="s">
        <v>387</v>
      </c>
      <c r="O1599" s="57" t="s">
        <v>2599</v>
      </c>
      <c r="P1599" s="57" t="s">
        <v>2609</v>
      </c>
      <c r="Q1599" s="57" t="s">
        <v>1736</v>
      </c>
    </row>
    <row r="1600" s="50" customFormat="true" ht="14.25" hidden="false" customHeight="true" outlineLevel="0" collapsed="false">
      <c r="A1600" s="50" t="s">
        <v>946</v>
      </c>
      <c r="B1600" s="57" t="s">
        <v>48</v>
      </c>
      <c r="C1600" s="57" t="s">
        <v>304</v>
      </c>
      <c r="D1600" s="58" t="n">
        <v>46079.6666666667</v>
      </c>
      <c r="E1600" s="58" t="n">
        <v>46079.6666666667</v>
      </c>
      <c r="F1600" s="58" t="n">
        <v>46079.7430555556</v>
      </c>
      <c r="G1600" s="59" t="n">
        <f aca="false">F1600-E1600</f>
        <v>0.0763888888888889</v>
      </c>
      <c r="H1600" s="57" t="s">
        <v>384</v>
      </c>
      <c r="I1600" s="57"/>
      <c r="J1600" s="57" t="s">
        <v>377</v>
      </c>
      <c r="K1600" s="57" t="s">
        <v>378</v>
      </c>
      <c r="L1600" s="57" t="s">
        <v>2598</v>
      </c>
      <c r="M1600" s="57" t="s">
        <v>386</v>
      </c>
      <c r="N1600" s="57" t="s">
        <v>387</v>
      </c>
      <c r="O1600" s="57" t="s">
        <v>2599</v>
      </c>
      <c r="P1600" s="57" t="s">
        <v>2610</v>
      </c>
      <c r="Q1600" s="57" t="s">
        <v>1736</v>
      </c>
    </row>
    <row r="1601" s="50" customFormat="true" ht="14.25" hidden="false" customHeight="true" outlineLevel="0" collapsed="false">
      <c r="A1601" s="50" t="s">
        <v>946</v>
      </c>
      <c r="B1601" s="57" t="s">
        <v>48</v>
      </c>
      <c r="C1601" s="57" t="s">
        <v>305</v>
      </c>
      <c r="D1601" s="58" t="n">
        <v>46079.6666666667</v>
      </c>
      <c r="E1601" s="58" t="n">
        <v>46079.6666666667</v>
      </c>
      <c r="F1601" s="58" t="n">
        <v>46079.7430555556</v>
      </c>
      <c r="G1601" s="59" t="n">
        <f aca="false">F1601-E1601</f>
        <v>0.0763888888888889</v>
      </c>
      <c r="H1601" s="57" t="s">
        <v>384</v>
      </c>
      <c r="I1601" s="57"/>
      <c r="J1601" s="57" t="s">
        <v>377</v>
      </c>
      <c r="K1601" s="57" t="s">
        <v>378</v>
      </c>
      <c r="L1601" s="57" t="s">
        <v>2598</v>
      </c>
      <c r="M1601" s="57" t="s">
        <v>386</v>
      </c>
      <c r="N1601" s="57" t="s">
        <v>387</v>
      </c>
      <c r="O1601" s="57" t="s">
        <v>2599</v>
      </c>
      <c r="P1601" s="57" t="s">
        <v>2611</v>
      </c>
      <c r="Q1601" s="57" t="s">
        <v>1736</v>
      </c>
    </row>
    <row r="1602" s="50" customFormat="true" ht="14.25" hidden="false" customHeight="true" outlineLevel="0" collapsed="false">
      <c r="A1602" s="50" t="s">
        <v>946</v>
      </c>
      <c r="B1602" s="57" t="s">
        <v>48</v>
      </c>
      <c r="C1602" s="57" t="s">
        <v>306</v>
      </c>
      <c r="D1602" s="58" t="n">
        <v>46079.6666666667</v>
      </c>
      <c r="E1602" s="58" t="n">
        <v>46079.6666666667</v>
      </c>
      <c r="F1602" s="58" t="n">
        <v>46079.7430555556</v>
      </c>
      <c r="G1602" s="59" t="n">
        <f aca="false">F1602-E1602</f>
        <v>0.0763888888888889</v>
      </c>
      <c r="H1602" s="57" t="s">
        <v>384</v>
      </c>
      <c r="I1602" s="57"/>
      <c r="J1602" s="57" t="s">
        <v>377</v>
      </c>
      <c r="K1602" s="57" t="s">
        <v>378</v>
      </c>
      <c r="L1602" s="57" t="s">
        <v>2598</v>
      </c>
      <c r="M1602" s="57" t="s">
        <v>386</v>
      </c>
      <c r="N1602" s="57" t="s">
        <v>387</v>
      </c>
      <c r="O1602" s="57" t="s">
        <v>2599</v>
      </c>
      <c r="P1602" s="57" t="s">
        <v>2612</v>
      </c>
      <c r="Q1602" s="57" t="s">
        <v>1736</v>
      </c>
    </row>
    <row r="1603" s="50" customFormat="true" ht="14.25" hidden="false" customHeight="true" outlineLevel="0" collapsed="false">
      <c r="A1603" s="50" t="s">
        <v>946</v>
      </c>
      <c r="B1603" s="57" t="s">
        <v>48</v>
      </c>
      <c r="C1603" s="57" t="s">
        <v>307</v>
      </c>
      <c r="D1603" s="58" t="n">
        <v>46079.6666666667</v>
      </c>
      <c r="E1603" s="58" t="n">
        <v>46079.6666666667</v>
      </c>
      <c r="F1603" s="58" t="n">
        <v>46079.7430555556</v>
      </c>
      <c r="G1603" s="59" t="n">
        <f aca="false">F1603-E1603</f>
        <v>0.0763888888888889</v>
      </c>
      <c r="H1603" s="57" t="s">
        <v>384</v>
      </c>
      <c r="I1603" s="57"/>
      <c r="J1603" s="57" t="s">
        <v>377</v>
      </c>
      <c r="K1603" s="57" t="s">
        <v>378</v>
      </c>
      <c r="L1603" s="57" t="s">
        <v>2598</v>
      </c>
      <c r="M1603" s="57" t="s">
        <v>386</v>
      </c>
      <c r="N1603" s="57" t="s">
        <v>387</v>
      </c>
      <c r="O1603" s="57" t="s">
        <v>2599</v>
      </c>
      <c r="P1603" s="57" t="s">
        <v>2613</v>
      </c>
      <c r="Q1603" s="57" t="s">
        <v>1736</v>
      </c>
    </row>
    <row r="1604" s="50" customFormat="true" ht="14.25" hidden="false" customHeight="true" outlineLevel="0" collapsed="false">
      <c r="A1604" s="50" t="s">
        <v>946</v>
      </c>
      <c r="B1604" s="57" t="s">
        <v>48</v>
      </c>
      <c r="C1604" s="57" t="s">
        <v>308</v>
      </c>
      <c r="D1604" s="58" t="n">
        <v>46079.6666666667</v>
      </c>
      <c r="E1604" s="58" t="n">
        <v>46079.6666666667</v>
      </c>
      <c r="F1604" s="58" t="n">
        <v>46079.7430555556</v>
      </c>
      <c r="G1604" s="59" t="n">
        <f aca="false">F1604-E1604</f>
        <v>0.0763888888888889</v>
      </c>
      <c r="H1604" s="57" t="s">
        <v>384</v>
      </c>
      <c r="I1604" s="57"/>
      <c r="J1604" s="57" t="s">
        <v>377</v>
      </c>
      <c r="K1604" s="57" t="s">
        <v>378</v>
      </c>
      <c r="L1604" s="57" t="s">
        <v>2598</v>
      </c>
      <c r="M1604" s="57" t="s">
        <v>386</v>
      </c>
      <c r="N1604" s="57" t="s">
        <v>387</v>
      </c>
      <c r="O1604" s="57" t="s">
        <v>2599</v>
      </c>
      <c r="P1604" s="57" t="s">
        <v>2614</v>
      </c>
      <c r="Q1604" s="57" t="s">
        <v>1736</v>
      </c>
    </row>
    <row r="1605" s="50" customFormat="true" ht="14.25" hidden="false" customHeight="true" outlineLevel="0" collapsed="false">
      <c r="A1605" s="50" t="s">
        <v>954</v>
      </c>
      <c r="B1605" s="57" t="s">
        <v>48</v>
      </c>
      <c r="C1605" s="57" t="s">
        <v>309</v>
      </c>
      <c r="D1605" s="58" t="n">
        <v>46079.6666666667</v>
      </c>
      <c r="E1605" s="58" t="n">
        <v>46079.6666666667</v>
      </c>
      <c r="F1605" s="58" t="n">
        <v>46079.7430555556</v>
      </c>
      <c r="G1605" s="59" t="n">
        <f aca="false">F1605-E1605</f>
        <v>0.0763888888888889</v>
      </c>
      <c r="H1605" s="57" t="s">
        <v>384</v>
      </c>
      <c r="I1605" s="57"/>
      <c r="J1605" s="57" t="s">
        <v>377</v>
      </c>
      <c r="K1605" s="57" t="s">
        <v>378</v>
      </c>
      <c r="L1605" s="57" t="s">
        <v>2598</v>
      </c>
      <c r="M1605" s="57" t="s">
        <v>386</v>
      </c>
      <c r="N1605" s="57" t="s">
        <v>387</v>
      </c>
      <c r="O1605" s="57" t="s">
        <v>2599</v>
      </c>
      <c r="P1605" s="57" t="s">
        <v>2615</v>
      </c>
      <c r="Q1605" s="57" t="s">
        <v>1736</v>
      </c>
    </row>
    <row r="1606" s="50" customFormat="true" ht="14.25" hidden="false" customHeight="true" outlineLevel="0" collapsed="false">
      <c r="A1606" s="50" t="s">
        <v>954</v>
      </c>
      <c r="B1606" s="57" t="s">
        <v>48</v>
      </c>
      <c r="C1606" s="57" t="s">
        <v>310</v>
      </c>
      <c r="D1606" s="58" t="n">
        <v>46079.6666666667</v>
      </c>
      <c r="E1606" s="58" t="n">
        <v>46079.6666666667</v>
      </c>
      <c r="F1606" s="58" t="n">
        <v>46079.7430555556</v>
      </c>
      <c r="G1606" s="59" t="n">
        <f aca="false">F1606-E1606</f>
        <v>0.0763888888888889</v>
      </c>
      <c r="H1606" s="57" t="s">
        <v>384</v>
      </c>
      <c r="I1606" s="57"/>
      <c r="J1606" s="57" t="s">
        <v>377</v>
      </c>
      <c r="K1606" s="57" t="s">
        <v>378</v>
      </c>
      <c r="L1606" s="57" t="s">
        <v>2598</v>
      </c>
      <c r="M1606" s="57" t="s">
        <v>386</v>
      </c>
      <c r="N1606" s="57" t="s">
        <v>387</v>
      </c>
      <c r="O1606" s="57" t="s">
        <v>2599</v>
      </c>
      <c r="P1606" s="57" t="s">
        <v>2616</v>
      </c>
      <c r="Q1606" s="57" t="s">
        <v>1736</v>
      </c>
    </row>
    <row r="1607" s="50" customFormat="true" ht="14.25" hidden="false" customHeight="true" outlineLevel="0" collapsed="false">
      <c r="A1607" s="50" t="s">
        <v>954</v>
      </c>
      <c r="B1607" s="57" t="s">
        <v>48</v>
      </c>
      <c r="C1607" s="57" t="s">
        <v>311</v>
      </c>
      <c r="D1607" s="58" t="n">
        <v>46079.6666666667</v>
      </c>
      <c r="E1607" s="58" t="n">
        <v>46079.6666666667</v>
      </c>
      <c r="F1607" s="58" t="n">
        <v>46079.7430555556</v>
      </c>
      <c r="G1607" s="59" t="n">
        <f aca="false">F1607-E1607</f>
        <v>0.0763888888888889</v>
      </c>
      <c r="H1607" s="57" t="s">
        <v>384</v>
      </c>
      <c r="I1607" s="57"/>
      <c r="J1607" s="57" t="s">
        <v>377</v>
      </c>
      <c r="K1607" s="57" t="s">
        <v>378</v>
      </c>
      <c r="L1607" s="57" t="s">
        <v>2598</v>
      </c>
      <c r="M1607" s="57" t="s">
        <v>386</v>
      </c>
      <c r="N1607" s="57" t="s">
        <v>387</v>
      </c>
      <c r="O1607" s="57" t="s">
        <v>2599</v>
      </c>
      <c r="P1607" s="57" t="s">
        <v>2617</v>
      </c>
      <c r="Q1607" s="57" t="s">
        <v>1736</v>
      </c>
    </row>
    <row r="1608" s="50" customFormat="true" ht="14.25" hidden="false" customHeight="true" outlineLevel="0" collapsed="false">
      <c r="A1608" s="50" t="s">
        <v>954</v>
      </c>
      <c r="B1608" s="57" t="s">
        <v>48</v>
      </c>
      <c r="C1608" s="57" t="s">
        <v>312</v>
      </c>
      <c r="D1608" s="58" t="n">
        <v>46079.6666666667</v>
      </c>
      <c r="E1608" s="58" t="n">
        <v>46079.6666666667</v>
      </c>
      <c r="F1608" s="58" t="n">
        <v>46079.7430555556</v>
      </c>
      <c r="G1608" s="59" t="n">
        <f aca="false">F1608-E1608</f>
        <v>0.0763888888888889</v>
      </c>
      <c r="H1608" s="57" t="s">
        <v>384</v>
      </c>
      <c r="I1608" s="57"/>
      <c r="J1608" s="57" t="s">
        <v>377</v>
      </c>
      <c r="K1608" s="57" t="s">
        <v>378</v>
      </c>
      <c r="L1608" s="57" t="s">
        <v>2598</v>
      </c>
      <c r="M1608" s="57" t="s">
        <v>386</v>
      </c>
      <c r="N1608" s="57" t="s">
        <v>387</v>
      </c>
      <c r="O1608" s="57" t="s">
        <v>2599</v>
      </c>
      <c r="P1608" s="57" t="s">
        <v>2618</v>
      </c>
      <c r="Q1608" s="57" t="s">
        <v>1736</v>
      </c>
    </row>
    <row r="1609" s="50" customFormat="true" ht="14.25" hidden="false" customHeight="true" outlineLevel="0" collapsed="false">
      <c r="A1609" s="50" t="s">
        <v>954</v>
      </c>
      <c r="B1609" s="57" t="s">
        <v>48</v>
      </c>
      <c r="C1609" s="57" t="s">
        <v>313</v>
      </c>
      <c r="D1609" s="58" t="n">
        <v>46079.6666666667</v>
      </c>
      <c r="E1609" s="58" t="n">
        <v>46079.6666666667</v>
      </c>
      <c r="F1609" s="58" t="n">
        <v>46079.7430555556</v>
      </c>
      <c r="G1609" s="59" t="n">
        <f aca="false">F1609-E1609</f>
        <v>0.0763888888888889</v>
      </c>
      <c r="H1609" s="57" t="s">
        <v>384</v>
      </c>
      <c r="I1609" s="57"/>
      <c r="J1609" s="57" t="s">
        <v>377</v>
      </c>
      <c r="K1609" s="57" t="s">
        <v>378</v>
      </c>
      <c r="L1609" s="57" t="s">
        <v>2598</v>
      </c>
      <c r="M1609" s="57" t="s">
        <v>386</v>
      </c>
      <c r="N1609" s="57" t="s">
        <v>387</v>
      </c>
      <c r="O1609" s="57" t="s">
        <v>2599</v>
      </c>
      <c r="P1609" s="57" t="s">
        <v>2619</v>
      </c>
      <c r="Q1609" s="57" t="s">
        <v>1736</v>
      </c>
    </row>
    <row r="1610" s="50" customFormat="true" ht="14.25" hidden="false" customHeight="true" outlineLevel="0" collapsed="false">
      <c r="A1610" s="50" t="s">
        <v>960</v>
      </c>
      <c r="B1610" s="57" t="s">
        <v>48</v>
      </c>
      <c r="C1610" s="57" t="s">
        <v>314</v>
      </c>
      <c r="D1610" s="58" t="n">
        <v>46079.6666666667</v>
      </c>
      <c r="E1610" s="58" t="n">
        <v>46079.6666666667</v>
      </c>
      <c r="F1610" s="58" t="n">
        <v>46079.7430555556</v>
      </c>
      <c r="G1610" s="59" t="n">
        <f aca="false">F1610-E1610</f>
        <v>0.0763888888888889</v>
      </c>
      <c r="H1610" s="57" t="s">
        <v>384</v>
      </c>
      <c r="I1610" s="57"/>
      <c r="J1610" s="57" t="s">
        <v>377</v>
      </c>
      <c r="K1610" s="57" t="s">
        <v>378</v>
      </c>
      <c r="L1610" s="57" t="s">
        <v>2598</v>
      </c>
      <c r="M1610" s="57" t="s">
        <v>386</v>
      </c>
      <c r="N1610" s="57" t="s">
        <v>387</v>
      </c>
      <c r="O1610" s="57" t="s">
        <v>2599</v>
      </c>
      <c r="P1610" s="57" t="s">
        <v>2620</v>
      </c>
      <c r="Q1610" s="57" t="s">
        <v>1736</v>
      </c>
    </row>
    <row r="1611" s="50" customFormat="true" ht="14.25" hidden="false" customHeight="true" outlineLevel="0" collapsed="false">
      <c r="A1611" s="50" t="s">
        <v>960</v>
      </c>
      <c r="B1611" s="57" t="s">
        <v>48</v>
      </c>
      <c r="C1611" s="57" t="s">
        <v>315</v>
      </c>
      <c r="D1611" s="58" t="n">
        <v>46079.6666666667</v>
      </c>
      <c r="E1611" s="58" t="n">
        <v>46079.6666666667</v>
      </c>
      <c r="F1611" s="58" t="n">
        <v>46079.7430555556</v>
      </c>
      <c r="G1611" s="59" t="n">
        <f aca="false">F1611-E1611</f>
        <v>0.0763888888888889</v>
      </c>
      <c r="H1611" s="57" t="s">
        <v>384</v>
      </c>
      <c r="I1611" s="57"/>
      <c r="J1611" s="57" t="s">
        <v>377</v>
      </c>
      <c r="K1611" s="57" t="s">
        <v>378</v>
      </c>
      <c r="L1611" s="57" t="s">
        <v>2598</v>
      </c>
      <c r="M1611" s="57" t="s">
        <v>386</v>
      </c>
      <c r="N1611" s="57" t="s">
        <v>387</v>
      </c>
      <c r="O1611" s="57" t="s">
        <v>2599</v>
      </c>
      <c r="P1611" s="57" t="s">
        <v>2621</v>
      </c>
      <c r="Q1611" s="57" t="s">
        <v>1736</v>
      </c>
    </row>
    <row r="1612" s="50" customFormat="true" ht="14.25" hidden="false" customHeight="true" outlineLevel="0" collapsed="false">
      <c r="A1612" s="50" t="s">
        <v>960</v>
      </c>
      <c r="B1612" s="57" t="s">
        <v>48</v>
      </c>
      <c r="C1612" s="57" t="s">
        <v>316</v>
      </c>
      <c r="D1612" s="58" t="n">
        <v>46079.6666666667</v>
      </c>
      <c r="E1612" s="58" t="n">
        <v>46079.6666666667</v>
      </c>
      <c r="F1612" s="58" t="n">
        <v>46079.7430555556</v>
      </c>
      <c r="G1612" s="59" t="n">
        <f aca="false">F1612-E1612</f>
        <v>0.0763888888888889</v>
      </c>
      <c r="H1612" s="57" t="s">
        <v>384</v>
      </c>
      <c r="I1612" s="57"/>
      <c r="J1612" s="57" t="s">
        <v>377</v>
      </c>
      <c r="K1612" s="57" t="s">
        <v>378</v>
      </c>
      <c r="L1612" s="57" t="s">
        <v>2598</v>
      </c>
      <c r="M1612" s="57" t="s">
        <v>386</v>
      </c>
      <c r="N1612" s="57" t="s">
        <v>387</v>
      </c>
      <c r="O1612" s="57" t="s">
        <v>2599</v>
      </c>
      <c r="P1612" s="57" t="s">
        <v>2622</v>
      </c>
      <c r="Q1612" s="57" t="s">
        <v>1736</v>
      </c>
    </row>
    <row r="1613" s="50" customFormat="true" ht="14.25" hidden="false" customHeight="true" outlineLevel="0" collapsed="false">
      <c r="A1613" s="50" t="s">
        <v>960</v>
      </c>
      <c r="B1613" s="57" t="s">
        <v>48</v>
      </c>
      <c r="C1613" s="57" t="s">
        <v>317</v>
      </c>
      <c r="D1613" s="58" t="n">
        <v>46079.6666666667</v>
      </c>
      <c r="E1613" s="58" t="n">
        <v>46079.6666666667</v>
      </c>
      <c r="F1613" s="58" t="n">
        <v>46079.7430555556</v>
      </c>
      <c r="G1613" s="59" t="n">
        <f aca="false">F1613-E1613</f>
        <v>0.0763888888888889</v>
      </c>
      <c r="H1613" s="57" t="s">
        <v>384</v>
      </c>
      <c r="I1613" s="57"/>
      <c r="J1613" s="57" t="s">
        <v>377</v>
      </c>
      <c r="K1613" s="57" t="s">
        <v>378</v>
      </c>
      <c r="L1613" s="57" t="s">
        <v>2598</v>
      </c>
      <c r="M1613" s="57" t="s">
        <v>386</v>
      </c>
      <c r="N1613" s="57" t="s">
        <v>387</v>
      </c>
      <c r="O1613" s="57" t="s">
        <v>2599</v>
      </c>
      <c r="P1613" s="57" t="s">
        <v>2623</v>
      </c>
      <c r="Q1613" s="57" t="s">
        <v>1736</v>
      </c>
    </row>
    <row r="1614" s="50" customFormat="true" ht="14.25" hidden="false" customHeight="true" outlineLevel="0" collapsed="false">
      <c r="A1614" s="50" t="s">
        <v>965</v>
      </c>
      <c r="B1614" s="57" t="s">
        <v>48</v>
      </c>
      <c r="C1614" s="57" t="s">
        <v>318</v>
      </c>
      <c r="D1614" s="58" t="n">
        <v>46079.6666666667</v>
      </c>
      <c r="E1614" s="58" t="n">
        <v>46079.6666666667</v>
      </c>
      <c r="F1614" s="58" t="n">
        <v>46079.7430555556</v>
      </c>
      <c r="G1614" s="59" t="n">
        <f aca="false">F1614-E1614</f>
        <v>0.0763888888888889</v>
      </c>
      <c r="H1614" s="57" t="s">
        <v>384</v>
      </c>
      <c r="I1614" s="57"/>
      <c r="J1614" s="57" t="s">
        <v>377</v>
      </c>
      <c r="K1614" s="57" t="s">
        <v>378</v>
      </c>
      <c r="L1614" s="57" t="s">
        <v>2598</v>
      </c>
      <c r="M1614" s="57" t="s">
        <v>386</v>
      </c>
      <c r="N1614" s="57" t="s">
        <v>387</v>
      </c>
      <c r="O1614" s="57" t="s">
        <v>2599</v>
      </c>
      <c r="P1614" s="57" t="s">
        <v>2624</v>
      </c>
      <c r="Q1614" s="57" t="s">
        <v>1736</v>
      </c>
    </row>
    <row r="1615" s="50" customFormat="true" ht="14.25" hidden="false" customHeight="true" outlineLevel="0" collapsed="false">
      <c r="A1615" s="50" t="s">
        <v>965</v>
      </c>
      <c r="B1615" s="57" t="s">
        <v>48</v>
      </c>
      <c r="C1615" s="57" t="s">
        <v>319</v>
      </c>
      <c r="D1615" s="58" t="n">
        <v>46079.6666666667</v>
      </c>
      <c r="E1615" s="58" t="n">
        <v>46079.6666666667</v>
      </c>
      <c r="F1615" s="58" t="n">
        <v>46079.7430555556</v>
      </c>
      <c r="G1615" s="59" t="n">
        <f aca="false">F1615-E1615</f>
        <v>0.0763888888888889</v>
      </c>
      <c r="H1615" s="57" t="s">
        <v>384</v>
      </c>
      <c r="I1615" s="57"/>
      <c r="J1615" s="57" t="s">
        <v>377</v>
      </c>
      <c r="K1615" s="57" t="s">
        <v>378</v>
      </c>
      <c r="L1615" s="57" t="s">
        <v>2598</v>
      </c>
      <c r="M1615" s="57" t="s">
        <v>386</v>
      </c>
      <c r="N1615" s="57" t="s">
        <v>387</v>
      </c>
      <c r="O1615" s="57" t="s">
        <v>2599</v>
      </c>
      <c r="P1615" s="57" t="s">
        <v>2625</v>
      </c>
      <c r="Q1615" s="57" t="s">
        <v>1736</v>
      </c>
    </row>
    <row r="1616" s="50" customFormat="true" ht="14.25" hidden="false" customHeight="true" outlineLevel="0" collapsed="false">
      <c r="A1616" s="50" t="s">
        <v>965</v>
      </c>
      <c r="B1616" s="57" t="s">
        <v>48</v>
      </c>
      <c r="C1616" s="57" t="s">
        <v>320</v>
      </c>
      <c r="D1616" s="58" t="n">
        <v>46079.6666666667</v>
      </c>
      <c r="E1616" s="58" t="n">
        <v>46079.6666666667</v>
      </c>
      <c r="F1616" s="58" t="n">
        <v>46079.7430555556</v>
      </c>
      <c r="G1616" s="59" t="n">
        <f aca="false">F1616-E1616</f>
        <v>0.0763888888888889</v>
      </c>
      <c r="H1616" s="57" t="s">
        <v>384</v>
      </c>
      <c r="I1616" s="57"/>
      <c r="J1616" s="57" t="s">
        <v>377</v>
      </c>
      <c r="K1616" s="57" t="s">
        <v>378</v>
      </c>
      <c r="L1616" s="57" t="s">
        <v>2598</v>
      </c>
      <c r="M1616" s="57" t="s">
        <v>386</v>
      </c>
      <c r="N1616" s="57" t="s">
        <v>387</v>
      </c>
      <c r="O1616" s="57" t="s">
        <v>2599</v>
      </c>
      <c r="P1616" s="57" t="s">
        <v>2626</v>
      </c>
      <c r="Q1616" s="57" t="s">
        <v>1736</v>
      </c>
    </row>
    <row r="1617" s="50" customFormat="true" ht="14.25" hidden="false" customHeight="true" outlineLevel="0" collapsed="false">
      <c r="A1617" s="50" t="s">
        <v>965</v>
      </c>
      <c r="B1617" s="57" t="s">
        <v>48</v>
      </c>
      <c r="C1617" s="57" t="s">
        <v>321</v>
      </c>
      <c r="D1617" s="58" t="n">
        <v>46079.6666666667</v>
      </c>
      <c r="E1617" s="58" t="n">
        <v>46079.6666666667</v>
      </c>
      <c r="F1617" s="58" t="n">
        <v>46079.7430555556</v>
      </c>
      <c r="G1617" s="59" t="n">
        <f aca="false">F1617-E1617</f>
        <v>0.0763888888888889</v>
      </c>
      <c r="H1617" s="57" t="s">
        <v>384</v>
      </c>
      <c r="I1617" s="57"/>
      <c r="J1617" s="57" t="s">
        <v>377</v>
      </c>
      <c r="K1617" s="57" t="s">
        <v>378</v>
      </c>
      <c r="L1617" s="57" t="s">
        <v>2598</v>
      </c>
      <c r="M1617" s="57" t="s">
        <v>386</v>
      </c>
      <c r="N1617" s="57" t="s">
        <v>387</v>
      </c>
      <c r="O1617" s="57" t="s">
        <v>2599</v>
      </c>
      <c r="P1617" s="57" t="s">
        <v>2627</v>
      </c>
      <c r="Q1617" s="57" t="s">
        <v>1736</v>
      </c>
    </row>
    <row r="1618" s="50" customFormat="true" ht="14.25" hidden="false" customHeight="true" outlineLevel="0" collapsed="false">
      <c r="A1618" s="50" t="s">
        <v>965</v>
      </c>
      <c r="B1618" s="57" t="s">
        <v>48</v>
      </c>
      <c r="C1618" s="57" t="s">
        <v>322</v>
      </c>
      <c r="D1618" s="58" t="n">
        <v>46079.6666666667</v>
      </c>
      <c r="E1618" s="58" t="n">
        <v>46079.6666666667</v>
      </c>
      <c r="F1618" s="58" t="n">
        <v>46079.7430555556</v>
      </c>
      <c r="G1618" s="59" t="n">
        <f aca="false">F1618-E1618</f>
        <v>0.0763888888888889</v>
      </c>
      <c r="H1618" s="57" t="s">
        <v>384</v>
      </c>
      <c r="I1618" s="57"/>
      <c r="J1618" s="57" t="s">
        <v>377</v>
      </c>
      <c r="K1618" s="57" t="s">
        <v>378</v>
      </c>
      <c r="L1618" s="57" t="s">
        <v>2598</v>
      </c>
      <c r="M1618" s="57" t="s">
        <v>386</v>
      </c>
      <c r="N1618" s="57" t="s">
        <v>387</v>
      </c>
      <c r="O1618" s="57" t="s">
        <v>2599</v>
      </c>
      <c r="P1618" s="57" t="s">
        <v>2628</v>
      </c>
      <c r="Q1618" s="57" t="s">
        <v>1736</v>
      </c>
    </row>
    <row r="1619" s="50" customFormat="true" ht="14.25" hidden="false" customHeight="true" outlineLevel="0" collapsed="false">
      <c r="A1619" s="50" t="s">
        <v>250</v>
      </c>
      <c r="B1619" s="57" t="s">
        <v>250</v>
      </c>
      <c r="C1619" s="57" t="s">
        <v>251</v>
      </c>
      <c r="D1619" s="58" t="n">
        <v>46079.6666666667</v>
      </c>
      <c r="E1619" s="58" t="n">
        <v>46079.6666666667</v>
      </c>
      <c r="F1619" s="58" t="n">
        <v>46079.7430555556</v>
      </c>
      <c r="G1619" s="59" t="n">
        <f aca="false">F1619-E1619</f>
        <v>0.0763888888888889</v>
      </c>
      <c r="H1619" s="57" t="s">
        <v>384</v>
      </c>
      <c r="I1619" s="57"/>
      <c r="J1619" s="57" t="s">
        <v>377</v>
      </c>
      <c r="K1619" s="57" t="s">
        <v>378</v>
      </c>
      <c r="L1619" s="57" t="s">
        <v>2598</v>
      </c>
      <c r="M1619" s="57" t="s">
        <v>386</v>
      </c>
      <c r="N1619" s="57" t="s">
        <v>387</v>
      </c>
      <c r="O1619" s="57" t="s">
        <v>2599</v>
      </c>
      <c r="P1619" s="57" t="s">
        <v>2629</v>
      </c>
      <c r="Q1619" s="57" t="s">
        <v>1736</v>
      </c>
    </row>
    <row r="1620" s="50" customFormat="true" ht="14.25" hidden="false" customHeight="true" outlineLevel="0" collapsed="false">
      <c r="A1620" s="50" t="s">
        <v>250</v>
      </c>
      <c r="B1620" s="57" t="s">
        <v>250</v>
      </c>
      <c r="C1620" s="57" t="s">
        <v>258</v>
      </c>
      <c r="D1620" s="58" t="n">
        <v>46079.6666666667</v>
      </c>
      <c r="E1620" s="58" t="n">
        <v>46079.6666666667</v>
      </c>
      <c r="F1620" s="58" t="n">
        <v>46079.7430555556</v>
      </c>
      <c r="G1620" s="59" t="n">
        <f aca="false">F1620-E1620</f>
        <v>0.0763888888888889</v>
      </c>
      <c r="H1620" s="57" t="s">
        <v>384</v>
      </c>
      <c r="I1620" s="57"/>
      <c r="J1620" s="57" t="s">
        <v>377</v>
      </c>
      <c r="K1620" s="57" t="s">
        <v>378</v>
      </c>
      <c r="L1620" s="57" t="s">
        <v>2598</v>
      </c>
      <c r="M1620" s="57" t="s">
        <v>386</v>
      </c>
      <c r="N1620" s="57" t="s">
        <v>387</v>
      </c>
      <c r="O1620" s="57" t="s">
        <v>2599</v>
      </c>
      <c r="P1620" s="57" t="s">
        <v>2630</v>
      </c>
      <c r="Q1620" s="57" t="s">
        <v>1736</v>
      </c>
    </row>
    <row r="1621" s="50" customFormat="true" ht="14.25" hidden="false" customHeight="true" outlineLevel="0" collapsed="false">
      <c r="A1621" s="50" t="s">
        <v>250</v>
      </c>
      <c r="B1621" s="57" t="s">
        <v>250</v>
      </c>
      <c r="C1621" s="57" t="s">
        <v>259</v>
      </c>
      <c r="D1621" s="58" t="n">
        <v>46079.6666666667</v>
      </c>
      <c r="E1621" s="58" t="n">
        <v>46079.6666666667</v>
      </c>
      <c r="F1621" s="58" t="n">
        <v>46079.7430555556</v>
      </c>
      <c r="G1621" s="59" t="n">
        <f aca="false">F1621-E1621</f>
        <v>0.0763888888888889</v>
      </c>
      <c r="H1621" s="57" t="s">
        <v>384</v>
      </c>
      <c r="I1621" s="57"/>
      <c r="J1621" s="57" t="s">
        <v>377</v>
      </c>
      <c r="K1621" s="57" t="s">
        <v>378</v>
      </c>
      <c r="L1621" s="57" t="s">
        <v>2598</v>
      </c>
      <c r="M1621" s="57" t="s">
        <v>386</v>
      </c>
      <c r="N1621" s="57" t="s">
        <v>387</v>
      </c>
      <c r="O1621" s="57" t="s">
        <v>2599</v>
      </c>
      <c r="P1621" s="57" t="s">
        <v>2631</v>
      </c>
      <c r="Q1621" s="57" t="s">
        <v>1736</v>
      </c>
    </row>
    <row r="1622" s="50" customFormat="true" ht="14.25" hidden="false" customHeight="true" outlineLevel="0" collapsed="false">
      <c r="A1622" s="50" t="s">
        <v>250</v>
      </c>
      <c r="B1622" s="57" t="s">
        <v>250</v>
      </c>
      <c r="C1622" s="57" t="s">
        <v>260</v>
      </c>
      <c r="D1622" s="58" t="n">
        <v>46079.6666666667</v>
      </c>
      <c r="E1622" s="58" t="n">
        <v>46079.6666666667</v>
      </c>
      <c r="F1622" s="58" t="n">
        <v>46079.7430555556</v>
      </c>
      <c r="G1622" s="59" t="n">
        <f aca="false">F1622-E1622</f>
        <v>0.0763888888888889</v>
      </c>
      <c r="H1622" s="57" t="s">
        <v>384</v>
      </c>
      <c r="I1622" s="57"/>
      <c r="J1622" s="57" t="s">
        <v>377</v>
      </c>
      <c r="K1622" s="57" t="s">
        <v>378</v>
      </c>
      <c r="L1622" s="57" t="s">
        <v>2598</v>
      </c>
      <c r="M1622" s="57" t="s">
        <v>386</v>
      </c>
      <c r="N1622" s="57" t="s">
        <v>387</v>
      </c>
      <c r="O1622" s="57" t="s">
        <v>2599</v>
      </c>
      <c r="P1622" s="57" t="s">
        <v>2632</v>
      </c>
      <c r="Q1622" s="57" t="s">
        <v>1736</v>
      </c>
    </row>
    <row r="1623" s="50" customFormat="true" ht="14.25" hidden="false" customHeight="true" outlineLevel="0" collapsed="false">
      <c r="A1623" s="50" t="s">
        <v>250</v>
      </c>
      <c r="B1623" s="57" t="s">
        <v>250</v>
      </c>
      <c r="C1623" s="57" t="s">
        <v>261</v>
      </c>
      <c r="D1623" s="58" t="n">
        <v>46079.6666666667</v>
      </c>
      <c r="E1623" s="58" t="n">
        <v>46079.6666666667</v>
      </c>
      <c r="F1623" s="58" t="n">
        <v>46079.7430555556</v>
      </c>
      <c r="G1623" s="59" t="n">
        <f aca="false">F1623-E1623</f>
        <v>0.0763888888888889</v>
      </c>
      <c r="H1623" s="57" t="s">
        <v>384</v>
      </c>
      <c r="I1623" s="57"/>
      <c r="J1623" s="57" t="s">
        <v>377</v>
      </c>
      <c r="K1623" s="57" t="s">
        <v>378</v>
      </c>
      <c r="L1623" s="57" t="s">
        <v>2598</v>
      </c>
      <c r="M1623" s="57" t="s">
        <v>386</v>
      </c>
      <c r="N1623" s="57" t="s">
        <v>387</v>
      </c>
      <c r="O1623" s="57" t="s">
        <v>2599</v>
      </c>
      <c r="P1623" s="57" t="s">
        <v>2633</v>
      </c>
      <c r="Q1623" s="57" t="s">
        <v>1736</v>
      </c>
    </row>
    <row r="1624" s="50" customFormat="true" ht="14.25" hidden="false" customHeight="true" outlineLevel="0" collapsed="false">
      <c r="A1624" s="50" t="s">
        <v>262</v>
      </c>
      <c r="B1624" s="57" t="s">
        <v>262</v>
      </c>
      <c r="C1624" s="57" t="s">
        <v>251</v>
      </c>
      <c r="D1624" s="58" t="n">
        <v>46079.6666666667</v>
      </c>
      <c r="E1624" s="58" t="n">
        <v>46079.6666666667</v>
      </c>
      <c r="F1624" s="58" t="n">
        <v>46079.7430555556</v>
      </c>
      <c r="G1624" s="59" t="n">
        <f aca="false">F1624-E1624</f>
        <v>0.0763888888888889</v>
      </c>
      <c r="H1624" s="57" t="s">
        <v>384</v>
      </c>
      <c r="I1624" s="57"/>
      <c r="J1624" s="57" t="s">
        <v>377</v>
      </c>
      <c r="K1624" s="57" t="s">
        <v>378</v>
      </c>
      <c r="L1624" s="57" t="s">
        <v>2598</v>
      </c>
      <c r="M1624" s="57" t="s">
        <v>386</v>
      </c>
      <c r="N1624" s="57" t="s">
        <v>387</v>
      </c>
      <c r="O1624" s="57" t="s">
        <v>2599</v>
      </c>
      <c r="P1624" s="57" t="s">
        <v>2634</v>
      </c>
      <c r="Q1624" s="57" t="s">
        <v>1736</v>
      </c>
    </row>
    <row r="1625" s="50" customFormat="true" ht="14.25" hidden="false" customHeight="true" outlineLevel="0" collapsed="false">
      <c r="A1625" s="50" t="s">
        <v>262</v>
      </c>
      <c r="B1625" s="57" t="s">
        <v>262</v>
      </c>
      <c r="C1625" s="57" t="s">
        <v>258</v>
      </c>
      <c r="D1625" s="58" t="n">
        <v>46079.6666666667</v>
      </c>
      <c r="E1625" s="58" t="n">
        <v>46079.6666666667</v>
      </c>
      <c r="F1625" s="58" t="n">
        <v>46079.7430555556</v>
      </c>
      <c r="G1625" s="59" t="n">
        <f aca="false">F1625-E1625</f>
        <v>0.0763888888888889</v>
      </c>
      <c r="H1625" s="57" t="s">
        <v>384</v>
      </c>
      <c r="I1625" s="57"/>
      <c r="J1625" s="57" t="s">
        <v>377</v>
      </c>
      <c r="K1625" s="57" t="s">
        <v>378</v>
      </c>
      <c r="L1625" s="57" t="s">
        <v>2598</v>
      </c>
      <c r="M1625" s="57" t="s">
        <v>386</v>
      </c>
      <c r="N1625" s="57" t="s">
        <v>387</v>
      </c>
      <c r="O1625" s="57" t="s">
        <v>2599</v>
      </c>
      <c r="P1625" s="57" t="s">
        <v>2635</v>
      </c>
      <c r="Q1625" s="57" t="s">
        <v>1736</v>
      </c>
    </row>
    <row r="1626" s="50" customFormat="true" ht="14.25" hidden="false" customHeight="true" outlineLevel="0" collapsed="false">
      <c r="A1626" s="50" t="s">
        <v>262</v>
      </c>
      <c r="B1626" s="57" t="s">
        <v>262</v>
      </c>
      <c r="C1626" s="57" t="s">
        <v>259</v>
      </c>
      <c r="D1626" s="58" t="n">
        <v>46079.6666666667</v>
      </c>
      <c r="E1626" s="58" t="n">
        <v>46079.6666666667</v>
      </c>
      <c r="F1626" s="58" t="n">
        <v>46079.7430555556</v>
      </c>
      <c r="G1626" s="59" t="n">
        <f aca="false">F1626-E1626</f>
        <v>0.0763888888888889</v>
      </c>
      <c r="H1626" s="57" t="s">
        <v>384</v>
      </c>
      <c r="I1626" s="57"/>
      <c r="J1626" s="57" t="s">
        <v>377</v>
      </c>
      <c r="K1626" s="57" t="s">
        <v>378</v>
      </c>
      <c r="L1626" s="57" t="s">
        <v>2598</v>
      </c>
      <c r="M1626" s="57" t="s">
        <v>386</v>
      </c>
      <c r="N1626" s="57" t="s">
        <v>387</v>
      </c>
      <c r="O1626" s="57" t="s">
        <v>2599</v>
      </c>
      <c r="P1626" s="57" t="s">
        <v>2636</v>
      </c>
      <c r="Q1626" s="57" t="s">
        <v>1736</v>
      </c>
    </row>
    <row r="1627" s="50" customFormat="true" ht="14.25" hidden="false" customHeight="true" outlineLevel="0" collapsed="false">
      <c r="A1627" s="50" t="s">
        <v>262</v>
      </c>
      <c r="B1627" s="57" t="s">
        <v>262</v>
      </c>
      <c r="C1627" s="57" t="s">
        <v>260</v>
      </c>
      <c r="D1627" s="58" t="n">
        <v>46079.6666666667</v>
      </c>
      <c r="E1627" s="58" t="n">
        <v>46079.6666666667</v>
      </c>
      <c r="F1627" s="58" t="n">
        <v>46079.7430555556</v>
      </c>
      <c r="G1627" s="59" t="n">
        <f aca="false">F1627-E1627</f>
        <v>0.0763888888888889</v>
      </c>
      <c r="H1627" s="57" t="s">
        <v>384</v>
      </c>
      <c r="I1627" s="57"/>
      <c r="J1627" s="57" t="s">
        <v>377</v>
      </c>
      <c r="K1627" s="57" t="s">
        <v>378</v>
      </c>
      <c r="L1627" s="57" t="s">
        <v>2598</v>
      </c>
      <c r="M1627" s="57" t="s">
        <v>386</v>
      </c>
      <c r="N1627" s="57" t="s">
        <v>387</v>
      </c>
      <c r="O1627" s="57" t="s">
        <v>2599</v>
      </c>
      <c r="P1627" s="57" t="s">
        <v>2637</v>
      </c>
      <c r="Q1627" s="57" t="s">
        <v>1736</v>
      </c>
    </row>
    <row r="1628" s="50" customFormat="true" ht="14.25" hidden="false" customHeight="true" outlineLevel="0" collapsed="false">
      <c r="A1628" s="50" t="s">
        <v>262</v>
      </c>
      <c r="B1628" s="57" t="s">
        <v>262</v>
      </c>
      <c r="C1628" s="57" t="s">
        <v>261</v>
      </c>
      <c r="D1628" s="58" t="n">
        <v>46079.6666666667</v>
      </c>
      <c r="E1628" s="58" t="n">
        <v>46079.6666666667</v>
      </c>
      <c r="F1628" s="58" t="n">
        <v>46079.7430555556</v>
      </c>
      <c r="G1628" s="59" t="n">
        <f aca="false">F1628-E1628</f>
        <v>0.0763888888888889</v>
      </c>
      <c r="H1628" s="57" t="s">
        <v>384</v>
      </c>
      <c r="I1628" s="57"/>
      <c r="J1628" s="57" t="s">
        <v>377</v>
      </c>
      <c r="K1628" s="57" t="s">
        <v>378</v>
      </c>
      <c r="L1628" s="57" t="s">
        <v>2598</v>
      </c>
      <c r="M1628" s="57" t="s">
        <v>386</v>
      </c>
      <c r="N1628" s="57" t="s">
        <v>387</v>
      </c>
      <c r="O1628" s="57" t="s">
        <v>2599</v>
      </c>
      <c r="P1628" s="57" t="s">
        <v>2638</v>
      </c>
      <c r="Q1628" s="57" t="s">
        <v>1736</v>
      </c>
    </row>
    <row r="1629" s="50" customFormat="true" ht="14.25" hidden="false" customHeight="true" outlineLevel="0" collapsed="false">
      <c r="A1629" s="50" t="s">
        <v>263</v>
      </c>
      <c r="B1629" s="57" t="s">
        <v>263</v>
      </c>
      <c r="C1629" s="57" t="s">
        <v>251</v>
      </c>
      <c r="D1629" s="58" t="n">
        <v>46079.6666666667</v>
      </c>
      <c r="E1629" s="58" t="n">
        <v>46079.6666666667</v>
      </c>
      <c r="F1629" s="58" t="n">
        <v>46079.7430555556</v>
      </c>
      <c r="G1629" s="59" t="n">
        <f aca="false">F1629-E1629</f>
        <v>0.0763888888888889</v>
      </c>
      <c r="H1629" s="57" t="s">
        <v>384</v>
      </c>
      <c r="I1629" s="57"/>
      <c r="J1629" s="57" t="s">
        <v>377</v>
      </c>
      <c r="K1629" s="57" t="s">
        <v>378</v>
      </c>
      <c r="L1629" s="57" t="s">
        <v>2598</v>
      </c>
      <c r="M1629" s="57" t="s">
        <v>386</v>
      </c>
      <c r="N1629" s="57" t="s">
        <v>387</v>
      </c>
      <c r="O1629" s="57" t="s">
        <v>2599</v>
      </c>
      <c r="P1629" s="57" t="s">
        <v>2639</v>
      </c>
      <c r="Q1629" s="57" t="s">
        <v>1736</v>
      </c>
    </row>
    <row r="1630" s="50" customFormat="true" ht="14.25" hidden="false" customHeight="true" outlineLevel="0" collapsed="false">
      <c r="A1630" s="50" t="s">
        <v>263</v>
      </c>
      <c r="B1630" s="57" t="s">
        <v>263</v>
      </c>
      <c r="C1630" s="57" t="s">
        <v>258</v>
      </c>
      <c r="D1630" s="58" t="n">
        <v>46079.6666666667</v>
      </c>
      <c r="E1630" s="58" t="n">
        <v>46079.6666666667</v>
      </c>
      <c r="F1630" s="58" t="n">
        <v>46079.7430555556</v>
      </c>
      <c r="G1630" s="59" t="n">
        <f aca="false">F1630-E1630</f>
        <v>0.0763888888888889</v>
      </c>
      <c r="H1630" s="57" t="s">
        <v>384</v>
      </c>
      <c r="I1630" s="57"/>
      <c r="J1630" s="57" t="s">
        <v>377</v>
      </c>
      <c r="K1630" s="57" t="s">
        <v>378</v>
      </c>
      <c r="L1630" s="57" t="s">
        <v>2598</v>
      </c>
      <c r="M1630" s="57" t="s">
        <v>386</v>
      </c>
      <c r="N1630" s="57" t="s">
        <v>387</v>
      </c>
      <c r="O1630" s="57" t="s">
        <v>2599</v>
      </c>
      <c r="P1630" s="57" t="s">
        <v>2640</v>
      </c>
      <c r="Q1630" s="57" t="s">
        <v>1736</v>
      </c>
    </row>
    <row r="1631" s="50" customFormat="true" ht="14.25" hidden="false" customHeight="true" outlineLevel="0" collapsed="false">
      <c r="A1631" s="50" t="s">
        <v>263</v>
      </c>
      <c r="B1631" s="57" t="s">
        <v>263</v>
      </c>
      <c r="C1631" s="57" t="s">
        <v>259</v>
      </c>
      <c r="D1631" s="58" t="n">
        <v>46079.6666666667</v>
      </c>
      <c r="E1631" s="58" t="n">
        <v>46079.6666666667</v>
      </c>
      <c r="F1631" s="58" t="n">
        <v>46079.7430555556</v>
      </c>
      <c r="G1631" s="59" t="n">
        <f aca="false">F1631-E1631</f>
        <v>0.0763888888888889</v>
      </c>
      <c r="H1631" s="57" t="s">
        <v>384</v>
      </c>
      <c r="I1631" s="57"/>
      <c r="J1631" s="57" t="s">
        <v>377</v>
      </c>
      <c r="K1631" s="57" t="s">
        <v>378</v>
      </c>
      <c r="L1631" s="57" t="s">
        <v>2598</v>
      </c>
      <c r="M1631" s="57" t="s">
        <v>386</v>
      </c>
      <c r="N1631" s="57" t="s">
        <v>387</v>
      </c>
      <c r="O1631" s="57" t="s">
        <v>2599</v>
      </c>
      <c r="P1631" s="57" t="s">
        <v>2641</v>
      </c>
      <c r="Q1631" s="57" t="s">
        <v>1736</v>
      </c>
    </row>
    <row r="1632" s="50" customFormat="true" ht="14.25" hidden="false" customHeight="true" outlineLevel="0" collapsed="false">
      <c r="A1632" s="50" t="s">
        <v>263</v>
      </c>
      <c r="B1632" s="57" t="s">
        <v>263</v>
      </c>
      <c r="C1632" s="57" t="s">
        <v>260</v>
      </c>
      <c r="D1632" s="58" t="n">
        <v>46079.6666666667</v>
      </c>
      <c r="E1632" s="58" t="n">
        <v>46079.6666666667</v>
      </c>
      <c r="F1632" s="58" t="n">
        <v>46079.7430555556</v>
      </c>
      <c r="G1632" s="59" t="n">
        <f aca="false">F1632-E1632</f>
        <v>0.0763888888888889</v>
      </c>
      <c r="H1632" s="57" t="s">
        <v>384</v>
      </c>
      <c r="I1632" s="57"/>
      <c r="J1632" s="57" t="s">
        <v>377</v>
      </c>
      <c r="K1632" s="57" t="s">
        <v>378</v>
      </c>
      <c r="L1632" s="57" t="s">
        <v>2598</v>
      </c>
      <c r="M1632" s="57" t="s">
        <v>386</v>
      </c>
      <c r="N1632" s="57" t="s">
        <v>387</v>
      </c>
      <c r="O1632" s="57" t="s">
        <v>2599</v>
      </c>
      <c r="P1632" s="57" t="s">
        <v>2642</v>
      </c>
      <c r="Q1632" s="57" t="s">
        <v>1736</v>
      </c>
    </row>
    <row r="1633" s="50" customFormat="true" ht="14.25" hidden="false" customHeight="true" outlineLevel="0" collapsed="false">
      <c r="A1633" s="50" t="s">
        <v>263</v>
      </c>
      <c r="B1633" s="57" t="s">
        <v>263</v>
      </c>
      <c r="C1633" s="57" t="s">
        <v>261</v>
      </c>
      <c r="D1633" s="58" t="n">
        <v>46079.6666666667</v>
      </c>
      <c r="E1633" s="58" t="n">
        <v>46079.6666666667</v>
      </c>
      <c r="F1633" s="58" t="n">
        <v>46079.7430555556</v>
      </c>
      <c r="G1633" s="59" t="n">
        <f aca="false">F1633-E1633</f>
        <v>0.0763888888888889</v>
      </c>
      <c r="H1633" s="57" t="s">
        <v>384</v>
      </c>
      <c r="I1633" s="57"/>
      <c r="J1633" s="57" t="s">
        <v>377</v>
      </c>
      <c r="K1633" s="57" t="s">
        <v>378</v>
      </c>
      <c r="L1633" s="57" t="s">
        <v>2598</v>
      </c>
      <c r="M1633" s="57" t="s">
        <v>386</v>
      </c>
      <c r="N1633" s="57" t="s">
        <v>387</v>
      </c>
      <c r="O1633" s="57" t="s">
        <v>2599</v>
      </c>
      <c r="P1633" s="57" t="s">
        <v>2643</v>
      </c>
      <c r="Q1633" s="57" t="s">
        <v>1736</v>
      </c>
    </row>
    <row r="1634" s="50" customFormat="true" ht="14.25" hidden="false" customHeight="true" outlineLevel="0" collapsed="false">
      <c r="A1634" s="50" t="s">
        <v>264</v>
      </c>
      <c r="B1634" s="57" t="s">
        <v>264</v>
      </c>
      <c r="C1634" s="57" t="s">
        <v>265</v>
      </c>
      <c r="D1634" s="58" t="n">
        <v>46079.71875</v>
      </c>
      <c r="E1634" s="58" t="n">
        <v>46079.71875</v>
      </c>
      <c r="F1634" s="58" t="n">
        <v>46079.7451388889</v>
      </c>
      <c r="G1634" s="59" t="n">
        <f aca="false">F1634-E1634</f>
        <v>0.026388888900463</v>
      </c>
      <c r="H1634" s="57" t="s">
        <v>384</v>
      </c>
      <c r="I1634" s="57"/>
      <c r="J1634" s="57" t="s">
        <v>377</v>
      </c>
      <c r="K1634" s="57" t="s">
        <v>378</v>
      </c>
      <c r="L1634" s="57" t="s">
        <v>2644</v>
      </c>
      <c r="M1634" s="57" t="s">
        <v>386</v>
      </c>
      <c r="N1634" s="57" t="s">
        <v>387</v>
      </c>
      <c r="O1634" s="57" t="s">
        <v>2645</v>
      </c>
      <c r="P1634" s="57" t="s">
        <v>2646</v>
      </c>
      <c r="Q1634" s="57" t="s">
        <v>1736</v>
      </c>
    </row>
    <row r="1635" s="50" customFormat="true" ht="14.25" hidden="false" customHeight="true" outlineLevel="0" collapsed="false">
      <c r="A1635" s="50" t="s">
        <v>271</v>
      </c>
      <c r="B1635" s="57" t="s">
        <v>271</v>
      </c>
      <c r="C1635" s="57" t="s">
        <v>265</v>
      </c>
      <c r="D1635" s="58" t="n">
        <v>46079.71875</v>
      </c>
      <c r="E1635" s="58" t="n">
        <v>46079.71875</v>
      </c>
      <c r="F1635" s="58" t="n">
        <v>46079.7451388889</v>
      </c>
      <c r="G1635" s="59" t="n">
        <f aca="false">F1635-E1635</f>
        <v>0.026388888900463</v>
      </c>
      <c r="H1635" s="57" t="s">
        <v>384</v>
      </c>
      <c r="I1635" s="57"/>
      <c r="J1635" s="57" t="s">
        <v>377</v>
      </c>
      <c r="K1635" s="57" t="s">
        <v>378</v>
      </c>
      <c r="L1635" s="57" t="s">
        <v>2644</v>
      </c>
      <c r="M1635" s="57" t="s">
        <v>386</v>
      </c>
      <c r="N1635" s="57" t="s">
        <v>387</v>
      </c>
      <c r="O1635" s="57" t="s">
        <v>2645</v>
      </c>
      <c r="P1635" s="57" t="s">
        <v>2647</v>
      </c>
      <c r="Q1635" s="57" t="s">
        <v>1736</v>
      </c>
    </row>
    <row r="1636" s="50" customFormat="true" ht="14.25" hidden="false" customHeight="true" outlineLevel="0" collapsed="false">
      <c r="A1636" s="50" t="s">
        <v>272</v>
      </c>
      <c r="B1636" s="57" t="s">
        <v>272</v>
      </c>
      <c r="C1636" s="57" t="s">
        <v>265</v>
      </c>
      <c r="D1636" s="58" t="n">
        <v>46079.71875</v>
      </c>
      <c r="E1636" s="58" t="n">
        <v>46079.71875</v>
      </c>
      <c r="F1636" s="58" t="n">
        <v>46079.7451388889</v>
      </c>
      <c r="G1636" s="59" t="n">
        <f aca="false">F1636-E1636</f>
        <v>0.026388888900463</v>
      </c>
      <c r="H1636" s="57" t="s">
        <v>384</v>
      </c>
      <c r="I1636" s="57"/>
      <c r="J1636" s="57" t="s">
        <v>377</v>
      </c>
      <c r="K1636" s="57" t="s">
        <v>378</v>
      </c>
      <c r="L1636" s="57" t="s">
        <v>2644</v>
      </c>
      <c r="M1636" s="57" t="s">
        <v>386</v>
      </c>
      <c r="N1636" s="57" t="s">
        <v>387</v>
      </c>
      <c r="O1636" s="57" t="s">
        <v>2645</v>
      </c>
      <c r="P1636" s="57" t="s">
        <v>2648</v>
      </c>
      <c r="Q1636" s="57" t="s">
        <v>1736</v>
      </c>
    </row>
    <row r="1637" s="50" customFormat="true" ht="14.25" hidden="false" customHeight="true" outlineLevel="0" collapsed="false">
      <c r="A1637" s="50" t="s">
        <v>273</v>
      </c>
      <c r="B1637" s="57" t="s">
        <v>273</v>
      </c>
      <c r="C1637" s="57" t="s">
        <v>265</v>
      </c>
      <c r="D1637" s="58" t="n">
        <v>46079.71875</v>
      </c>
      <c r="E1637" s="58" t="n">
        <v>46079.71875</v>
      </c>
      <c r="F1637" s="58" t="n">
        <v>46079.7451388889</v>
      </c>
      <c r="G1637" s="59" t="n">
        <f aca="false">F1637-E1637</f>
        <v>0.026388888900463</v>
      </c>
      <c r="H1637" s="57" t="s">
        <v>384</v>
      </c>
      <c r="I1637" s="57"/>
      <c r="J1637" s="57" t="s">
        <v>377</v>
      </c>
      <c r="K1637" s="57" t="s">
        <v>378</v>
      </c>
      <c r="L1637" s="57" t="s">
        <v>2644</v>
      </c>
      <c r="M1637" s="57" t="s">
        <v>386</v>
      </c>
      <c r="N1637" s="57" t="s">
        <v>387</v>
      </c>
      <c r="O1637" s="57" t="s">
        <v>2645</v>
      </c>
      <c r="P1637" s="57" t="s">
        <v>2649</v>
      </c>
      <c r="Q1637" s="57" t="s">
        <v>1736</v>
      </c>
    </row>
    <row r="1638" s="50" customFormat="true" ht="14.25" hidden="false" customHeight="true" outlineLevel="0" collapsed="false">
      <c r="A1638" s="50" t="s">
        <v>424</v>
      </c>
      <c r="B1638" s="57" t="s">
        <v>424</v>
      </c>
      <c r="C1638" s="57" t="s">
        <v>265</v>
      </c>
      <c r="D1638" s="58" t="n">
        <v>46079.8993055556</v>
      </c>
      <c r="E1638" s="58" t="n">
        <v>46079.8993055556</v>
      </c>
      <c r="F1638" s="58" t="n">
        <v>46079.9666666667</v>
      </c>
      <c r="G1638" s="59" t="n">
        <f aca="false">F1638-E1638</f>
        <v>0.0673611111111111</v>
      </c>
      <c r="H1638" s="57" t="s">
        <v>252</v>
      </c>
      <c r="I1638" s="57"/>
      <c r="J1638" s="57" t="s">
        <v>253</v>
      </c>
      <c r="K1638" s="57" t="s">
        <v>266</v>
      </c>
      <c r="L1638" s="57" t="s">
        <v>2650</v>
      </c>
      <c r="M1638" s="57" t="s">
        <v>255</v>
      </c>
      <c r="N1638" s="57" t="s">
        <v>256</v>
      </c>
      <c r="O1638" s="57" t="s">
        <v>2651</v>
      </c>
      <c r="P1638" s="57" t="s">
        <v>2652</v>
      </c>
      <c r="Q1638" s="57" t="s">
        <v>706</v>
      </c>
    </row>
    <row r="1639" s="50" customFormat="true" ht="14.25" hidden="false" customHeight="true" outlineLevel="0" collapsed="false">
      <c r="A1639" s="50" t="s">
        <v>424</v>
      </c>
      <c r="B1639" s="57" t="s">
        <v>424</v>
      </c>
      <c r="C1639" s="57" t="s">
        <v>251</v>
      </c>
      <c r="D1639" s="58" t="n">
        <v>46079.8993055556</v>
      </c>
      <c r="E1639" s="58" t="n">
        <v>46079.8993055556</v>
      </c>
      <c r="F1639" s="58" t="n">
        <v>46079.9666666667</v>
      </c>
      <c r="G1639" s="59" t="n">
        <f aca="false">F1639-E1639</f>
        <v>0.0673611111111111</v>
      </c>
      <c r="H1639" s="57" t="s">
        <v>252</v>
      </c>
      <c r="I1639" s="57"/>
      <c r="J1639" s="57" t="s">
        <v>253</v>
      </c>
      <c r="K1639" s="57" t="s">
        <v>266</v>
      </c>
      <c r="L1639" s="57" t="s">
        <v>2650</v>
      </c>
      <c r="M1639" s="57" t="s">
        <v>255</v>
      </c>
      <c r="N1639" s="57" t="s">
        <v>256</v>
      </c>
      <c r="O1639" s="57" t="s">
        <v>2651</v>
      </c>
      <c r="P1639" s="57" t="s">
        <v>2653</v>
      </c>
      <c r="Q1639" s="57" t="s">
        <v>706</v>
      </c>
    </row>
    <row r="1640" s="50" customFormat="true" ht="14.25" hidden="false" customHeight="true" outlineLevel="0" collapsed="false">
      <c r="A1640" s="50" t="s">
        <v>424</v>
      </c>
      <c r="B1640" s="57" t="s">
        <v>424</v>
      </c>
      <c r="C1640" s="57" t="s">
        <v>258</v>
      </c>
      <c r="D1640" s="58" t="n">
        <v>46079.8993055556</v>
      </c>
      <c r="E1640" s="58" t="n">
        <v>46079.8993055556</v>
      </c>
      <c r="F1640" s="58" t="n">
        <v>46079.9666666667</v>
      </c>
      <c r="G1640" s="59" t="n">
        <f aca="false">F1640-E1640</f>
        <v>0.0673611111111111</v>
      </c>
      <c r="H1640" s="57" t="s">
        <v>252</v>
      </c>
      <c r="I1640" s="57"/>
      <c r="J1640" s="57" t="s">
        <v>253</v>
      </c>
      <c r="K1640" s="57" t="s">
        <v>266</v>
      </c>
      <c r="L1640" s="57" t="s">
        <v>2650</v>
      </c>
      <c r="M1640" s="57" t="s">
        <v>255</v>
      </c>
      <c r="N1640" s="57" t="s">
        <v>256</v>
      </c>
      <c r="O1640" s="57" t="s">
        <v>2651</v>
      </c>
      <c r="P1640" s="57" t="s">
        <v>2654</v>
      </c>
      <c r="Q1640" s="57" t="s">
        <v>706</v>
      </c>
    </row>
    <row r="1641" s="50" customFormat="true" ht="14.25" hidden="false" customHeight="true" outlineLevel="0" collapsed="false">
      <c r="A1641" s="50" t="s">
        <v>424</v>
      </c>
      <c r="B1641" s="57" t="s">
        <v>424</v>
      </c>
      <c r="C1641" s="57" t="s">
        <v>261</v>
      </c>
      <c r="D1641" s="58" t="n">
        <v>46079.8993055556</v>
      </c>
      <c r="E1641" s="58" t="n">
        <v>46079.8993055556</v>
      </c>
      <c r="F1641" s="58" t="n">
        <v>46079.9666666667</v>
      </c>
      <c r="G1641" s="59" t="n">
        <f aca="false">F1641-E1641</f>
        <v>0.0673611111111111</v>
      </c>
      <c r="H1641" s="57" t="s">
        <v>252</v>
      </c>
      <c r="I1641" s="57"/>
      <c r="J1641" s="57" t="s">
        <v>253</v>
      </c>
      <c r="K1641" s="57" t="s">
        <v>266</v>
      </c>
      <c r="L1641" s="57" t="s">
        <v>2650</v>
      </c>
      <c r="M1641" s="57" t="s">
        <v>255</v>
      </c>
      <c r="N1641" s="57" t="s">
        <v>256</v>
      </c>
      <c r="O1641" s="57" t="s">
        <v>2651</v>
      </c>
      <c r="P1641" s="57" t="s">
        <v>2655</v>
      </c>
      <c r="Q1641" s="57" t="s">
        <v>706</v>
      </c>
    </row>
    <row r="1642" s="50" customFormat="true" ht="14.25" hidden="false" customHeight="true" outlineLevel="0" collapsed="false">
      <c r="A1642" s="50" t="s">
        <v>424</v>
      </c>
      <c r="B1642" s="57" t="s">
        <v>424</v>
      </c>
      <c r="C1642" s="57" t="s">
        <v>260</v>
      </c>
      <c r="D1642" s="58" t="n">
        <v>46079.8993055556</v>
      </c>
      <c r="E1642" s="58" t="n">
        <v>46079.8993055556</v>
      </c>
      <c r="F1642" s="58" t="n">
        <v>46079.9666666667</v>
      </c>
      <c r="G1642" s="59" t="n">
        <f aca="false">F1642-E1642</f>
        <v>0.0673611111111111</v>
      </c>
      <c r="H1642" s="57" t="s">
        <v>252</v>
      </c>
      <c r="I1642" s="57"/>
      <c r="J1642" s="57" t="s">
        <v>253</v>
      </c>
      <c r="K1642" s="57" t="s">
        <v>266</v>
      </c>
      <c r="L1642" s="57" t="s">
        <v>2650</v>
      </c>
      <c r="M1642" s="57" t="s">
        <v>255</v>
      </c>
      <c r="N1642" s="57" t="s">
        <v>256</v>
      </c>
      <c r="O1642" s="57" t="s">
        <v>2651</v>
      </c>
      <c r="P1642" s="57" t="s">
        <v>2656</v>
      </c>
      <c r="Q1642" s="57" t="s">
        <v>706</v>
      </c>
    </row>
    <row r="1643" s="50" customFormat="true" ht="14.25" hidden="false" customHeight="true" outlineLevel="0" collapsed="false">
      <c r="A1643" s="50" t="s">
        <v>425</v>
      </c>
      <c r="B1643" s="57" t="s">
        <v>425</v>
      </c>
      <c r="C1643" s="57" t="s">
        <v>265</v>
      </c>
      <c r="D1643" s="58" t="n">
        <v>46079.8993055556</v>
      </c>
      <c r="E1643" s="58" t="n">
        <v>46079.8993055556</v>
      </c>
      <c r="F1643" s="58" t="n">
        <v>46079.9666666667</v>
      </c>
      <c r="G1643" s="59" t="n">
        <f aca="false">F1643-E1643</f>
        <v>0.0673611111111111</v>
      </c>
      <c r="H1643" s="57" t="s">
        <v>252</v>
      </c>
      <c r="I1643" s="57"/>
      <c r="J1643" s="57" t="s">
        <v>253</v>
      </c>
      <c r="K1643" s="57" t="s">
        <v>266</v>
      </c>
      <c r="L1643" s="57" t="s">
        <v>2657</v>
      </c>
      <c r="M1643" s="57" t="s">
        <v>255</v>
      </c>
      <c r="N1643" s="57" t="s">
        <v>256</v>
      </c>
      <c r="O1643" s="57" t="s">
        <v>2651</v>
      </c>
      <c r="P1643" s="57" t="s">
        <v>2658</v>
      </c>
      <c r="Q1643" s="57" t="s">
        <v>706</v>
      </c>
    </row>
    <row r="1644" s="50" customFormat="true" ht="14.25" hidden="false" customHeight="true" outlineLevel="0" collapsed="false">
      <c r="A1644" s="50" t="s">
        <v>425</v>
      </c>
      <c r="B1644" s="57" t="s">
        <v>425</v>
      </c>
      <c r="C1644" s="57" t="s">
        <v>426</v>
      </c>
      <c r="D1644" s="58" t="n">
        <v>46079.8993055556</v>
      </c>
      <c r="E1644" s="58" t="n">
        <v>46079.8993055556</v>
      </c>
      <c r="F1644" s="58" t="n">
        <v>46079.9666666667</v>
      </c>
      <c r="G1644" s="59" t="n">
        <f aca="false">F1644-E1644</f>
        <v>0.0673611111111111</v>
      </c>
      <c r="H1644" s="57" t="s">
        <v>252</v>
      </c>
      <c r="I1644" s="57"/>
      <c r="J1644" s="57" t="s">
        <v>253</v>
      </c>
      <c r="K1644" s="57" t="s">
        <v>266</v>
      </c>
      <c r="L1644" s="57" t="s">
        <v>2657</v>
      </c>
      <c r="M1644" s="57" t="s">
        <v>255</v>
      </c>
      <c r="N1644" s="57" t="s">
        <v>256</v>
      </c>
      <c r="O1644" s="57" t="s">
        <v>2651</v>
      </c>
      <c r="P1644" s="57" t="s">
        <v>2659</v>
      </c>
      <c r="Q1644" s="57" t="s">
        <v>706</v>
      </c>
    </row>
    <row r="1645" s="50" customFormat="true" ht="14.25" hidden="false" customHeight="true" outlineLevel="0" collapsed="false">
      <c r="A1645" s="50" t="s">
        <v>425</v>
      </c>
      <c r="B1645" s="57" t="s">
        <v>425</v>
      </c>
      <c r="C1645" s="57" t="s">
        <v>427</v>
      </c>
      <c r="D1645" s="58" t="n">
        <v>46079.8993055556</v>
      </c>
      <c r="E1645" s="58" t="n">
        <v>46079.8993055556</v>
      </c>
      <c r="F1645" s="58" t="n">
        <v>46079.9666666667</v>
      </c>
      <c r="G1645" s="59" t="n">
        <f aca="false">F1645-E1645</f>
        <v>0.0673611111111111</v>
      </c>
      <c r="H1645" s="57" t="s">
        <v>252</v>
      </c>
      <c r="I1645" s="57"/>
      <c r="J1645" s="57" t="s">
        <v>253</v>
      </c>
      <c r="K1645" s="57" t="s">
        <v>266</v>
      </c>
      <c r="L1645" s="57" t="s">
        <v>2657</v>
      </c>
      <c r="M1645" s="57" t="s">
        <v>255</v>
      </c>
      <c r="N1645" s="57" t="s">
        <v>256</v>
      </c>
      <c r="O1645" s="57" t="s">
        <v>2651</v>
      </c>
      <c r="P1645" s="57" t="s">
        <v>2660</v>
      </c>
      <c r="Q1645" s="57" t="s">
        <v>706</v>
      </c>
    </row>
    <row r="1646" s="50" customFormat="true" ht="14.25" hidden="false" customHeight="true" outlineLevel="0" collapsed="false">
      <c r="A1646" s="50" t="s">
        <v>425</v>
      </c>
      <c r="B1646" s="57" t="s">
        <v>425</v>
      </c>
      <c r="C1646" s="57" t="s">
        <v>428</v>
      </c>
      <c r="D1646" s="58" t="n">
        <v>46079.8993055556</v>
      </c>
      <c r="E1646" s="58" t="n">
        <v>46079.8993055556</v>
      </c>
      <c r="F1646" s="58" t="n">
        <v>46079.9666666667</v>
      </c>
      <c r="G1646" s="59" t="n">
        <f aca="false">F1646-E1646</f>
        <v>0.0673611111111111</v>
      </c>
      <c r="H1646" s="57" t="s">
        <v>252</v>
      </c>
      <c r="I1646" s="57"/>
      <c r="J1646" s="57" t="s">
        <v>253</v>
      </c>
      <c r="K1646" s="57" t="s">
        <v>266</v>
      </c>
      <c r="L1646" s="57" t="s">
        <v>2657</v>
      </c>
      <c r="M1646" s="57" t="s">
        <v>255</v>
      </c>
      <c r="N1646" s="57" t="s">
        <v>256</v>
      </c>
      <c r="O1646" s="57" t="s">
        <v>2651</v>
      </c>
      <c r="P1646" s="57" t="s">
        <v>2661</v>
      </c>
      <c r="Q1646" s="57" t="s">
        <v>706</v>
      </c>
    </row>
    <row r="1647" s="50" customFormat="true" ht="14.25" hidden="false" customHeight="true" outlineLevel="0" collapsed="false">
      <c r="A1647" s="50" t="s">
        <v>425</v>
      </c>
      <c r="B1647" s="57" t="s">
        <v>425</v>
      </c>
      <c r="C1647" s="57" t="s">
        <v>324</v>
      </c>
      <c r="D1647" s="58" t="n">
        <v>46079.8993055556</v>
      </c>
      <c r="E1647" s="58" t="n">
        <v>46079.8993055556</v>
      </c>
      <c r="F1647" s="58" t="n">
        <v>46079.9666666667</v>
      </c>
      <c r="G1647" s="59" t="n">
        <f aca="false">F1647-E1647</f>
        <v>0.0673611111111111</v>
      </c>
      <c r="H1647" s="57" t="s">
        <v>252</v>
      </c>
      <c r="I1647" s="57"/>
      <c r="J1647" s="57" t="s">
        <v>253</v>
      </c>
      <c r="K1647" s="57" t="s">
        <v>266</v>
      </c>
      <c r="L1647" s="57" t="s">
        <v>2657</v>
      </c>
      <c r="M1647" s="57" t="s">
        <v>255</v>
      </c>
      <c r="N1647" s="57" t="s">
        <v>256</v>
      </c>
      <c r="O1647" s="57" t="s">
        <v>2651</v>
      </c>
      <c r="P1647" s="57" t="s">
        <v>2662</v>
      </c>
      <c r="Q1647" s="57" t="s">
        <v>706</v>
      </c>
    </row>
    <row r="1648" s="50" customFormat="true" ht="14.25" hidden="false" customHeight="true" outlineLevel="0" collapsed="false">
      <c r="A1648" s="50" t="s">
        <v>429</v>
      </c>
      <c r="B1648" s="57" t="s">
        <v>429</v>
      </c>
      <c r="C1648" s="57" t="s">
        <v>261</v>
      </c>
      <c r="D1648" s="58" t="n">
        <v>46079.8993055556</v>
      </c>
      <c r="E1648" s="58" t="n">
        <v>46079.8993055556</v>
      </c>
      <c r="F1648" s="58" t="n">
        <v>46079.9666666667</v>
      </c>
      <c r="G1648" s="59" t="n">
        <f aca="false">F1648-E1648</f>
        <v>0.0673611111111111</v>
      </c>
      <c r="H1648" s="57" t="s">
        <v>252</v>
      </c>
      <c r="I1648" s="57"/>
      <c r="J1648" s="57" t="s">
        <v>253</v>
      </c>
      <c r="K1648" s="57" t="s">
        <v>266</v>
      </c>
      <c r="L1648" s="57" t="s">
        <v>2663</v>
      </c>
      <c r="M1648" s="57" t="s">
        <v>255</v>
      </c>
      <c r="N1648" s="57" t="s">
        <v>256</v>
      </c>
      <c r="O1648" s="57" t="s">
        <v>2651</v>
      </c>
      <c r="P1648" s="57" t="s">
        <v>2664</v>
      </c>
      <c r="Q1648" s="57" t="s">
        <v>706</v>
      </c>
    </row>
    <row r="1649" s="50" customFormat="true" ht="14.25" hidden="false" customHeight="true" outlineLevel="0" collapsed="false">
      <c r="A1649" s="50" t="s">
        <v>429</v>
      </c>
      <c r="B1649" s="57" t="s">
        <v>429</v>
      </c>
      <c r="C1649" s="57" t="s">
        <v>259</v>
      </c>
      <c r="D1649" s="58" t="n">
        <v>46079.8993055556</v>
      </c>
      <c r="E1649" s="58" t="n">
        <v>46079.8993055556</v>
      </c>
      <c r="F1649" s="58" t="n">
        <v>46079.9666666667</v>
      </c>
      <c r="G1649" s="59" t="n">
        <f aca="false">F1649-E1649</f>
        <v>0.0673611111111111</v>
      </c>
      <c r="H1649" s="57" t="s">
        <v>252</v>
      </c>
      <c r="I1649" s="57"/>
      <c r="J1649" s="57" t="s">
        <v>253</v>
      </c>
      <c r="K1649" s="57" t="s">
        <v>266</v>
      </c>
      <c r="L1649" s="57" t="s">
        <v>2663</v>
      </c>
      <c r="M1649" s="57" t="s">
        <v>255</v>
      </c>
      <c r="N1649" s="57" t="s">
        <v>256</v>
      </c>
      <c r="O1649" s="57" t="s">
        <v>2651</v>
      </c>
      <c r="P1649" s="57" t="s">
        <v>2665</v>
      </c>
      <c r="Q1649" s="57" t="s">
        <v>706</v>
      </c>
    </row>
    <row r="1650" s="50" customFormat="true" ht="14.25" hidden="false" customHeight="true" outlineLevel="0" collapsed="false">
      <c r="A1650" s="50" t="s">
        <v>429</v>
      </c>
      <c r="B1650" s="57" t="s">
        <v>429</v>
      </c>
      <c r="C1650" s="57" t="s">
        <v>260</v>
      </c>
      <c r="D1650" s="58" t="n">
        <v>46079.8993055556</v>
      </c>
      <c r="E1650" s="58" t="n">
        <v>46079.8993055556</v>
      </c>
      <c r="F1650" s="58" t="n">
        <v>46079.9666666667</v>
      </c>
      <c r="G1650" s="59" t="n">
        <f aca="false">F1650-E1650</f>
        <v>0.0673611111111111</v>
      </c>
      <c r="H1650" s="57" t="s">
        <v>252</v>
      </c>
      <c r="I1650" s="57"/>
      <c r="J1650" s="57" t="s">
        <v>253</v>
      </c>
      <c r="K1650" s="57" t="s">
        <v>266</v>
      </c>
      <c r="L1650" s="57" t="s">
        <v>2663</v>
      </c>
      <c r="M1650" s="57" t="s">
        <v>255</v>
      </c>
      <c r="N1650" s="57" t="s">
        <v>256</v>
      </c>
      <c r="O1650" s="57" t="s">
        <v>2651</v>
      </c>
      <c r="P1650" s="57" t="s">
        <v>2666</v>
      </c>
      <c r="Q1650" s="57" t="s">
        <v>706</v>
      </c>
    </row>
    <row r="1651" s="50" customFormat="true" ht="14.25" hidden="false" customHeight="true" outlineLevel="0" collapsed="false">
      <c r="A1651" s="50" t="s">
        <v>429</v>
      </c>
      <c r="B1651" s="57" t="s">
        <v>429</v>
      </c>
      <c r="C1651" s="57" t="s">
        <v>251</v>
      </c>
      <c r="D1651" s="58" t="n">
        <v>46079.8993055556</v>
      </c>
      <c r="E1651" s="58" t="n">
        <v>46079.8993055556</v>
      </c>
      <c r="F1651" s="58" t="n">
        <v>46079.9666666667</v>
      </c>
      <c r="G1651" s="59" t="n">
        <f aca="false">F1651-E1651</f>
        <v>0.0673611111111111</v>
      </c>
      <c r="H1651" s="57" t="s">
        <v>252</v>
      </c>
      <c r="I1651" s="57"/>
      <c r="J1651" s="57" t="s">
        <v>253</v>
      </c>
      <c r="K1651" s="57" t="s">
        <v>266</v>
      </c>
      <c r="L1651" s="57" t="s">
        <v>2663</v>
      </c>
      <c r="M1651" s="57" t="s">
        <v>255</v>
      </c>
      <c r="N1651" s="57" t="s">
        <v>256</v>
      </c>
      <c r="O1651" s="57" t="s">
        <v>2651</v>
      </c>
      <c r="P1651" s="57" t="s">
        <v>2667</v>
      </c>
      <c r="Q1651" s="57" t="s">
        <v>706</v>
      </c>
    </row>
    <row r="1652" s="50" customFormat="true" ht="14.25" hidden="false" customHeight="true" outlineLevel="0" collapsed="false">
      <c r="A1652" s="50" t="s">
        <v>429</v>
      </c>
      <c r="B1652" s="57" t="s">
        <v>429</v>
      </c>
      <c r="C1652" s="57" t="s">
        <v>258</v>
      </c>
      <c r="D1652" s="58" t="n">
        <v>46079.8993055556</v>
      </c>
      <c r="E1652" s="58" t="n">
        <v>46079.8993055556</v>
      </c>
      <c r="F1652" s="58" t="n">
        <v>46079.9666666667</v>
      </c>
      <c r="G1652" s="59" t="n">
        <f aca="false">F1652-E1652</f>
        <v>0.0673611111111111</v>
      </c>
      <c r="H1652" s="57" t="s">
        <v>252</v>
      </c>
      <c r="I1652" s="57"/>
      <c r="J1652" s="57" t="s">
        <v>253</v>
      </c>
      <c r="K1652" s="57" t="s">
        <v>266</v>
      </c>
      <c r="L1652" s="57" t="s">
        <v>2663</v>
      </c>
      <c r="M1652" s="57" t="s">
        <v>255</v>
      </c>
      <c r="N1652" s="57" t="s">
        <v>256</v>
      </c>
      <c r="O1652" s="57" t="s">
        <v>2651</v>
      </c>
      <c r="P1652" s="57" t="s">
        <v>2668</v>
      </c>
      <c r="Q1652" s="57" t="s">
        <v>706</v>
      </c>
    </row>
    <row r="1653" s="50" customFormat="true" ht="14.25" hidden="false" customHeight="true" outlineLevel="0" collapsed="false">
      <c r="A1653" s="50" t="s">
        <v>364</v>
      </c>
      <c r="B1653" s="57" t="s">
        <v>364</v>
      </c>
      <c r="C1653" s="57" t="s">
        <v>365</v>
      </c>
      <c r="D1653" s="58" t="n">
        <v>46079.8993055556</v>
      </c>
      <c r="E1653" s="58" t="n">
        <v>46079.8993055556</v>
      </c>
      <c r="F1653" s="58" t="n">
        <v>46079.9666666667</v>
      </c>
      <c r="G1653" s="59" t="n">
        <f aca="false">F1653-E1653</f>
        <v>0.0673611111111111</v>
      </c>
      <c r="H1653" s="57" t="s">
        <v>252</v>
      </c>
      <c r="I1653" s="57"/>
      <c r="J1653" s="57" t="s">
        <v>253</v>
      </c>
      <c r="K1653" s="57" t="s">
        <v>266</v>
      </c>
      <c r="L1653" s="57" t="s">
        <v>2669</v>
      </c>
      <c r="M1653" s="57" t="s">
        <v>255</v>
      </c>
      <c r="N1653" s="57" t="s">
        <v>256</v>
      </c>
      <c r="O1653" s="57" t="s">
        <v>2651</v>
      </c>
      <c r="P1653" s="57" t="s">
        <v>2670</v>
      </c>
      <c r="Q1653" s="57" t="s">
        <v>706</v>
      </c>
    </row>
    <row r="1654" s="50" customFormat="true" ht="14.25" hidden="false" customHeight="true" outlineLevel="0" collapsed="false">
      <c r="A1654" s="50" t="s">
        <v>364</v>
      </c>
      <c r="B1654" s="57" t="s">
        <v>364</v>
      </c>
      <c r="C1654" s="57" t="s">
        <v>259</v>
      </c>
      <c r="D1654" s="58" t="n">
        <v>46079.8993055556</v>
      </c>
      <c r="E1654" s="58" t="n">
        <v>46079.8993055556</v>
      </c>
      <c r="F1654" s="58" t="n">
        <v>46079.9666666667</v>
      </c>
      <c r="G1654" s="59" t="n">
        <f aca="false">F1654-E1654</f>
        <v>0.0673611111111111</v>
      </c>
      <c r="H1654" s="57" t="s">
        <v>252</v>
      </c>
      <c r="I1654" s="57"/>
      <c r="J1654" s="57" t="s">
        <v>253</v>
      </c>
      <c r="K1654" s="57" t="s">
        <v>266</v>
      </c>
      <c r="L1654" s="57" t="s">
        <v>2669</v>
      </c>
      <c r="M1654" s="57" t="s">
        <v>255</v>
      </c>
      <c r="N1654" s="57" t="s">
        <v>256</v>
      </c>
      <c r="O1654" s="57" t="s">
        <v>2651</v>
      </c>
      <c r="P1654" s="57" t="s">
        <v>2671</v>
      </c>
      <c r="Q1654" s="57" t="s">
        <v>706</v>
      </c>
    </row>
    <row r="1655" s="50" customFormat="true" ht="14.25" hidden="false" customHeight="true" outlineLevel="0" collapsed="false">
      <c r="A1655" s="50" t="s">
        <v>364</v>
      </c>
      <c r="B1655" s="57" t="s">
        <v>364</v>
      </c>
      <c r="C1655" s="57" t="s">
        <v>258</v>
      </c>
      <c r="D1655" s="58" t="n">
        <v>46079.8993055556</v>
      </c>
      <c r="E1655" s="58" t="n">
        <v>46079.8993055556</v>
      </c>
      <c r="F1655" s="58" t="n">
        <v>46079.9666666667</v>
      </c>
      <c r="G1655" s="59" t="n">
        <f aca="false">F1655-E1655</f>
        <v>0.0673611111111111</v>
      </c>
      <c r="H1655" s="57" t="s">
        <v>252</v>
      </c>
      <c r="I1655" s="57"/>
      <c r="J1655" s="57" t="s">
        <v>253</v>
      </c>
      <c r="K1655" s="57" t="s">
        <v>266</v>
      </c>
      <c r="L1655" s="57" t="s">
        <v>2669</v>
      </c>
      <c r="M1655" s="57" t="s">
        <v>255</v>
      </c>
      <c r="N1655" s="57" t="s">
        <v>256</v>
      </c>
      <c r="O1655" s="57" t="s">
        <v>2651</v>
      </c>
      <c r="P1655" s="57" t="s">
        <v>2672</v>
      </c>
      <c r="Q1655" s="57" t="s">
        <v>706</v>
      </c>
    </row>
    <row r="1656" s="50" customFormat="true" ht="14.25" hidden="false" customHeight="true" outlineLevel="0" collapsed="false">
      <c r="A1656" s="50" t="s">
        <v>364</v>
      </c>
      <c r="B1656" s="57" t="s">
        <v>364</v>
      </c>
      <c r="C1656" s="57" t="s">
        <v>261</v>
      </c>
      <c r="D1656" s="58" t="n">
        <v>46079.8993055556</v>
      </c>
      <c r="E1656" s="58" t="n">
        <v>46079.8993055556</v>
      </c>
      <c r="F1656" s="58" t="n">
        <v>46079.9666666667</v>
      </c>
      <c r="G1656" s="59" t="n">
        <f aca="false">F1656-E1656</f>
        <v>0.0673611111111111</v>
      </c>
      <c r="H1656" s="57" t="s">
        <v>252</v>
      </c>
      <c r="I1656" s="57"/>
      <c r="J1656" s="57" t="s">
        <v>253</v>
      </c>
      <c r="K1656" s="57" t="s">
        <v>266</v>
      </c>
      <c r="L1656" s="57" t="s">
        <v>2669</v>
      </c>
      <c r="M1656" s="57" t="s">
        <v>255</v>
      </c>
      <c r="N1656" s="57" t="s">
        <v>256</v>
      </c>
      <c r="O1656" s="57" t="s">
        <v>2651</v>
      </c>
      <c r="P1656" s="57" t="s">
        <v>2673</v>
      </c>
      <c r="Q1656" s="57" t="s">
        <v>706</v>
      </c>
    </row>
    <row r="1657" s="50" customFormat="true" ht="14.25" hidden="false" customHeight="true" outlineLevel="0" collapsed="false">
      <c r="A1657" s="50" t="s">
        <v>364</v>
      </c>
      <c r="B1657" s="57" t="s">
        <v>364</v>
      </c>
      <c r="C1657" s="57" t="s">
        <v>260</v>
      </c>
      <c r="D1657" s="58" t="n">
        <v>46079.8993055556</v>
      </c>
      <c r="E1657" s="58" t="n">
        <v>46079.8993055556</v>
      </c>
      <c r="F1657" s="58" t="n">
        <v>46079.9666666667</v>
      </c>
      <c r="G1657" s="59" t="n">
        <f aca="false">F1657-E1657</f>
        <v>0.0673611111111111</v>
      </c>
      <c r="H1657" s="57" t="s">
        <v>252</v>
      </c>
      <c r="I1657" s="57"/>
      <c r="J1657" s="57" t="s">
        <v>253</v>
      </c>
      <c r="K1657" s="57" t="s">
        <v>266</v>
      </c>
      <c r="L1657" s="57" t="s">
        <v>2669</v>
      </c>
      <c r="M1657" s="57" t="s">
        <v>255</v>
      </c>
      <c r="N1657" s="57" t="s">
        <v>256</v>
      </c>
      <c r="O1657" s="57" t="s">
        <v>2651</v>
      </c>
      <c r="P1657" s="57" t="s">
        <v>2674</v>
      </c>
      <c r="Q1657" s="57" t="s">
        <v>706</v>
      </c>
    </row>
    <row r="1658" s="50" customFormat="true" ht="14.25" hidden="false" customHeight="true" outlineLevel="0" collapsed="false">
      <c r="A1658" s="50" t="s">
        <v>430</v>
      </c>
      <c r="B1658" s="57" t="s">
        <v>430</v>
      </c>
      <c r="C1658" s="57" t="s">
        <v>260</v>
      </c>
      <c r="D1658" s="58" t="n">
        <v>46079.8993055556</v>
      </c>
      <c r="E1658" s="58" t="n">
        <v>46079.8993055556</v>
      </c>
      <c r="F1658" s="58" t="n">
        <v>46079.9666666667</v>
      </c>
      <c r="G1658" s="59" t="n">
        <f aca="false">F1658-E1658</f>
        <v>0.0673611111111111</v>
      </c>
      <c r="H1658" s="57" t="s">
        <v>252</v>
      </c>
      <c r="I1658" s="57"/>
      <c r="J1658" s="57" t="s">
        <v>253</v>
      </c>
      <c r="K1658" s="57" t="s">
        <v>266</v>
      </c>
      <c r="L1658" s="57" t="s">
        <v>2675</v>
      </c>
      <c r="M1658" s="57" t="s">
        <v>255</v>
      </c>
      <c r="N1658" s="57" t="s">
        <v>256</v>
      </c>
      <c r="O1658" s="57" t="s">
        <v>2651</v>
      </c>
      <c r="P1658" s="57" t="s">
        <v>2676</v>
      </c>
      <c r="Q1658" s="57" t="s">
        <v>706</v>
      </c>
    </row>
    <row r="1659" s="50" customFormat="true" ht="14.25" hidden="false" customHeight="true" outlineLevel="0" collapsed="false">
      <c r="A1659" s="50" t="s">
        <v>430</v>
      </c>
      <c r="B1659" s="57" t="s">
        <v>430</v>
      </c>
      <c r="C1659" s="57" t="s">
        <v>258</v>
      </c>
      <c r="D1659" s="58" t="n">
        <v>46079.8993055556</v>
      </c>
      <c r="E1659" s="58" t="n">
        <v>46079.8993055556</v>
      </c>
      <c r="F1659" s="58" t="n">
        <v>46079.9666666667</v>
      </c>
      <c r="G1659" s="59" t="n">
        <f aca="false">F1659-E1659</f>
        <v>0.0673611111111111</v>
      </c>
      <c r="H1659" s="57" t="s">
        <v>252</v>
      </c>
      <c r="I1659" s="57"/>
      <c r="J1659" s="57" t="s">
        <v>253</v>
      </c>
      <c r="K1659" s="57" t="s">
        <v>266</v>
      </c>
      <c r="L1659" s="57" t="s">
        <v>2675</v>
      </c>
      <c r="M1659" s="57" t="s">
        <v>255</v>
      </c>
      <c r="N1659" s="57" t="s">
        <v>256</v>
      </c>
      <c r="O1659" s="57" t="s">
        <v>2651</v>
      </c>
      <c r="P1659" s="57" t="s">
        <v>2677</v>
      </c>
      <c r="Q1659" s="57" t="s">
        <v>706</v>
      </c>
    </row>
    <row r="1660" s="50" customFormat="true" ht="14.25" hidden="false" customHeight="true" outlineLevel="0" collapsed="false">
      <c r="A1660" s="50" t="s">
        <v>430</v>
      </c>
      <c r="B1660" s="57" t="s">
        <v>430</v>
      </c>
      <c r="C1660" s="57" t="s">
        <v>251</v>
      </c>
      <c r="D1660" s="58" t="n">
        <v>46079.8993055556</v>
      </c>
      <c r="E1660" s="58" t="n">
        <v>46079.8993055556</v>
      </c>
      <c r="F1660" s="58" t="n">
        <v>46079.9666666667</v>
      </c>
      <c r="G1660" s="59" t="n">
        <f aca="false">F1660-E1660</f>
        <v>0.0673611111111111</v>
      </c>
      <c r="H1660" s="57" t="s">
        <v>252</v>
      </c>
      <c r="I1660" s="57"/>
      <c r="J1660" s="57" t="s">
        <v>253</v>
      </c>
      <c r="K1660" s="57" t="s">
        <v>266</v>
      </c>
      <c r="L1660" s="57" t="s">
        <v>2675</v>
      </c>
      <c r="M1660" s="57" t="s">
        <v>255</v>
      </c>
      <c r="N1660" s="57" t="s">
        <v>256</v>
      </c>
      <c r="O1660" s="57" t="s">
        <v>2651</v>
      </c>
      <c r="P1660" s="57" t="s">
        <v>2678</v>
      </c>
      <c r="Q1660" s="57" t="s">
        <v>706</v>
      </c>
    </row>
    <row r="1661" s="50" customFormat="true" ht="14.25" hidden="false" customHeight="true" outlineLevel="0" collapsed="false">
      <c r="A1661" s="50" t="s">
        <v>430</v>
      </c>
      <c r="B1661" s="57" t="s">
        <v>430</v>
      </c>
      <c r="C1661" s="57" t="s">
        <v>431</v>
      </c>
      <c r="D1661" s="58" t="n">
        <v>46079.8993055556</v>
      </c>
      <c r="E1661" s="58" t="n">
        <v>46079.8993055556</v>
      </c>
      <c r="F1661" s="58" t="n">
        <v>46079.9666666667</v>
      </c>
      <c r="G1661" s="59" t="n">
        <f aca="false">F1661-E1661</f>
        <v>0.0673611111111111</v>
      </c>
      <c r="H1661" s="57" t="s">
        <v>252</v>
      </c>
      <c r="I1661" s="57"/>
      <c r="J1661" s="57" t="s">
        <v>253</v>
      </c>
      <c r="K1661" s="57" t="s">
        <v>266</v>
      </c>
      <c r="L1661" s="57" t="s">
        <v>2675</v>
      </c>
      <c r="M1661" s="57" t="s">
        <v>255</v>
      </c>
      <c r="N1661" s="57" t="s">
        <v>256</v>
      </c>
      <c r="O1661" s="57" t="s">
        <v>2651</v>
      </c>
      <c r="P1661" s="57" t="s">
        <v>2679</v>
      </c>
      <c r="Q1661" s="57" t="s">
        <v>706</v>
      </c>
    </row>
    <row r="1662" s="50" customFormat="true" ht="14.25" hidden="false" customHeight="true" outlineLevel="0" collapsed="false">
      <c r="A1662" s="50" t="s">
        <v>430</v>
      </c>
      <c r="B1662" s="57" t="s">
        <v>430</v>
      </c>
      <c r="C1662" s="57" t="s">
        <v>259</v>
      </c>
      <c r="D1662" s="58" t="n">
        <v>46079.8993055556</v>
      </c>
      <c r="E1662" s="58" t="n">
        <v>46079.8993055556</v>
      </c>
      <c r="F1662" s="58" t="n">
        <v>46079.9666666667</v>
      </c>
      <c r="G1662" s="59" t="n">
        <f aca="false">F1662-E1662</f>
        <v>0.0673611111111111</v>
      </c>
      <c r="H1662" s="57" t="s">
        <v>252</v>
      </c>
      <c r="I1662" s="57"/>
      <c r="J1662" s="57" t="s">
        <v>253</v>
      </c>
      <c r="K1662" s="57" t="s">
        <v>266</v>
      </c>
      <c r="L1662" s="57" t="s">
        <v>2675</v>
      </c>
      <c r="M1662" s="57" t="s">
        <v>255</v>
      </c>
      <c r="N1662" s="57" t="s">
        <v>256</v>
      </c>
      <c r="O1662" s="57" t="s">
        <v>2651</v>
      </c>
      <c r="P1662" s="57" t="s">
        <v>2680</v>
      </c>
      <c r="Q1662" s="57" t="s">
        <v>706</v>
      </c>
    </row>
    <row r="1663" s="50" customFormat="true" ht="14.25" hidden="false" customHeight="true" outlineLevel="0" collapsed="false">
      <c r="A1663" s="50" t="s">
        <v>770</v>
      </c>
      <c r="B1663" s="57" t="s">
        <v>771</v>
      </c>
      <c r="C1663" s="57" t="s">
        <v>772</v>
      </c>
      <c r="D1663" s="58" t="n">
        <v>46079.9895833333</v>
      </c>
      <c r="E1663" s="58" t="n">
        <v>46079.9895833333</v>
      </c>
      <c r="F1663" s="58" t="n">
        <v>46080.3194444444</v>
      </c>
      <c r="G1663" s="59" t="n">
        <f aca="false">F1663-E1663</f>
        <v>0.329861111111111</v>
      </c>
      <c r="H1663" s="57" t="s">
        <v>283</v>
      </c>
      <c r="I1663" s="57" t="s">
        <v>284</v>
      </c>
      <c r="J1663" s="57" t="s">
        <v>285</v>
      </c>
      <c r="K1663" s="57" t="s">
        <v>286</v>
      </c>
      <c r="L1663" s="57" t="s">
        <v>2681</v>
      </c>
      <c r="M1663" s="57" t="s">
        <v>288</v>
      </c>
      <c r="N1663" s="57" t="s">
        <v>589</v>
      </c>
      <c r="O1663" s="57" t="s">
        <v>2682</v>
      </c>
      <c r="P1663" s="57" t="s">
        <v>2683</v>
      </c>
      <c r="Q1663" s="57" t="s">
        <v>694</v>
      </c>
    </row>
    <row r="1664" s="50" customFormat="true" ht="14.25" hidden="false" customHeight="true" outlineLevel="0" collapsed="false">
      <c r="A1664" s="50" t="s">
        <v>775</v>
      </c>
      <c r="B1664" s="57" t="s">
        <v>771</v>
      </c>
      <c r="C1664" s="57" t="s">
        <v>776</v>
      </c>
      <c r="D1664" s="58" t="n">
        <v>46079.9895833333</v>
      </c>
      <c r="E1664" s="58" t="n">
        <v>46079.9895833333</v>
      </c>
      <c r="F1664" s="58" t="n">
        <v>46080.3194444444</v>
      </c>
      <c r="G1664" s="59" t="n">
        <f aca="false">F1664-E1664</f>
        <v>0.329861111111111</v>
      </c>
      <c r="H1664" s="57" t="s">
        <v>283</v>
      </c>
      <c r="I1664" s="57" t="s">
        <v>284</v>
      </c>
      <c r="J1664" s="57" t="s">
        <v>285</v>
      </c>
      <c r="K1664" s="57" t="s">
        <v>286</v>
      </c>
      <c r="L1664" s="57" t="s">
        <v>2681</v>
      </c>
      <c r="M1664" s="57" t="s">
        <v>288</v>
      </c>
      <c r="N1664" s="57" t="s">
        <v>589</v>
      </c>
      <c r="O1664" s="57" t="s">
        <v>2682</v>
      </c>
      <c r="P1664" s="57" t="s">
        <v>2684</v>
      </c>
      <c r="Q1664" s="57" t="s">
        <v>694</v>
      </c>
    </row>
    <row r="1665" s="50" customFormat="true" ht="14.25" hidden="false" customHeight="true" outlineLevel="0" collapsed="false">
      <c r="A1665" s="50" t="s">
        <v>778</v>
      </c>
      <c r="B1665" s="57" t="s">
        <v>771</v>
      </c>
      <c r="C1665" s="57" t="s">
        <v>779</v>
      </c>
      <c r="D1665" s="58" t="n">
        <v>46079.9895833333</v>
      </c>
      <c r="E1665" s="58" t="n">
        <v>46079.9895833333</v>
      </c>
      <c r="F1665" s="58" t="n">
        <v>46080.3194444444</v>
      </c>
      <c r="G1665" s="59" t="n">
        <f aca="false">F1665-E1665</f>
        <v>0.329861111111111</v>
      </c>
      <c r="H1665" s="57" t="s">
        <v>283</v>
      </c>
      <c r="I1665" s="57" t="s">
        <v>284</v>
      </c>
      <c r="J1665" s="57" t="s">
        <v>285</v>
      </c>
      <c r="K1665" s="57" t="s">
        <v>286</v>
      </c>
      <c r="L1665" s="57" t="s">
        <v>2681</v>
      </c>
      <c r="M1665" s="57" t="s">
        <v>288</v>
      </c>
      <c r="N1665" s="57" t="s">
        <v>589</v>
      </c>
      <c r="O1665" s="57" t="s">
        <v>2682</v>
      </c>
      <c r="P1665" s="57" t="s">
        <v>2685</v>
      </c>
      <c r="Q1665" s="57" t="s">
        <v>694</v>
      </c>
    </row>
    <row r="1666" s="50" customFormat="true" ht="14.25" hidden="false" customHeight="true" outlineLevel="0" collapsed="false">
      <c r="A1666" s="50" t="s">
        <v>341</v>
      </c>
      <c r="B1666" s="57" t="s">
        <v>341</v>
      </c>
      <c r="C1666" s="57" t="s">
        <v>326</v>
      </c>
      <c r="D1666" s="58" t="n">
        <v>46080.34375</v>
      </c>
      <c r="E1666" s="58" t="n">
        <v>46080.34375</v>
      </c>
      <c r="F1666" s="58" t="n">
        <v>46080.375</v>
      </c>
      <c r="G1666" s="59" t="n">
        <f aca="false">F1666-E1666</f>
        <v>0.03125</v>
      </c>
      <c r="H1666" s="57" t="s">
        <v>252</v>
      </c>
      <c r="I1666" s="57"/>
      <c r="J1666" s="57" t="s">
        <v>234</v>
      </c>
      <c r="K1666" s="57" t="s">
        <v>234</v>
      </c>
      <c r="L1666" s="57" t="s">
        <v>2686</v>
      </c>
      <c r="M1666" s="57" t="s">
        <v>2687</v>
      </c>
      <c r="N1666" s="57" t="s">
        <v>289</v>
      </c>
      <c r="O1666" s="57" t="s">
        <v>2688</v>
      </c>
      <c r="P1666" s="57" t="s">
        <v>2689</v>
      </c>
      <c r="Q1666" s="57" t="s">
        <v>735</v>
      </c>
    </row>
    <row r="1667" s="50" customFormat="true" ht="14.25" hidden="false" customHeight="true" outlineLevel="0" collapsed="false">
      <c r="A1667" s="50" t="s">
        <v>341</v>
      </c>
      <c r="B1667" s="57" t="s">
        <v>341</v>
      </c>
      <c r="C1667" s="57" t="s">
        <v>324</v>
      </c>
      <c r="D1667" s="58" t="n">
        <v>46080.34375</v>
      </c>
      <c r="E1667" s="58" t="n">
        <v>46080.34375</v>
      </c>
      <c r="F1667" s="58" t="n">
        <v>46080.375</v>
      </c>
      <c r="G1667" s="59" t="n">
        <f aca="false">F1667-E1667</f>
        <v>0.03125</v>
      </c>
      <c r="H1667" s="57" t="s">
        <v>252</v>
      </c>
      <c r="I1667" s="57"/>
      <c r="J1667" s="57" t="s">
        <v>234</v>
      </c>
      <c r="K1667" s="57" t="s">
        <v>234</v>
      </c>
      <c r="L1667" s="57" t="s">
        <v>2686</v>
      </c>
      <c r="M1667" s="57" t="s">
        <v>2687</v>
      </c>
      <c r="N1667" s="57" t="s">
        <v>289</v>
      </c>
      <c r="O1667" s="57" t="s">
        <v>2688</v>
      </c>
      <c r="P1667" s="57" t="s">
        <v>2690</v>
      </c>
      <c r="Q1667" s="57" t="s">
        <v>735</v>
      </c>
    </row>
    <row r="1668" s="50" customFormat="true" ht="14.25" hidden="false" customHeight="true" outlineLevel="0" collapsed="false">
      <c r="A1668" s="50" t="s">
        <v>424</v>
      </c>
      <c r="B1668" s="57" t="s">
        <v>424</v>
      </c>
      <c r="C1668" s="57" t="s">
        <v>265</v>
      </c>
      <c r="D1668" s="58" t="n">
        <v>46080.3888888889</v>
      </c>
      <c r="E1668" s="58" t="n">
        <v>46080.3888888889</v>
      </c>
      <c r="F1668" s="58" t="n">
        <v>46080.5145833333</v>
      </c>
      <c r="G1668" s="59" t="n">
        <f aca="false">F1668-E1668</f>
        <v>0.125694444398148</v>
      </c>
      <c r="H1668" s="57" t="s">
        <v>252</v>
      </c>
      <c r="I1668" s="57"/>
      <c r="J1668" s="57" t="s">
        <v>253</v>
      </c>
      <c r="K1668" s="57" t="s">
        <v>266</v>
      </c>
      <c r="L1668" s="57" t="s">
        <v>2691</v>
      </c>
      <c r="M1668" s="57" t="s">
        <v>255</v>
      </c>
      <c r="N1668" s="57" t="s">
        <v>256</v>
      </c>
      <c r="O1668" s="61" t="s">
        <v>2692</v>
      </c>
      <c r="P1668" s="57" t="s">
        <v>2693</v>
      </c>
      <c r="Q1668" s="57" t="s">
        <v>706</v>
      </c>
    </row>
    <row r="1669" s="50" customFormat="true" ht="14.25" hidden="false" customHeight="true" outlineLevel="0" collapsed="false">
      <c r="A1669" s="50" t="s">
        <v>424</v>
      </c>
      <c r="B1669" s="57" t="s">
        <v>424</v>
      </c>
      <c r="C1669" s="57" t="s">
        <v>251</v>
      </c>
      <c r="D1669" s="58" t="n">
        <v>46080.3888888889</v>
      </c>
      <c r="E1669" s="58" t="n">
        <v>46080.3888888889</v>
      </c>
      <c r="F1669" s="58" t="n">
        <v>46080.5145833333</v>
      </c>
      <c r="G1669" s="59" t="n">
        <f aca="false">F1669-E1669</f>
        <v>0.125694444398148</v>
      </c>
      <c r="H1669" s="57" t="s">
        <v>252</v>
      </c>
      <c r="I1669" s="57"/>
      <c r="J1669" s="57" t="s">
        <v>253</v>
      </c>
      <c r="K1669" s="57" t="s">
        <v>266</v>
      </c>
      <c r="L1669" s="57" t="s">
        <v>2691</v>
      </c>
      <c r="M1669" s="57" t="s">
        <v>255</v>
      </c>
      <c r="N1669" s="57" t="s">
        <v>256</v>
      </c>
      <c r="O1669" s="61" t="s">
        <v>2692</v>
      </c>
      <c r="P1669" s="57" t="s">
        <v>2694</v>
      </c>
      <c r="Q1669" s="57" t="s">
        <v>706</v>
      </c>
    </row>
    <row r="1670" s="50" customFormat="true" ht="14.25" hidden="false" customHeight="true" outlineLevel="0" collapsed="false">
      <c r="A1670" s="50" t="s">
        <v>424</v>
      </c>
      <c r="B1670" s="57" t="s">
        <v>424</v>
      </c>
      <c r="C1670" s="57" t="s">
        <v>258</v>
      </c>
      <c r="D1670" s="58" t="n">
        <v>46080.3888888889</v>
      </c>
      <c r="E1670" s="58" t="n">
        <v>46080.3888888889</v>
      </c>
      <c r="F1670" s="58" t="n">
        <v>46080.5145833333</v>
      </c>
      <c r="G1670" s="59" t="n">
        <f aca="false">F1670-E1670</f>
        <v>0.125694444398148</v>
      </c>
      <c r="H1670" s="57" t="s">
        <v>252</v>
      </c>
      <c r="I1670" s="57"/>
      <c r="J1670" s="57" t="s">
        <v>253</v>
      </c>
      <c r="K1670" s="57" t="s">
        <v>266</v>
      </c>
      <c r="L1670" s="57" t="s">
        <v>2691</v>
      </c>
      <c r="M1670" s="57" t="s">
        <v>255</v>
      </c>
      <c r="N1670" s="57" t="s">
        <v>256</v>
      </c>
      <c r="O1670" s="61" t="s">
        <v>2692</v>
      </c>
      <c r="P1670" s="57" t="s">
        <v>2695</v>
      </c>
      <c r="Q1670" s="57" t="s">
        <v>706</v>
      </c>
    </row>
    <row r="1671" s="50" customFormat="true" ht="14.25" hidden="false" customHeight="true" outlineLevel="0" collapsed="false">
      <c r="A1671" s="50" t="s">
        <v>424</v>
      </c>
      <c r="B1671" s="57" t="s">
        <v>424</v>
      </c>
      <c r="C1671" s="57" t="s">
        <v>261</v>
      </c>
      <c r="D1671" s="58" t="n">
        <v>46080.3888888889</v>
      </c>
      <c r="E1671" s="58" t="n">
        <v>46080.3888888889</v>
      </c>
      <c r="F1671" s="58" t="n">
        <v>46080.5145833333</v>
      </c>
      <c r="G1671" s="59" t="n">
        <f aca="false">F1671-E1671</f>
        <v>0.125694444398148</v>
      </c>
      <c r="H1671" s="57" t="s">
        <v>252</v>
      </c>
      <c r="I1671" s="57"/>
      <c r="J1671" s="57" t="s">
        <v>253</v>
      </c>
      <c r="K1671" s="57" t="s">
        <v>266</v>
      </c>
      <c r="L1671" s="57" t="s">
        <v>2691</v>
      </c>
      <c r="M1671" s="57" t="s">
        <v>255</v>
      </c>
      <c r="N1671" s="57" t="s">
        <v>256</v>
      </c>
      <c r="O1671" s="61" t="s">
        <v>2692</v>
      </c>
      <c r="P1671" s="57" t="s">
        <v>2696</v>
      </c>
      <c r="Q1671" s="57" t="s">
        <v>706</v>
      </c>
    </row>
    <row r="1672" s="50" customFormat="true" ht="14.25" hidden="false" customHeight="true" outlineLevel="0" collapsed="false">
      <c r="A1672" s="50" t="s">
        <v>424</v>
      </c>
      <c r="B1672" s="57" t="s">
        <v>424</v>
      </c>
      <c r="C1672" s="57" t="s">
        <v>260</v>
      </c>
      <c r="D1672" s="58" t="n">
        <v>46080.3888888889</v>
      </c>
      <c r="E1672" s="58" t="n">
        <v>46080.3888888889</v>
      </c>
      <c r="F1672" s="58" t="n">
        <v>46080.5145833333</v>
      </c>
      <c r="G1672" s="59" t="n">
        <f aca="false">F1672-E1672</f>
        <v>0.125694444398148</v>
      </c>
      <c r="H1672" s="57" t="s">
        <v>252</v>
      </c>
      <c r="I1672" s="57"/>
      <c r="J1672" s="57" t="s">
        <v>253</v>
      </c>
      <c r="K1672" s="57" t="s">
        <v>266</v>
      </c>
      <c r="L1672" s="57" t="s">
        <v>2691</v>
      </c>
      <c r="M1672" s="57" t="s">
        <v>255</v>
      </c>
      <c r="N1672" s="57" t="s">
        <v>256</v>
      </c>
      <c r="O1672" s="61" t="s">
        <v>2692</v>
      </c>
      <c r="P1672" s="57" t="s">
        <v>2697</v>
      </c>
      <c r="Q1672" s="57" t="s">
        <v>706</v>
      </c>
    </row>
    <row r="1673" s="50" customFormat="true" ht="14.25" hidden="false" customHeight="true" outlineLevel="0" collapsed="false">
      <c r="A1673" s="50" t="s">
        <v>425</v>
      </c>
      <c r="B1673" s="57" t="s">
        <v>425</v>
      </c>
      <c r="C1673" s="57" t="s">
        <v>265</v>
      </c>
      <c r="D1673" s="58" t="n">
        <v>46080.3888888889</v>
      </c>
      <c r="E1673" s="58" t="n">
        <v>46080.3888888889</v>
      </c>
      <c r="F1673" s="58" t="n">
        <v>46080.5145833333</v>
      </c>
      <c r="G1673" s="59" t="n">
        <f aca="false">F1673-E1673</f>
        <v>0.125694444398148</v>
      </c>
      <c r="H1673" s="57" t="s">
        <v>252</v>
      </c>
      <c r="I1673" s="57"/>
      <c r="J1673" s="57" t="s">
        <v>253</v>
      </c>
      <c r="K1673" s="57" t="s">
        <v>266</v>
      </c>
      <c r="L1673" s="57" t="s">
        <v>2691</v>
      </c>
      <c r="M1673" s="57" t="s">
        <v>255</v>
      </c>
      <c r="N1673" s="57" t="s">
        <v>256</v>
      </c>
      <c r="O1673" s="61" t="s">
        <v>2692</v>
      </c>
      <c r="P1673" s="57" t="s">
        <v>2698</v>
      </c>
      <c r="Q1673" s="57" t="s">
        <v>706</v>
      </c>
    </row>
    <row r="1674" s="50" customFormat="true" ht="14.25" hidden="false" customHeight="true" outlineLevel="0" collapsed="false">
      <c r="A1674" s="50" t="s">
        <v>425</v>
      </c>
      <c r="B1674" s="57" t="s">
        <v>425</v>
      </c>
      <c r="C1674" s="57" t="s">
        <v>426</v>
      </c>
      <c r="D1674" s="58" t="n">
        <v>46080.3888888889</v>
      </c>
      <c r="E1674" s="58" t="n">
        <v>46080.3888888889</v>
      </c>
      <c r="F1674" s="58" t="n">
        <v>46080.5145833333</v>
      </c>
      <c r="G1674" s="59" t="n">
        <f aca="false">F1674-E1674</f>
        <v>0.125694444398148</v>
      </c>
      <c r="H1674" s="57" t="s">
        <v>252</v>
      </c>
      <c r="I1674" s="57"/>
      <c r="J1674" s="57" t="s">
        <v>253</v>
      </c>
      <c r="K1674" s="57" t="s">
        <v>266</v>
      </c>
      <c r="L1674" s="57" t="s">
        <v>2691</v>
      </c>
      <c r="M1674" s="57" t="s">
        <v>255</v>
      </c>
      <c r="N1674" s="57" t="s">
        <v>256</v>
      </c>
      <c r="O1674" s="61" t="s">
        <v>2692</v>
      </c>
      <c r="P1674" s="57" t="s">
        <v>2699</v>
      </c>
      <c r="Q1674" s="57" t="s">
        <v>706</v>
      </c>
    </row>
    <row r="1675" s="50" customFormat="true" ht="14.25" hidden="false" customHeight="true" outlineLevel="0" collapsed="false">
      <c r="A1675" s="50" t="s">
        <v>425</v>
      </c>
      <c r="B1675" s="57" t="s">
        <v>425</v>
      </c>
      <c r="C1675" s="57" t="s">
        <v>427</v>
      </c>
      <c r="D1675" s="58" t="n">
        <v>46080.3888888889</v>
      </c>
      <c r="E1675" s="58" t="n">
        <v>46080.3888888889</v>
      </c>
      <c r="F1675" s="58" t="n">
        <v>46080.5145833333</v>
      </c>
      <c r="G1675" s="59" t="n">
        <f aca="false">F1675-E1675</f>
        <v>0.125694444398148</v>
      </c>
      <c r="H1675" s="57" t="s">
        <v>252</v>
      </c>
      <c r="I1675" s="57"/>
      <c r="J1675" s="57" t="s">
        <v>253</v>
      </c>
      <c r="K1675" s="57" t="s">
        <v>266</v>
      </c>
      <c r="L1675" s="57" t="s">
        <v>2691</v>
      </c>
      <c r="M1675" s="57" t="s">
        <v>255</v>
      </c>
      <c r="N1675" s="57" t="s">
        <v>256</v>
      </c>
      <c r="O1675" s="61" t="s">
        <v>2692</v>
      </c>
      <c r="P1675" s="57" t="s">
        <v>2700</v>
      </c>
      <c r="Q1675" s="57" t="s">
        <v>706</v>
      </c>
    </row>
    <row r="1676" s="50" customFormat="true" ht="14.25" hidden="false" customHeight="true" outlineLevel="0" collapsed="false">
      <c r="A1676" s="50" t="s">
        <v>425</v>
      </c>
      <c r="B1676" s="57" t="s">
        <v>425</v>
      </c>
      <c r="C1676" s="57" t="s">
        <v>428</v>
      </c>
      <c r="D1676" s="58" t="n">
        <v>46080.3888888889</v>
      </c>
      <c r="E1676" s="58" t="n">
        <v>46080.3888888889</v>
      </c>
      <c r="F1676" s="58" t="n">
        <v>46080.5145833333</v>
      </c>
      <c r="G1676" s="59" t="n">
        <f aca="false">F1676-E1676</f>
        <v>0.125694444398148</v>
      </c>
      <c r="H1676" s="57" t="s">
        <v>252</v>
      </c>
      <c r="I1676" s="57"/>
      <c r="J1676" s="57" t="s">
        <v>253</v>
      </c>
      <c r="K1676" s="57" t="s">
        <v>266</v>
      </c>
      <c r="L1676" s="57" t="s">
        <v>2691</v>
      </c>
      <c r="M1676" s="57" t="s">
        <v>255</v>
      </c>
      <c r="N1676" s="57" t="s">
        <v>256</v>
      </c>
      <c r="O1676" s="61" t="s">
        <v>2692</v>
      </c>
      <c r="P1676" s="57" t="s">
        <v>2701</v>
      </c>
      <c r="Q1676" s="57" t="s">
        <v>706</v>
      </c>
    </row>
    <row r="1677" s="50" customFormat="true" ht="14.25" hidden="false" customHeight="true" outlineLevel="0" collapsed="false">
      <c r="A1677" s="50" t="s">
        <v>425</v>
      </c>
      <c r="B1677" s="57" t="s">
        <v>425</v>
      </c>
      <c r="C1677" s="57" t="s">
        <v>324</v>
      </c>
      <c r="D1677" s="58" t="n">
        <v>46080.3888888889</v>
      </c>
      <c r="E1677" s="58" t="n">
        <v>46080.3888888889</v>
      </c>
      <c r="F1677" s="58" t="n">
        <v>46080.5145833333</v>
      </c>
      <c r="G1677" s="59" t="n">
        <f aca="false">F1677-E1677</f>
        <v>0.125694444398148</v>
      </c>
      <c r="H1677" s="57" t="s">
        <v>252</v>
      </c>
      <c r="I1677" s="57"/>
      <c r="J1677" s="57" t="s">
        <v>253</v>
      </c>
      <c r="K1677" s="57" t="s">
        <v>266</v>
      </c>
      <c r="L1677" s="57" t="s">
        <v>2691</v>
      </c>
      <c r="M1677" s="57" t="s">
        <v>255</v>
      </c>
      <c r="N1677" s="57" t="s">
        <v>256</v>
      </c>
      <c r="O1677" s="61" t="s">
        <v>2692</v>
      </c>
      <c r="P1677" s="57" t="s">
        <v>2702</v>
      </c>
      <c r="Q1677" s="57" t="s">
        <v>706</v>
      </c>
    </row>
    <row r="1678" s="50" customFormat="true" ht="14.25" hidden="false" customHeight="true" outlineLevel="0" collapsed="false">
      <c r="A1678" s="50" t="s">
        <v>429</v>
      </c>
      <c r="B1678" s="57" t="s">
        <v>429</v>
      </c>
      <c r="C1678" s="57" t="s">
        <v>261</v>
      </c>
      <c r="D1678" s="58" t="n">
        <v>46080.3888888889</v>
      </c>
      <c r="E1678" s="58" t="n">
        <v>46080.3888888889</v>
      </c>
      <c r="F1678" s="58" t="n">
        <v>46080.5145833333</v>
      </c>
      <c r="G1678" s="59" t="n">
        <f aca="false">F1678-E1678</f>
        <v>0.125694444398148</v>
      </c>
      <c r="H1678" s="57" t="s">
        <v>252</v>
      </c>
      <c r="I1678" s="57"/>
      <c r="J1678" s="57" t="s">
        <v>253</v>
      </c>
      <c r="K1678" s="57" t="s">
        <v>266</v>
      </c>
      <c r="L1678" s="57" t="s">
        <v>2691</v>
      </c>
      <c r="M1678" s="57" t="s">
        <v>255</v>
      </c>
      <c r="N1678" s="57" t="s">
        <v>256</v>
      </c>
      <c r="O1678" s="61" t="s">
        <v>2692</v>
      </c>
      <c r="P1678" s="57" t="s">
        <v>2703</v>
      </c>
      <c r="Q1678" s="57" t="s">
        <v>706</v>
      </c>
    </row>
    <row r="1679" s="50" customFormat="true" ht="14.25" hidden="false" customHeight="true" outlineLevel="0" collapsed="false">
      <c r="A1679" s="50" t="s">
        <v>429</v>
      </c>
      <c r="B1679" s="57" t="s">
        <v>429</v>
      </c>
      <c r="C1679" s="57" t="s">
        <v>259</v>
      </c>
      <c r="D1679" s="58" t="n">
        <v>46080.3888888889</v>
      </c>
      <c r="E1679" s="58" t="n">
        <v>46080.3888888889</v>
      </c>
      <c r="F1679" s="58" t="n">
        <v>46080.5145833333</v>
      </c>
      <c r="G1679" s="59" t="n">
        <f aca="false">F1679-E1679</f>
        <v>0.125694444398148</v>
      </c>
      <c r="H1679" s="57" t="s">
        <v>252</v>
      </c>
      <c r="I1679" s="57"/>
      <c r="J1679" s="57" t="s">
        <v>253</v>
      </c>
      <c r="K1679" s="57" t="s">
        <v>266</v>
      </c>
      <c r="L1679" s="57" t="s">
        <v>2691</v>
      </c>
      <c r="M1679" s="57" t="s">
        <v>255</v>
      </c>
      <c r="N1679" s="57" t="s">
        <v>256</v>
      </c>
      <c r="O1679" s="61" t="s">
        <v>2692</v>
      </c>
      <c r="P1679" s="57" t="s">
        <v>2704</v>
      </c>
      <c r="Q1679" s="57" t="s">
        <v>706</v>
      </c>
    </row>
    <row r="1680" s="50" customFormat="true" ht="14.25" hidden="false" customHeight="true" outlineLevel="0" collapsed="false">
      <c r="A1680" s="50" t="s">
        <v>429</v>
      </c>
      <c r="B1680" s="57" t="s">
        <v>429</v>
      </c>
      <c r="C1680" s="57" t="s">
        <v>260</v>
      </c>
      <c r="D1680" s="58" t="n">
        <v>46080.3888888889</v>
      </c>
      <c r="E1680" s="58" t="n">
        <v>46080.3888888889</v>
      </c>
      <c r="F1680" s="58" t="n">
        <v>46080.5145833333</v>
      </c>
      <c r="G1680" s="59" t="n">
        <f aca="false">F1680-E1680</f>
        <v>0.125694444398148</v>
      </c>
      <c r="H1680" s="57" t="s">
        <v>252</v>
      </c>
      <c r="I1680" s="57"/>
      <c r="J1680" s="57" t="s">
        <v>253</v>
      </c>
      <c r="K1680" s="57" t="s">
        <v>266</v>
      </c>
      <c r="L1680" s="57" t="s">
        <v>2691</v>
      </c>
      <c r="M1680" s="57" t="s">
        <v>255</v>
      </c>
      <c r="N1680" s="57" t="s">
        <v>256</v>
      </c>
      <c r="O1680" s="61" t="s">
        <v>2692</v>
      </c>
      <c r="P1680" s="57" t="s">
        <v>2705</v>
      </c>
      <c r="Q1680" s="57" t="s">
        <v>706</v>
      </c>
    </row>
    <row r="1681" s="50" customFormat="true" ht="14.25" hidden="false" customHeight="true" outlineLevel="0" collapsed="false">
      <c r="A1681" s="50" t="s">
        <v>429</v>
      </c>
      <c r="B1681" s="57" t="s">
        <v>429</v>
      </c>
      <c r="C1681" s="57" t="s">
        <v>251</v>
      </c>
      <c r="D1681" s="58" t="n">
        <v>46080.3888888889</v>
      </c>
      <c r="E1681" s="58" t="n">
        <v>46080.3888888889</v>
      </c>
      <c r="F1681" s="58" t="n">
        <v>46080.5145833333</v>
      </c>
      <c r="G1681" s="59" t="n">
        <f aca="false">F1681-E1681</f>
        <v>0.125694444398148</v>
      </c>
      <c r="H1681" s="57" t="s">
        <v>252</v>
      </c>
      <c r="I1681" s="57"/>
      <c r="J1681" s="57" t="s">
        <v>253</v>
      </c>
      <c r="K1681" s="57" t="s">
        <v>266</v>
      </c>
      <c r="L1681" s="57" t="s">
        <v>2691</v>
      </c>
      <c r="M1681" s="57" t="s">
        <v>255</v>
      </c>
      <c r="N1681" s="57" t="s">
        <v>256</v>
      </c>
      <c r="O1681" s="61" t="s">
        <v>2692</v>
      </c>
      <c r="P1681" s="57" t="s">
        <v>2706</v>
      </c>
      <c r="Q1681" s="57" t="s">
        <v>706</v>
      </c>
    </row>
    <row r="1682" s="50" customFormat="true" ht="14.25" hidden="false" customHeight="true" outlineLevel="0" collapsed="false">
      <c r="A1682" s="50" t="s">
        <v>429</v>
      </c>
      <c r="B1682" s="57" t="s">
        <v>429</v>
      </c>
      <c r="C1682" s="57" t="s">
        <v>258</v>
      </c>
      <c r="D1682" s="58" t="n">
        <v>46080.3888888889</v>
      </c>
      <c r="E1682" s="58" t="n">
        <v>46080.3888888889</v>
      </c>
      <c r="F1682" s="58" t="n">
        <v>46080.5145833333</v>
      </c>
      <c r="G1682" s="59" t="n">
        <f aca="false">F1682-E1682</f>
        <v>0.125694444398148</v>
      </c>
      <c r="H1682" s="57" t="s">
        <v>252</v>
      </c>
      <c r="I1682" s="57"/>
      <c r="J1682" s="57" t="s">
        <v>253</v>
      </c>
      <c r="K1682" s="57" t="s">
        <v>266</v>
      </c>
      <c r="L1682" s="57" t="s">
        <v>2691</v>
      </c>
      <c r="M1682" s="57" t="s">
        <v>255</v>
      </c>
      <c r="N1682" s="57" t="s">
        <v>256</v>
      </c>
      <c r="O1682" s="61" t="s">
        <v>2692</v>
      </c>
      <c r="P1682" s="57" t="s">
        <v>2707</v>
      </c>
      <c r="Q1682" s="57" t="s">
        <v>706</v>
      </c>
    </row>
    <row r="1683" s="50" customFormat="true" ht="14.25" hidden="false" customHeight="true" outlineLevel="0" collapsed="false">
      <c r="A1683" s="50" t="s">
        <v>364</v>
      </c>
      <c r="B1683" s="57" t="s">
        <v>364</v>
      </c>
      <c r="C1683" s="57" t="s">
        <v>365</v>
      </c>
      <c r="D1683" s="58" t="n">
        <v>46080.3888888889</v>
      </c>
      <c r="E1683" s="58" t="n">
        <v>46080.3888888889</v>
      </c>
      <c r="F1683" s="58" t="n">
        <v>46080.5145833333</v>
      </c>
      <c r="G1683" s="59" t="n">
        <f aca="false">F1683-E1683</f>
        <v>0.125694444398148</v>
      </c>
      <c r="H1683" s="57" t="s">
        <v>252</v>
      </c>
      <c r="I1683" s="57"/>
      <c r="J1683" s="57" t="s">
        <v>253</v>
      </c>
      <c r="K1683" s="57" t="s">
        <v>266</v>
      </c>
      <c r="L1683" s="57" t="s">
        <v>2691</v>
      </c>
      <c r="M1683" s="57" t="s">
        <v>255</v>
      </c>
      <c r="N1683" s="57" t="s">
        <v>256</v>
      </c>
      <c r="O1683" s="61" t="s">
        <v>2692</v>
      </c>
      <c r="P1683" s="57" t="s">
        <v>2708</v>
      </c>
      <c r="Q1683" s="57" t="s">
        <v>706</v>
      </c>
    </row>
    <row r="1684" s="50" customFormat="true" ht="14.25" hidden="false" customHeight="true" outlineLevel="0" collapsed="false">
      <c r="A1684" s="50" t="s">
        <v>364</v>
      </c>
      <c r="B1684" s="57" t="s">
        <v>364</v>
      </c>
      <c r="C1684" s="57" t="s">
        <v>259</v>
      </c>
      <c r="D1684" s="58" t="n">
        <v>46080.3888888889</v>
      </c>
      <c r="E1684" s="58" t="n">
        <v>46080.3888888889</v>
      </c>
      <c r="F1684" s="58" t="n">
        <v>46080.5145833333</v>
      </c>
      <c r="G1684" s="59" t="n">
        <f aca="false">F1684-E1684</f>
        <v>0.125694444398148</v>
      </c>
      <c r="H1684" s="57" t="s">
        <v>252</v>
      </c>
      <c r="I1684" s="57"/>
      <c r="J1684" s="57" t="s">
        <v>253</v>
      </c>
      <c r="K1684" s="57" t="s">
        <v>266</v>
      </c>
      <c r="L1684" s="57" t="s">
        <v>2691</v>
      </c>
      <c r="M1684" s="57" t="s">
        <v>255</v>
      </c>
      <c r="N1684" s="57" t="s">
        <v>256</v>
      </c>
      <c r="O1684" s="61" t="s">
        <v>2692</v>
      </c>
      <c r="P1684" s="57" t="s">
        <v>2709</v>
      </c>
      <c r="Q1684" s="57" t="s">
        <v>706</v>
      </c>
    </row>
    <row r="1685" s="50" customFormat="true" ht="14.25" hidden="false" customHeight="true" outlineLevel="0" collapsed="false">
      <c r="A1685" s="50" t="s">
        <v>364</v>
      </c>
      <c r="B1685" s="57" t="s">
        <v>364</v>
      </c>
      <c r="C1685" s="57" t="s">
        <v>258</v>
      </c>
      <c r="D1685" s="58" t="n">
        <v>46080.3888888889</v>
      </c>
      <c r="E1685" s="58" t="n">
        <v>46080.3888888889</v>
      </c>
      <c r="F1685" s="58" t="n">
        <v>46080.5145833333</v>
      </c>
      <c r="G1685" s="59" t="n">
        <f aca="false">F1685-E1685</f>
        <v>0.125694444398148</v>
      </c>
      <c r="H1685" s="57" t="s">
        <v>252</v>
      </c>
      <c r="I1685" s="57"/>
      <c r="J1685" s="57" t="s">
        <v>253</v>
      </c>
      <c r="K1685" s="57" t="s">
        <v>266</v>
      </c>
      <c r="L1685" s="57" t="s">
        <v>2691</v>
      </c>
      <c r="M1685" s="57" t="s">
        <v>255</v>
      </c>
      <c r="N1685" s="57" t="s">
        <v>256</v>
      </c>
      <c r="O1685" s="61" t="s">
        <v>2692</v>
      </c>
      <c r="P1685" s="57" t="s">
        <v>2710</v>
      </c>
      <c r="Q1685" s="57" t="s">
        <v>706</v>
      </c>
    </row>
    <row r="1686" s="50" customFormat="true" ht="14.25" hidden="false" customHeight="true" outlineLevel="0" collapsed="false">
      <c r="A1686" s="50" t="s">
        <v>364</v>
      </c>
      <c r="B1686" s="57" t="s">
        <v>364</v>
      </c>
      <c r="C1686" s="57" t="s">
        <v>261</v>
      </c>
      <c r="D1686" s="58" t="n">
        <v>46080.3888888889</v>
      </c>
      <c r="E1686" s="58" t="n">
        <v>46080.3888888889</v>
      </c>
      <c r="F1686" s="58" t="n">
        <v>46080.5145833333</v>
      </c>
      <c r="G1686" s="59" t="n">
        <f aca="false">F1686-E1686</f>
        <v>0.125694444398148</v>
      </c>
      <c r="H1686" s="57" t="s">
        <v>252</v>
      </c>
      <c r="I1686" s="57"/>
      <c r="J1686" s="57" t="s">
        <v>253</v>
      </c>
      <c r="K1686" s="57" t="s">
        <v>266</v>
      </c>
      <c r="L1686" s="57" t="s">
        <v>2691</v>
      </c>
      <c r="M1686" s="57" t="s">
        <v>255</v>
      </c>
      <c r="N1686" s="57" t="s">
        <v>256</v>
      </c>
      <c r="O1686" s="61" t="s">
        <v>2692</v>
      </c>
      <c r="P1686" s="57" t="s">
        <v>2711</v>
      </c>
      <c r="Q1686" s="57" t="s">
        <v>706</v>
      </c>
    </row>
    <row r="1687" s="50" customFormat="true" ht="14.25" hidden="false" customHeight="true" outlineLevel="0" collapsed="false">
      <c r="A1687" s="50" t="s">
        <v>364</v>
      </c>
      <c r="B1687" s="57" t="s">
        <v>364</v>
      </c>
      <c r="C1687" s="57" t="s">
        <v>260</v>
      </c>
      <c r="D1687" s="58" t="n">
        <v>46080.3888888889</v>
      </c>
      <c r="E1687" s="58" t="n">
        <v>46080.3888888889</v>
      </c>
      <c r="F1687" s="58" t="n">
        <v>46080.5145833333</v>
      </c>
      <c r="G1687" s="59" t="n">
        <f aca="false">F1687-E1687</f>
        <v>0.125694444398148</v>
      </c>
      <c r="H1687" s="57" t="s">
        <v>252</v>
      </c>
      <c r="I1687" s="57"/>
      <c r="J1687" s="57" t="s">
        <v>253</v>
      </c>
      <c r="K1687" s="57" t="s">
        <v>266</v>
      </c>
      <c r="L1687" s="57" t="s">
        <v>2691</v>
      </c>
      <c r="M1687" s="57" t="s">
        <v>255</v>
      </c>
      <c r="N1687" s="57" t="s">
        <v>256</v>
      </c>
      <c r="O1687" s="61" t="s">
        <v>2692</v>
      </c>
      <c r="P1687" s="57" t="s">
        <v>2712</v>
      </c>
      <c r="Q1687" s="57" t="s">
        <v>706</v>
      </c>
    </row>
    <row r="1688" s="50" customFormat="true" ht="14.25" hidden="false" customHeight="true" outlineLevel="0" collapsed="false">
      <c r="A1688" s="50" t="s">
        <v>430</v>
      </c>
      <c r="B1688" s="57" t="s">
        <v>430</v>
      </c>
      <c r="C1688" s="57" t="s">
        <v>260</v>
      </c>
      <c r="D1688" s="58" t="n">
        <v>46080.3888888889</v>
      </c>
      <c r="E1688" s="58" t="n">
        <v>46080.3888888889</v>
      </c>
      <c r="F1688" s="58" t="n">
        <v>46080.5145833333</v>
      </c>
      <c r="G1688" s="59" t="n">
        <f aca="false">F1688-E1688</f>
        <v>0.125694444398148</v>
      </c>
      <c r="H1688" s="57" t="s">
        <v>252</v>
      </c>
      <c r="I1688" s="57"/>
      <c r="J1688" s="57" t="s">
        <v>253</v>
      </c>
      <c r="K1688" s="57" t="s">
        <v>266</v>
      </c>
      <c r="L1688" s="57" t="s">
        <v>2691</v>
      </c>
      <c r="M1688" s="57" t="s">
        <v>255</v>
      </c>
      <c r="N1688" s="57" t="s">
        <v>256</v>
      </c>
      <c r="O1688" s="61" t="s">
        <v>2692</v>
      </c>
      <c r="P1688" s="57" t="s">
        <v>2713</v>
      </c>
      <c r="Q1688" s="57" t="s">
        <v>706</v>
      </c>
    </row>
    <row r="1689" s="50" customFormat="true" ht="14.25" hidden="false" customHeight="true" outlineLevel="0" collapsed="false">
      <c r="A1689" s="50" t="s">
        <v>430</v>
      </c>
      <c r="B1689" s="57" t="s">
        <v>430</v>
      </c>
      <c r="C1689" s="57" t="s">
        <v>258</v>
      </c>
      <c r="D1689" s="58" t="n">
        <v>46080.3888888889</v>
      </c>
      <c r="E1689" s="58" t="n">
        <v>46080.3888888889</v>
      </c>
      <c r="F1689" s="58" t="n">
        <v>46080.5145833333</v>
      </c>
      <c r="G1689" s="59" t="n">
        <f aca="false">F1689-E1689</f>
        <v>0.125694444398148</v>
      </c>
      <c r="H1689" s="57" t="s">
        <v>252</v>
      </c>
      <c r="I1689" s="57"/>
      <c r="J1689" s="57" t="s">
        <v>253</v>
      </c>
      <c r="K1689" s="57" t="s">
        <v>266</v>
      </c>
      <c r="L1689" s="57" t="s">
        <v>2691</v>
      </c>
      <c r="M1689" s="57" t="s">
        <v>255</v>
      </c>
      <c r="N1689" s="57" t="s">
        <v>256</v>
      </c>
      <c r="O1689" s="61" t="s">
        <v>2692</v>
      </c>
      <c r="P1689" s="57" t="s">
        <v>2714</v>
      </c>
      <c r="Q1689" s="57" t="s">
        <v>706</v>
      </c>
    </row>
    <row r="1690" s="50" customFormat="true" ht="14.25" hidden="false" customHeight="true" outlineLevel="0" collapsed="false">
      <c r="A1690" s="50" t="s">
        <v>430</v>
      </c>
      <c r="B1690" s="57" t="s">
        <v>430</v>
      </c>
      <c r="C1690" s="57" t="s">
        <v>251</v>
      </c>
      <c r="D1690" s="58" t="n">
        <v>46080.3888888889</v>
      </c>
      <c r="E1690" s="58" t="n">
        <v>46080.3888888889</v>
      </c>
      <c r="F1690" s="58" t="n">
        <v>46080.5145833333</v>
      </c>
      <c r="G1690" s="59" t="n">
        <f aca="false">F1690-E1690</f>
        <v>0.125694444398148</v>
      </c>
      <c r="H1690" s="57" t="s">
        <v>252</v>
      </c>
      <c r="I1690" s="57"/>
      <c r="J1690" s="57" t="s">
        <v>253</v>
      </c>
      <c r="K1690" s="57" t="s">
        <v>266</v>
      </c>
      <c r="L1690" s="57" t="s">
        <v>2691</v>
      </c>
      <c r="M1690" s="57" t="s">
        <v>255</v>
      </c>
      <c r="N1690" s="57" t="s">
        <v>256</v>
      </c>
      <c r="O1690" s="61" t="s">
        <v>2692</v>
      </c>
      <c r="P1690" s="57" t="s">
        <v>2715</v>
      </c>
      <c r="Q1690" s="57" t="s">
        <v>706</v>
      </c>
    </row>
    <row r="1691" s="50" customFormat="true" ht="14.25" hidden="false" customHeight="true" outlineLevel="0" collapsed="false">
      <c r="A1691" s="50" t="s">
        <v>430</v>
      </c>
      <c r="B1691" s="57" t="s">
        <v>430</v>
      </c>
      <c r="C1691" s="57" t="s">
        <v>431</v>
      </c>
      <c r="D1691" s="58" t="n">
        <v>46080.3888888889</v>
      </c>
      <c r="E1691" s="58" t="n">
        <v>46080.3888888889</v>
      </c>
      <c r="F1691" s="58" t="n">
        <v>46080.5145833333</v>
      </c>
      <c r="G1691" s="59" t="n">
        <f aca="false">F1691-E1691</f>
        <v>0.125694444398148</v>
      </c>
      <c r="H1691" s="57" t="s">
        <v>252</v>
      </c>
      <c r="I1691" s="57"/>
      <c r="J1691" s="57" t="s">
        <v>253</v>
      </c>
      <c r="K1691" s="57" t="s">
        <v>266</v>
      </c>
      <c r="L1691" s="57" t="s">
        <v>2691</v>
      </c>
      <c r="M1691" s="57" t="s">
        <v>255</v>
      </c>
      <c r="N1691" s="57" t="s">
        <v>256</v>
      </c>
      <c r="O1691" s="61" t="s">
        <v>2692</v>
      </c>
      <c r="P1691" s="57" t="s">
        <v>2716</v>
      </c>
      <c r="Q1691" s="57" t="s">
        <v>706</v>
      </c>
    </row>
    <row r="1692" s="50" customFormat="true" ht="14.25" hidden="false" customHeight="true" outlineLevel="0" collapsed="false">
      <c r="A1692" s="50" t="s">
        <v>430</v>
      </c>
      <c r="B1692" s="57" t="s">
        <v>430</v>
      </c>
      <c r="C1692" s="57" t="s">
        <v>259</v>
      </c>
      <c r="D1692" s="58" t="n">
        <v>46080.3888888889</v>
      </c>
      <c r="E1692" s="58" t="n">
        <v>46080.3888888889</v>
      </c>
      <c r="F1692" s="58" t="n">
        <v>46080.5145833333</v>
      </c>
      <c r="G1692" s="59" t="n">
        <f aca="false">F1692-E1692</f>
        <v>0.125694444398148</v>
      </c>
      <c r="H1692" s="57" t="s">
        <v>252</v>
      </c>
      <c r="I1692" s="57"/>
      <c r="J1692" s="57" t="s">
        <v>253</v>
      </c>
      <c r="K1692" s="57" t="s">
        <v>266</v>
      </c>
      <c r="L1692" s="57" t="s">
        <v>2691</v>
      </c>
      <c r="M1692" s="57" t="s">
        <v>255</v>
      </c>
      <c r="N1692" s="57" t="s">
        <v>256</v>
      </c>
      <c r="O1692" s="61" t="s">
        <v>2692</v>
      </c>
      <c r="P1692" s="57" t="s">
        <v>2717</v>
      </c>
      <c r="Q1692" s="57" t="s">
        <v>706</v>
      </c>
    </row>
    <row r="1693" s="50" customFormat="true" ht="14.25" hidden="false" customHeight="true" outlineLevel="0" collapsed="false">
      <c r="A1693" s="50" t="s">
        <v>264</v>
      </c>
      <c r="B1693" s="57" t="s">
        <v>264</v>
      </c>
      <c r="C1693" s="57" t="s">
        <v>265</v>
      </c>
      <c r="D1693" s="58" t="n">
        <v>46080.4652777778</v>
      </c>
      <c r="E1693" s="58" t="n">
        <v>46080.4652777778</v>
      </c>
      <c r="F1693" s="58" t="n">
        <v>46080.5243055556</v>
      </c>
      <c r="G1693" s="59" t="n">
        <f aca="false">F1693-E1693</f>
        <v>0.0590277778009259</v>
      </c>
      <c r="H1693" s="57" t="s">
        <v>252</v>
      </c>
      <c r="I1693" s="57"/>
      <c r="J1693" s="57" t="s">
        <v>253</v>
      </c>
      <c r="K1693" s="57" t="s">
        <v>266</v>
      </c>
      <c r="L1693" s="57" t="s">
        <v>2718</v>
      </c>
      <c r="M1693" s="57" t="s">
        <v>255</v>
      </c>
      <c r="N1693" s="57" t="s">
        <v>256</v>
      </c>
      <c r="O1693" s="57" t="s">
        <v>2719</v>
      </c>
      <c r="P1693" s="57" t="s">
        <v>2720</v>
      </c>
      <c r="Q1693" s="57" t="s">
        <v>706</v>
      </c>
    </row>
    <row r="1694" s="50" customFormat="true" ht="14.25" hidden="false" customHeight="true" outlineLevel="0" collapsed="false">
      <c r="A1694" s="50" t="s">
        <v>271</v>
      </c>
      <c r="B1694" s="57" t="s">
        <v>271</v>
      </c>
      <c r="C1694" s="57" t="s">
        <v>265</v>
      </c>
      <c r="D1694" s="58" t="n">
        <v>46080.4652777778</v>
      </c>
      <c r="E1694" s="58" t="n">
        <v>46080.4652777778</v>
      </c>
      <c r="F1694" s="58" t="n">
        <v>46080.5243055556</v>
      </c>
      <c r="G1694" s="59" t="n">
        <f aca="false">F1694-E1694</f>
        <v>0.0590277778009259</v>
      </c>
      <c r="H1694" s="57" t="s">
        <v>252</v>
      </c>
      <c r="I1694" s="57"/>
      <c r="J1694" s="57" t="s">
        <v>253</v>
      </c>
      <c r="K1694" s="57" t="s">
        <v>266</v>
      </c>
      <c r="L1694" s="57" t="s">
        <v>2718</v>
      </c>
      <c r="M1694" s="57" t="s">
        <v>255</v>
      </c>
      <c r="N1694" s="57" t="s">
        <v>256</v>
      </c>
      <c r="O1694" s="57" t="s">
        <v>2719</v>
      </c>
      <c r="P1694" s="57" t="s">
        <v>2721</v>
      </c>
      <c r="Q1694" s="57" t="s">
        <v>706</v>
      </c>
    </row>
    <row r="1695" s="50" customFormat="true" ht="14.25" hidden="false" customHeight="true" outlineLevel="0" collapsed="false">
      <c r="A1695" s="50" t="s">
        <v>272</v>
      </c>
      <c r="B1695" s="57" t="s">
        <v>272</v>
      </c>
      <c r="C1695" s="57" t="s">
        <v>265</v>
      </c>
      <c r="D1695" s="58" t="n">
        <v>46080.4652777778</v>
      </c>
      <c r="E1695" s="58" t="n">
        <v>46080.4652777778</v>
      </c>
      <c r="F1695" s="58" t="n">
        <v>46080.5243055556</v>
      </c>
      <c r="G1695" s="59" t="n">
        <f aca="false">F1695-E1695</f>
        <v>0.0590277778009259</v>
      </c>
      <c r="H1695" s="57" t="s">
        <v>252</v>
      </c>
      <c r="I1695" s="57"/>
      <c r="J1695" s="57" t="s">
        <v>253</v>
      </c>
      <c r="K1695" s="57" t="s">
        <v>266</v>
      </c>
      <c r="L1695" s="57" t="s">
        <v>2718</v>
      </c>
      <c r="M1695" s="57" t="s">
        <v>255</v>
      </c>
      <c r="N1695" s="57" t="s">
        <v>256</v>
      </c>
      <c r="O1695" s="57" t="s">
        <v>2719</v>
      </c>
      <c r="P1695" s="57" t="s">
        <v>2722</v>
      </c>
      <c r="Q1695" s="57" t="s">
        <v>706</v>
      </c>
    </row>
    <row r="1696" s="50" customFormat="true" ht="14.25" hidden="false" customHeight="true" outlineLevel="0" collapsed="false">
      <c r="A1696" s="50" t="s">
        <v>273</v>
      </c>
      <c r="B1696" s="57" t="s">
        <v>273</v>
      </c>
      <c r="C1696" s="57" t="s">
        <v>265</v>
      </c>
      <c r="D1696" s="58" t="n">
        <v>46080.4652777778</v>
      </c>
      <c r="E1696" s="58" t="n">
        <v>46080.4652777778</v>
      </c>
      <c r="F1696" s="58" t="n">
        <v>46080.5243055556</v>
      </c>
      <c r="G1696" s="59" t="n">
        <f aca="false">F1696-E1696</f>
        <v>0.0590277778009259</v>
      </c>
      <c r="H1696" s="57" t="s">
        <v>252</v>
      </c>
      <c r="I1696" s="57"/>
      <c r="J1696" s="57" t="s">
        <v>253</v>
      </c>
      <c r="K1696" s="57" t="s">
        <v>266</v>
      </c>
      <c r="L1696" s="57" t="s">
        <v>2718</v>
      </c>
      <c r="M1696" s="57" t="s">
        <v>255</v>
      </c>
      <c r="N1696" s="57" t="s">
        <v>256</v>
      </c>
      <c r="O1696" s="57" t="s">
        <v>2719</v>
      </c>
      <c r="P1696" s="57" t="s">
        <v>2723</v>
      </c>
      <c r="Q1696" s="57" t="s">
        <v>706</v>
      </c>
    </row>
    <row r="1697" s="50" customFormat="true" ht="14.25" hidden="false" customHeight="true" outlineLevel="0" collapsed="false">
      <c r="A1697" s="50" t="s">
        <v>341</v>
      </c>
      <c r="B1697" s="57" t="s">
        <v>341</v>
      </c>
      <c r="C1697" s="57" t="s">
        <v>326</v>
      </c>
      <c r="D1697" s="58" t="n">
        <v>46080.46875</v>
      </c>
      <c r="E1697" s="58" t="n">
        <v>46080.46875</v>
      </c>
      <c r="F1697" s="58" t="n">
        <v>46080.5131944444</v>
      </c>
      <c r="G1697" s="59" t="n">
        <f aca="false">F1697-E1697</f>
        <v>0.0444444443981481</v>
      </c>
      <c r="H1697" s="57" t="s">
        <v>252</v>
      </c>
      <c r="I1697" s="57"/>
      <c r="J1697" s="57" t="s">
        <v>234</v>
      </c>
      <c r="K1697" s="57" t="s">
        <v>234</v>
      </c>
      <c r="L1697" s="57" t="s">
        <v>2686</v>
      </c>
      <c r="M1697" s="57" t="s">
        <v>2687</v>
      </c>
      <c r="N1697" s="57" t="s">
        <v>289</v>
      </c>
      <c r="O1697" s="57" t="s">
        <v>2688</v>
      </c>
      <c r="P1697" s="57" t="s">
        <v>2724</v>
      </c>
      <c r="Q1697" s="57" t="s">
        <v>735</v>
      </c>
    </row>
    <row r="1698" s="50" customFormat="true" ht="14.25" hidden="false" customHeight="true" outlineLevel="0" collapsed="false">
      <c r="A1698" s="50" t="s">
        <v>341</v>
      </c>
      <c r="B1698" s="57" t="s">
        <v>341</v>
      </c>
      <c r="C1698" s="57" t="s">
        <v>324</v>
      </c>
      <c r="D1698" s="58" t="n">
        <v>46080.46875</v>
      </c>
      <c r="E1698" s="58" t="n">
        <v>46080.46875</v>
      </c>
      <c r="F1698" s="58" t="n">
        <v>46080.5131944444</v>
      </c>
      <c r="G1698" s="59" t="n">
        <f aca="false">F1698-E1698</f>
        <v>0.0444444443981481</v>
      </c>
      <c r="H1698" s="57" t="s">
        <v>252</v>
      </c>
      <c r="I1698" s="57"/>
      <c r="J1698" s="57" t="s">
        <v>234</v>
      </c>
      <c r="K1698" s="57" t="s">
        <v>234</v>
      </c>
      <c r="L1698" s="57" t="s">
        <v>2686</v>
      </c>
      <c r="M1698" s="57" t="s">
        <v>2687</v>
      </c>
      <c r="N1698" s="57" t="s">
        <v>289</v>
      </c>
      <c r="O1698" s="57" t="s">
        <v>2688</v>
      </c>
      <c r="P1698" s="57" t="s">
        <v>2725</v>
      </c>
      <c r="Q1698" s="57" t="s">
        <v>735</v>
      </c>
    </row>
    <row r="1699" s="50" customFormat="true" ht="14.25" hidden="false" customHeight="true" outlineLevel="0" collapsed="false">
      <c r="A1699" s="50" t="s">
        <v>323</v>
      </c>
      <c r="B1699" s="57" t="s">
        <v>323</v>
      </c>
      <c r="C1699" s="57" t="s">
        <v>324</v>
      </c>
      <c r="D1699" s="58" t="n">
        <v>46080.8805555556</v>
      </c>
      <c r="E1699" s="58" t="n">
        <v>46080.8805555556</v>
      </c>
      <c r="F1699" s="58" t="n">
        <v>46080.9166666667</v>
      </c>
      <c r="G1699" s="59" t="n">
        <f aca="false">F1699-E1699</f>
        <v>0.036111111099537</v>
      </c>
      <c r="H1699" s="57" t="s">
        <v>283</v>
      </c>
      <c r="I1699" s="57" t="s">
        <v>284</v>
      </c>
      <c r="J1699" s="57" t="s">
        <v>285</v>
      </c>
      <c r="K1699" s="57" t="s">
        <v>286</v>
      </c>
      <c r="L1699" s="57" t="s">
        <v>2726</v>
      </c>
      <c r="M1699" s="57" t="s">
        <v>288</v>
      </c>
      <c r="N1699" s="57" t="s">
        <v>502</v>
      </c>
      <c r="O1699" s="57" t="s">
        <v>2727</v>
      </c>
      <c r="P1699" s="57" t="s">
        <v>2728</v>
      </c>
      <c r="Q1699" s="57" t="s">
        <v>694</v>
      </c>
    </row>
    <row r="1700" s="50" customFormat="true" ht="14.25" hidden="false" customHeight="true" outlineLevel="0" collapsed="false">
      <c r="A1700" s="50" t="s">
        <v>323</v>
      </c>
      <c r="B1700" s="57" t="s">
        <v>323</v>
      </c>
      <c r="C1700" s="57" t="s">
        <v>326</v>
      </c>
      <c r="D1700" s="58" t="n">
        <v>46080.8805555556</v>
      </c>
      <c r="E1700" s="58" t="n">
        <v>46080.8805555556</v>
      </c>
      <c r="F1700" s="58" t="n">
        <v>46080.9166666667</v>
      </c>
      <c r="G1700" s="59" t="n">
        <f aca="false">F1700-E1700</f>
        <v>0.036111111099537</v>
      </c>
      <c r="H1700" s="57" t="s">
        <v>283</v>
      </c>
      <c r="I1700" s="57" t="s">
        <v>284</v>
      </c>
      <c r="J1700" s="57" t="s">
        <v>285</v>
      </c>
      <c r="K1700" s="57" t="s">
        <v>286</v>
      </c>
      <c r="L1700" s="57" t="s">
        <v>2726</v>
      </c>
      <c r="M1700" s="57" t="s">
        <v>288</v>
      </c>
      <c r="N1700" s="57" t="s">
        <v>502</v>
      </c>
      <c r="O1700" s="57" t="s">
        <v>2727</v>
      </c>
      <c r="P1700" s="57" t="s">
        <v>2729</v>
      </c>
      <c r="Q1700" s="57" t="s">
        <v>694</v>
      </c>
    </row>
    <row r="1701" s="50" customFormat="true" ht="14.25" hidden="false" customHeight="true" outlineLevel="0" collapsed="false">
      <c r="A1701" s="50" t="s">
        <v>323</v>
      </c>
      <c r="B1701" s="57" t="s">
        <v>323</v>
      </c>
      <c r="C1701" s="57" t="s">
        <v>327</v>
      </c>
      <c r="D1701" s="58" t="n">
        <v>46080.8805555556</v>
      </c>
      <c r="E1701" s="58" t="n">
        <v>46080.8805555556</v>
      </c>
      <c r="F1701" s="58" t="n">
        <v>46080.9166666667</v>
      </c>
      <c r="G1701" s="59" t="n">
        <f aca="false">F1701-E1701</f>
        <v>0.036111111099537</v>
      </c>
      <c r="H1701" s="57" t="s">
        <v>283</v>
      </c>
      <c r="I1701" s="57" t="s">
        <v>284</v>
      </c>
      <c r="J1701" s="57" t="s">
        <v>285</v>
      </c>
      <c r="K1701" s="57" t="s">
        <v>286</v>
      </c>
      <c r="L1701" s="57" t="s">
        <v>2726</v>
      </c>
      <c r="M1701" s="57" t="s">
        <v>288</v>
      </c>
      <c r="N1701" s="57" t="s">
        <v>502</v>
      </c>
      <c r="O1701" s="57" t="s">
        <v>2727</v>
      </c>
      <c r="P1701" s="57" t="s">
        <v>2730</v>
      </c>
      <c r="Q1701" s="57" t="s">
        <v>694</v>
      </c>
    </row>
    <row r="1702" s="50" customFormat="true" ht="14.25" hidden="false" customHeight="true" outlineLevel="0" collapsed="false">
      <c r="A1702" s="50" t="s">
        <v>323</v>
      </c>
      <c r="B1702" s="57" t="s">
        <v>323</v>
      </c>
      <c r="C1702" s="57" t="s">
        <v>328</v>
      </c>
      <c r="D1702" s="58" t="n">
        <v>46080.8805555556</v>
      </c>
      <c r="E1702" s="58" t="n">
        <v>46080.8805555556</v>
      </c>
      <c r="F1702" s="58" t="n">
        <v>46080.9166666667</v>
      </c>
      <c r="G1702" s="59" t="n">
        <f aca="false">F1702-E1702</f>
        <v>0.036111111099537</v>
      </c>
      <c r="H1702" s="57" t="s">
        <v>283</v>
      </c>
      <c r="I1702" s="57" t="s">
        <v>284</v>
      </c>
      <c r="J1702" s="57" t="s">
        <v>285</v>
      </c>
      <c r="K1702" s="57" t="s">
        <v>286</v>
      </c>
      <c r="L1702" s="57" t="s">
        <v>2726</v>
      </c>
      <c r="M1702" s="57" t="s">
        <v>288</v>
      </c>
      <c r="N1702" s="57" t="s">
        <v>502</v>
      </c>
      <c r="O1702" s="57" t="s">
        <v>2727</v>
      </c>
      <c r="P1702" s="57" t="s">
        <v>2731</v>
      </c>
      <c r="Q1702" s="57" t="s">
        <v>694</v>
      </c>
    </row>
    <row r="1703" s="50" customFormat="true" ht="14.25" hidden="false" customHeight="true" outlineLevel="0" collapsed="false">
      <c r="A1703" s="50" t="s">
        <v>329</v>
      </c>
      <c r="B1703" s="57" t="s">
        <v>329</v>
      </c>
      <c r="C1703" s="57" t="s">
        <v>324</v>
      </c>
      <c r="D1703" s="58" t="n">
        <v>46080.8805555556</v>
      </c>
      <c r="E1703" s="58" t="n">
        <v>46080.8805555556</v>
      </c>
      <c r="F1703" s="58" t="n">
        <v>46080.9166666667</v>
      </c>
      <c r="G1703" s="59" t="n">
        <f aca="false">F1703-E1703</f>
        <v>0.036111111099537</v>
      </c>
      <c r="H1703" s="57" t="s">
        <v>283</v>
      </c>
      <c r="I1703" s="57" t="s">
        <v>284</v>
      </c>
      <c r="J1703" s="57" t="s">
        <v>285</v>
      </c>
      <c r="K1703" s="57" t="s">
        <v>286</v>
      </c>
      <c r="L1703" s="57" t="s">
        <v>2726</v>
      </c>
      <c r="M1703" s="57" t="s">
        <v>288</v>
      </c>
      <c r="N1703" s="57" t="s">
        <v>502</v>
      </c>
      <c r="O1703" s="57" t="s">
        <v>2727</v>
      </c>
      <c r="P1703" s="57" t="s">
        <v>2732</v>
      </c>
      <c r="Q1703" s="57" t="s">
        <v>694</v>
      </c>
    </row>
    <row r="1704" s="50" customFormat="true" ht="14.25" hidden="false" customHeight="true" outlineLevel="0" collapsed="false">
      <c r="A1704" s="50" t="s">
        <v>329</v>
      </c>
      <c r="B1704" s="57" t="s">
        <v>329</v>
      </c>
      <c r="C1704" s="57" t="s">
        <v>326</v>
      </c>
      <c r="D1704" s="58" t="n">
        <v>46080.8805555556</v>
      </c>
      <c r="E1704" s="58" t="n">
        <v>46080.8805555556</v>
      </c>
      <c r="F1704" s="58" t="n">
        <v>46080.9166666667</v>
      </c>
      <c r="G1704" s="59" t="n">
        <f aca="false">F1704-E1704</f>
        <v>0.036111111099537</v>
      </c>
      <c r="H1704" s="57" t="s">
        <v>283</v>
      </c>
      <c r="I1704" s="57" t="s">
        <v>284</v>
      </c>
      <c r="J1704" s="57" t="s">
        <v>285</v>
      </c>
      <c r="K1704" s="57" t="s">
        <v>286</v>
      </c>
      <c r="L1704" s="57" t="s">
        <v>2726</v>
      </c>
      <c r="M1704" s="57" t="s">
        <v>288</v>
      </c>
      <c r="N1704" s="57" t="s">
        <v>502</v>
      </c>
      <c r="O1704" s="57" t="s">
        <v>2727</v>
      </c>
      <c r="P1704" s="57" t="s">
        <v>2733</v>
      </c>
      <c r="Q1704" s="57" t="s">
        <v>694</v>
      </c>
    </row>
    <row r="1705" s="50" customFormat="true" ht="14.25" hidden="false" customHeight="true" outlineLevel="0" collapsed="false">
      <c r="A1705" s="50" t="s">
        <v>329</v>
      </c>
      <c r="B1705" s="57" t="s">
        <v>329</v>
      </c>
      <c r="C1705" s="57" t="s">
        <v>327</v>
      </c>
      <c r="D1705" s="58" t="n">
        <v>46080.8805555556</v>
      </c>
      <c r="E1705" s="58" t="n">
        <v>46080.8805555556</v>
      </c>
      <c r="F1705" s="58" t="n">
        <v>46080.9166666667</v>
      </c>
      <c r="G1705" s="59" t="n">
        <f aca="false">F1705-E1705</f>
        <v>0.036111111099537</v>
      </c>
      <c r="H1705" s="57" t="s">
        <v>283</v>
      </c>
      <c r="I1705" s="57" t="s">
        <v>284</v>
      </c>
      <c r="J1705" s="57" t="s">
        <v>285</v>
      </c>
      <c r="K1705" s="57" t="s">
        <v>286</v>
      </c>
      <c r="L1705" s="57" t="s">
        <v>2726</v>
      </c>
      <c r="M1705" s="57" t="s">
        <v>288</v>
      </c>
      <c r="N1705" s="57" t="s">
        <v>502</v>
      </c>
      <c r="O1705" s="57" t="s">
        <v>2727</v>
      </c>
      <c r="P1705" s="57" t="s">
        <v>2734</v>
      </c>
      <c r="Q1705" s="57" t="s">
        <v>694</v>
      </c>
    </row>
    <row r="1706" s="50" customFormat="true" ht="14.25" hidden="false" customHeight="true" outlineLevel="0" collapsed="false">
      <c r="A1706" s="50" t="s">
        <v>329</v>
      </c>
      <c r="B1706" s="57" t="s">
        <v>329</v>
      </c>
      <c r="C1706" s="57" t="s">
        <v>328</v>
      </c>
      <c r="D1706" s="58" t="n">
        <v>46080.8805555556</v>
      </c>
      <c r="E1706" s="58" t="n">
        <v>46080.8805555556</v>
      </c>
      <c r="F1706" s="58" t="n">
        <v>46080.9166666667</v>
      </c>
      <c r="G1706" s="59" t="n">
        <f aca="false">F1706-E1706</f>
        <v>0.036111111099537</v>
      </c>
      <c r="H1706" s="57" t="s">
        <v>283</v>
      </c>
      <c r="I1706" s="57" t="s">
        <v>284</v>
      </c>
      <c r="J1706" s="57" t="s">
        <v>285</v>
      </c>
      <c r="K1706" s="57" t="s">
        <v>286</v>
      </c>
      <c r="L1706" s="57" t="s">
        <v>2726</v>
      </c>
      <c r="M1706" s="57" t="s">
        <v>288</v>
      </c>
      <c r="N1706" s="57" t="s">
        <v>502</v>
      </c>
      <c r="O1706" s="57" t="s">
        <v>2727</v>
      </c>
      <c r="P1706" s="57" t="s">
        <v>2735</v>
      </c>
      <c r="Q1706" s="57" t="s">
        <v>694</v>
      </c>
    </row>
    <row r="1707" s="50" customFormat="true" ht="14.25" hidden="false" customHeight="true" outlineLevel="0" collapsed="false">
      <c r="A1707" s="50" t="s">
        <v>424</v>
      </c>
      <c r="B1707" s="57" t="s">
        <v>424</v>
      </c>
      <c r="C1707" s="57" t="s">
        <v>265</v>
      </c>
      <c r="D1707" s="58" t="n">
        <v>46081.5104166667</v>
      </c>
      <c r="E1707" s="58" t="n">
        <v>46081.5104166667</v>
      </c>
      <c r="F1707" s="58" t="n">
        <v>46081.5902777778</v>
      </c>
      <c r="G1707" s="59" t="n">
        <f aca="false">F1707-E1707</f>
        <v>0.0798611111111111</v>
      </c>
      <c r="H1707" s="57" t="s">
        <v>252</v>
      </c>
      <c r="I1707" s="57"/>
      <c r="J1707" s="57" t="s">
        <v>253</v>
      </c>
      <c r="K1707" s="57" t="s">
        <v>266</v>
      </c>
      <c r="L1707" s="57" t="s">
        <v>2736</v>
      </c>
      <c r="M1707" s="57" t="s">
        <v>255</v>
      </c>
      <c r="N1707" s="57" t="s">
        <v>256</v>
      </c>
      <c r="O1707" s="57" t="s">
        <v>2737</v>
      </c>
      <c r="P1707" s="57" t="s">
        <v>2738</v>
      </c>
      <c r="Q1707" s="57" t="s">
        <v>706</v>
      </c>
    </row>
    <row r="1708" s="50" customFormat="true" ht="14.25" hidden="false" customHeight="true" outlineLevel="0" collapsed="false">
      <c r="A1708" s="50" t="s">
        <v>424</v>
      </c>
      <c r="B1708" s="57" t="s">
        <v>424</v>
      </c>
      <c r="C1708" s="57" t="s">
        <v>251</v>
      </c>
      <c r="D1708" s="58" t="n">
        <v>46081.5104166667</v>
      </c>
      <c r="E1708" s="58" t="n">
        <v>46081.5104166667</v>
      </c>
      <c r="F1708" s="58" t="n">
        <v>46081.5902777778</v>
      </c>
      <c r="G1708" s="59" t="n">
        <f aca="false">F1708-E1708</f>
        <v>0.0798611111111111</v>
      </c>
      <c r="H1708" s="57" t="s">
        <v>252</v>
      </c>
      <c r="I1708" s="57"/>
      <c r="J1708" s="57" t="s">
        <v>253</v>
      </c>
      <c r="K1708" s="57" t="s">
        <v>266</v>
      </c>
      <c r="L1708" s="57" t="s">
        <v>2736</v>
      </c>
      <c r="M1708" s="57" t="s">
        <v>255</v>
      </c>
      <c r="N1708" s="57" t="s">
        <v>256</v>
      </c>
      <c r="O1708" s="57" t="s">
        <v>2737</v>
      </c>
      <c r="P1708" s="57" t="s">
        <v>2739</v>
      </c>
      <c r="Q1708" s="57" t="s">
        <v>706</v>
      </c>
    </row>
    <row r="1709" s="50" customFormat="true" ht="14.25" hidden="false" customHeight="true" outlineLevel="0" collapsed="false">
      <c r="A1709" s="50" t="s">
        <v>424</v>
      </c>
      <c r="B1709" s="57" t="s">
        <v>424</v>
      </c>
      <c r="C1709" s="57" t="s">
        <v>258</v>
      </c>
      <c r="D1709" s="58" t="n">
        <v>46081.5104166667</v>
      </c>
      <c r="E1709" s="58" t="n">
        <v>46081.5104166667</v>
      </c>
      <c r="F1709" s="58" t="n">
        <v>46081.5902777778</v>
      </c>
      <c r="G1709" s="59" t="n">
        <f aca="false">F1709-E1709</f>
        <v>0.0798611111111111</v>
      </c>
      <c r="H1709" s="57" t="s">
        <v>252</v>
      </c>
      <c r="I1709" s="57"/>
      <c r="J1709" s="57" t="s">
        <v>253</v>
      </c>
      <c r="K1709" s="57" t="s">
        <v>266</v>
      </c>
      <c r="L1709" s="57" t="s">
        <v>2736</v>
      </c>
      <c r="M1709" s="57" t="s">
        <v>255</v>
      </c>
      <c r="N1709" s="57" t="s">
        <v>256</v>
      </c>
      <c r="O1709" s="57" t="s">
        <v>2737</v>
      </c>
      <c r="P1709" s="57" t="s">
        <v>2740</v>
      </c>
      <c r="Q1709" s="57" t="s">
        <v>706</v>
      </c>
    </row>
    <row r="1710" s="50" customFormat="true" ht="14.25" hidden="false" customHeight="true" outlineLevel="0" collapsed="false">
      <c r="A1710" s="50" t="s">
        <v>424</v>
      </c>
      <c r="B1710" s="57" t="s">
        <v>424</v>
      </c>
      <c r="C1710" s="57" t="s">
        <v>261</v>
      </c>
      <c r="D1710" s="58" t="n">
        <v>46081.5104166667</v>
      </c>
      <c r="E1710" s="58" t="n">
        <v>46081.5104166667</v>
      </c>
      <c r="F1710" s="58" t="n">
        <v>46081.5902777778</v>
      </c>
      <c r="G1710" s="59" t="n">
        <f aca="false">F1710-E1710</f>
        <v>0.0798611111111111</v>
      </c>
      <c r="H1710" s="57" t="s">
        <v>252</v>
      </c>
      <c r="I1710" s="57"/>
      <c r="J1710" s="57" t="s">
        <v>253</v>
      </c>
      <c r="K1710" s="57" t="s">
        <v>266</v>
      </c>
      <c r="L1710" s="57" t="s">
        <v>2736</v>
      </c>
      <c r="M1710" s="57" t="s">
        <v>255</v>
      </c>
      <c r="N1710" s="57" t="s">
        <v>256</v>
      </c>
      <c r="O1710" s="57" t="s">
        <v>2737</v>
      </c>
      <c r="P1710" s="57" t="s">
        <v>2741</v>
      </c>
      <c r="Q1710" s="57" t="s">
        <v>706</v>
      </c>
    </row>
    <row r="1711" s="50" customFormat="true" ht="14.25" hidden="false" customHeight="true" outlineLevel="0" collapsed="false">
      <c r="A1711" s="50" t="s">
        <v>424</v>
      </c>
      <c r="B1711" s="57" t="s">
        <v>424</v>
      </c>
      <c r="C1711" s="57" t="s">
        <v>260</v>
      </c>
      <c r="D1711" s="58" t="n">
        <v>46081.5104166667</v>
      </c>
      <c r="E1711" s="58" t="n">
        <v>46081.5104166667</v>
      </c>
      <c r="F1711" s="58" t="n">
        <v>46081.5902777778</v>
      </c>
      <c r="G1711" s="59" t="n">
        <f aca="false">F1711-E1711</f>
        <v>0.0798611111111111</v>
      </c>
      <c r="H1711" s="57" t="s">
        <v>252</v>
      </c>
      <c r="I1711" s="57"/>
      <c r="J1711" s="57" t="s">
        <v>253</v>
      </c>
      <c r="K1711" s="57" t="s">
        <v>266</v>
      </c>
      <c r="L1711" s="57" t="s">
        <v>2736</v>
      </c>
      <c r="M1711" s="57" t="s">
        <v>255</v>
      </c>
      <c r="N1711" s="57" t="s">
        <v>256</v>
      </c>
      <c r="O1711" s="57" t="s">
        <v>2737</v>
      </c>
      <c r="P1711" s="57" t="s">
        <v>2742</v>
      </c>
      <c r="Q1711" s="57" t="s">
        <v>706</v>
      </c>
    </row>
    <row r="1712" s="50" customFormat="true" ht="14.25" hidden="false" customHeight="true" outlineLevel="0" collapsed="false">
      <c r="A1712" s="50" t="s">
        <v>429</v>
      </c>
      <c r="B1712" s="57" t="s">
        <v>429</v>
      </c>
      <c r="C1712" s="57" t="s">
        <v>261</v>
      </c>
      <c r="D1712" s="58" t="n">
        <v>46081.5104166667</v>
      </c>
      <c r="E1712" s="58" t="n">
        <v>46081.5104166667</v>
      </c>
      <c r="F1712" s="58" t="n">
        <v>46081.5902777778</v>
      </c>
      <c r="G1712" s="59" t="n">
        <f aca="false">F1712-E1712</f>
        <v>0.0798611111111111</v>
      </c>
      <c r="H1712" s="57" t="s">
        <v>252</v>
      </c>
      <c r="I1712" s="57"/>
      <c r="J1712" s="57" t="s">
        <v>253</v>
      </c>
      <c r="K1712" s="57" t="s">
        <v>266</v>
      </c>
      <c r="L1712" s="57" t="s">
        <v>2736</v>
      </c>
      <c r="M1712" s="57" t="s">
        <v>255</v>
      </c>
      <c r="N1712" s="57" t="s">
        <v>256</v>
      </c>
      <c r="O1712" s="57" t="s">
        <v>2737</v>
      </c>
      <c r="P1712" s="57" t="s">
        <v>2743</v>
      </c>
      <c r="Q1712" s="57" t="s">
        <v>706</v>
      </c>
    </row>
    <row r="1713" s="50" customFormat="true" ht="14.25" hidden="false" customHeight="true" outlineLevel="0" collapsed="false">
      <c r="A1713" s="50" t="s">
        <v>429</v>
      </c>
      <c r="B1713" s="57" t="s">
        <v>429</v>
      </c>
      <c r="C1713" s="57" t="s">
        <v>259</v>
      </c>
      <c r="D1713" s="58" t="n">
        <v>46081.5104166667</v>
      </c>
      <c r="E1713" s="58" t="n">
        <v>46081.5104166667</v>
      </c>
      <c r="F1713" s="58" t="n">
        <v>46081.5902777778</v>
      </c>
      <c r="G1713" s="59" t="n">
        <f aca="false">F1713-E1713</f>
        <v>0.0798611111111111</v>
      </c>
      <c r="H1713" s="57" t="s">
        <v>252</v>
      </c>
      <c r="I1713" s="57"/>
      <c r="J1713" s="57" t="s">
        <v>253</v>
      </c>
      <c r="K1713" s="57" t="s">
        <v>266</v>
      </c>
      <c r="L1713" s="57" t="s">
        <v>2736</v>
      </c>
      <c r="M1713" s="57" t="s">
        <v>255</v>
      </c>
      <c r="N1713" s="57" t="s">
        <v>256</v>
      </c>
      <c r="O1713" s="57" t="s">
        <v>2737</v>
      </c>
      <c r="P1713" s="57" t="s">
        <v>2744</v>
      </c>
      <c r="Q1713" s="57" t="s">
        <v>706</v>
      </c>
    </row>
    <row r="1714" s="50" customFormat="true" ht="14.25" hidden="false" customHeight="true" outlineLevel="0" collapsed="false">
      <c r="A1714" s="50" t="s">
        <v>429</v>
      </c>
      <c r="B1714" s="57" t="s">
        <v>429</v>
      </c>
      <c r="C1714" s="57" t="s">
        <v>260</v>
      </c>
      <c r="D1714" s="58" t="n">
        <v>46081.5104166667</v>
      </c>
      <c r="E1714" s="58" t="n">
        <v>46081.5104166667</v>
      </c>
      <c r="F1714" s="58" t="n">
        <v>46081.5902777778</v>
      </c>
      <c r="G1714" s="59" t="n">
        <f aca="false">F1714-E1714</f>
        <v>0.0798611111111111</v>
      </c>
      <c r="H1714" s="57" t="s">
        <v>252</v>
      </c>
      <c r="I1714" s="57"/>
      <c r="J1714" s="57" t="s">
        <v>253</v>
      </c>
      <c r="K1714" s="57" t="s">
        <v>266</v>
      </c>
      <c r="L1714" s="57" t="s">
        <v>2736</v>
      </c>
      <c r="M1714" s="57" t="s">
        <v>255</v>
      </c>
      <c r="N1714" s="57" t="s">
        <v>256</v>
      </c>
      <c r="O1714" s="57" t="s">
        <v>2737</v>
      </c>
      <c r="P1714" s="57" t="s">
        <v>2745</v>
      </c>
      <c r="Q1714" s="57" t="s">
        <v>706</v>
      </c>
    </row>
    <row r="1715" s="50" customFormat="true" ht="14.25" hidden="false" customHeight="true" outlineLevel="0" collapsed="false">
      <c r="A1715" s="50" t="s">
        <v>429</v>
      </c>
      <c r="B1715" s="57" t="s">
        <v>429</v>
      </c>
      <c r="C1715" s="57" t="s">
        <v>251</v>
      </c>
      <c r="D1715" s="58" t="n">
        <v>46081.5104166667</v>
      </c>
      <c r="E1715" s="58" t="n">
        <v>46081.5104166667</v>
      </c>
      <c r="F1715" s="58" t="n">
        <v>46081.5902777778</v>
      </c>
      <c r="G1715" s="59" t="n">
        <f aca="false">F1715-E1715</f>
        <v>0.0798611111111111</v>
      </c>
      <c r="H1715" s="57" t="s">
        <v>252</v>
      </c>
      <c r="I1715" s="57"/>
      <c r="J1715" s="57" t="s">
        <v>253</v>
      </c>
      <c r="K1715" s="57" t="s">
        <v>266</v>
      </c>
      <c r="L1715" s="57" t="s">
        <v>2736</v>
      </c>
      <c r="M1715" s="57" t="s">
        <v>255</v>
      </c>
      <c r="N1715" s="57" t="s">
        <v>256</v>
      </c>
      <c r="O1715" s="57" t="s">
        <v>2737</v>
      </c>
      <c r="P1715" s="57" t="s">
        <v>2746</v>
      </c>
      <c r="Q1715" s="57" t="s">
        <v>706</v>
      </c>
    </row>
    <row r="1716" s="50" customFormat="true" ht="14.25" hidden="false" customHeight="true" outlineLevel="0" collapsed="false">
      <c r="A1716" s="50" t="s">
        <v>429</v>
      </c>
      <c r="B1716" s="57" t="s">
        <v>429</v>
      </c>
      <c r="C1716" s="57" t="s">
        <v>258</v>
      </c>
      <c r="D1716" s="58" t="n">
        <v>46081.5104166667</v>
      </c>
      <c r="E1716" s="58" t="n">
        <v>46081.5104166667</v>
      </c>
      <c r="F1716" s="58" t="n">
        <v>46081.5902777778</v>
      </c>
      <c r="G1716" s="59" t="n">
        <f aca="false">F1716-E1716</f>
        <v>0.0798611111111111</v>
      </c>
      <c r="H1716" s="57" t="s">
        <v>252</v>
      </c>
      <c r="I1716" s="57"/>
      <c r="J1716" s="57" t="s">
        <v>253</v>
      </c>
      <c r="K1716" s="57" t="s">
        <v>266</v>
      </c>
      <c r="L1716" s="57" t="s">
        <v>2736</v>
      </c>
      <c r="M1716" s="57" t="s">
        <v>255</v>
      </c>
      <c r="N1716" s="57" t="s">
        <v>256</v>
      </c>
      <c r="O1716" s="57" t="s">
        <v>2737</v>
      </c>
      <c r="P1716" s="57" t="s">
        <v>2747</v>
      </c>
      <c r="Q1716" s="57" t="s">
        <v>706</v>
      </c>
    </row>
    <row r="1717" s="50" customFormat="true" ht="14.25" hidden="false" customHeight="true" outlineLevel="0" collapsed="false">
      <c r="A1717" s="50" t="s">
        <v>264</v>
      </c>
      <c r="B1717" s="57" t="s">
        <v>264</v>
      </c>
      <c r="C1717" s="57" t="s">
        <v>265</v>
      </c>
      <c r="D1717" s="58" t="n">
        <v>46081.6076388889</v>
      </c>
      <c r="E1717" s="58" t="n">
        <v>46081.6076388889</v>
      </c>
      <c r="F1717" s="58" t="n">
        <v>46081.9999884259</v>
      </c>
      <c r="G1717" s="59" t="n">
        <f aca="false">F1717-E1717</f>
        <v>0.392349537002315</v>
      </c>
      <c r="H1717" s="57" t="s">
        <v>283</v>
      </c>
      <c r="I1717" s="57" t="s">
        <v>284</v>
      </c>
      <c r="J1717" s="57" t="s">
        <v>285</v>
      </c>
      <c r="K1717" s="57" t="s">
        <v>286</v>
      </c>
      <c r="L1717" s="57" t="s">
        <v>2748</v>
      </c>
      <c r="M1717" s="57" t="s">
        <v>288</v>
      </c>
      <c r="N1717" s="57" t="s">
        <v>502</v>
      </c>
      <c r="O1717" s="57" t="s">
        <v>2749</v>
      </c>
      <c r="P1717" s="57" t="s">
        <v>2750</v>
      </c>
      <c r="Q1717" s="57" t="s">
        <v>694</v>
      </c>
    </row>
    <row r="1718" s="50" customFormat="true" ht="14.25" hidden="false" customHeight="true" outlineLevel="0" collapsed="false">
      <c r="A1718" s="50" t="s">
        <v>271</v>
      </c>
      <c r="B1718" s="57" t="s">
        <v>271</v>
      </c>
      <c r="C1718" s="57" t="s">
        <v>265</v>
      </c>
      <c r="D1718" s="58" t="n">
        <v>46081.6076388889</v>
      </c>
      <c r="E1718" s="58" t="n">
        <v>46081.6076388889</v>
      </c>
      <c r="F1718" s="58" t="n">
        <v>46081.9999884259</v>
      </c>
      <c r="G1718" s="59" t="n">
        <f aca="false">F1718-E1718</f>
        <v>0.392349537002315</v>
      </c>
      <c r="H1718" s="57" t="s">
        <v>283</v>
      </c>
      <c r="I1718" s="57" t="s">
        <v>284</v>
      </c>
      <c r="J1718" s="57" t="s">
        <v>285</v>
      </c>
      <c r="K1718" s="57" t="s">
        <v>286</v>
      </c>
      <c r="L1718" s="57" t="s">
        <v>2748</v>
      </c>
      <c r="M1718" s="57" t="s">
        <v>288</v>
      </c>
      <c r="N1718" s="57" t="s">
        <v>502</v>
      </c>
      <c r="O1718" s="57" t="s">
        <v>2749</v>
      </c>
      <c r="P1718" s="57" t="s">
        <v>2751</v>
      </c>
      <c r="Q1718" s="57" t="s">
        <v>694</v>
      </c>
    </row>
    <row r="1719" s="50" customFormat="true" ht="14.25" hidden="false" customHeight="true" outlineLevel="0" collapsed="false">
      <c r="A1719" s="50" t="s">
        <v>272</v>
      </c>
      <c r="B1719" s="57" t="s">
        <v>272</v>
      </c>
      <c r="C1719" s="57" t="s">
        <v>265</v>
      </c>
      <c r="D1719" s="58" t="n">
        <v>46081.6076388889</v>
      </c>
      <c r="E1719" s="58" t="n">
        <v>46081.6076388889</v>
      </c>
      <c r="F1719" s="58" t="n">
        <v>46081.9999884259</v>
      </c>
      <c r="G1719" s="59" t="n">
        <f aca="false">F1719-E1719</f>
        <v>0.392349537002315</v>
      </c>
      <c r="H1719" s="57" t="s">
        <v>283</v>
      </c>
      <c r="I1719" s="57" t="s">
        <v>284</v>
      </c>
      <c r="J1719" s="57" t="s">
        <v>285</v>
      </c>
      <c r="K1719" s="57" t="s">
        <v>286</v>
      </c>
      <c r="L1719" s="57" t="s">
        <v>2748</v>
      </c>
      <c r="M1719" s="57" t="s">
        <v>288</v>
      </c>
      <c r="N1719" s="57" t="s">
        <v>502</v>
      </c>
      <c r="O1719" s="57" t="s">
        <v>2749</v>
      </c>
      <c r="P1719" s="57" t="s">
        <v>2752</v>
      </c>
      <c r="Q1719" s="57" t="s">
        <v>694</v>
      </c>
    </row>
    <row r="1720" s="50" customFormat="true" ht="14.25" hidden="false" customHeight="true" outlineLevel="0" collapsed="false">
      <c r="A1720" s="50" t="s">
        <v>273</v>
      </c>
      <c r="B1720" s="57" t="s">
        <v>273</v>
      </c>
      <c r="C1720" s="57" t="s">
        <v>265</v>
      </c>
      <c r="D1720" s="58" t="n">
        <v>46081.6076388889</v>
      </c>
      <c r="E1720" s="58" t="n">
        <v>46081.6076388889</v>
      </c>
      <c r="F1720" s="58" t="n">
        <v>46081.9999884259</v>
      </c>
      <c r="G1720" s="59" t="n">
        <f aca="false">F1720-E1720</f>
        <v>0.392349537002315</v>
      </c>
      <c r="H1720" s="57" t="s">
        <v>283</v>
      </c>
      <c r="I1720" s="57" t="s">
        <v>284</v>
      </c>
      <c r="J1720" s="57" t="s">
        <v>285</v>
      </c>
      <c r="K1720" s="57" t="s">
        <v>286</v>
      </c>
      <c r="L1720" s="57" t="s">
        <v>2748</v>
      </c>
      <c r="M1720" s="57" t="s">
        <v>288</v>
      </c>
      <c r="N1720" s="57" t="s">
        <v>502</v>
      </c>
      <c r="O1720" s="57" t="s">
        <v>2749</v>
      </c>
      <c r="P1720" s="57" t="s">
        <v>2753</v>
      </c>
      <c r="Q1720" s="57" t="s">
        <v>694</v>
      </c>
    </row>
    <row r="1721" s="50" customFormat="true" ht="14.25" hidden="false" customHeight="true" outlineLevel="0" collapsed="false">
      <c r="A1721" s="50" t="s">
        <v>651</v>
      </c>
      <c r="B1721" s="57" t="s">
        <v>651</v>
      </c>
      <c r="C1721" s="57" t="s">
        <v>1514</v>
      </c>
      <c r="D1721" s="58" t="n">
        <v>46081.5887152778</v>
      </c>
      <c r="E1721" s="58" t="n">
        <v>46081.5887152778</v>
      </c>
      <c r="F1721" s="58" t="n">
        <v>46081.5895023148</v>
      </c>
      <c r="G1721" s="59" t="n">
        <f aca="false">F1721-E1721</f>
        <v>0.000787036990740741</v>
      </c>
      <c r="H1721" s="57" t="s">
        <v>252</v>
      </c>
      <c r="I1721" s="57"/>
      <c r="J1721" s="57" t="s">
        <v>333</v>
      </c>
      <c r="K1721" s="57" t="s">
        <v>334</v>
      </c>
      <c r="L1721" s="57" t="s">
        <v>2754</v>
      </c>
      <c r="M1721" s="57" t="s">
        <v>336</v>
      </c>
      <c r="N1721" s="57" t="s">
        <v>381</v>
      </c>
      <c r="O1721" s="57" t="s">
        <v>2755</v>
      </c>
      <c r="P1721" s="57"/>
      <c r="Q1721" s="57" t="s">
        <v>698</v>
      </c>
    </row>
    <row r="1722" s="50" customFormat="true" ht="14.25" hidden="false" customHeight="true" outlineLevel="0" collapsed="false">
      <c r="A1722" s="50" t="s">
        <v>651</v>
      </c>
      <c r="B1722" s="57" t="s">
        <v>651</v>
      </c>
      <c r="C1722" s="57" t="s">
        <v>1514</v>
      </c>
      <c r="D1722" s="58" t="n">
        <v>46081.5845717593</v>
      </c>
      <c r="E1722" s="58" t="n">
        <v>46081.5845717593</v>
      </c>
      <c r="F1722" s="58" t="n">
        <v>46081.5853472222</v>
      </c>
      <c r="G1722" s="59" t="n">
        <f aca="false">F1722-E1722</f>
        <v>0.000775462905092593</v>
      </c>
      <c r="H1722" s="57" t="s">
        <v>252</v>
      </c>
      <c r="I1722" s="57"/>
      <c r="J1722" s="57" t="s">
        <v>333</v>
      </c>
      <c r="K1722" s="57" t="s">
        <v>334</v>
      </c>
      <c r="L1722" s="57" t="s">
        <v>2754</v>
      </c>
      <c r="M1722" s="57" t="s">
        <v>336</v>
      </c>
      <c r="N1722" s="57" t="s">
        <v>381</v>
      </c>
      <c r="O1722" s="57" t="s">
        <v>2755</v>
      </c>
      <c r="P1722" s="57"/>
      <c r="Q1722" s="57" t="s">
        <v>698</v>
      </c>
    </row>
    <row r="1723" s="50" customFormat="true" ht="14.25" hidden="false" customHeight="true" outlineLevel="0" collapsed="false">
      <c r="A1723" s="50" t="s">
        <v>651</v>
      </c>
      <c r="B1723" s="57" t="s">
        <v>651</v>
      </c>
      <c r="C1723" s="57" t="s">
        <v>1514</v>
      </c>
      <c r="D1723" s="58" t="n">
        <v>46081.5813888889</v>
      </c>
      <c r="E1723" s="58" t="n">
        <v>46081.5813888889</v>
      </c>
      <c r="F1723" s="58" t="n">
        <v>46081.5821643519</v>
      </c>
      <c r="G1723" s="59" t="n">
        <f aca="false">F1723-E1723</f>
        <v>0.000775462997685185</v>
      </c>
      <c r="H1723" s="57" t="s">
        <v>252</v>
      </c>
      <c r="I1723" s="57"/>
      <c r="J1723" s="57" t="s">
        <v>333</v>
      </c>
      <c r="K1723" s="57" t="s">
        <v>334</v>
      </c>
      <c r="L1723" s="57" t="s">
        <v>2754</v>
      </c>
      <c r="M1723" s="57" t="s">
        <v>336</v>
      </c>
      <c r="N1723" s="57" t="s">
        <v>381</v>
      </c>
      <c r="O1723" s="57" t="s">
        <v>2755</v>
      </c>
      <c r="P1723" s="57"/>
      <c r="Q1723" s="57" t="s">
        <v>698</v>
      </c>
    </row>
    <row r="1724" s="50" customFormat="true" ht="14.25" hidden="false" customHeight="true" outlineLevel="0" collapsed="false">
      <c r="A1724" s="50" t="s">
        <v>651</v>
      </c>
      <c r="B1724" s="57" t="s">
        <v>651</v>
      </c>
      <c r="C1724" s="57" t="s">
        <v>1514</v>
      </c>
      <c r="D1724" s="58" t="n">
        <v>46081.5350462963</v>
      </c>
      <c r="E1724" s="58" t="n">
        <v>46081.5350462963</v>
      </c>
      <c r="F1724" s="58" t="n">
        <v>46081.5358564815</v>
      </c>
      <c r="G1724" s="59" t="n">
        <f aca="false">F1724-E1724</f>
        <v>0.000810185196759259</v>
      </c>
      <c r="H1724" s="57" t="s">
        <v>252</v>
      </c>
      <c r="I1724" s="57"/>
      <c r="J1724" s="57" t="s">
        <v>333</v>
      </c>
      <c r="K1724" s="57" t="s">
        <v>334</v>
      </c>
      <c r="L1724" s="57" t="s">
        <v>2754</v>
      </c>
      <c r="M1724" s="57" t="s">
        <v>336</v>
      </c>
      <c r="N1724" s="57" t="s">
        <v>381</v>
      </c>
      <c r="O1724" s="57" t="s">
        <v>2755</v>
      </c>
      <c r="P1724" s="57"/>
      <c r="Q1724" s="57" t="s">
        <v>698</v>
      </c>
    </row>
    <row r="1725" s="50" customFormat="true" ht="14.25" hidden="false" customHeight="true" outlineLevel="0" collapsed="false">
      <c r="A1725" s="50" t="s">
        <v>651</v>
      </c>
      <c r="B1725" s="57" t="s">
        <v>651</v>
      </c>
      <c r="C1725" s="57" t="s">
        <v>1514</v>
      </c>
      <c r="D1725" s="58" t="n">
        <v>46081.5316898148</v>
      </c>
      <c r="E1725" s="58" t="n">
        <v>46081.5316898148</v>
      </c>
      <c r="F1725" s="58" t="n">
        <v>46081.5324537037</v>
      </c>
      <c r="G1725" s="59" t="n">
        <f aca="false">F1725-E1725</f>
        <v>0.000763888888888889</v>
      </c>
      <c r="H1725" s="57" t="s">
        <v>252</v>
      </c>
      <c r="I1725" s="57"/>
      <c r="J1725" s="57" t="s">
        <v>333</v>
      </c>
      <c r="K1725" s="57" t="s">
        <v>334</v>
      </c>
      <c r="L1725" s="57" t="s">
        <v>2754</v>
      </c>
      <c r="M1725" s="57" t="s">
        <v>336</v>
      </c>
      <c r="N1725" s="57" t="s">
        <v>381</v>
      </c>
      <c r="O1725" s="57" t="s">
        <v>2755</v>
      </c>
      <c r="P1725" s="57"/>
      <c r="Q1725" s="57" t="s">
        <v>698</v>
      </c>
    </row>
    <row r="1726" s="50" customFormat="true" ht="14.25" hidden="false" customHeight="true" outlineLevel="0" collapsed="false">
      <c r="A1726" s="50" t="s">
        <v>651</v>
      </c>
      <c r="B1726" s="57" t="s">
        <v>651</v>
      </c>
      <c r="C1726" s="57" t="s">
        <v>1514</v>
      </c>
      <c r="D1726" s="58" t="n">
        <v>46081.5262268519</v>
      </c>
      <c r="E1726" s="58" t="n">
        <v>46081.5262268519</v>
      </c>
      <c r="F1726" s="58" t="n">
        <v>46081.527025463</v>
      </c>
      <c r="G1726" s="59" t="n">
        <f aca="false">F1726-E1726</f>
        <v>0.000798611111111111</v>
      </c>
      <c r="H1726" s="57" t="s">
        <v>252</v>
      </c>
      <c r="I1726" s="57"/>
      <c r="J1726" s="57" t="s">
        <v>333</v>
      </c>
      <c r="K1726" s="57" t="s">
        <v>334</v>
      </c>
      <c r="L1726" s="57" t="s">
        <v>2754</v>
      </c>
      <c r="M1726" s="57" t="s">
        <v>336</v>
      </c>
      <c r="N1726" s="57" t="s">
        <v>381</v>
      </c>
      <c r="O1726" s="57" t="s">
        <v>2755</v>
      </c>
      <c r="P1726" s="57"/>
      <c r="Q1726" s="57" t="s">
        <v>698</v>
      </c>
    </row>
    <row r="1727" s="50" customFormat="true" ht="14.25" hidden="false" customHeight="true" outlineLevel="0" collapsed="false">
      <c r="A1727" s="50" t="s">
        <v>651</v>
      </c>
      <c r="B1727" s="57" t="s">
        <v>651</v>
      </c>
      <c r="C1727" s="57" t="s">
        <v>1514</v>
      </c>
      <c r="D1727" s="58" t="n">
        <v>46081.5221064815</v>
      </c>
      <c r="E1727" s="58" t="n">
        <v>46081.5221064815</v>
      </c>
      <c r="F1727" s="58" t="n">
        <v>46081.5228819444</v>
      </c>
      <c r="G1727" s="59" t="n">
        <f aca="false">F1727-E1727</f>
        <v>0.000775462905092593</v>
      </c>
      <c r="H1727" s="57" t="s">
        <v>252</v>
      </c>
      <c r="I1727" s="57"/>
      <c r="J1727" s="57" t="s">
        <v>333</v>
      </c>
      <c r="K1727" s="57" t="s">
        <v>334</v>
      </c>
      <c r="L1727" s="57" t="s">
        <v>2754</v>
      </c>
      <c r="M1727" s="57" t="s">
        <v>336</v>
      </c>
      <c r="N1727" s="57" t="s">
        <v>381</v>
      </c>
      <c r="O1727" s="57" t="s">
        <v>2755</v>
      </c>
      <c r="P1727" s="57"/>
      <c r="Q1727" s="57" t="s">
        <v>698</v>
      </c>
    </row>
    <row r="1728" s="50" customFormat="true" ht="14.25" hidden="false" customHeight="true" outlineLevel="0" collapsed="false">
      <c r="A1728" s="50" t="s">
        <v>651</v>
      </c>
      <c r="B1728" s="57" t="s">
        <v>651</v>
      </c>
      <c r="C1728" s="57" t="s">
        <v>1514</v>
      </c>
      <c r="D1728" s="58" t="n">
        <v>46081.518587963</v>
      </c>
      <c r="E1728" s="58" t="n">
        <v>46081.518587963</v>
      </c>
      <c r="F1728" s="58" t="n">
        <v>46081.5193634259</v>
      </c>
      <c r="G1728" s="59" t="n">
        <f aca="false">F1728-E1728</f>
        <v>0.000775462893518519</v>
      </c>
      <c r="H1728" s="57" t="s">
        <v>252</v>
      </c>
      <c r="I1728" s="57"/>
      <c r="J1728" s="57" t="s">
        <v>333</v>
      </c>
      <c r="K1728" s="57" t="s">
        <v>334</v>
      </c>
      <c r="L1728" s="57" t="s">
        <v>2754</v>
      </c>
      <c r="M1728" s="57" t="s">
        <v>336</v>
      </c>
      <c r="N1728" s="57" t="s">
        <v>381</v>
      </c>
      <c r="O1728" s="57" t="s">
        <v>2755</v>
      </c>
      <c r="P1728" s="57"/>
      <c r="Q1728" s="57" t="s">
        <v>698</v>
      </c>
    </row>
    <row r="1729" s="50" customFormat="true" ht="14.25" hidden="false" customHeight="true" outlineLevel="0" collapsed="false">
      <c r="A1729" s="50" t="s">
        <v>651</v>
      </c>
      <c r="B1729" s="57" t="s">
        <v>651</v>
      </c>
      <c r="C1729" s="57" t="s">
        <v>1514</v>
      </c>
      <c r="D1729" s="58" t="n">
        <v>46081.5144791667</v>
      </c>
      <c r="E1729" s="58" t="n">
        <v>46081.5144791667</v>
      </c>
      <c r="F1729" s="58" t="n">
        <v>46081.5152430556</v>
      </c>
      <c r="G1729" s="59" t="n">
        <f aca="false">F1729-E1729</f>
        <v>0.000763888888888889</v>
      </c>
      <c r="H1729" s="57" t="s">
        <v>252</v>
      </c>
      <c r="I1729" s="57"/>
      <c r="J1729" s="57" t="s">
        <v>333</v>
      </c>
      <c r="K1729" s="57" t="s">
        <v>334</v>
      </c>
      <c r="L1729" s="57" t="s">
        <v>2754</v>
      </c>
      <c r="M1729" s="57" t="s">
        <v>336</v>
      </c>
      <c r="N1729" s="57" t="s">
        <v>381</v>
      </c>
      <c r="O1729" s="57" t="s">
        <v>2755</v>
      </c>
      <c r="P1729" s="57"/>
      <c r="Q1729" s="57" t="s">
        <v>698</v>
      </c>
    </row>
    <row r="1730" s="50" customFormat="true" ht="14.25" hidden="false" customHeight="true" outlineLevel="0" collapsed="false">
      <c r="A1730" s="50" t="s">
        <v>651</v>
      </c>
      <c r="B1730" s="57" t="s">
        <v>651</v>
      </c>
      <c r="C1730" s="57" t="s">
        <v>1514</v>
      </c>
      <c r="D1730" s="58" t="n">
        <v>46081.5104513889</v>
      </c>
      <c r="E1730" s="58" t="n">
        <v>46081.5104513889</v>
      </c>
      <c r="F1730" s="58" t="n">
        <v>46081.51125</v>
      </c>
      <c r="G1730" s="59" t="n">
        <f aca="false">F1730-E1730</f>
        <v>0.000798611111111111</v>
      </c>
      <c r="H1730" s="57" t="s">
        <v>252</v>
      </c>
      <c r="I1730" s="57"/>
      <c r="J1730" s="57" t="s">
        <v>333</v>
      </c>
      <c r="K1730" s="57" t="s">
        <v>334</v>
      </c>
      <c r="L1730" s="57" t="s">
        <v>2754</v>
      </c>
      <c r="M1730" s="57" t="s">
        <v>336</v>
      </c>
      <c r="N1730" s="57" t="s">
        <v>381</v>
      </c>
      <c r="O1730" s="57" t="s">
        <v>2755</v>
      </c>
      <c r="P1730" s="57"/>
      <c r="Q1730" s="57" t="s">
        <v>698</v>
      </c>
    </row>
    <row r="1731" s="50" customFormat="true" ht="14.25" hidden="false" customHeight="true" outlineLevel="0" collapsed="false">
      <c r="A1731" s="50" t="s">
        <v>651</v>
      </c>
      <c r="B1731" s="57" t="s">
        <v>651</v>
      </c>
      <c r="C1731" s="57" t="s">
        <v>1514</v>
      </c>
      <c r="D1731" s="58" t="n">
        <v>46081.5059606481</v>
      </c>
      <c r="E1731" s="58" t="n">
        <v>46081.5059606481</v>
      </c>
      <c r="F1731" s="58" t="n">
        <v>46081.506724537</v>
      </c>
      <c r="G1731" s="59" t="n">
        <f aca="false">F1731-E1731</f>
        <v>0.000763888888888889</v>
      </c>
      <c r="H1731" s="57" t="s">
        <v>252</v>
      </c>
      <c r="I1731" s="57"/>
      <c r="J1731" s="57" t="s">
        <v>333</v>
      </c>
      <c r="K1731" s="57" t="s">
        <v>334</v>
      </c>
      <c r="L1731" s="57" t="s">
        <v>2754</v>
      </c>
      <c r="M1731" s="57" t="s">
        <v>336</v>
      </c>
      <c r="N1731" s="57" t="s">
        <v>381</v>
      </c>
      <c r="O1731" s="57" t="s">
        <v>2755</v>
      </c>
      <c r="P1731" s="57"/>
      <c r="Q1731" s="57" t="s">
        <v>698</v>
      </c>
    </row>
    <row r="1732" s="50" customFormat="true" ht="14.25" hidden="false" customHeight="true" outlineLevel="0" collapsed="false">
      <c r="A1732" s="50" t="s">
        <v>651</v>
      </c>
      <c r="B1732" s="57" t="s">
        <v>651</v>
      </c>
      <c r="C1732" s="57" t="s">
        <v>1514</v>
      </c>
      <c r="D1732" s="58" t="n">
        <v>46081.5016087963</v>
      </c>
      <c r="E1732" s="58" t="n">
        <v>46081.5016087963</v>
      </c>
      <c r="F1732" s="58" t="n">
        <v>46081.5023842593</v>
      </c>
      <c r="G1732" s="59" t="n">
        <f aca="false">F1732-E1732</f>
        <v>0.000775462997685185</v>
      </c>
      <c r="H1732" s="57" t="s">
        <v>252</v>
      </c>
      <c r="I1732" s="57"/>
      <c r="J1732" s="57" t="s">
        <v>333</v>
      </c>
      <c r="K1732" s="57" t="s">
        <v>334</v>
      </c>
      <c r="L1732" s="57" t="s">
        <v>2754</v>
      </c>
      <c r="M1732" s="57" t="s">
        <v>336</v>
      </c>
      <c r="N1732" s="57" t="s">
        <v>381</v>
      </c>
      <c r="O1732" s="57" t="s">
        <v>2755</v>
      </c>
      <c r="P1732" s="57"/>
      <c r="Q1732" s="57" t="s">
        <v>698</v>
      </c>
    </row>
    <row r="1733" s="50" customFormat="true" ht="14.25" hidden="false" customHeight="true" outlineLevel="0" collapsed="false">
      <c r="A1733" s="50" t="s">
        <v>651</v>
      </c>
      <c r="B1733" s="57" t="s">
        <v>651</v>
      </c>
      <c r="C1733" s="57" t="s">
        <v>1514</v>
      </c>
      <c r="D1733" s="58" t="n">
        <v>46081.404212963</v>
      </c>
      <c r="E1733" s="58" t="n">
        <v>46081.404212963</v>
      </c>
      <c r="F1733" s="58" t="n">
        <v>46081.4050115741</v>
      </c>
      <c r="G1733" s="59" t="n">
        <f aca="false">F1733-E1733</f>
        <v>0.000798611099537037</v>
      </c>
      <c r="H1733" s="57" t="s">
        <v>252</v>
      </c>
      <c r="I1733" s="57"/>
      <c r="J1733" s="57" t="s">
        <v>333</v>
      </c>
      <c r="K1733" s="57" t="s">
        <v>334</v>
      </c>
      <c r="L1733" s="57" t="s">
        <v>2754</v>
      </c>
      <c r="M1733" s="57" t="s">
        <v>336</v>
      </c>
      <c r="N1733" s="57" t="s">
        <v>381</v>
      </c>
      <c r="O1733" s="57" t="s">
        <v>2755</v>
      </c>
      <c r="P1733" s="57"/>
      <c r="Q1733" s="57" t="s">
        <v>698</v>
      </c>
    </row>
    <row r="1734" s="50" customFormat="true" ht="14.25" hidden="false" customHeight="true" outlineLevel="0" collapsed="false">
      <c r="A1734" s="50" t="s">
        <v>651</v>
      </c>
      <c r="B1734" s="57" t="s">
        <v>651</v>
      </c>
      <c r="C1734" s="57" t="s">
        <v>1514</v>
      </c>
      <c r="D1734" s="58" t="n">
        <v>46081.3991435185</v>
      </c>
      <c r="E1734" s="58" t="n">
        <v>46081.3991435185</v>
      </c>
      <c r="F1734" s="58" t="n">
        <v>46081.3999189815</v>
      </c>
      <c r="G1734" s="59" t="n">
        <f aca="false">F1734-E1734</f>
        <v>0.000775462997685185</v>
      </c>
      <c r="H1734" s="57" t="s">
        <v>252</v>
      </c>
      <c r="I1734" s="57"/>
      <c r="J1734" s="57" t="s">
        <v>333</v>
      </c>
      <c r="K1734" s="57" t="s">
        <v>334</v>
      </c>
      <c r="L1734" s="57" t="s">
        <v>2754</v>
      </c>
      <c r="M1734" s="57" t="s">
        <v>336</v>
      </c>
      <c r="N1734" s="57" t="s">
        <v>381</v>
      </c>
      <c r="O1734" s="57" t="s">
        <v>2755</v>
      </c>
      <c r="P1734" s="57"/>
      <c r="Q1734" s="57" t="s">
        <v>698</v>
      </c>
    </row>
    <row r="1735" s="50" customFormat="true" ht="14.25" hidden="false" customHeight="true" outlineLevel="0" collapsed="false">
      <c r="A1735" s="50" t="s">
        <v>651</v>
      </c>
      <c r="B1735" s="57" t="s">
        <v>651</v>
      </c>
      <c r="C1735" s="57" t="s">
        <v>1514</v>
      </c>
      <c r="D1735" s="58" t="n">
        <v>46081.3925694445</v>
      </c>
      <c r="E1735" s="58" t="n">
        <v>46081.3925694445</v>
      </c>
      <c r="F1735" s="58" t="n">
        <v>46081.3933564815</v>
      </c>
      <c r="G1735" s="59" t="n">
        <f aca="false">F1735-E1735</f>
        <v>0.000787037002314815</v>
      </c>
      <c r="H1735" s="57" t="s">
        <v>252</v>
      </c>
      <c r="I1735" s="57"/>
      <c r="J1735" s="57" t="s">
        <v>333</v>
      </c>
      <c r="K1735" s="57" t="s">
        <v>334</v>
      </c>
      <c r="L1735" s="57" t="s">
        <v>2754</v>
      </c>
      <c r="M1735" s="57" t="s">
        <v>336</v>
      </c>
      <c r="N1735" s="57" t="s">
        <v>381</v>
      </c>
      <c r="O1735" s="57" t="s">
        <v>2755</v>
      </c>
      <c r="P1735" s="57"/>
      <c r="Q1735" s="57" t="s">
        <v>698</v>
      </c>
    </row>
    <row r="1736" s="50" customFormat="true" ht="14.25" hidden="false" customHeight="true" outlineLevel="0" collapsed="false">
      <c r="A1736" s="50" t="s">
        <v>651</v>
      </c>
      <c r="B1736" s="57" t="s">
        <v>651</v>
      </c>
      <c r="C1736" s="57" t="s">
        <v>1514</v>
      </c>
      <c r="D1736" s="58" t="n">
        <v>46080.6902546296</v>
      </c>
      <c r="E1736" s="58" t="n">
        <v>46080.6902546296</v>
      </c>
      <c r="F1736" s="58" t="n">
        <v>46080.6910185185</v>
      </c>
      <c r="G1736" s="59" t="n">
        <f aca="false">F1736-E1736</f>
        <v>0.000763888888888889</v>
      </c>
      <c r="H1736" s="57" t="s">
        <v>252</v>
      </c>
      <c r="I1736" s="57"/>
      <c r="J1736" s="57" t="s">
        <v>333</v>
      </c>
      <c r="K1736" s="57" t="s">
        <v>334</v>
      </c>
      <c r="L1736" s="57" t="s">
        <v>2754</v>
      </c>
      <c r="M1736" s="57" t="s">
        <v>336</v>
      </c>
      <c r="N1736" s="57" t="s">
        <v>381</v>
      </c>
      <c r="O1736" s="57" t="s">
        <v>2755</v>
      </c>
      <c r="P1736" s="57"/>
      <c r="Q1736" s="57" t="s">
        <v>698</v>
      </c>
    </row>
    <row r="1737" s="50" customFormat="true" ht="14.25" hidden="false" customHeight="true" outlineLevel="0" collapsed="false">
      <c r="A1737" s="50" t="s">
        <v>651</v>
      </c>
      <c r="B1737" s="57" t="s">
        <v>651</v>
      </c>
      <c r="C1737" s="57" t="s">
        <v>1514</v>
      </c>
      <c r="D1737" s="58" t="n">
        <v>46080.6817013889</v>
      </c>
      <c r="E1737" s="58" t="n">
        <v>46080.6817013889</v>
      </c>
      <c r="F1737" s="58" t="n">
        <v>46080.6824768519</v>
      </c>
      <c r="G1737" s="59" t="n">
        <f aca="false">F1737-E1737</f>
        <v>0.000775462997685185</v>
      </c>
      <c r="H1737" s="57" t="s">
        <v>252</v>
      </c>
      <c r="I1737" s="57"/>
      <c r="J1737" s="57" t="s">
        <v>333</v>
      </c>
      <c r="K1737" s="57" t="s">
        <v>334</v>
      </c>
      <c r="L1737" s="57" t="s">
        <v>2754</v>
      </c>
      <c r="M1737" s="57" t="s">
        <v>336</v>
      </c>
      <c r="N1737" s="57" t="s">
        <v>381</v>
      </c>
      <c r="O1737" s="57" t="s">
        <v>2755</v>
      </c>
      <c r="P1737" s="57"/>
      <c r="Q1737" s="57" t="s">
        <v>698</v>
      </c>
    </row>
    <row r="1738" s="50" customFormat="true" ht="14.25" hidden="false" customHeight="true" outlineLevel="0" collapsed="false">
      <c r="A1738" s="50" t="s">
        <v>651</v>
      </c>
      <c r="B1738" s="57" t="s">
        <v>651</v>
      </c>
      <c r="C1738" s="57" t="s">
        <v>1514</v>
      </c>
      <c r="D1738" s="58" t="n">
        <v>46080.6772569444</v>
      </c>
      <c r="E1738" s="58" t="n">
        <v>46080.6772569444</v>
      </c>
      <c r="F1738" s="58" t="n">
        <v>46080.6780671296</v>
      </c>
      <c r="G1738" s="59" t="n">
        <f aca="false">F1738-E1738</f>
        <v>0.000810185196759259</v>
      </c>
      <c r="H1738" s="57" t="s">
        <v>252</v>
      </c>
      <c r="I1738" s="57"/>
      <c r="J1738" s="57" t="s">
        <v>333</v>
      </c>
      <c r="K1738" s="57" t="s">
        <v>334</v>
      </c>
      <c r="L1738" s="57" t="s">
        <v>2754</v>
      </c>
      <c r="M1738" s="57" t="s">
        <v>336</v>
      </c>
      <c r="N1738" s="57" t="s">
        <v>381</v>
      </c>
      <c r="O1738" s="57" t="s">
        <v>2755</v>
      </c>
      <c r="P1738" s="57"/>
      <c r="Q1738" s="57" t="s">
        <v>698</v>
      </c>
    </row>
    <row r="1739" s="50" customFormat="true" ht="14.25" hidden="false" customHeight="true" outlineLevel="0" collapsed="false">
      <c r="A1739" s="50" t="s">
        <v>651</v>
      </c>
      <c r="B1739" s="57" t="s">
        <v>651</v>
      </c>
      <c r="C1739" s="57" t="s">
        <v>1514</v>
      </c>
      <c r="D1739" s="58" t="n">
        <v>46080.6728009259</v>
      </c>
      <c r="E1739" s="58" t="n">
        <v>46080.6728009259</v>
      </c>
      <c r="F1739" s="58" t="n">
        <v>46080.6736111111</v>
      </c>
      <c r="G1739" s="59" t="n">
        <f aca="false">F1739-E1739</f>
        <v>0.000810185196759259</v>
      </c>
      <c r="H1739" s="57" t="s">
        <v>252</v>
      </c>
      <c r="I1739" s="57"/>
      <c r="J1739" s="57" t="s">
        <v>333</v>
      </c>
      <c r="K1739" s="57" t="s">
        <v>334</v>
      </c>
      <c r="L1739" s="57" t="s">
        <v>2754</v>
      </c>
      <c r="M1739" s="57" t="s">
        <v>336</v>
      </c>
      <c r="N1739" s="57" t="s">
        <v>381</v>
      </c>
      <c r="O1739" s="57" t="s">
        <v>2755</v>
      </c>
      <c r="P1739" s="57"/>
      <c r="Q1739" s="57" t="s">
        <v>698</v>
      </c>
    </row>
    <row r="1740" s="50" customFormat="true" ht="14.25" hidden="false" customHeight="true" outlineLevel="0" collapsed="false">
      <c r="A1740" s="50" t="s">
        <v>651</v>
      </c>
      <c r="B1740" s="57" t="s">
        <v>651</v>
      </c>
      <c r="C1740" s="57" t="s">
        <v>1514</v>
      </c>
      <c r="D1740" s="58" t="n">
        <v>46080.6687962963</v>
      </c>
      <c r="E1740" s="58" t="n">
        <v>46080.6687962963</v>
      </c>
      <c r="F1740" s="58" t="n">
        <v>46080.6695717593</v>
      </c>
      <c r="G1740" s="59" t="n">
        <f aca="false">F1740-E1740</f>
        <v>0.000775463009259259</v>
      </c>
      <c r="H1740" s="57" t="s">
        <v>252</v>
      </c>
      <c r="I1740" s="57"/>
      <c r="J1740" s="57" t="s">
        <v>333</v>
      </c>
      <c r="K1740" s="57" t="s">
        <v>334</v>
      </c>
      <c r="L1740" s="57" t="s">
        <v>2754</v>
      </c>
      <c r="M1740" s="57" t="s">
        <v>336</v>
      </c>
      <c r="N1740" s="57" t="s">
        <v>381</v>
      </c>
      <c r="O1740" s="57" t="s">
        <v>2755</v>
      </c>
      <c r="P1740" s="57"/>
      <c r="Q1740" s="57" t="s">
        <v>698</v>
      </c>
    </row>
    <row r="1741" s="50" customFormat="true" ht="14.25" hidden="false" customHeight="true" outlineLevel="0" collapsed="false">
      <c r="A1741" s="50" t="s">
        <v>651</v>
      </c>
      <c r="B1741" s="57" t="s">
        <v>651</v>
      </c>
      <c r="C1741" s="57" t="s">
        <v>1514</v>
      </c>
      <c r="D1741" s="58" t="n">
        <v>46080.6447453704</v>
      </c>
      <c r="E1741" s="58" t="n">
        <v>46080.6447453704</v>
      </c>
      <c r="F1741" s="58" t="n">
        <v>46080.6455324074</v>
      </c>
      <c r="G1741" s="59" t="n">
        <f aca="false">F1741-E1741</f>
        <v>0.000787036990740741</v>
      </c>
      <c r="H1741" s="57" t="s">
        <v>252</v>
      </c>
      <c r="I1741" s="57"/>
      <c r="J1741" s="57" t="s">
        <v>333</v>
      </c>
      <c r="K1741" s="57" t="s">
        <v>334</v>
      </c>
      <c r="L1741" s="57" t="s">
        <v>2754</v>
      </c>
      <c r="M1741" s="57" t="s">
        <v>336</v>
      </c>
      <c r="N1741" s="57" t="s">
        <v>381</v>
      </c>
      <c r="O1741" s="57" t="s">
        <v>2755</v>
      </c>
      <c r="P1741" s="57"/>
      <c r="Q1741" s="57" t="s">
        <v>698</v>
      </c>
    </row>
    <row r="1742" s="50" customFormat="true" ht="14.25" hidden="false" customHeight="true" outlineLevel="0" collapsed="false">
      <c r="A1742" s="50" t="s">
        <v>651</v>
      </c>
      <c r="B1742" s="57" t="s">
        <v>651</v>
      </c>
      <c r="C1742" s="57" t="s">
        <v>1514</v>
      </c>
      <c r="D1742" s="58" t="n">
        <v>46080.6350810185</v>
      </c>
      <c r="E1742" s="58" t="n">
        <v>46080.6350810185</v>
      </c>
      <c r="F1742" s="58" t="n">
        <v>46080.6359259259</v>
      </c>
      <c r="G1742" s="59" t="n">
        <f aca="false">F1742-E1742</f>
        <v>0.000844907395833333</v>
      </c>
      <c r="H1742" s="57" t="s">
        <v>252</v>
      </c>
      <c r="I1742" s="57"/>
      <c r="J1742" s="57" t="s">
        <v>333</v>
      </c>
      <c r="K1742" s="57" t="s">
        <v>334</v>
      </c>
      <c r="L1742" s="57" t="s">
        <v>2754</v>
      </c>
      <c r="M1742" s="57" t="s">
        <v>336</v>
      </c>
      <c r="N1742" s="57" t="s">
        <v>381</v>
      </c>
      <c r="O1742" s="57" t="s">
        <v>2755</v>
      </c>
      <c r="P1742" s="57"/>
      <c r="Q1742" s="57" t="s">
        <v>698</v>
      </c>
    </row>
    <row r="1743" s="50" customFormat="true" ht="14.25" hidden="false" customHeight="true" outlineLevel="0" collapsed="false">
      <c r="A1743" s="50" t="s">
        <v>651</v>
      </c>
      <c r="B1743" s="57" t="s">
        <v>651</v>
      </c>
      <c r="C1743" s="57" t="s">
        <v>1514</v>
      </c>
      <c r="D1743" s="58" t="n">
        <v>46080.6314930556</v>
      </c>
      <c r="E1743" s="58" t="n">
        <v>46080.6314930556</v>
      </c>
      <c r="F1743" s="58" t="n">
        <v>46080.6322569444</v>
      </c>
      <c r="G1743" s="59" t="n">
        <f aca="false">F1743-E1743</f>
        <v>0.00076388880787037</v>
      </c>
      <c r="H1743" s="57" t="s">
        <v>252</v>
      </c>
      <c r="I1743" s="57"/>
      <c r="J1743" s="57" t="s">
        <v>333</v>
      </c>
      <c r="K1743" s="57" t="s">
        <v>334</v>
      </c>
      <c r="L1743" s="57" t="s">
        <v>2754</v>
      </c>
      <c r="M1743" s="57" t="s">
        <v>336</v>
      </c>
      <c r="N1743" s="57" t="s">
        <v>381</v>
      </c>
      <c r="O1743" s="57" t="s">
        <v>2755</v>
      </c>
      <c r="P1743" s="57"/>
      <c r="Q1743" s="57" t="s">
        <v>698</v>
      </c>
    </row>
    <row r="1744" s="50" customFormat="true" ht="14.25" hidden="false" customHeight="true" outlineLevel="0" collapsed="false">
      <c r="A1744" s="50" t="s">
        <v>651</v>
      </c>
      <c r="B1744" s="57" t="s">
        <v>651</v>
      </c>
      <c r="C1744" s="57" t="s">
        <v>1514</v>
      </c>
      <c r="D1744" s="58" t="n">
        <v>46080.6274537037</v>
      </c>
      <c r="E1744" s="58" t="n">
        <v>46080.6274537037</v>
      </c>
      <c r="F1744" s="58" t="n">
        <v>46080.6282291667</v>
      </c>
      <c r="G1744" s="59" t="n">
        <f aca="false">F1744-E1744</f>
        <v>0.000775462997685185</v>
      </c>
      <c r="H1744" s="57" t="s">
        <v>252</v>
      </c>
      <c r="I1744" s="57"/>
      <c r="J1744" s="57" t="s">
        <v>333</v>
      </c>
      <c r="K1744" s="57" t="s">
        <v>334</v>
      </c>
      <c r="L1744" s="57" t="s">
        <v>2754</v>
      </c>
      <c r="M1744" s="57" t="s">
        <v>336</v>
      </c>
      <c r="N1744" s="57" t="s">
        <v>381</v>
      </c>
      <c r="O1744" s="57" t="s">
        <v>2755</v>
      </c>
      <c r="P1744" s="57"/>
      <c r="Q1744" s="57" t="s">
        <v>698</v>
      </c>
    </row>
    <row r="1745" s="50" customFormat="true" ht="14.25" hidden="false" customHeight="true" outlineLevel="0" collapsed="false">
      <c r="A1745" s="50" t="s">
        <v>651</v>
      </c>
      <c r="B1745" s="57" t="s">
        <v>651</v>
      </c>
      <c r="C1745" s="57" t="s">
        <v>1514</v>
      </c>
      <c r="D1745" s="58" t="n">
        <v>46080.6223032407</v>
      </c>
      <c r="E1745" s="58" t="n">
        <v>46080.6223032407</v>
      </c>
      <c r="F1745" s="58" t="n">
        <v>46080.6230555556</v>
      </c>
      <c r="G1745" s="59" t="n">
        <f aca="false">F1745-E1745</f>
        <v>0.000752314907407407</v>
      </c>
      <c r="H1745" s="57" t="s">
        <v>252</v>
      </c>
      <c r="I1745" s="57"/>
      <c r="J1745" s="57" t="s">
        <v>333</v>
      </c>
      <c r="K1745" s="57" t="s">
        <v>334</v>
      </c>
      <c r="L1745" s="57" t="s">
        <v>2754</v>
      </c>
      <c r="M1745" s="57" t="s">
        <v>336</v>
      </c>
      <c r="N1745" s="57" t="s">
        <v>381</v>
      </c>
      <c r="O1745" s="57" t="s">
        <v>2755</v>
      </c>
      <c r="P1745" s="57"/>
      <c r="Q1745" s="57" t="s">
        <v>698</v>
      </c>
    </row>
    <row r="1746" s="50" customFormat="true" ht="14.25" hidden="false" customHeight="true" outlineLevel="0" collapsed="false">
      <c r="A1746" s="50" t="s">
        <v>651</v>
      </c>
      <c r="B1746" s="57" t="s">
        <v>651</v>
      </c>
      <c r="C1746" s="57" t="s">
        <v>1514</v>
      </c>
      <c r="D1746" s="58" t="n">
        <v>46080.541099537</v>
      </c>
      <c r="E1746" s="58" t="n">
        <v>46080.541099537</v>
      </c>
      <c r="F1746" s="58" t="n">
        <v>46080.541875</v>
      </c>
      <c r="G1746" s="59" t="n">
        <f aca="false">F1746-E1746</f>
        <v>0.000775463009259259</v>
      </c>
      <c r="H1746" s="57" t="s">
        <v>252</v>
      </c>
      <c r="I1746" s="57"/>
      <c r="J1746" s="57" t="s">
        <v>333</v>
      </c>
      <c r="K1746" s="57" t="s">
        <v>334</v>
      </c>
      <c r="L1746" s="57" t="s">
        <v>2754</v>
      </c>
      <c r="M1746" s="57" t="s">
        <v>336</v>
      </c>
      <c r="N1746" s="57" t="s">
        <v>381</v>
      </c>
      <c r="O1746" s="57" t="s">
        <v>2755</v>
      </c>
      <c r="P1746" s="57"/>
      <c r="Q1746" s="57" t="s">
        <v>698</v>
      </c>
    </row>
    <row r="1747" s="50" customFormat="true" ht="14.25" hidden="false" customHeight="true" outlineLevel="0" collapsed="false">
      <c r="A1747" s="50" t="s">
        <v>651</v>
      </c>
      <c r="B1747" s="57" t="s">
        <v>651</v>
      </c>
      <c r="C1747" s="57" t="s">
        <v>1514</v>
      </c>
      <c r="D1747" s="58" t="n">
        <v>46080.5361458333</v>
      </c>
      <c r="E1747" s="58" t="n">
        <v>46080.5361458333</v>
      </c>
      <c r="F1747" s="58" t="n">
        <v>46080.5369212963</v>
      </c>
      <c r="G1747" s="59" t="n">
        <f aca="false">F1747-E1747</f>
        <v>0.000775462997685185</v>
      </c>
      <c r="H1747" s="57" t="s">
        <v>252</v>
      </c>
      <c r="I1747" s="57"/>
      <c r="J1747" s="57" t="s">
        <v>333</v>
      </c>
      <c r="K1747" s="57" t="s">
        <v>334</v>
      </c>
      <c r="L1747" s="57" t="s">
        <v>2754</v>
      </c>
      <c r="M1747" s="57" t="s">
        <v>336</v>
      </c>
      <c r="N1747" s="57" t="s">
        <v>381</v>
      </c>
      <c r="O1747" s="57" t="s">
        <v>2755</v>
      </c>
      <c r="P1747" s="57"/>
      <c r="Q1747" s="57" t="s">
        <v>698</v>
      </c>
    </row>
    <row r="1748" s="50" customFormat="true" ht="14.25" hidden="false" customHeight="true" outlineLevel="0" collapsed="false">
      <c r="A1748" s="50" t="s">
        <v>651</v>
      </c>
      <c r="B1748" s="57" t="s">
        <v>651</v>
      </c>
      <c r="C1748" s="57" t="s">
        <v>1514</v>
      </c>
      <c r="D1748" s="58" t="n">
        <v>46080.502962963</v>
      </c>
      <c r="E1748" s="58" t="n">
        <v>46080.502962963</v>
      </c>
      <c r="F1748" s="58" t="n">
        <v>46080.5037384259</v>
      </c>
      <c r="G1748" s="59" t="n">
        <f aca="false">F1748-E1748</f>
        <v>0.000775462893518519</v>
      </c>
      <c r="H1748" s="57" t="s">
        <v>252</v>
      </c>
      <c r="I1748" s="57"/>
      <c r="J1748" s="57" t="s">
        <v>333</v>
      </c>
      <c r="K1748" s="57" t="s">
        <v>334</v>
      </c>
      <c r="L1748" s="57" t="s">
        <v>2754</v>
      </c>
      <c r="M1748" s="57" t="s">
        <v>336</v>
      </c>
      <c r="N1748" s="57" t="s">
        <v>381</v>
      </c>
      <c r="O1748" s="57" t="s">
        <v>2755</v>
      </c>
      <c r="P1748" s="57"/>
      <c r="Q1748" s="57" t="s">
        <v>698</v>
      </c>
    </row>
    <row r="1749" s="50" customFormat="true" ht="14.25" hidden="false" customHeight="true" outlineLevel="0" collapsed="false">
      <c r="A1749" s="50" t="s">
        <v>651</v>
      </c>
      <c r="B1749" s="57" t="s">
        <v>651</v>
      </c>
      <c r="C1749" s="57" t="s">
        <v>1514</v>
      </c>
      <c r="D1749" s="58" t="n">
        <v>46080.4973726852</v>
      </c>
      <c r="E1749" s="58" t="n">
        <v>46080.4973726852</v>
      </c>
      <c r="F1749" s="58" t="n">
        <v>46080.4981597222</v>
      </c>
      <c r="G1749" s="59" t="n">
        <f aca="false">F1749-E1749</f>
        <v>0.000787037002314815</v>
      </c>
      <c r="H1749" s="57" t="s">
        <v>252</v>
      </c>
      <c r="I1749" s="57"/>
      <c r="J1749" s="57" t="s">
        <v>333</v>
      </c>
      <c r="K1749" s="57" t="s">
        <v>334</v>
      </c>
      <c r="L1749" s="57" t="s">
        <v>2754</v>
      </c>
      <c r="M1749" s="57" t="s">
        <v>336</v>
      </c>
      <c r="N1749" s="57" t="s">
        <v>381</v>
      </c>
      <c r="O1749" s="57" t="s">
        <v>2755</v>
      </c>
      <c r="P1749" s="57"/>
      <c r="Q1749" s="57" t="s">
        <v>698</v>
      </c>
    </row>
    <row r="1750" s="50" customFormat="true" ht="14.25" hidden="false" customHeight="true" outlineLevel="0" collapsed="false">
      <c r="A1750" s="50" t="s">
        <v>651</v>
      </c>
      <c r="B1750" s="57" t="s">
        <v>651</v>
      </c>
      <c r="C1750" s="57" t="s">
        <v>1514</v>
      </c>
      <c r="D1750" s="58" t="n">
        <v>46078.6398032407</v>
      </c>
      <c r="E1750" s="58" t="n">
        <v>46078.6398032407</v>
      </c>
      <c r="F1750" s="58" t="n">
        <v>46078.6406134259</v>
      </c>
      <c r="G1750" s="59" t="n">
        <f aca="false">F1750-E1750</f>
        <v>0.000810185196759259</v>
      </c>
      <c r="H1750" s="57" t="s">
        <v>252</v>
      </c>
      <c r="I1750" s="57"/>
      <c r="J1750" s="57" t="s">
        <v>333</v>
      </c>
      <c r="K1750" s="57" t="s">
        <v>334</v>
      </c>
      <c r="L1750" s="57" t="s">
        <v>2754</v>
      </c>
      <c r="M1750" s="57" t="s">
        <v>336</v>
      </c>
      <c r="N1750" s="57" t="s">
        <v>381</v>
      </c>
      <c r="O1750" s="57" t="s">
        <v>2755</v>
      </c>
      <c r="P1750" s="57"/>
      <c r="Q1750" s="57" t="s">
        <v>698</v>
      </c>
    </row>
    <row r="1751" s="50" customFormat="true" ht="14.25" hidden="false" customHeight="true" outlineLevel="0" collapsed="false">
      <c r="A1751" s="50" t="s">
        <v>651</v>
      </c>
      <c r="B1751" s="57" t="s">
        <v>651</v>
      </c>
      <c r="C1751" s="57" t="s">
        <v>1514</v>
      </c>
      <c r="D1751" s="58" t="n">
        <v>46078.6349652778</v>
      </c>
      <c r="E1751" s="58" t="n">
        <v>46078.6349652778</v>
      </c>
      <c r="F1751" s="58" t="n">
        <v>46078.635775463</v>
      </c>
      <c r="G1751" s="59" t="n">
        <f aca="false">F1751-E1751</f>
        <v>0.000810185196759259</v>
      </c>
      <c r="H1751" s="57" t="s">
        <v>252</v>
      </c>
      <c r="I1751" s="57"/>
      <c r="J1751" s="57" t="s">
        <v>333</v>
      </c>
      <c r="K1751" s="57" t="s">
        <v>334</v>
      </c>
      <c r="L1751" s="57" t="s">
        <v>2754</v>
      </c>
      <c r="M1751" s="57" t="s">
        <v>336</v>
      </c>
      <c r="N1751" s="57" t="s">
        <v>381</v>
      </c>
      <c r="O1751" s="57" t="s">
        <v>2755</v>
      </c>
      <c r="P1751" s="57"/>
      <c r="Q1751" s="57" t="s">
        <v>698</v>
      </c>
    </row>
    <row r="1752" s="50" customFormat="true" ht="14.25" hidden="false" customHeight="true" outlineLevel="0" collapsed="false">
      <c r="A1752" s="50" t="s">
        <v>651</v>
      </c>
      <c r="B1752" s="57" t="s">
        <v>651</v>
      </c>
      <c r="C1752" s="57" t="s">
        <v>1514</v>
      </c>
      <c r="D1752" s="58" t="n">
        <v>46078.6306481482</v>
      </c>
      <c r="E1752" s="58" t="n">
        <v>46078.6306481482</v>
      </c>
      <c r="F1752" s="58" t="n">
        <v>46078.6314351852</v>
      </c>
      <c r="G1752" s="59" t="n">
        <f aca="false">F1752-E1752</f>
        <v>0.000787036990740741</v>
      </c>
      <c r="H1752" s="57" t="s">
        <v>252</v>
      </c>
      <c r="I1752" s="57"/>
      <c r="J1752" s="57" t="s">
        <v>333</v>
      </c>
      <c r="K1752" s="57" t="s">
        <v>334</v>
      </c>
      <c r="L1752" s="57" t="s">
        <v>2754</v>
      </c>
      <c r="M1752" s="57" t="s">
        <v>336</v>
      </c>
      <c r="N1752" s="57" t="s">
        <v>381</v>
      </c>
      <c r="O1752" s="57" t="s">
        <v>2755</v>
      </c>
      <c r="P1752" s="57"/>
      <c r="Q1752" s="57" t="s">
        <v>698</v>
      </c>
    </row>
    <row r="1753" s="50" customFormat="true" ht="14.25" hidden="false" customHeight="true" outlineLevel="0" collapsed="false">
      <c r="A1753" s="50" t="s">
        <v>651</v>
      </c>
      <c r="B1753" s="57" t="s">
        <v>651</v>
      </c>
      <c r="C1753" s="57" t="s">
        <v>1514</v>
      </c>
      <c r="D1753" s="58" t="n">
        <v>46078.6267361111</v>
      </c>
      <c r="E1753" s="58" t="n">
        <v>46078.6267361111</v>
      </c>
      <c r="F1753" s="58" t="n">
        <v>46078.6275115741</v>
      </c>
      <c r="G1753" s="59" t="n">
        <f aca="false">F1753-E1753</f>
        <v>0.000775462997685185</v>
      </c>
      <c r="H1753" s="57" t="s">
        <v>252</v>
      </c>
      <c r="I1753" s="57"/>
      <c r="J1753" s="57" t="s">
        <v>333</v>
      </c>
      <c r="K1753" s="57" t="s">
        <v>334</v>
      </c>
      <c r="L1753" s="57" t="s">
        <v>2754</v>
      </c>
      <c r="M1753" s="57" t="s">
        <v>336</v>
      </c>
      <c r="N1753" s="57" t="s">
        <v>381</v>
      </c>
      <c r="O1753" s="57" t="s">
        <v>2755</v>
      </c>
      <c r="P1753" s="57"/>
      <c r="Q1753" s="57" t="s">
        <v>698</v>
      </c>
    </row>
    <row r="1754" s="50" customFormat="true" ht="14.25" hidden="false" customHeight="true" outlineLevel="0" collapsed="false">
      <c r="A1754" s="50" t="s">
        <v>651</v>
      </c>
      <c r="B1754" s="57" t="s">
        <v>651</v>
      </c>
      <c r="C1754" s="57" t="s">
        <v>1514</v>
      </c>
      <c r="D1754" s="58" t="n">
        <v>46078.6228935185</v>
      </c>
      <c r="E1754" s="58" t="n">
        <v>46078.6228935185</v>
      </c>
      <c r="F1754" s="58" t="n">
        <v>46078.6236805556</v>
      </c>
      <c r="G1754" s="59" t="n">
        <f aca="false">F1754-E1754</f>
        <v>0.000787037094907407</v>
      </c>
      <c r="H1754" s="57" t="s">
        <v>252</v>
      </c>
      <c r="I1754" s="57"/>
      <c r="J1754" s="57" t="s">
        <v>333</v>
      </c>
      <c r="K1754" s="57" t="s">
        <v>334</v>
      </c>
      <c r="L1754" s="57" t="s">
        <v>2754</v>
      </c>
      <c r="M1754" s="57" t="s">
        <v>336</v>
      </c>
      <c r="N1754" s="57" t="s">
        <v>381</v>
      </c>
      <c r="O1754" s="57" t="s">
        <v>2755</v>
      </c>
      <c r="P1754" s="57"/>
      <c r="Q1754" s="57" t="s">
        <v>698</v>
      </c>
    </row>
    <row r="1755" s="50" customFormat="true" ht="14.25" hidden="false" customHeight="true" outlineLevel="0" collapsed="false">
      <c r="A1755" s="50" t="s">
        <v>651</v>
      </c>
      <c r="B1755" s="57" t="s">
        <v>651</v>
      </c>
      <c r="C1755" s="57" t="s">
        <v>1514</v>
      </c>
      <c r="D1755" s="58" t="n">
        <v>46078.6186805556</v>
      </c>
      <c r="E1755" s="58" t="n">
        <v>46078.6186805556</v>
      </c>
      <c r="F1755" s="58" t="n">
        <v>46078.6194675926</v>
      </c>
      <c r="G1755" s="59" t="n">
        <f aca="false">F1755-E1755</f>
        <v>0.000787037002314815</v>
      </c>
      <c r="H1755" s="57" t="s">
        <v>252</v>
      </c>
      <c r="I1755" s="57"/>
      <c r="J1755" s="57" t="s">
        <v>333</v>
      </c>
      <c r="K1755" s="57" t="s">
        <v>334</v>
      </c>
      <c r="L1755" s="57" t="s">
        <v>2754</v>
      </c>
      <c r="M1755" s="57" t="s">
        <v>336</v>
      </c>
      <c r="N1755" s="57" t="s">
        <v>381</v>
      </c>
      <c r="O1755" s="57" t="s">
        <v>2755</v>
      </c>
      <c r="P1755" s="57"/>
      <c r="Q1755" s="57" t="s">
        <v>698</v>
      </c>
    </row>
    <row r="1756" s="50" customFormat="true" ht="14.25" hidden="false" customHeight="true" outlineLevel="0" collapsed="false">
      <c r="A1756" s="50" t="s">
        <v>651</v>
      </c>
      <c r="B1756" s="57" t="s">
        <v>651</v>
      </c>
      <c r="C1756" s="57" t="s">
        <v>1514</v>
      </c>
      <c r="D1756" s="58" t="n">
        <v>46078.6144675926</v>
      </c>
      <c r="E1756" s="58" t="n">
        <v>46078.6144675926</v>
      </c>
      <c r="F1756" s="58" t="n">
        <v>46078.6152546296</v>
      </c>
      <c r="G1756" s="59" t="n">
        <f aca="false">F1756-E1756</f>
        <v>0.000787037002314815</v>
      </c>
      <c r="H1756" s="57" t="s">
        <v>252</v>
      </c>
      <c r="I1756" s="57"/>
      <c r="J1756" s="57" t="s">
        <v>333</v>
      </c>
      <c r="K1756" s="57" t="s">
        <v>334</v>
      </c>
      <c r="L1756" s="57" t="s">
        <v>2754</v>
      </c>
      <c r="M1756" s="57" t="s">
        <v>336</v>
      </c>
      <c r="N1756" s="57" t="s">
        <v>381</v>
      </c>
      <c r="O1756" s="57" t="s">
        <v>2755</v>
      </c>
      <c r="P1756" s="57"/>
      <c r="Q1756" s="57" t="s">
        <v>698</v>
      </c>
    </row>
    <row r="1757" s="50" customFormat="true" ht="14.25" hidden="false" customHeight="true" outlineLevel="0" collapsed="false">
      <c r="A1757" s="50" t="s">
        <v>651</v>
      </c>
      <c r="B1757" s="57" t="s">
        <v>651</v>
      </c>
      <c r="C1757" s="57" t="s">
        <v>1514</v>
      </c>
      <c r="D1757" s="58" t="n">
        <v>46078.6106712963</v>
      </c>
      <c r="E1757" s="58" t="n">
        <v>46078.6106712963</v>
      </c>
      <c r="F1757" s="58" t="n">
        <v>46078.6114351852</v>
      </c>
      <c r="G1757" s="59" t="n">
        <f aca="false">F1757-E1757</f>
        <v>0.000763888888888889</v>
      </c>
      <c r="H1757" s="57" t="s">
        <v>252</v>
      </c>
      <c r="I1757" s="57"/>
      <c r="J1757" s="57" t="s">
        <v>333</v>
      </c>
      <c r="K1757" s="57" t="s">
        <v>334</v>
      </c>
      <c r="L1757" s="57" t="s">
        <v>2754</v>
      </c>
      <c r="M1757" s="57" t="s">
        <v>336</v>
      </c>
      <c r="N1757" s="57" t="s">
        <v>381</v>
      </c>
      <c r="O1757" s="57" t="s">
        <v>2755</v>
      </c>
      <c r="P1757" s="57"/>
      <c r="Q1757" s="57" t="s">
        <v>698</v>
      </c>
    </row>
    <row r="1758" s="50" customFormat="true" ht="14.25" hidden="false" customHeight="true" outlineLevel="0" collapsed="false">
      <c r="A1758" s="50" t="s">
        <v>651</v>
      </c>
      <c r="B1758" s="57" t="s">
        <v>651</v>
      </c>
      <c r="C1758" s="57" t="s">
        <v>1514</v>
      </c>
      <c r="D1758" s="58" t="n">
        <v>46078.606724537</v>
      </c>
      <c r="E1758" s="58" t="n">
        <v>46078.606724537</v>
      </c>
      <c r="F1758" s="58" t="n">
        <v>46078.6075</v>
      </c>
      <c r="G1758" s="59" t="n">
        <f aca="false">F1758-E1758</f>
        <v>0.000775462997685185</v>
      </c>
      <c r="H1758" s="57" t="s">
        <v>252</v>
      </c>
      <c r="I1758" s="57"/>
      <c r="J1758" s="57" t="s">
        <v>333</v>
      </c>
      <c r="K1758" s="57" t="s">
        <v>334</v>
      </c>
      <c r="L1758" s="57" t="s">
        <v>2754</v>
      </c>
      <c r="M1758" s="57" t="s">
        <v>336</v>
      </c>
      <c r="N1758" s="57" t="s">
        <v>381</v>
      </c>
      <c r="O1758" s="57" t="s">
        <v>2755</v>
      </c>
      <c r="P1758" s="57"/>
      <c r="Q1758" s="57" t="s">
        <v>698</v>
      </c>
    </row>
    <row r="1759" s="50" customFormat="true" ht="14.25" hidden="false" customHeight="true" outlineLevel="0" collapsed="false">
      <c r="A1759" s="50" t="s">
        <v>651</v>
      </c>
      <c r="B1759" s="57" t="s">
        <v>651</v>
      </c>
      <c r="C1759" s="57" t="s">
        <v>1514</v>
      </c>
      <c r="D1759" s="58" t="n">
        <v>46078.5986689815</v>
      </c>
      <c r="E1759" s="58" t="n">
        <v>46078.5986689815</v>
      </c>
      <c r="F1759" s="58" t="n">
        <v>46078.5994444444</v>
      </c>
      <c r="G1759" s="59" t="n">
        <f aca="false">F1759-E1759</f>
        <v>0.000775462893518519</v>
      </c>
      <c r="H1759" s="57" t="s">
        <v>252</v>
      </c>
      <c r="I1759" s="57"/>
      <c r="J1759" s="57" t="s">
        <v>333</v>
      </c>
      <c r="K1759" s="57" t="s">
        <v>334</v>
      </c>
      <c r="L1759" s="57" t="s">
        <v>2754</v>
      </c>
      <c r="M1759" s="57" t="s">
        <v>336</v>
      </c>
      <c r="N1759" s="57" t="s">
        <v>381</v>
      </c>
      <c r="O1759" s="57" t="s">
        <v>2755</v>
      </c>
      <c r="P1759" s="57"/>
      <c r="Q1759" s="57" t="s">
        <v>698</v>
      </c>
    </row>
    <row r="1760" s="50" customFormat="true" ht="14.25" hidden="false" customHeight="true" outlineLevel="0" collapsed="false">
      <c r="A1760" s="50" t="s">
        <v>651</v>
      </c>
      <c r="B1760" s="57" t="s">
        <v>651</v>
      </c>
      <c r="C1760" s="57" t="s">
        <v>1514</v>
      </c>
      <c r="D1760" s="58" t="n">
        <v>46076.6565277778</v>
      </c>
      <c r="E1760" s="58" t="n">
        <v>46076.6565277778</v>
      </c>
      <c r="F1760" s="58" t="n">
        <v>46076.6573032407</v>
      </c>
      <c r="G1760" s="59" t="n">
        <f aca="false">F1760-E1760</f>
        <v>0.000775462905092593</v>
      </c>
      <c r="H1760" s="57" t="s">
        <v>252</v>
      </c>
      <c r="I1760" s="57"/>
      <c r="J1760" s="57" t="s">
        <v>333</v>
      </c>
      <c r="K1760" s="57" t="s">
        <v>334</v>
      </c>
      <c r="L1760" s="57" t="s">
        <v>2754</v>
      </c>
      <c r="M1760" s="57" t="s">
        <v>336</v>
      </c>
      <c r="N1760" s="57" t="s">
        <v>381</v>
      </c>
      <c r="O1760" s="57" t="s">
        <v>2755</v>
      </c>
      <c r="P1760" s="57"/>
      <c r="Q1760" s="57" t="s">
        <v>698</v>
      </c>
    </row>
    <row r="1761" s="50" customFormat="true" ht="14.25" hidden="false" customHeight="true" outlineLevel="0" collapsed="false">
      <c r="A1761" s="50" t="s">
        <v>651</v>
      </c>
      <c r="B1761" s="57" t="s">
        <v>651</v>
      </c>
      <c r="C1761" s="57" t="s">
        <v>1514</v>
      </c>
      <c r="D1761" s="58" t="n">
        <v>46076.6510648148</v>
      </c>
      <c r="E1761" s="58" t="n">
        <v>46076.6510648148</v>
      </c>
      <c r="F1761" s="58" t="n">
        <v>46076.6518402778</v>
      </c>
      <c r="G1761" s="59" t="n">
        <f aca="false">F1761-E1761</f>
        <v>0.000775462997685185</v>
      </c>
      <c r="H1761" s="57" t="s">
        <v>252</v>
      </c>
      <c r="I1761" s="57"/>
      <c r="J1761" s="57" t="s">
        <v>333</v>
      </c>
      <c r="K1761" s="57" t="s">
        <v>334</v>
      </c>
      <c r="L1761" s="57" t="s">
        <v>2754</v>
      </c>
      <c r="M1761" s="57" t="s">
        <v>336</v>
      </c>
      <c r="N1761" s="57" t="s">
        <v>381</v>
      </c>
      <c r="O1761" s="57" t="s">
        <v>2755</v>
      </c>
      <c r="P1761" s="57"/>
      <c r="Q1761" s="57" t="s">
        <v>698</v>
      </c>
    </row>
    <row r="1762" s="50" customFormat="true" ht="14.25" hidden="false" customHeight="true" outlineLevel="0" collapsed="false">
      <c r="A1762" s="50" t="s">
        <v>651</v>
      </c>
      <c r="B1762" s="57" t="s">
        <v>651</v>
      </c>
      <c r="C1762" s="57" t="s">
        <v>1514</v>
      </c>
      <c r="D1762" s="58" t="n">
        <v>46074.665</v>
      </c>
      <c r="E1762" s="58" t="n">
        <v>46074.665</v>
      </c>
      <c r="F1762" s="58" t="n">
        <v>46074.665787037</v>
      </c>
      <c r="G1762" s="59" t="n">
        <f aca="false">F1762-E1762</f>
        <v>0.000787037002314815</v>
      </c>
      <c r="H1762" s="57" t="s">
        <v>252</v>
      </c>
      <c r="I1762" s="57"/>
      <c r="J1762" s="57" t="s">
        <v>333</v>
      </c>
      <c r="K1762" s="57" t="s">
        <v>334</v>
      </c>
      <c r="L1762" s="57" t="s">
        <v>2754</v>
      </c>
      <c r="M1762" s="57" t="s">
        <v>336</v>
      </c>
      <c r="N1762" s="57" t="s">
        <v>381</v>
      </c>
      <c r="O1762" s="57" t="s">
        <v>2755</v>
      </c>
      <c r="P1762" s="57"/>
      <c r="Q1762" s="57" t="s">
        <v>698</v>
      </c>
    </row>
    <row r="1763" s="50" customFormat="true" ht="14.25" hidden="false" customHeight="true" outlineLevel="0" collapsed="false">
      <c r="A1763" s="50" t="s">
        <v>651</v>
      </c>
      <c r="B1763" s="57" t="s">
        <v>651</v>
      </c>
      <c r="C1763" s="57" t="s">
        <v>1514</v>
      </c>
      <c r="D1763" s="58" t="n">
        <v>46074.6514699074</v>
      </c>
      <c r="E1763" s="58" t="n">
        <v>46074.6514699074</v>
      </c>
      <c r="F1763" s="58" t="n">
        <v>46074.6522569444</v>
      </c>
      <c r="G1763" s="59" t="n">
        <f aca="false">F1763-E1763</f>
        <v>0.000787036990740741</v>
      </c>
      <c r="H1763" s="57" t="s">
        <v>252</v>
      </c>
      <c r="I1763" s="57"/>
      <c r="J1763" s="57" t="s">
        <v>333</v>
      </c>
      <c r="K1763" s="57" t="s">
        <v>334</v>
      </c>
      <c r="L1763" s="57" t="s">
        <v>2754</v>
      </c>
      <c r="M1763" s="57" t="s">
        <v>336</v>
      </c>
      <c r="N1763" s="57" t="s">
        <v>381</v>
      </c>
      <c r="O1763" s="57" t="s">
        <v>2755</v>
      </c>
      <c r="P1763" s="57"/>
      <c r="Q1763" s="57" t="s">
        <v>698</v>
      </c>
    </row>
    <row r="1764" s="50" customFormat="true" ht="14.25" hidden="false" customHeight="true" outlineLevel="0" collapsed="false">
      <c r="A1764" s="50" t="s">
        <v>651</v>
      </c>
      <c r="B1764" s="57" t="s">
        <v>651</v>
      </c>
      <c r="C1764" s="57" t="s">
        <v>1514</v>
      </c>
      <c r="D1764" s="58" t="n">
        <v>46074.6386226852</v>
      </c>
      <c r="E1764" s="58" t="n">
        <v>46074.6386226852</v>
      </c>
      <c r="F1764" s="58" t="n">
        <v>46074.6393981481</v>
      </c>
      <c r="G1764" s="59" t="n">
        <f aca="false">F1764-E1764</f>
        <v>0.000775462905092593</v>
      </c>
      <c r="H1764" s="57" t="s">
        <v>252</v>
      </c>
      <c r="I1764" s="57"/>
      <c r="J1764" s="57" t="s">
        <v>333</v>
      </c>
      <c r="K1764" s="57" t="s">
        <v>334</v>
      </c>
      <c r="L1764" s="57" t="s">
        <v>2754</v>
      </c>
      <c r="M1764" s="57" t="s">
        <v>336</v>
      </c>
      <c r="N1764" s="57" t="s">
        <v>381</v>
      </c>
      <c r="O1764" s="57" t="s">
        <v>2755</v>
      </c>
      <c r="P1764" s="57"/>
      <c r="Q1764" s="57" t="s">
        <v>698</v>
      </c>
    </row>
    <row r="1765" s="50" customFormat="true" ht="14.25" hidden="false" customHeight="true" outlineLevel="0" collapsed="false">
      <c r="A1765" s="50" t="s">
        <v>651</v>
      </c>
      <c r="B1765" s="57" t="s">
        <v>651</v>
      </c>
      <c r="C1765" s="57" t="s">
        <v>1514</v>
      </c>
      <c r="D1765" s="58" t="n">
        <v>46074.6352083333</v>
      </c>
      <c r="E1765" s="58" t="n">
        <v>46074.6352083333</v>
      </c>
      <c r="F1765" s="58" t="n">
        <v>46074.6359722222</v>
      </c>
      <c r="G1765" s="59" t="n">
        <f aca="false">F1765-E1765</f>
        <v>0.000763888888888889</v>
      </c>
      <c r="H1765" s="57" t="s">
        <v>252</v>
      </c>
      <c r="I1765" s="57"/>
      <c r="J1765" s="57" t="s">
        <v>333</v>
      </c>
      <c r="K1765" s="57" t="s">
        <v>334</v>
      </c>
      <c r="L1765" s="57" t="s">
        <v>2754</v>
      </c>
      <c r="M1765" s="57" t="s">
        <v>336</v>
      </c>
      <c r="N1765" s="57" t="s">
        <v>381</v>
      </c>
      <c r="O1765" s="57" t="s">
        <v>2755</v>
      </c>
      <c r="P1765" s="57"/>
      <c r="Q1765" s="57" t="s">
        <v>698</v>
      </c>
    </row>
    <row r="1766" s="50" customFormat="true" ht="14.25" hidden="false" customHeight="true" outlineLevel="0" collapsed="false">
      <c r="A1766" s="50" t="s">
        <v>651</v>
      </c>
      <c r="B1766" s="57" t="s">
        <v>651</v>
      </c>
      <c r="C1766" s="57" t="s">
        <v>1514</v>
      </c>
      <c r="D1766" s="58" t="n">
        <v>46074.6315740741</v>
      </c>
      <c r="E1766" s="58" t="n">
        <v>46074.6315740741</v>
      </c>
      <c r="F1766" s="58" t="n">
        <v>46074.6323611111</v>
      </c>
      <c r="G1766" s="59" t="n">
        <f aca="false">F1766-E1766</f>
        <v>0.000787037002314815</v>
      </c>
      <c r="H1766" s="57" t="s">
        <v>252</v>
      </c>
      <c r="I1766" s="57"/>
      <c r="J1766" s="57" t="s">
        <v>333</v>
      </c>
      <c r="K1766" s="57" t="s">
        <v>334</v>
      </c>
      <c r="L1766" s="57" t="s">
        <v>2754</v>
      </c>
      <c r="M1766" s="57" t="s">
        <v>336</v>
      </c>
      <c r="N1766" s="57" t="s">
        <v>381</v>
      </c>
      <c r="O1766" s="57" t="s">
        <v>2755</v>
      </c>
      <c r="P1766" s="57"/>
      <c r="Q1766" s="57" t="s">
        <v>698</v>
      </c>
    </row>
    <row r="1767" s="50" customFormat="true" ht="14.25" hidden="false" customHeight="true" outlineLevel="0" collapsed="false">
      <c r="A1767" s="50" t="s">
        <v>651</v>
      </c>
      <c r="B1767" s="57" t="s">
        <v>651</v>
      </c>
      <c r="C1767" s="57" t="s">
        <v>1514</v>
      </c>
      <c r="D1767" s="58" t="n">
        <v>46074.6263541667</v>
      </c>
      <c r="E1767" s="58" t="n">
        <v>46074.6263541667</v>
      </c>
      <c r="F1767" s="58" t="n">
        <v>46074.6271296296</v>
      </c>
      <c r="G1767" s="59" t="n">
        <f aca="false">F1767-E1767</f>
        <v>0.000775462905092593</v>
      </c>
      <c r="H1767" s="57" t="s">
        <v>252</v>
      </c>
      <c r="I1767" s="57"/>
      <c r="J1767" s="57" t="s">
        <v>333</v>
      </c>
      <c r="K1767" s="57" t="s">
        <v>334</v>
      </c>
      <c r="L1767" s="57" t="s">
        <v>2754</v>
      </c>
      <c r="M1767" s="57" t="s">
        <v>336</v>
      </c>
      <c r="N1767" s="57" t="s">
        <v>381</v>
      </c>
      <c r="O1767" s="57" t="s">
        <v>2755</v>
      </c>
      <c r="P1767" s="57"/>
      <c r="Q1767" s="57" t="s">
        <v>698</v>
      </c>
    </row>
    <row r="1768" s="50" customFormat="true" ht="14.25" hidden="false" customHeight="true" outlineLevel="0" collapsed="false">
      <c r="A1768" s="50" t="s">
        <v>651</v>
      </c>
      <c r="B1768" s="57" t="s">
        <v>651</v>
      </c>
      <c r="C1768" s="57" t="s">
        <v>1514</v>
      </c>
      <c r="D1768" s="58" t="n">
        <v>46074.6227546296</v>
      </c>
      <c r="E1768" s="58" t="n">
        <v>46074.6227546296</v>
      </c>
      <c r="F1768" s="58" t="n">
        <v>46074.6235300926</v>
      </c>
      <c r="G1768" s="59" t="n">
        <f aca="false">F1768-E1768</f>
        <v>0.000775462997685185</v>
      </c>
      <c r="H1768" s="57" t="s">
        <v>252</v>
      </c>
      <c r="I1768" s="57"/>
      <c r="J1768" s="57" t="s">
        <v>333</v>
      </c>
      <c r="K1768" s="57" t="s">
        <v>334</v>
      </c>
      <c r="L1768" s="57" t="s">
        <v>2754</v>
      </c>
      <c r="M1768" s="57" t="s">
        <v>336</v>
      </c>
      <c r="N1768" s="57" t="s">
        <v>381</v>
      </c>
      <c r="O1768" s="57" t="s">
        <v>2755</v>
      </c>
      <c r="P1768" s="57"/>
      <c r="Q1768" s="57" t="s">
        <v>698</v>
      </c>
    </row>
    <row r="1769" s="50" customFormat="true" ht="14.25" hidden="false" customHeight="true" outlineLevel="0" collapsed="false">
      <c r="A1769" s="50" t="s">
        <v>651</v>
      </c>
      <c r="B1769" s="57" t="s">
        <v>651</v>
      </c>
      <c r="C1769" s="57" t="s">
        <v>1514</v>
      </c>
      <c r="D1769" s="58" t="n">
        <v>46074.6189814815</v>
      </c>
      <c r="E1769" s="58" t="n">
        <v>46074.6189814815</v>
      </c>
      <c r="F1769" s="58" t="n">
        <v>46074.6197569444</v>
      </c>
      <c r="G1769" s="59" t="n">
        <f aca="false">F1769-E1769</f>
        <v>0.000775462893518519</v>
      </c>
      <c r="H1769" s="57" t="s">
        <v>252</v>
      </c>
      <c r="I1769" s="57"/>
      <c r="J1769" s="57" t="s">
        <v>333</v>
      </c>
      <c r="K1769" s="57" t="s">
        <v>334</v>
      </c>
      <c r="L1769" s="57" t="s">
        <v>2754</v>
      </c>
      <c r="M1769" s="57" t="s">
        <v>336</v>
      </c>
      <c r="N1769" s="57" t="s">
        <v>381</v>
      </c>
      <c r="O1769" s="57" t="s">
        <v>2755</v>
      </c>
      <c r="P1769" s="57"/>
      <c r="Q1769" s="57" t="s">
        <v>698</v>
      </c>
    </row>
    <row r="1770" s="50" customFormat="true" ht="14.25" hidden="false" customHeight="true" outlineLevel="0" collapsed="false">
      <c r="A1770" s="50" t="s">
        <v>651</v>
      </c>
      <c r="B1770" s="57" t="s">
        <v>651</v>
      </c>
      <c r="C1770" s="57" t="s">
        <v>1514</v>
      </c>
      <c r="D1770" s="58" t="n">
        <v>46074.6145833333</v>
      </c>
      <c r="E1770" s="58" t="n">
        <v>46074.6145833333</v>
      </c>
      <c r="F1770" s="58" t="n">
        <v>46074.615474537</v>
      </c>
      <c r="G1770" s="59" t="n">
        <f aca="false">F1770-E1770</f>
        <v>0.000891203703703704</v>
      </c>
      <c r="H1770" s="57" t="s">
        <v>252</v>
      </c>
      <c r="I1770" s="57"/>
      <c r="J1770" s="57" t="s">
        <v>333</v>
      </c>
      <c r="K1770" s="57" t="s">
        <v>334</v>
      </c>
      <c r="L1770" s="57" t="s">
        <v>2754</v>
      </c>
      <c r="M1770" s="57" t="s">
        <v>336</v>
      </c>
      <c r="N1770" s="57" t="s">
        <v>381</v>
      </c>
      <c r="O1770" s="57" t="s">
        <v>2755</v>
      </c>
      <c r="P1770" s="57"/>
      <c r="Q1770" s="57" t="s">
        <v>698</v>
      </c>
    </row>
    <row r="1771" s="50" customFormat="true" ht="14.25" hidden="false" customHeight="true" outlineLevel="0" collapsed="false">
      <c r="A1771" s="50" t="s">
        <v>651</v>
      </c>
      <c r="B1771" s="57" t="s">
        <v>651</v>
      </c>
      <c r="C1771" s="57" t="s">
        <v>1514</v>
      </c>
      <c r="D1771" s="58" t="n">
        <v>46074.610625</v>
      </c>
      <c r="E1771" s="58" t="n">
        <v>46074.610625</v>
      </c>
      <c r="F1771" s="58" t="n">
        <v>46074.611400463</v>
      </c>
      <c r="G1771" s="59" t="n">
        <f aca="false">F1771-E1771</f>
        <v>0.000775462997685185</v>
      </c>
      <c r="H1771" s="57" t="s">
        <v>252</v>
      </c>
      <c r="I1771" s="57"/>
      <c r="J1771" s="57" t="s">
        <v>333</v>
      </c>
      <c r="K1771" s="57" t="s">
        <v>334</v>
      </c>
      <c r="L1771" s="57" t="s">
        <v>2754</v>
      </c>
      <c r="M1771" s="57" t="s">
        <v>336</v>
      </c>
      <c r="N1771" s="57" t="s">
        <v>381</v>
      </c>
      <c r="O1771" s="57" t="s">
        <v>2755</v>
      </c>
      <c r="P1771" s="57"/>
      <c r="Q1771" s="57" t="s">
        <v>698</v>
      </c>
    </row>
    <row r="1772" s="50" customFormat="true" ht="14.25" hidden="false" customHeight="true" outlineLevel="0" collapsed="false">
      <c r="A1772" s="50" t="s">
        <v>651</v>
      </c>
      <c r="B1772" s="57" t="s">
        <v>651</v>
      </c>
      <c r="C1772" s="57" t="s">
        <v>1514</v>
      </c>
      <c r="D1772" s="58" t="n">
        <v>46074.5947222222</v>
      </c>
      <c r="E1772" s="58" t="n">
        <v>46074.5947222222</v>
      </c>
      <c r="F1772" s="58" t="n">
        <v>46074.5954976852</v>
      </c>
      <c r="G1772" s="59" t="n">
        <f aca="false">F1772-E1772</f>
        <v>0.000775462997685185</v>
      </c>
      <c r="H1772" s="57" t="s">
        <v>252</v>
      </c>
      <c r="I1772" s="57"/>
      <c r="J1772" s="57" t="s">
        <v>333</v>
      </c>
      <c r="K1772" s="57" t="s">
        <v>334</v>
      </c>
      <c r="L1772" s="57" t="s">
        <v>2754</v>
      </c>
      <c r="M1772" s="57" t="s">
        <v>336</v>
      </c>
      <c r="N1772" s="57" t="s">
        <v>381</v>
      </c>
      <c r="O1772" s="57" t="s">
        <v>2755</v>
      </c>
      <c r="P1772" s="57"/>
      <c r="Q1772" s="57" t="s">
        <v>698</v>
      </c>
    </row>
    <row r="1773" s="50" customFormat="true" ht="14.25" hidden="false" customHeight="true" outlineLevel="0" collapsed="false">
      <c r="A1773" s="50" t="s">
        <v>651</v>
      </c>
      <c r="B1773" s="57" t="s">
        <v>651</v>
      </c>
      <c r="C1773" s="57" t="s">
        <v>1514</v>
      </c>
      <c r="D1773" s="58" t="n">
        <v>46074.5907638889</v>
      </c>
      <c r="E1773" s="58" t="n">
        <v>46074.5907638889</v>
      </c>
      <c r="F1773" s="58" t="n">
        <v>46074.5915393519</v>
      </c>
      <c r="G1773" s="59" t="n">
        <f aca="false">F1773-E1773</f>
        <v>0.000775463009259259</v>
      </c>
      <c r="H1773" s="57" t="s">
        <v>252</v>
      </c>
      <c r="I1773" s="57"/>
      <c r="J1773" s="57" t="s">
        <v>333</v>
      </c>
      <c r="K1773" s="57" t="s">
        <v>334</v>
      </c>
      <c r="L1773" s="57" t="s">
        <v>2754</v>
      </c>
      <c r="M1773" s="57" t="s">
        <v>336</v>
      </c>
      <c r="N1773" s="57" t="s">
        <v>381</v>
      </c>
      <c r="O1773" s="57" t="s">
        <v>2755</v>
      </c>
      <c r="P1773" s="57"/>
      <c r="Q1773" s="57" t="s">
        <v>698</v>
      </c>
    </row>
    <row r="1774" s="50" customFormat="true" ht="14.25" hidden="false" customHeight="true" outlineLevel="0" collapsed="false">
      <c r="A1774" s="50" t="s">
        <v>651</v>
      </c>
      <c r="B1774" s="57" t="s">
        <v>651</v>
      </c>
      <c r="C1774" s="57" t="s">
        <v>1514</v>
      </c>
      <c r="D1774" s="58" t="n">
        <v>46074.5821180556</v>
      </c>
      <c r="E1774" s="58" t="n">
        <v>46074.5821180556</v>
      </c>
      <c r="F1774" s="58" t="n">
        <v>46074.5828935185</v>
      </c>
      <c r="G1774" s="59" t="n">
        <f aca="false">F1774-E1774</f>
        <v>0.000775462893518519</v>
      </c>
      <c r="H1774" s="57" t="s">
        <v>252</v>
      </c>
      <c r="I1774" s="57"/>
      <c r="J1774" s="57" t="s">
        <v>333</v>
      </c>
      <c r="K1774" s="57" t="s">
        <v>334</v>
      </c>
      <c r="L1774" s="57" t="s">
        <v>2754</v>
      </c>
      <c r="M1774" s="57" t="s">
        <v>336</v>
      </c>
      <c r="N1774" s="57" t="s">
        <v>381</v>
      </c>
      <c r="O1774" s="57" t="s">
        <v>2755</v>
      </c>
      <c r="P1774" s="57"/>
      <c r="Q1774" s="57" t="s">
        <v>698</v>
      </c>
    </row>
    <row r="1775" s="50" customFormat="true" ht="14.25" hidden="false" customHeight="true" outlineLevel="0" collapsed="false">
      <c r="A1775" s="50" t="s">
        <v>651</v>
      </c>
      <c r="B1775" s="57" t="s">
        <v>651</v>
      </c>
      <c r="C1775" s="57" t="s">
        <v>1514</v>
      </c>
      <c r="D1775" s="58" t="n">
        <v>46074.5772916667</v>
      </c>
      <c r="E1775" s="58" t="n">
        <v>46074.5772916667</v>
      </c>
      <c r="F1775" s="58" t="n">
        <v>46074.5780555556</v>
      </c>
      <c r="G1775" s="59" t="n">
        <f aca="false">F1775-E1775</f>
        <v>0.000763888888888889</v>
      </c>
      <c r="H1775" s="57" t="s">
        <v>252</v>
      </c>
      <c r="I1775" s="57"/>
      <c r="J1775" s="57" t="s">
        <v>333</v>
      </c>
      <c r="K1775" s="57" t="s">
        <v>334</v>
      </c>
      <c r="L1775" s="57" t="s">
        <v>2754</v>
      </c>
      <c r="M1775" s="57" t="s">
        <v>336</v>
      </c>
      <c r="N1775" s="57" t="s">
        <v>381</v>
      </c>
      <c r="O1775" s="57" t="s">
        <v>2755</v>
      </c>
      <c r="P1775" s="57"/>
      <c r="Q1775" s="57" t="s">
        <v>698</v>
      </c>
    </row>
    <row r="1776" s="50" customFormat="true" ht="14.25" hidden="false" customHeight="true" outlineLevel="0" collapsed="false">
      <c r="A1776" s="50" t="s">
        <v>651</v>
      </c>
      <c r="B1776" s="57" t="s">
        <v>651</v>
      </c>
      <c r="C1776" s="57" t="s">
        <v>1514</v>
      </c>
      <c r="D1776" s="58" t="n">
        <v>46074.5728472222</v>
      </c>
      <c r="E1776" s="58" t="n">
        <v>46074.5728472222</v>
      </c>
      <c r="F1776" s="58" t="n">
        <v>46074.5736226852</v>
      </c>
      <c r="G1776" s="59" t="n">
        <f aca="false">F1776-E1776</f>
        <v>0.000775462997685185</v>
      </c>
      <c r="H1776" s="57" t="s">
        <v>252</v>
      </c>
      <c r="I1776" s="57"/>
      <c r="J1776" s="57" t="s">
        <v>333</v>
      </c>
      <c r="K1776" s="57" t="s">
        <v>334</v>
      </c>
      <c r="L1776" s="57" t="s">
        <v>2754</v>
      </c>
      <c r="M1776" s="57" t="s">
        <v>336</v>
      </c>
      <c r="N1776" s="57" t="s">
        <v>381</v>
      </c>
      <c r="O1776" s="57" t="s">
        <v>2755</v>
      </c>
      <c r="P1776" s="57"/>
      <c r="Q1776" s="57" t="s">
        <v>698</v>
      </c>
    </row>
    <row r="1777" s="50" customFormat="true" ht="14.25" hidden="false" customHeight="true" outlineLevel="0" collapsed="false">
      <c r="A1777" s="50" t="s">
        <v>651</v>
      </c>
      <c r="B1777" s="57" t="s">
        <v>651</v>
      </c>
      <c r="C1777" s="57" t="s">
        <v>1514</v>
      </c>
      <c r="D1777" s="58" t="n">
        <v>46074.5682986111</v>
      </c>
      <c r="E1777" s="58" t="n">
        <v>46074.5682986111</v>
      </c>
      <c r="F1777" s="58" t="n">
        <v>46074.5690740741</v>
      </c>
      <c r="G1777" s="59" t="n">
        <f aca="false">F1777-E1777</f>
        <v>0.000775462997685185</v>
      </c>
      <c r="H1777" s="57" t="s">
        <v>252</v>
      </c>
      <c r="I1777" s="57"/>
      <c r="J1777" s="57" t="s">
        <v>333</v>
      </c>
      <c r="K1777" s="57" t="s">
        <v>334</v>
      </c>
      <c r="L1777" s="57" t="s">
        <v>2754</v>
      </c>
      <c r="M1777" s="57" t="s">
        <v>336</v>
      </c>
      <c r="N1777" s="57" t="s">
        <v>381</v>
      </c>
      <c r="O1777" s="57" t="s">
        <v>2755</v>
      </c>
      <c r="P1777" s="57"/>
      <c r="Q1777" s="57" t="s">
        <v>698</v>
      </c>
    </row>
    <row r="1778" s="50" customFormat="true" ht="14.25" hidden="false" customHeight="true" outlineLevel="0" collapsed="false">
      <c r="A1778" s="50" t="s">
        <v>651</v>
      </c>
      <c r="B1778" s="57" t="s">
        <v>651</v>
      </c>
      <c r="C1778" s="57" t="s">
        <v>1514</v>
      </c>
      <c r="D1778" s="58" t="n">
        <v>46074.564375</v>
      </c>
      <c r="E1778" s="58" t="n">
        <v>46074.564375</v>
      </c>
      <c r="F1778" s="58" t="n">
        <v>46074.565162037</v>
      </c>
      <c r="G1778" s="59" t="n">
        <f aca="false">F1778-E1778</f>
        <v>0.000787036990740741</v>
      </c>
      <c r="H1778" s="57" t="s">
        <v>252</v>
      </c>
      <c r="I1778" s="57"/>
      <c r="J1778" s="57" t="s">
        <v>333</v>
      </c>
      <c r="K1778" s="57" t="s">
        <v>334</v>
      </c>
      <c r="L1778" s="57" t="s">
        <v>2754</v>
      </c>
      <c r="M1778" s="57" t="s">
        <v>336</v>
      </c>
      <c r="N1778" s="57" t="s">
        <v>381</v>
      </c>
      <c r="O1778" s="57" t="s">
        <v>2755</v>
      </c>
      <c r="P1778" s="57"/>
      <c r="Q1778" s="57" t="s">
        <v>698</v>
      </c>
    </row>
    <row r="1779" s="50" customFormat="true" ht="14.25" hidden="false" customHeight="true" outlineLevel="0" collapsed="false">
      <c r="A1779" s="50" t="s">
        <v>651</v>
      </c>
      <c r="B1779" s="57" t="s">
        <v>651</v>
      </c>
      <c r="C1779" s="57" t="s">
        <v>1514</v>
      </c>
      <c r="D1779" s="58" t="n">
        <v>46074.5604513889</v>
      </c>
      <c r="E1779" s="58" t="n">
        <v>46074.5604513889</v>
      </c>
      <c r="F1779" s="58" t="n">
        <v>46074.5612268519</v>
      </c>
      <c r="G1779" s="59" t="n">
        <f aca="false">F1779-E1779</f>
        <v>0.000775463009259259</v>
      </c>
      <c r="H1779" s="57" t="s">
        <v>252</v>
      </c>
      <c r="I1779" s="57"/>
      <c r="J1779" s="57" t="s">
        <v>333</v>
      </c>
      <c r="K1779" s="57" t="s">
        <v>334</v>
      </c>
      <c r="L1779" s="57" t="s">
        <v>2754</v>
      </c>
      <c r="M1779" s="57" t="s">
        <v>336</v>
      </c>
      <c r="N1779" s="57" t="s">
        <v>381</v>
      </c>
      <c r="O1779" s="57" t="s">
        <v>2755</v>
      </c>
      <c r="P1779" s="57"/>
      <c r="Q1779" s="57" t="s">
        <v>698</v>
      </c>
    </row>
    <row r="1780" s="50" customFormat="true" ht="14.25" hidden="false" customHeight="true" outlineLevel="0" collapsed="false">
      <c r="A1780" s="50" t="s">
        <v>651</v>
      </c>
      <c r="B1780" s="57" t="s">
        <v>651</v>
      </c>
      <c r="C1780" s="57" t="s">
        <v>1514</v>
      </c>
      <c r="D1780" s="58" t="n">
        <v>46074.5503703704</v>
      </c>
      <c r="E1780" s="58" t="n">
        <v>46074.5503703704</v>
      </c>
      <c r="F1780" s="58" t="n">
        <v>46074.5511226852</v>
      </c>
      <c r="G1780" s="59" t="n">
        <f aca="false">F1780-E1780</f>
        <v>0.000752314803240741</v>
      </c>
      <c r="H1780" s="57" t="s">
        <v>252</v>
      </c>
      <c r="I1780" s="57"/>
      <c r="J1780" s="57" t="s">
        <v>333</v>
      </c>
      <c r="K1780" s="57" t="s">
        <v>334</v>
      </c>
      <c r="L1780" s="57" t="s">
        <v>2754</v>
      </c>
      <c r="M1780" s="57" t="s">
        <v>336</v>
      </c>
      <c r="N1780" s="57" t="s">
        <v>381</v>
      </c>
      <c r="O1780" s="57" t="s">
        <v>2755</v>
      </c>
      <c r="P1780" s="57"/>
      <c r="Q1780" s="57" t="s">
        <v>698</v>
      </c>
    </row>
    <row r="1781" s="50" customFormat="true" ht="14.25" hidden="false" customHeight="true" outlineLevel="0" collapsed="false">
      <c r="A1781" s="50" t="s">
        <v>651</v>
      </c>
      <c r="B1781" s="57" t="s">
        <v>651</v>
      </c>
      <c r="C1781" s="57" t="s">
        <v>1514</v>
      </c>
      <c r="D1781" s="58" t="n">
        <v>46074.5397800926</v>
      </c>
      <c r="E1781" s="58" t="n">
        <v>46074.5397800926</v>
      </c>
      <c r="F1781" s="58" t="n">
        <v>46074.5407523148</v>
      </c>
      <c r="G1781" s="59" t="n">
        <f aca="false">F1781-E1781</f>
        <v>0.000972222199074074</v>
      </c>
      <c r="H1781" s="57" t="s">
        <v>252</v>
      </c>
      <c r="I1781" s="57"/>
      <c r="J1781" s="57" t="s">
        <v>333</v>
      </c>
      <c r="K1781" s="57" t="s">
        <v>334</v>
      </c>
      <c r="L1781" s="57" t="s">
        <v>2754</v>
      </c>
      <c r="M1781" s="57" t="s">
        <v>336</v>
      </c>
      <c r="N1781" s="57" t="s">
        <v>381</v>
      </c>
      <c r="O1781" s="57" t="s">
        <v>2755</v>
      </c>
      <c r="P1781" s="57"/>
      <c r="Q1781" s="57" t="s">
        <v>698</v>
      </c>
    </row>
    <row r="1782" s="50" customFormat="true" ht="14.25" hidden="false" customHeight="true" outlineLevel="0" collapsed="false">
      <c r="A1782" s="50" t="s">
        <v>651</v>
      </c>
      <c r="B1782" s="57" t="s">
        <v>651</v>
      </c>
      <c r="C1782" s="57" t="s">
        <v>1514</v>
      </c>
      <c r="D1782" s="58" t="n">
        <v>46073.6955671296</v>
      </c>
      <c r="E1782" s="58" t="n">
        <v>46073.6955671296</v>
      </c>
      <c r="F1782" s="58" t="n">
        <v>46073.6963310185</v>
      </c>
      <c r="G1782" s="59" t="n">
        <f aca="false">F1782-E1782</f>
        <v>0.000763888888888889</v>
      </c>
      <c r="H1782" s="57" t="s">
        <v>252</v>
      </c>
      <c r="I1782" s="57"/>
      <c r="J1782" s="57" t="s">
        <v>333</v>
      </c>
      <c r="K1782" s="57" t="s">
        <v>334</v>
      </c>
      <c r="L1782" s="57" t="s">
        <v>2754</v>
      </c>
      <c r="M1782" s="57" t="s">
        <v>336</v>
      </c>
      <c r="N1782" s="57" t="s">
        <v>381</v>
      </c>
      <c r="O1782" s="57" t="s">
        <v>2755</v>
      </c>
      <c r="P1782" s="57"/>
      <c r="Q1782" s="57" t="s">
        <v>698</v>
      </c>
    </row>
    <row r="1783" s="50" customFormat="true" ht="14.25" hidden="false" customHeight="true" outlineLevel="0" collapsed="false">
      <c r="A1783" s="50" t="s">
        <v>651</v>
      </c>
      <c r="B1783" s="57" t="s">
        <v>651</v>
      </c>
      <c r="C1783" s="57" t="s">
        <v>1514</v>
      </c>
      <c r="D1783" s="58" t="n">
        <v>46073.6869097222</v>
      </c>
      <c r="E1783" s="58" t="n">
        <v>46073.6869097222</v>
      </c>
      <c r="F1783" s="58" t="n">
        <v>46073.6876851852</v>
      </c>
      <c r="G1783" s="59" t="n">
        <f aca="false">F1783-E1783</f>
        <v>0.000775462997685185</v>
      </c>
      <c r="H1783" s="57" t="s">
        <v>252</v>
      </c>
      <c r="I1783" s="57"/>
      <c r="J1783" s="57" t="s">
        <v>333</v>
      </c>
      <c r="K1783" s="57" t="s">
        <v>334</v>
      </c>
      <c r="L1783" s="57" t="s">
        <v>2754</v>
      </c>
      <c r="M1783" s="57" t="s">
        <v>336</v>
      </c>
      <c r="N1783" s="57" t="s">
        <v>381</v>
      </c>
      <c r="O1783" s="57" t="s">
        <v>2755</v>
      </c>
      <c r="P1783" s="57"/>
      <c r="Q1783" s="57" t="s">
        <v>698</v>
      </c>
    </row>
    <row r="1784" s="50" customFormat="true" ht="14.25" hidden="false" customHeight="true" outlineLevel="0" collapsed="false">
      <c r="A1784" s="50" t="s">
        <v>651</v>
      </c>
      <c r="B1784" s="57" t="s">
        <v>651</v>
      </c>
      <c r="C1784" s="57" t="s">
        <v>1514</v>
      </c>
      <c r="D1784" s="58" t="n">
        <v>46073.6807291667</v>
      </c>
      <c r="E1784" s="58" t="n">
        <v>46073.6807291667</v>
      </c>
      <c r="F1784" s="58" t="n">
        <v>46073.6815046296</v>
      </c>
      <c r="G1784" s="59" t="n">
        <f aca="false">F1784-E1784</f>
        <v>0.000775462905092593</v>
      </c>
      <c r="H1784" s="57" t="s">
        <v>252</v>
      </c>
      <c r="I1784" s="57"/>
      <c r="J1784" s="57" t="s">
        <v>333</v>
      </c>
      <c r="K1784" s="57" t="s">
        <v>334</v>
      </c>
      <c r="L1784" s="57" t="s">
        <v>2754</v>
      </c>
      <c r="M1784" s="57" t="s">
        <v>336</v>
      </c>
      <c r="N1784" s="57" t="s">
        <v>381</v>
      </c>
      <c r="O1784" s="57" t="s">
        <v>2755</v>
      </c>
      <c r="P1784" s="57"/>
      <c r="Q1784" s="57" t="s">
        <v>698</v>
      </c>
    </row>
    <row r="1785" s="50" customFormat="true" ht="14.25" hidden="false" customHeight="true" outlineLevel="0" collapsed="false">
      <c r="A1785" s="50" t="s">
        <v>651</v>
      </c>
      <c r="B1785" s="57" t="s">
        <v>651</v>
      </c>
      <c r="C1785" s="57" t="s">
        <v>1514</v>
      </c>
      <c r="D1785" s="58" t="n">
        <v>46073.6758333333</v>
      </c>
      <c r="E1785" s="58" t="n">
        <v>46073.6758333333</v>
      </c>
      <c r="F1785" s="58" t="n">
        <v>46073.6766087963</v>
      </c>
      <c r="G1785" s="59" t="n">
        <f aca="false">F1785-E1785</f>
        <v>0.000775462997685185</v>
      </c>
      <c r="H1785" s="57" t="s">
        <v>252</v>
      </c>
      <c r="I1785" s="57"/>
      <c r="J1785" s="57" t="s">
        <v>333</v>
      </c>
      <c r="K1785" s="57" t="s">
        <v>334</v>
      </c>
      <c r="L1785" s="57" t="s">
        <v>2754</v>
      </c>
      <c r="M1785" s="57" t="s">
        <v>336</v>
      </c>
      <c r="N1785" s="57" t="s">
        <v>381</v>
      </c>
      <c r="O1785" s="57" t="s">
        <v>2755</v>
      </c>
      <c r="P1785" s="57"/>
      <c r="Q1785" s="57" t="s">
        <v>698</v>
      </c>
    </row>
    <row r="1786" s="50" customFormat="true" ht="14.25" hidden="false" customHeight="true" outlineLevel="0" collapsed="false">
      <c r="A1786" s="50" t="s">
        <v>651</v>
      </c>
      <c r="B1786" s="57" t="s">
        <v>651</v>
      </c>
      <c r="C1786" s="57" t="s">
        <v>1514</v>
      </c>
      <c r="D1786" s="58" t="n">
        <v>46073.6707638889</v>
      </c>
      <c r="E1786" s="58" t="n">
        <v>46073.6707638889</v>
      </c>
      <c r="F1786" s="58" t="n">
        <v>46073.6715277778</v>
      </c>
      <c r="G1786" s="59" t="n">
        <f aca="false">F1786-E1786</f>
        <v>0.000763888888888889</v>
      </c>
      <c r="H1786" s="57" t="s">
        <v>252</v>
      </c>
      <c r="I1786" s="57"/>
      <c r="J1786" s="57" t="s">
        <v>333</v>
      </c>
      <c r="K1786" s="57" t="s">
        <v>334</v>
      </c>
      <c r="L1786" s="57" t="s">
        <v>2754</v>
      </c>
      <c r="M1786" s="57" t="s">
        <v>336</v>
      </c>
      <c r="N1786" s="57" t="s">
        <v>381</v>
      </c>
      <c r="O1786" s="57" t="s">
        <v>2755</v>
      </c>
      <c r="P1786" s="57"/>
      <c r="Q1786" s="57" t="s">
        <v>698</v>
      </c>
    </row>
    <row r="1787" s="50" customFormat="true" ht="14.25" hidden="false" customHeight="true" outlineLevel="0" collapsed="false">
      <c r="A1787" s="50" t="s">
        <v>651</v>
      </c>
      <c r="B1787" s="57" t="s">
        <v>651</v>
      </c>
      <c r="C1787" s="57" t="s">
        <v>1514</v>
      </c>
      <c r="D1787" s="58" t="n">
        <v>46073.6658449074</v>
      </c>
      <c r="E1787" s="58" t="n">
        <v>46073.6658449074</v>
      </c>
      <c r="F1787" s="58" t="n">
        <v>46073.6666319444</v>
      </c>
      <c r="G1787" s="59" t="n">
        <f aca="false">F1787-E1787</f>
        <v>0.000787036990740741</v>
      </c>
      <c r="H1787" s="57" t="s">
        <v>252</v>
      </c>
      <c r="I1787" s="57"/>
      <c r="J1787" s="57" t="s">
        <v>333</v>
      </c>
      <c r="K1787" s="57" t="s">
        <v>334</v>
      </c>
      <c r="L1787" s="57" t="s">
        <v>2754</v>
      </c>
      <c r="M1787" s="57" t="s">
        <v>336</v>
      </c>
      <c r="N1787" s="57" t="s">
        <v>381</v>
      </c>
      <c r="O1787" s="57" t="s">
        <v>2755</v>
      </c>
      <c r="P1787" s="57"/>
      <c r="Q1787" s="57" t="s">
        <v>698</v>
      </c>
    </row>
    <row r="1788" s="50" customFormat="true" ht="14.25" hidden="false" customHeight="true" outlineLevel="0" collapsed="false">
      <c r="A1788" s="50" t="s">
        <v>651</v>
      </c>
      <c r="B1788" s="57" t="s">
        <v>651</v>
      </c>
      <c r="C1788" s="57" t="s">
        <v>1514</v>
      </c>
      <c r="D1788" s="58" t="n">
        <v>46073.6608680556</v>
      </c>
      <c r="E1788" s="58" t="n">
        <v>46073.6608680556</v>
      </c>
      <c r="F1788" s="58" t="n">
        <v>46073.6616550926</v>
      </c>
      <c r="G1788" s="59" t="n">
        <f aca="false">F1788-E1788</f>
        <v>0.000787036990740741</v>
      </c>
      <c r="H1788" s="57" t="s">
        <v>252</v>
      </c>
      <c r="I1788" s="57"/>
      <c r="J1788" s="57" t="s">
        <v>333</v>
      </c>
      <c r="K1788" s="57" t="s">
        <v>334</v>
      </c>
      <c r="L1788" s="57" t="s">
        <v>2754</v>
      </c>
      <c r="M1788" s="57" t="s">
        <v>336</v>
      </c>
      <c r="N1788" s="57" t="s">
        <v>381</v>
      </c>
      <c r="O1788" s="57" t="s">
        <v>2755</v>
      </c>
      <c r="P1788" s="57"/>
      <c r="Q1788" s="57" t="s">
        <v>698</v>
      </c>
    </row>
    <row r="1789" s="50" customFormat="true" ht="14.25" hidden="false" customHeight="true" outlineLevel="0" collapsed="false">
      <c r="A1789" s="50" t="s">
        <v>651</v>
      </c>
      <c r="B1789" s="57" t="s">
        <v>651</v>
      </c>
      <c r="C1789" s="57" t="s">
        <v>1514</v>
      </c>
      <c r="D1789" s="58" t="n">
        <v>46073.6559143519</v>
      </c>
      <c r="E1789" s="58" t="n">
        <v>46073.6559143519</v>
      </c>
      <c r="F1789" s="58" t="n">
        <v>46073.6566782407</v>
      </c>
      <c r="G1789" s="59" t="n">
        <f aca="false">F1789-E1789</f>
        <v>0.00076388880787037</v>
      </c>
      <c r="H1789" s="57" t="s">
        <v>252</v>
      </c>
      <c r="I1789" s="57"/>
      <c r="J1789" s="57" t="s">
        <v>333</v>
      </c>
      <c r="K1789" s="57" t="s">
        <v>334</v>
      </c>
      <c r="L1789" s="57" t="s">
        <v>2754</v>
      </c>
      <c r="M1789" s="57" t="s">
        <v>336</v>
      </c>
      <c r="N1789" s="57" t="s">
        <v>381</v>
      </c>
      <c r="O1789" s="57" t="s">
        <v>2755</v>
      </c>
      <c r="P1789" s="57"/>
      <c r="Q1789" s="57" t="s">
        <v>698</v>
      </c>
    </row>
    <row r="1790" s="50" customFormat="true" ht="14.25" hidden="false" customHeight="true" outlineLevel="0" collapsed="false">
      <c r="A1790" s="50" t="s">
        <v>651</v>
      </c>
      <c r="B1790" s="57" t="s">
        <v>651</v>
      </c>
      <c r="C1790" s="57" t="s">
        <v>1514</v>
      </c>
      <c r="D1790" s="58" t="n">
        <v>46073.6511574074</v>
      </c>
      <c r="E1790" s="58" t="n">
        <v>46073.6511574074</v>
      </c>
      <c r="F1790" s="58" t="n">
        <v>46073.6519328704</v>
      </c>
      <c r="G1790" s="59" t="n">
        <f aca="false">F1790-E1790</f>
        <v>0.000775462997685185</v>
      </c>
      <c r="H1790" s="57" t="s">
        <v>252</v>
      </c>
      <c r="I1790" s="57"/>
      <c r="J1790" s="57" t="s">
        <v>333</v>
      </c>
      <c r="K1790" s="57" t="s">
        <v>334</v>
      </c>
      <c r="L1790" s="57" t="s">
        <v>2754</v>
      </c>
      <c r="M1790" s="57" t="s">
        <v>336</v>
      </c>
      <c r="N1790" s="57" t="s">
        <v>381</v>
      </c>
      <c r="O1790" s="57" t="s">
        <v>2755</v>
      </c>
      <c r="P1790" s="57"/>
      <c r="Q1790" s="57" t="s">
        <v>698</v>
      </c>
    </row>
    <row r="1791" s="50" customFormat="true" ht="14.25" hidden="false" customHeight="true" outlineLevel="0" collapsed="false">
      <c r="A1791" s="50" t="s">
        <v>651</v>
      </c>
      <c r="B1791" s="57" t="s">
        <v>651</v>
      </c>
      <c r="C1791" s="57" t="s">
        <v>1514</v>
      </c>
      <c r="D1791" s="58" t="n">
        <v>46073.6466435185</v>
      </c>
      <c r="E1791" s="58" t="n">
        <v>46073.6466435185</v>
      </c>
      <c r="F1791" s="58" t="n">
        <v>46073.6474189815</v>
      </c>
      <c r="G1791" s="59" t="n">
        <f aca="false">F1791-E1791</f>
        <v>0.000775462997685185</v>
      </c>
      <c r="H1791" s="57" t="s">
        <v>252</v>
      </c>
      <c r="I1791" s="57"/>
      <c r="J1791" s="57" t="s">
        <v>333</v>
      </c>
      <c r="K1791" s="57" t="s">
        <v>334</v>
      </c>
      <c r="L1791" s="57" t="s">
        <v>2754</v>
      </c>
      <c r="M1791" s="57" t="s">
        <v>336</v>
      </c>
      <c r="N1791" s="57" t="s">
        <v>381</v>
      </c>
      <c r="O1791" s="57" t="s">
        <v>2755</v>
      </c>
      <c r="P1791" s="57"/>
      <c r="Q1791" s="57" t="s">
        <v>698</v>
      </c>
    </row>
    <row r="1792" s="50" customFormat="true" ht="14.25" hidden="false" customHeight="true" outlineLevel="0" collapsed="false">
      <c r="A1792" s="50" t="s">
        <v>651</v>
      </c>
      <c r="B1792" s="57" t="s">
        <v>651</v>
      </c>
      <c r="C1792" s="57" t="s">
        <v>1514</v>
      </c>
      <c r="D1792" s="58" t="n">
        <v>46073.6422453704</v>
      </c>
      <c r="E1792" s="58" t="n">
        <v>46073.6422453704</v>
      </c>
      <c r="F1792" s="58" t="n">
        <v>46073.6430208333</v>
      </c>
      <c r="G1792" s="59" t="n">
        <f aca="false">F1792-E1792</f>
        <v>0.000775462893518519</v>
      </c>
      <c r="H1792" s="57" t="s">
        <v>252</v>
      </c>
      <c r="I1792" s="57"/>
      <c r="J1792" s="57" t="s">
        <v>333</v>
      </c>
      <c r="K1792" s="57" t="s">
        <v>334</v>
      </c>
      <c r="L1792" s="57" t="s">
        <v>2754</v>
      </c>
      <c r="M1792" s="57" t="s">
        <v>336</v>
      </c>
      <c r="N1792" s="57" t="s">
        <v>381</v>
      </c>
      <c r="O1792" s="57" t="s">
        <v>2755</v>
      </c>
      <c r="P1792" s="57"/>
      <c r="Q1792" s="57" t="s">
        <v>698</v>
      </c>
    </row>
    <row r="1793" s="50" customFormat="true" ht="14.25" hidden="false" customHeight="true" outlineLevel="0" collapsed="false">
      <c r="A1793" s="50" t="s">
        <v>651</v>
      </c>
      <c r="B1793" s="57" t="s">
        <v>651</v>
      </c>
      <c r="C1793" s="57" t="s">
        <v>1514</v>
      </c>
      <c r="D1793" s="58" t="n">
        <v>46073.6380787037</v>
      </c>
      <c r="E1793" s="58" t="n">
        <v>46073.6380787037</v>
      </c>
      <c r="F1793" s="58" t="n">
        <v>46073.6388425926</v>
      </c>
      <c r="G1793" s="59" t="n">
        <f aca="false">F1793-E1793</f>
        <v>0.000763888888888889</v>
      </c>
      <c r="H1793" s="57" t="s">
        <v>252</v>
      </c>
      <c r="I1793" s="57"/>
      <c r="J1793" s="57" t="s">
        <v>333</v>
      </c>
      <c r="K1793" s="57" t="s">
        <v>334</v>
      </c>
      <c r="L1793" s="57" t="s">
        <v>2754</v>
      </c>
      <c r="M1793" s="57" t="s">
        <v>336</v>
      </c>
      <c r="N1793" s="57" t="s">
        <v>381</v>
      </c>
      <c r="O1793" s="57" t="s">
        <v>2755</v>
      </c>
      <c r="P1793" s="57"/>
      <c r="Q1793" s="57" t="s">
        <v>698</v>
      </c>
    </row>
    <row r="1794" s="50" customFormat="true" ht="14.25" hidden="false" customHeight="true" outlineLevel="0" collapsed="false">
      <c r="A1794" s="50" t="s">
        <v>651</v>
      </c>
      <c r="B1794" s="57" t="s">
        <v>651</v>
      </c>
      <c r="C1794" s="57" t="s">
        <v>1514</v>
      </c>
      <c r="D1794" s="58" t="n">
        <v>46073.6333680556</v>
      </c>
      <c r="E1794" s="58" t="n">
        <v>46073.6333680556</v>
      </c>
      <c r="F1794" s="58" t="n">
        <v>46073.6341319445</v>
      </c>
      <c r="G1794" s="59" t="n">
        <f aca="false">F1794-E1794</f>
        <v>0.000763888888888889</v>
      </c>
      <c r="H1794" s="57" t="s">
        <v>252</v>
      </c>
      <c r="I1794" s="57"/>
      <c r="J1794" s="57" t="s">
        <v>333</v>
      </c>
      <c r="K1794" s="57" t="s">
        <v>334</v>
      </c>
      <c r="L1794" s="57" t="s">
        <v>2754</v>
      </c>
      <c r="M1794" s="57" t="s">
        <v>336</v>
      </c>
      <c r="N1794" s="57" t="s">
        <v>381</v>
      </c>
      <c r="O1794" s="57" t="s">
        <v>2755</v>
      </c>
      <c r="P1794" s="57"/>
      <c r="Q1794" s="57" t="s">
        <v>698</v>
      </c>
    </row>
    <row r="1795" s="50" customFormat="true" ht="14.25" hidden="false" customHeight="true" outlineLevel="0" collapsed="false">
      <c r="A1795" s="50" t="s">
        <v>651</v>
      </c>
      <c r="B1795" s="57" t="s">
        <v>651</v>
      </c>
      <c r="C1795" s="57" t="s">
        <v>1514</v>
      </c>
      <c r="D1795" s="58" t="n">
        <v>46073.6095023148</v>
      </c>
      <c r="E1795" s="58" t="n">
        <v>46073.6095023148</v>
      </c>
      <c r="F1795" s="58" t="n">
        <v>46073.6102662037</v>
      </c>
      <c r="G1795" s="59" t="n">
        <f aca="false">F1795-E1795</f>
        <v>0.000763888888888889</v>
      </c>
      <c r="H1795" s="57" t="s">
        <v>252</v>
      </c>
      <c r="I1795" s="57"/>
      <c r="J1795" s="57" t="s">
        <v>333</v>
      </c>
      <c r="K1795" s="57" t="s">
        <v>334</v>
      </c>
      <c r="L1795" s="57" t="s">
        <v>2754</v>
      </c>
      <c r="M1795" s="57" t="s">
        <v>336</v>
      </c>
      <c r="N1795" s="57" t="s">
        <v>381</v>
      </c>
      <c r="O1795" s="57" t="s">
        <v>2755</v>
      </c>
      <c r="P1795" s="57"/>
      <c r="Q1795" s="57" t="s">
        <v>698</v>
      </c>
    </row>
    <row r="1796" s="50" customFormat="true" ht="14.25" hidden="false" customHeight="true" outlineLevel="0" collapsed="false">
      <c r="A1796" s="50" t="s">
        <v>651</v>
      </c>
      <c r="B1796" s="57" t="s">
        <v>651</v>
      </c>
      <c r="C1796" s="57" t="s">
        <v>1514</v>
      </c>
      <c r="D1796" s="58" t="n">
        <v>46073.6055092593</v>
      </c>
      <c r="E1796" s="58" t="n">
        <v>46073.6055092593</v>
      </c>
      <c r="F1796" s="58" t="n">
        <v>46073.6062847222</v>
      </c>
      <c r="G1796" s="59" t="n">
        <f aca="false">F1796-E1796</f>
        <v>0.000775462893518519</v>
      </c>
      <c r="H1796" s="57" t="s">
        <v>252</v>
      </c>
      <c r="I1796" s="57"/>
      <c r="J1796" s="57" t="s">
        <v>333</v>
      </c>
      <c r="K1796" s="57" t="s">
        <v>334</v>
      </c>
      <c r="L1796" s="57" t="s">
        <v>2754</v>
      </c>
      <c r="M1796" s="57" t="s">
        <v>336</v>
      </c>
      <c r="N1796" s="57" t="s">
        <v>381</v>
      </c>
      <c r="O1796" s="57" t="s">
        <v>2755</v>
      </c>
      <c r="P1796" s="57"/>
      <c r="Q1796" s="57" t="s">
        <v>698</v>
      </c>
    </row>
    <row r="1797" s="50" customFormat="true" ht="14.25" hidden="false" customHeight="true" outlineLevel="0" collapsed="false">
      <c r="A1797" s="50" t="s">
        <v>651</v>
      </c>
      <c r="B1797" s="57" t="s">
        <v>651</v>
      </c>
      <c r="C1797" s="57" t="s">
        <v>1514</v>
      </c>
      <c r="D1797" s="58" t="n">
        <v>46072.6819907407</v>
      </c>
      <c r="E1797" s="58" t="n">
        <v>46072.6819907407</v>
      </c>
      <c r="F1797" s="58" t="n">
        <v>46072.6827662037</v>
      </c>
      <c r="G1797" s="59" t="n">
        <f aca="false">F1797-E1797</f>
        <v>0.000775463009259259</v>
      </c>
      <c r="H1797" s="57" t="s">
        <v>252</v>
      </c>
      <c r="I1797" s="57"/>
      <c r="J1797" s="57" t="s">
        <v>333</v>
      </c>
      <c r="K1797" s="57" t="s">
        <v>334</v>
      </c>
      <c r="L1797" s="57" t="s">
        <v>2754</v>
      </c>
      <c r="M1797" s="57" t="s">
        <v>336</v>
      </c>
      <c r="N1797" s="57" t="s">
        <v>381</v>
      </c>
      <c r="O1797" s="57" t="s">
        <v>2755</v>
      </c>
      <c r="P1797" s="57"/>
      <c r="Q1797" s="57" t="s">
        <v>698</v>
      </c>
    </row>
    <row r="1798" s="50" customFormat="true" ht="14.25" hidden="false" customHeight="true" outlineLevel="0" collapsed="false">
      <c r="A1798" s="50" t="s">
        <v>651</v>
      </c>
      <c r="B1798" s="57" t="s">
        <v>651</v>
      </c>
      <c r="C1798" s="57" t="s">
        <v>1514</v>
      </c>
      <c r="D1798" s="58" t="n">
        <v>46072.6718171296</v>
      </c>
      <c r="E1798" s="58" t="n">
        <v>46072.6718171296</v>
      </c>
      <c r="F1798" s="58" t="n">
        <v>46072.6725925926</v>
      </c>
      <c r="G1798" s="59" t="n">
        <f aca="false">F1798-E1798</f>
        <v>0.000775462997685185</v>
      </c>
      <c r="H1798" s="57" t="s">
        <v>252</v>
      </c>
      <c r="I1798" s="57"/>
      <c r="J1798" s="57" t="s">
        <v>333</v>
      </c>
      <c r="K1798" s="57" t="s">
        <v>334</v>
      </c>
      <c r="L1798" s="57" t="s">
        <v>2754</v>
      </c>
      <c r="M1798" s="57" t="s">
        <v>336</v>
      </c>
      <c r="N1798" s="57" t="s">
        <v>381</v>
      </c>
      <c r="O1798" s="57" t="s">
        <v>2755</v>
      </c>
      <c r="P1798" s="57"/>
      <c r="Q1798" s="57" t="s">
        <v>698</v>
      </c>
    </row>
    <row r="1799" s="50" customFormat="true" ht="14.25" hidden="false" customHeight="true" outlineLevel="0" collapsed="false">
      <c r="A1799" s="50" t="s">
        <v>651</v>
      </c>
      <c r="B1799" s="57" t="s">
        <v>651</v>
      </c>
      <c r="C1799" s="57" t="s">
        <v>1514</v>
      </c>
      <c r="D1799" s="58" t="n">
        <v>46072.6685763889</v>
      </c>
      <c r="E1799" s="58" t="n">
        <v>46072.6685763889</v>
      </c>
      <c r="F1799" s="58" t="n">
        <v>46072.6693402778</v>
      </c>
      <c r="G1799" s="59" t="n">
        <f aca="false">F1799-E1799</f>
        <v>0.000763888888888889</v>
      </c>
      <c r="H1799" s="57" t="s">
        <v>252</v>
      </c>
      <c r="I1799" s="57"/>
      <c r="J1799" s="57" t="s">
        <v>333</v>
      </c>
      <c r="K1799" s="57" t="s">
        <v>334</v>
      </c>
      <c r="L1799" s="57" t="s">
        <v>2754</v>
      </c>
      <c r="M1799" s="57" t="s">
        <v>336</v>
      </c>
      <c r="N1799" s="57" t="s">
        <v>381</v>
      </c>
      <c r="O1799" s="57" t="s">
        <v>2755</v>
      </c>
      <c r="P1799" s="57"/>
      <c r="Q1799" s="57" t="s">
        <v>698</v>
      </c>
    </row>
    <row r="1800" s="50" customFormat="true" ht="14.25" hidden="false" customHeight="true" outlineLevel="0" collapsed="false">
      <c r="A1800" s="50" t="s">
        <v>651</v>
      </c>
      <c r="B1800" s="57" t="s">
        <v>651</v>
      </c>
      <c r="C1800" s="57" t="s">
        <v>1514</v>
      </c>
      <c r="D1800" s="58" t="n">
        <v>46072.6652777778</v>
      </c>
      <c r="E1800" s="58" t="n">
        <v>46072.6652777778</v>
      </c>
      <c r="F1800" s="58" t="n">
        <v>46072.6660416667</v>
      </c>
      <c r="G1800" s="59" t="n">
        <f aca="false">F1800-E1800</f>
        <v>0.000763888888888889</v>
      </c>
      <c r="H1800" s="57" t="s">
        <v>252</v>
      </c>
      <c r="I1800" s="57"/>
      <c r="J1800" s="57" t="s">
        <v>333</v>
      </c>
      <c r="K1800" s="57" t="s">
        <v>334</v>
      </c>
      <c r="L1800" s="57" t="s">
        <v>2754</v>
      </c>
      <c r="M1800" s="57" t="s">
        <v>336</v>
      </c>
      <c r="N1800" s="57" t="s">
        <v>381</v>
      </c>
      <c r="O1800" s="57" t="s">
        <v>2755</v>
      </c>
      <c r="P1800" s="57"/>
      <c r="Q1800" s="57" t="s">
        <v>698</v>
      </c>
    </row>
    <row r="1801" s="50" customFormat="true" ht="14.25" hidden="false" customHeight="true" outlineLevel="0" collapsed="false">
      <c r="A1801" s="50" t="s">
        <v>651</v>
      </c>
      <c r="B1801" s="57" t="s">
        <v>651</v>
      </c>
      <c r="C1801" s="57" t="s">
        <v>1514</v>
      </c>
      <c r="D1801" s="58" t="n">
        <v>46072.6619212963</v>
      </c>
      <c r="E1801" s="58" t="n">
        <v>46072.6619212963</v>
      </c>
      <c r="F1801" s="58" t="n">
        <v>46072.6627083333</v>
      </c>
      <c r="G1801" s="59" t="n">
        <f aca="false">F1801-E1801</f>
        <v>0.000787037002314815</v>
      </c>
      <c r="H1801" s="57" t="s">
        <v>252</v>
      </c>
      <c r="I1801" s="57"/>
      <c r="J1801" s="57" t="s">
        <v>333</v>
      </c>
      <c r="K1801" s="57" t="s">
        <v>334</v>
      </c>
      <c r="L1801" s="57" t="s">
        <v>2754</v>
      </c>
      <c r="M1801" s="57" t="s">
        <v>336</v>
      </c>
      <c r="N1801" s="57" t="s">
        <v>381</v>
      </c>
      <c r="O1801" s="57" t="s">
        <v>2755</v>
      </c>
      <c r="P1801" s="57"/>
      <c r="Q1801" s="57" t="s">
        <v>698</v>
      </c>
    </row>
    <row r="1802" s="50" customFormat="true" ht="14.25" hidden="false" customHeight="true" outlineLevel="0" collapsed="false">
      <c r="A1802" s="50" t="s">
        <v>651</v>
      </c>
      <c r="B1802" s="57" t="s">
        <v>651</v>
      </c>
      <c r="C1802" s="57" t="s">
        <v>1514</v>
      </c>
      <c r="D1802" s="58" t="n">
        <v>46072.6585532407</v>
      </c>
      <c r="E1802" s="58" t="n">
        <v>46072.6585532407</v>
      </c>
      <c r="F1802" s="58" t="n">
        <v>46072.6593402778</v>
      </c>
      <c r="G1802" s="59" t="n">
        <f aca="false">F1802-E1802</f>
        <v>0.000787037106481482</v>
      </c>
      <c r="H1802" s="57" t="s">
        <v>252</v>
      </c>
      <c r="I1802" s="57"/>
      <c r="J1802" s="57" t="s">
        <v>333</v>
      </c>
      <c r="K1802" s="57" t="s">
        <v>334</v>
      </c>
      <c r="L1802" s="57" t="s">
        <v>2754</v>
      </c>
      <c r="M1802" s="57" t="s">
        <v>336</v>
      </c>
      <c r="N1802" s="57" t="s">
        <v>381</v>
      </c>
      <c r="O1802" s="57" t="s">
        <v>2755</v>
      </c>
      <c r="P1802" s="57"/>
      <c r="Q1802" s="57" t="s">
        <v>698</v>
      </c>
    </row>
    <row r="1803" s="50" customFormat="true" ht="14.25" hidden="false" customHeight="true" outlineLevel="0" collapsed="false">
      <c r="A1803" s="50" t="s">
        <v>651</v>
      </c>
      <c r="B1803" s="57" t="s">
        <v>651</v>
      </c>
      <c r="C1803" s="57" t="s">
        <v>1514</v>
      </c>
      <c r="D1803" s="58" t="n">
        <v>46072.6550810185</v>
      </c>
      <c r="E1803" s="58" t="n">
        <v>46072.6550810185</v>
      </c>
      <c r="F1803" s="58" t="n">
        <v>46072.6558564815</v>
      </c>
      <c r="G1803" s="59" t="n">
        <f aca="false">F1803-E1803</f>
        <v>0.000775462997685185</v>
      </c>
      <c r="H1803" s="57" t="s">
        <v>252</v>
      </c>
      <c r="I1803" s="57"/>
      <c r="J1803" s="57" t="s">
        <v>333</v>
      </c>
      <c r="K1803" s="57" t="s">
        <v>334</v>
      </c>
      <c r="L1803" s="57" t="s">
        <v>2754</v>
      </c>
      <c r="M1803" s="57" t="s">
        <v>336</v>
      </c>
      <c r="N1803" s="57" t="s">
        <v>381</v>
      </c>
      <c r="O1803" s="57" t="s">
        <v>2755</v>
      </c>
      <c r="P1803" s="57"/>
      <c r="Q1803" s="57" t="s">
        <v>698</v>
      </c>
    </row>
    <row r="1804" s="50" customFormat="true" ht="14.25" hidden="false" customHeight="true" outlineLevel="0" collapsed="false">
      <c r="A1804" s="50" t="s">
        <v>651</v>
      </c>
      <c r="B1804" s="57" t="s">
        <v>651</v>
      </c>
      <c r="C1804" s="57" t="s">
        <v>1514</v>
      </c>
      <c r="D1804" s="58" t="n">
        <v>46072.6513541667</v>
      </c>
      <c r="E1804" s="58" t="n">
        <v>46072.6513541667</v>
      </c>
      <c r="F1804" s="58" t="n">
        <v>46072.6521296296</v>
      </c>
      <c r="G1804" s="59" t="n">
        <f aca="false">F1804-E1804</f>
        <v>0.000775462893518519</v>
      </c>
      <c r="H1804" s="57" t="s">
        <v>252</v>
      </c>
      <c r="I1804" s="57"/>
      <c r="J1804" s="57" t="s">
        <v>333</v>
      </c>
      <c r="K1804" s="57" t="s">
        <v>334</v>
      </c>
      <c r="L1804" s="57" t="s">
        <v>2754</v>
      </c>
      <c r="M1804" s="57" t="s">
        <v>336</v>
      </c>
      <c r="N1804" s="57" t="s">
        <v>381</v>
      </c>
      <c r="O1804" s="57" t="s">
        <v>2755</v>
      </c>
      <c r="P1804" s="57"/>
      <c r="Q1804" s="57" t="s">
        <v>698</v>
      </c>
    </row>
    <row r="1805" s="50" customFormat="true" ht="14.25" hidden="false" customHeight="true" outlineLevel="0" collapsed="false">
      <c r="A1805" s="50" t="s">
        <v>651</v>
      </c>
      <c r="B1805" s="57" t="s">
        <v>651</v>
      </c>
      <c r="C1805" s="57" t="s">
        <v>1514</v>
      </c>
      <c r="D1805" s="58" t="n">
        <v>46072.6475925926</v>
      </c>
      <c r="E1805" s="58" t="n">
        <v>46072.6475925926</v>
      </c>
      <c r="F1805" s="58" t="n">
        <v>46072.6483564815</v>
      </c>
      <c r="G1805" s="59" t="n">
        <f aca="false">F1805-E1805</f>
        <v>0.000763888888888889</v>
      </c>
      <c r="H1805" s="57" t="s">
        <v>252</v>
      </c>
      <c r="I1805" s="57"/>
      <c r="J1805" s="57" t="s">
        <v>333</v>
      </c>
      <c r="K1805" s="57" t="s">
        <v>334</v>
      </c>
      <c r="L1805" s="57" t="s">
        <v>2754</v>
      </c>
      <c r="M1805" s="57" t="s">
        <v>336</v>
      </c>
      <c r="N1805" s="57" t="s">
        <v>381</v>
      </c>
      <c r="O1805" s="57" t="s">
        <v>2755</v>
      </c>
      <c r="P1805" s="57"/>
      <c r="Q1805" s="57" t="s">
        <v>698</v>
      </c>
    </row>
    <row r="1806" s="50" customFormat="true" ht="14.25" hidden="false" customHeight="true" outlineLevel="0" collapsed="false">
      <c r="A1806" s="50" t="s">
        <v>651</v>
      </c>
      <c r="B1806" s="57" t="s">
        <v>651</v>
      </c>
      <c r="C1806" s="57" t="s">
        <v>1514</v>
      </c>
      <c r="D1806" s="58" t="n">
        <v>46072.6430555556</v>
      </c>
      <c r="E1806" s="58" t="n">
        <v>46072.6430555556</v>
      </c>
      <c r="F1806" s="58" t="n">
        <v>46072.6438194444</v>
      </c>
      <c r="G1806" s="59" t="n">
        <f aca="false">F1806-E1806</f>
        <v>0.000763888796296296</v>
      </c>
      <c r="H1806" s="57" t="s">
        <v>252</v>
      </c>
      <c r="I1806" s="57"/>
      <c r="J1806" s="57" t="s">
        <v>333</v>
      </c>
      <c r="K1806" s="57" t="s">
        <v>334</v>
      </c>
      <c r="L1806" s="57" t="s">
        <v>2754</v>
      </c>
      <c r="M1806" s="57" t="s">
        <v>336</v>
      </c>
      <c r="N1806" s="57" t="s">
        <v>381</v>
      </c>
      <c r="O1806" s="57" t="s">
        <v>2755</v>
      </c>
      <c r="P1806" s="57"/>
      <c r="Q1806" s="57" t="s">
        <v>698</v>
      </c>
    </row>
    <row r="1807" s="50" customFormat="true" ht="14.25" hidden="false" customHeight="true" outlineLevel="0" collapsed="false">
      <c r="A1807" s="50" t="s">
        <v>651</v>
      </c>
      <c r="B1807" s="57" t="s">
        <v>651</v>
      </c>
      <c r="C1807" s="57" t="s">
        <v>1514</v>
      </c>
      <c r="D1807" s="58" t="n">
        <v>46072.6390972222</v>
      </c>
      <c r="E1807" s="58" t="n">
        <v>46072.6390972222</v>
      </c>
      <c r="F1807" s="58" t="n">
        <v>46072.6398611111</v>
      </c>
      <c r="G1807" s="59" t="n">
        <f aca="false">F1807-E1807</f>
        <v>0.000763888888888889</v>
      </c>
      <c r="H1807" s="57" t="s">
        <v>252</v>
      </c>
      <c r="I1807" s="57"/>
      <c r="J1807" s="57" t="s">
        <v>333</v>
      </c>
      <c r="K1807" s="57" t="s">
        <v>334</v>
      </c>
      <c r="L1807" s="57" t="s">
        <v>2754</v>
      </c>
      <c r="M1807" s="57" t="s">
        <v>336</v>
      </c>
      <c r="N1807" s="57" t="s">
        <v>381</v>
      </c>
      <c r="O1807" s="57" t="s">
        <v>2755</v>
      </c>
      <c r="P1807" s="57"/>
      <c r="Q1807" s="57" t="s">
        <v>698</v>
      </c>
    </row>
    <row r="1808" s="50" customFormat="true" ht="14.25" hidden="false" customHeight="true" outlineLevel="0" collapsed="false">
      <c r="A1808" s="50" t="s">
        <v>651</v>
      </c>
      <c r="B1808" s="57" t="s">
        <v>651</v>
      </c>
      <c r="C1808" s="57" t="s">
        <v>1514</v>
      </c>
      <c r="D1808" s="58" t="n">
        <v>46072.6347453704</v>
      </c>
      <c r="E1808" s="58" t="n">
        <v>46072.6347453704</v>
      </c>
      <c r="F1808" s="58" t="n">
        <v>46072.6355439815</v>
      </c>
      <c r="G1808" s="59" t="n">
        <f aca="false">F1808-E1808</f>
        <v>0.000798611111111111</v>
      </c>
      <c r="H1808" s="57" t="s">
        <v>252</v>
      </c>
      <c r="I1808" s="57"/>
      <c r="J1808" s="57" t="s">
        <v>333</v>
      </c>
      <c r="K1808" s="57" t="s">
        <v>334</v>
      </c>
      <c r="L1808" s="57" t="s">
        <v>2754</v>
      </c>
      <c r="M1808" s="57" t="s">
        <v>336</v>
      </c>
      <c r="N1808" s="57" t="s">
        <v>381</v>
      </c>
      <c r="O1808" s="57" t="s">
        <v>2755</v>
      </c>
      <c r="P1808" s="57"/>
      <c r="Q1808" s="57" t="s">
        <v>698</v>
      </c>
    </row>
    <row r="1809" s="50" customFormat="true" ht="14.25" hidden="false" customHeight="true" outlineLevel="0" collapsed="false">
      <c r="A1809" s="50" t="s">
        <v>651</v>
      </c>
      <c r="B1809" s="57" t="s">
        <v>651</v>
      </c>
      <c r="C1809" s="57" t="s">
        <v>1514</v>
      </c>
      <c r="D1809" s="58" t="n">
        <v>46072.6312847222</v>
      </c>
      <c r="E1809" s="58" t="n">
        <v>46072.6312847222</v>
      </c>
      <c r="F1809" s="58" t="n">
        <v>46072.6320601852</v>
      </c>
      <c r="G1809" s="59" t="n">
        <f aca="false">F1809-E1809</f>
        <v>0.000775462997685185</v>
      </c>
      <c r="H1809" s="57" t="s">
        <v>252</v>
      </c>
      <c r="I1809" s="57"/>
      <c r="J1809" s="57" t="s">
        <v>333</v>
      </c>
      <c r="K1809" s="57" t="s">
        <v>334</v>
      </c>
      <c r="L1809" s="57" t="s">
        <v>2754</v>
      </c>
      <c r="M1809" s="57" t="s">
        <v>336</v>
      </c>
      <c r="N1809" s="57" t="s">
        <v>381</v>
      </c>
      <c r="O1809" s="57" t="s">
        <v>2755</v>
      </c>
      <c r="P1809" s="57"/>
      <c r="Q1809" s="57" t="s">
        <v>698</v>
      </c>
    </row>
    <row r="1810" s="50" customFormat="true" ht="14.25" hidden="false" customHeight="true" outlineLevel="0" collapsed="false">
      <c r="A1810" s="50" t="s">
        <v>651</v>
      </c>
      <c r="B1810" s="57" t="s">
        <v>651</v>
      </c>
      <c r="C1810" s="57" t="s">
        <v>1514</v>
      </c>
      <c r="D1810" s="58" t="n">
        <v>46072.6272106482</v>
      </c>
      <c r="E1810" s="58" t="n">
        <v>46072.6272106482</v>
      </c>
      <c r="F1810" s="58" t="n">
        <v>46072.627974537</v>
      </c>
      <c r="G1810" s="59" t="n">
        <f aca="false">F1810-E1810</f>
        <v>0.000763888796296296</v>
      </c>
      <c r="H1810" s="57" t="s">
        <v>252</v>
      </c>
      <c r="I1810" s="57"/>
      <c r="J1810" s="57" t="s">
        <v>333</v>
      </c>
      <c r="K1810" s="57" t="s">
        <v>334</v>
      </c>
      <c r="L1810" s="57" t="s">
        <v>2754</v>
      </c>
      <c r="M1810" s="57" t="s">
        <v>336</v>
      </c>
      <c r="N1810" s="57" t="s">
        <v>381</v>
      </c>
      <c r="O1810" s="57" t="s">
        <v>2755</v>
      </c>
      <c r="P1810" s="57"/>
      <c r="Q1810" s="57" t="s">
        <v>698</v>
      </c>
    </row>
    <row r="1811" s="50" customFormat="true" ht="14.25" hidden="false" customHeight="true" outlineLevel="0" collapsed="false">
      <c r="A1811" s="50" t="s">
        <v>651</v>
      </c>
      <c r="B1811" s="57" t="s">
        <v>651</v>
      </c>
      <c r="C1811" s="57" t="s">
        <v>1514</v>
      </c>
      <c r="D1811" s="58" t="n">
        <v>46072.6234837963</v>
      </c>
      <c r="E1811" s="58" t="n">
        <v>46072.6234837963</v>
      </c>
      <c r="F1811" s="58" t="n">
        <v>46072.6242476852</v>
      </c>
      <c r="G1811" s="59" t="n">
        <f aca="false">F1811-E1811</f>
        <v>0.000763888888888889</v>
      </c>
      <c r="H1811" s="57" t="s">
        <v>252</v>
      </c>
      <c r="I1811" s="57"/>
      <c r="J1811" s="57" t="s">
        <v>333</v>
      </c>
      <c r="K1811" s="57" t="s">
        <v>334</v>
      </c>
      <c r="L1811" s="57" t="s">
        <v>2754</v>
      </c>
      <c r="M1811" s="57" t="s">
        <v>336</v>
      </c>
      <c r="N1811" s="57" t="s">
        <v>381</v>
      </c>
      <c r="O1811" s="57" t="s">
        <v>2755</v>
      </c>
      <c r="P1811" s="57"/>
      <c r="Q1811" s="57" t="s">
        <v>698</v>
      </c>
    </row>
    <row r="1812" s="50" customFormat="true" ht="14.25" hidden="false" customHeight="true" outlineLevel="0" collapsed="false">
      <c r="A1812" s="50" t="s">
        <v>651</v>
      </c>
      <c r="B1812" s="57" t="s">
        <v>651</v>
      </c>
      <c r="C1812" s="57" t="s">
        <v>1514</v>
      </c>
      <c r="D1812" s="58" t="n">
        <v>46072.6188657407</v>
      </c>
      <c r="E1812" s="58" t="n">
        <v>46072.6188657407</v>
      </c>
      <c r="F1812" s="58" t="n">
        <v>46072.6196527778</v>
      </c>
      <c r="G1812" s="59" t="n">
        <f aca="false">F1812-E1812</f>
        <v>0.000787037106481482</v>
      </c>
      <c r="H1812" s="57" t="s">
        <v>252</v>
      </c>
      <c r="I1812" s="57"/>
      <c r="J1812" s="57" t="s">
        <v>333</v>
      </c>
      <c r="K1812" s="57" t="s">
        <v>334</v>
      </c>
      <c r="L1812" s="57" t="s">
        <v>2754</v>
      </c>
      <c r="M1812" s="57" t="s">
        <v>336</v>
      </c>
      <c r="N1812" s="57" t="s">
        <v>381</v>
      </c>
      <c r="O1812" s="57" t="s">
        <v>2755</v>
      </c>
      <c r="P1812" s="57"/>
      <c r="Q1812" s="57" t="s">
        <v>698</v>
      </c>
    </row>
    <row r="1813" s="50" customFormat="true" ht="14.25" hidden="false" customHeight="true" outlineLevel="0" collapsed="false">
      <c r="A1813" s="50" t="s">
        <v>651</v>
      </c>
      <c r="B1813" s="57" t="s">
        <v>651</v>
      </c>
      <c r="C1813" s="57" t="s">
        <v>1514</v>
      </c>
      <c r="D1813" s="58" t="n">
        <v>46072.6135300926</v>
      </c>
      <c r="E1813" s="58" t="n">
        <v>46072.6135300926</v>
      </c>
      <c r="F1813" s="58" t="n">
        <v>46072.6142939815</v>
      </c>
      <c r="G1813" s="59" t="n">
        <f aca="false">F1813-E1813</f>
        <v>0.000763888888888889</v>
      </c>
      <c r="H1813" s="57" t="s">
        <v>252</v>
      </c>
      <c r="I1813" s="57"/>
      <c r="J1813" s="57" t="s">
        <v>333</v>
      </c>
      <c r="K1813" s="57" t="s">
        <v>334</v>
      </c>
      <c r="L1813" s="57" t="s">
        <v>2754</v>
      </c>
      <c r="M1813" s="57" t="s">
        <v>336</v>
      </c>
      <c r="N1813" s="57" t="s">
        <v>381</v>
      </c>
      <c r="O1813" s="57" t="s">
        <v>2755</v>
      </c>
      <c r="P1813" s="57"/>
      <c r="Q1813" s="57" t="s">
        <v>698</v>
      </c>
    </row>
    <row r="1814" s="50" customFormat="true" ht="14.25" hidden="false" customHeight="true" outlineLevel="0" collapsed="false">
      <c r="A1814" s="50" t="s">
        <v>651</v>
      </c>
      <c r="B1814" s="57" t="s">
        <v>651</v>
      </c>
      <c r="C1814" s="57" t="s">
        <v>1514</v>
      </c>
      <c r="D1814" s="58" t="n">
        <v>46072.6097800926</v>
      </c>
      <c r="E1814" s="58" t="n">
        <v>46072.6097800926</v>
      </c>
      <c r="F1814" s="58" t="n">
        <v>46072.6105902778</v>
      </c>
      <c r="G1814" s="59" t="n">
        <f aca="false">F1814-E1814</f>
        <v>0.000810185196759259</v>
      </c>
      <c r="H1814" s="57" t="s">
        <v>252</v>
      </c>
      <c r="I1814" s="57"/>
      <c r="J1814" s="57" t="s">
        <v>333</v>
      </c>
      <c r="K1814" s="57" t="s">
        <v>334</v>
      </c>
      <c r="L1814" s="57" t="s">
        <v>2754</v>
      </c>
      <c r="M1814" s="57" t="s">
        <v>336</v>
      </c>
      <c r="N1814" s="57" t="s">
        <v>381</v>
      </c>
      <c r="O1814" s="57" t="s">
        <v>2755</v>
      </c>
      <c r="P1814" s="57"/>
      <c r="Q1814" s="57" t="s">
        <v>698</v>
      </c>
    </row>
    <row r="1815" s="50" customFormat="true" ht="14.25" hidden="false" customHeight="true" outlineLevel="0" collapsed="false">
      <c r="A1815" s="50" t="s">
        <v>651</v>
      </c>
      <c r="B1815" s="57" t="s">
        <v>651</v>
      </c>
      <c r="C1815" s="57" t="s">
        <v>1514</v>
      </c>
      <c r="D1815" s="58" t="n">
        <v>46072.6057060185</v>
      </c>
      <c r="E1815" s="58" t="n">
        <v>46072.6057060185</v>
      </c>
      <c r="F1815" s="58" t="n">
        <v>46072.6064930556</v>
      </c>
      <c r="G1815" s="59" t="n">
        <f aca="false">F1815-E1815</f>
        <v>0.000787037106481482</v>
      </c>
      <c r="H1815" s="57" t="s">
        <v>252</v>
      </c>
      <c r="I1815" s="57"/>
      <c r="J1815" s="57" t="s">
        <v>333</v>
      </c>
      <c r="K1815" s="57" t="s">
        <v>334</v>
      </c>
      <c r="L1815" s="57" t="s">
        <v>2754</v>
      </c>
      <c r="M1815" s="57" t="s">
        <v>336</v>
      </c>
      <c r="N1815" s="57" t="s">
        <v>381</v>
      </c>
      <c r="O1815" s="57" t="s">
        <v>2755</v>
      </c>
      <c r="P1815" s="57"/>
      <c r="Q1815" s="57" t="s">
        <v>698</v>
      </c>
    </row>
    <row r="1816" s="50" customFormat="true" ht="14.25" hidden="false" customHeight="true" outlineLevel="0" collapsed="false">
      <c r="A1816" s="50" t="s">
        <v>651</v>
      </c>
      <c r="B1816" s="57" t="s">
        <v>651</v>
      </c>
      <c r="C1816" s="57" t="s">
        <v>1514</v>
      </c>
      <c r="D1816" s="58" t="n">
        <v>46072.6015625</v>
      </c>
      <c r="E1816" s="58" t="n">
        <v>46072.6015625</v>
      </c>
      <c r="F1816" s="58" t="n">
        <v>46072.602337963</v>
      </c>
      <c r="G1816" s="59" t="n">
        <f aca="false">F1816-E1816</f>
        <v>0.000775462997685185</v>
      </c>
      <c r="H1816" s="57" t="s">
        <v>252</v>
      </c>
      <c r="I1816" s="57"/>
      <c r="J1816" s="57" t="s">
        <v>333</v>
      </c>
      <c r="K1816" s="57" t="s">
        <v>334</v>
      </c>
      <c r="L1816" s="57" t="s">
        <v>2754</v>
      </c>
      <c r="M1816" s="57" t="s">
        <v>336</v>
      </c>
      <c r="N1816" s="57" t="s">
        <v>381</v>
      </c>
      <c r="O1816" s="57" t="s">
        <v>2755</v>
      </c>
      <c r="P1816" s="57"/>
      <c r="Q1816" s="57" t="s">
        <v>698</v>
      </c>
    </row>
    <row r="1817" s="50" customFormat="true" ht="14.25" hidden="false" customHeight="true" outlineLevel="0" collapsed="false">
      <c r="A1817" s="50" t="s">
        <v>651</v>
      </c>
      <c r="B1817" s="57" t="s">
        <v>651</v>
      </c>
      <c r="C1817" s="57" t="s">
        <v>1514</v>
      </c>
      <c r="D1817" s="58" t="n">
        <v>46072.5319560185</v>
      </c>
      <c r="E1817" s="58" t="n">
        <v>46072.5319560185</v>
      </c>
      <c r="F1817" s="58" t="n">
        <v>46072.5327314815</v>
      </c>
      <c r="G1817" s="59" t="n">
        <f aca="false">F1817-E1817</f>
        <v>0.000775462997685185</v>
      </c>
      <c r="H1817" s="57" t="s">
        <v>252</v>
      </c>
      <c r="I1817" s="57"/>
      <c r="J1817" s="57" t="s">
        <v>333</v>
      </c>
      <c r="K1817" s="57" t="s">
        <v>334</v>
      </c>
      <c r="L1817" s="57" t="s">
        <v>2754</v>
      </c>
      <c r="M1817" s="57" t="s">
        <v>336</v>
      </c>
      <c r="N1817" s="57" t="s">
        <v>381</v>
      </c>
      <c r="O1817" s="57" t="s">
        <v>2755</v>
      </c>
      <c r="P1817" s="57"/>
      <c r="Q1817" s="57" t="s">
        <v>698</v>
      </c>
    </row>
    <row r="1818" s="50" customFormat="true" ht="14.25" hidden="false" customHeight="true" outlineLevel="0" collapsed="false">
      <c r="A1818" s="50" t="s">
        <v>651</v>
      </c>
      <c r="B1818" s="57" t="s">
        <v>651</v>
      </c>
      <c r="C1818" s="57" t="s">
        <v>1514</v>
      </c>
      <c r="D1818" s="58" t="n">
        <v>46072.528587963</v>
      </c>
      <c r="E1818" s="58" t="n">
        <v>46072.528587963</v>
      </c>
      <c r="F1818" s="58" t="n">
        <v>46072.5293518519</v>
      </c>
      <c r="G1818" s="59" t="n">
        <f aca="false">F1818-E1818</f>
        <v>0.000763888888888889</v>
      </c>
      <c r="H1818" s="57" t="s">
        <v>252</v>
      </c>
      <c r="I1818" s="57"/>
      <c r="J1818" s="57" t="s">
        <v>333</v>
      </c>
      <c r="K1818" s="57" t="s">
        <v>334</v>
      </c>
      <c r="L1818" s="57" t="s">
        <v>2754</v>
      </c>
      <c r="M1818" s="57" t="s">
        <v>336</v>
      </c>
      <c r="N1818" s="57" t="s">
        <v>381</v>
      </c>
      <c r="O1818" s="57" t="s">
        <v>2755</v>
      </c>
      <c r="P1818" s="57"/>
      <c r="Q1818" s="57" t="s">
        <v>698</v>
      </c>
    </row>
    <row r="1819" s="50" customFormat="true" ht="14.25" hidden="false" customHeight="true" outlineLevel="0" collapsed="false">
      <c r="A1819" s="50" t="s">
        <v>651</v>
      </c>
      <c r="B1819" s="57" t="s">
        <v>651</v>
      </c>
      <c r="C1819" s="57" t="s">
        <v>1514</v>
      </c>
      <c r="D1819" s="58" t="n">
        <v>46072.5250578704</v>
      </c>
      <c r="E1819" s="58" t="n">
        <v>46072.5250578704</v>
      </c>
      <c r="F1819" s="58" t="n">
        <v>46072.5258217593</v>
      </c>
      <c r="G1819" s="59" t="n">
        <f aca="false">F1819-E1819</f>
        <v>0.000763888888888889</v>
      </c>
      <c r="H1819" s="57" t="s">
        <v>252</v>
      </c>
      <c r="I1819" s="57"/>
      <c r="J1819" s="57" t="s">
        <v>333</v>
      </c>
      <c r="K1819" s="57" t="s">
        <v>334</v>
      </c>
      <c r="L1819" s="57" t="s">
        <v>2754</v>
      </c>
      <c r="M1819" s="57" t="s">
        <v>336</v>
      </c>
      <c r="N1819" s="57" t="s">
        <v>381</v>
      </c>
      <c r="O1819" s="57" t="s">
        <v>2755</v>
      </c>
      <c r="P1819" s="57"/>
      <c r="Q1819" s="57" t="s">
        <v>698</v>
      </c>
    </row>
    <row r="1820" s="50" customFormat="true" ht="14.25" hidden="false" customHeight="true" outlineLevel="0" collapsed="false">
      <c r="A1820" s="50" t="s">
        <v>651</v>
      </c>
      <c r="B1820" s="57" t="s">
        <v>651</v>
      </c>
      <c r="C1820" s="57" t="s">
        <v>1514</v>
      </c>
      <c r="D1820" s="58" t="n">
        <v>46072.5210532407</v>
      </c>
      <c r="E1820" s="58" t="n">
        <v>46072.5210532407</v>
      </c>
      <c r="F1820" s="58" t="n">
        <v>46072.5218055556</v>
      </c>
      <c r="G1820" s="59" t="n">
        <f aca="false">F1820-E1820</f>
        <v>0.000752314907407407</v>
      </c>
      <c r="H1820" s="57" t="s">
        <v>252</v>
      </c>
      <c r="I1820" s="57"/>
      <c r="J1820" s="57" t="s">
        <v>333</v>
      </c>
      <c r="K1820" s="57" t="s">
        <v>334</v>
      </c>
      <c r="L1820" s="57" t="s">
        <v>2754</v>
      </c>
      <c r="M1820" s="57" t="s">
        <v>336</v>
      </c>
      <c r="N1820" s="57" t="s">
        <v>381</v>
      </c>
      <c r="O1820" s="57" t="s">
        <v>2755</v>
      </c>
      <c r="P1820" s="57"/>
      <c r="Q1820" s="57" t="s">
        <v>698</v>
      </c>
    </row>
    <row r="1821" s="50" customFormat="true" ht="14.25" hidden="false" customHeight="true" outlineLevel="0" collapsed="false">
      <c r="A1821" s="50" t="s">
        <v>651</v>
      </c>
      <c r="B1821" s="57" t="s">
        <v>651</v>
      </c>
      <c r="C1821" s="57" t="s">
        <v>1514</v>
      </c>
      <c r="D1821" s="58" t="n">
        <v>46072.5180902778</v>
      </c>
      <c r="E1821" s="58" t="n">
        <v>46072.5180902778</v>
      </c>
      <c r="F1821" s="58" t="n">
        <v>46072.5188657407</v>
      </c>
      <c r="G1821" s="59" t="n">
        <f aca="false">F1821-E1821</f>
        <v>0.000775462893518519</v>
      </c>
      <c r="H1821" s="57" t="s">
        <v>252</v>
      </c>
      <c r="I1821" s="57"/>
      <c r="J1821" s="57" t="s">
        <v>333</v>
      </c>
      <c r="K1821" s="57" t="s">
        <v>334</v>
      </c>
      <c r="L1821" s="57" t="s">
        <v>2754</v>
      </c>
      <c r="M1821" s="57" t="s">
        <v>336</v>
      </c>
      <c r="N1821" s="57" t="s">
        <v>381</v>
      </c>
      <c r="O1821" s="57" t="s">
        <v>2755</v>
      </c>
      <c r="P1821" s="57"/>
      <c r="Q1821" s="57" t="s">
        <v>698</v>
      </c>
    </row>
    <row r="1822" s="50" customFormat="true" ht="14.25" hidden="false" customHeight="true" outlineLevel="0" collapsed="false">
      <c r="A1822" s="50" t="s">
        <v>651</v>
      </c>
      <c r="B1822" s="57" t="s">
        <v>651</v>
      </c>
      <c r="C1822" s="57" t="s">
        <v>1514</v>
      </c>
      <c r="D1822" s="58" t="n">
        <v>46072.5152314815</v>
      </c>
      <c r="E1822" s="58" t="n">
        <v>46072.5152314815</v>
      </c>
      <c r="F1822" s="58" t="n">
        <v>46072.5160300926</v>
      </c>
      <c r="G1822" s="59" t="n">
        <f aca="false">F1822-E1822</f>
        <v>0.000798611111111111</v>
      </c>
      <c r="H1822" s="57" t="s">
        <v>252</v>
      </c>
      <c r="I1822" s="57"/>
      <c r="J1822" s="57" t="s">
        <v>333</v>
      </c>
      <c r="K1822" s="57" t="s">
        <v>334</v>
      </c>
      <c r="L1822" s="57" t="s">
        <v>2754</v>
      </c>
      <c r="M1822" s="57" t="s">
        <v>336</v>
      </c>
      <c r="N1822" s="57" t="s">
        <v>381</v>
      </c>
      <c r="O1822" s="57" t="s">
        <v>2755</v>
      </c>
      <c r="P1822" s="57"/>
      <c r="Q1822" s="57" t="s">
        <v>698</v>
      </c>
    </row>
    <row r="1823" s="50" customFormat="true" ht="14.25" hidden="false" customHeight="true" outlineLevel="0" collapsed="false">
      <c r="A1823" s="50" t="s">
        <v>651</v>
      </c>
      <c r="B1823" s="57" t="s">
        <v>651</v>
      </c>
      <c r="C1823" s="57" t="s">
        <v>1514</v>
      </c>
      <c r="D1823" s="58" t="n">
        <v>46072.5124768519</v>
      </c>
      <c r="E1823" s="58" t="n">
        <v>46072.5124768519</v>
      </c>
      <c r="F1823" s="58" t="n">
        <v>46072.513287037</v>
      </c>
      <c r="G1823" s="59" t="n">
        <f aca="false">F1823-E1823</f>
        <v>0.000810185092592593</v>
      </c>
      <c r="H1823" s="57" t="s">
        <v>252</v>
      </c>
      <c r="I1823" s="57"/>
      <c r="J1823" s="57" t="s">
        <v>333</v>
      </c>
      <c r="K1823" s="57" t="s">
        <v>334</v>
      </c>
      <c r="L1823" s="57" t="s">
        <v>2754</v>
      </c>
      <c r="M1823" s="57" t="s">
        <v>336</v>
      </c>
      <c r="N1823" s="57" t="s">
        <v>381</v>
      </c>
      <c r="O1823" s="57" t="s">
        <v>2755</v>
      </c>
      <c r="P1823" s="57"/>
      <c r="Q1823" s="57" t="s">
        <v>698</v>
      </c>
    </row>
    <row r="1824" s="50" customFormat="true" ht="14.25" hidden="false" customHeight="true" outlineLevel="0" collapsed="false">
      <c r="A1824" s="50" t="s">
        <v>651</v>
      </c>
      <c r="B1824" s="57" t="s">
        <v>651</v>
      </c>
      <c r="C1824" s="57" t="s">
        <v>1514</v>
      </c>
      <c r="D1824" s="58" t="n">
        <v>46072.5097916667</v>
      </c>
      <c r="E1824" s="58" t="n">
        <v>46072.5097916667</v>
      </c>
      <c r="F1824" s="58" t="n">
        <v>46072.5105671296</v>
      </c>
      <c r="G1824" s="59" t="n">
        <f aca="false">F1824-E1824</f>
        <v>0.000775462893518519</v>
      </c>
      <c r="H1824" s="57" t="s">
        <v>252</v>
      </c>
      <c r="I1824" s="57"/>
      <c r="J1824" s="57" t="s">
        <v>333</v>
      </c>
      <c r="K1824" s="57" t="s">
        <v>334</v>
      </c>
      <c r="L1824" s="57" t="s">
        <v>2754</v>
      </c>
      <c r="M1824" s="57" t="s">
        <v>336</v>
      </c>
      <c r="N1824" s="57" t="s">
        <v>381</v>
      </c>
      <c r="O1824" s="57" t="s">
        <v>2755</v>
      </c>
      <c r="P1824" s="57"/>
      <c r="Q1824" s="57" t="s">
        <v>698</v>
      </c>
    </row>
    <row r="1825" s="50" customFormat="true" ht="14.25" hidden="false" customHeight="true" outlineLevel="0" collapsed="false">
      <c r="A1825" s="50" t="s">
        <v>651</v>
      </c>
      <c r="B1825" s="57" t="s">
        <v>651</v>
      </c>
      <c r="C1825" s="57" t="s">
        <v>1514</v>
      </c>
      <c r="D1825" s="58" t="n">
        <v>46072.5072106481</v>
      </c>
      <c r="E1825" s="58" t="n">
        <v>46072.5072106481</v>
      </c>
      <c r="F1825" s="58" t="n">
        <v>46072.5079861111</v>
      </c>
      <c r="G1825" s="59" t="n">
        <f aca="false">F1825-E1825</f>
        <v>0.000775462997685185</v>
      </c>
      <c r="H1825" s="57" t="s">
        <v>252</v>
      </c>
      <c r="I1825" s="57"/>
      <c r="J1825" s="57" t="s">
        <v>333</v>
      </c>
      <c r="K1825" s="57" t="s">
        <v>334</v>
      </c>
      <c r="L1825" s="57" t="s">
        <v>2754</v>
      </c>
      <c r="M1825" s="57" t="s">
        <v>336</v>
      </c>
      <c r="N1825" s="57" t="s">
        <v>381</v>
      </c>
      <c r="O1825" s="57" t="s">
        <v>2755</v>
      </c>
      <c r="P1825" s="57"/>
      <c r="Q1825" s="57" t="s">
        <v>698</v>
      </c>
    </row>
    <row r="1826" s="50" customFormat="true" ht="14.25" hidden="false" customHeight="true" outlineLevel="0" collapsed="false">
      <c r="A1826" s="50" t="s">
        <v>651</v>
      </c>
      <c r="B1826" s="57" t="s">
        <v>651</v>
      </c>
      <c r="C1826" s="57" t="s">
        <v>1514</v>
      </c>
      <c r="D1826" s="58" t="n">
        <v>46072.5047337963</v>
      </c>
      <c r="E1826" s="58" t="n">
        <v>46072.5047337963</v>
      </c>
      <c r="F1826" s="58" t="n">
        <v>46072.5055208333</v>
      </c>
      <c r="G1826" s="59" t="n">
        <f aca="false">F1826-E1826</f>
        <v>0.000787037002314815</v>
      </c>
      <c r="H1826" s="57" t="s">
        <v>252</v>
      </c>
      <c r="I1826" s="57"/>
      <c r="J1826" s="57" t="s">
        <v>333</v>
      </c>
      <c r="K1826" s="57" t="s">
        <v>334</v>
      </c>
      <c r="L1826" s="57" t="s">
        <v>2754</v>
      </c>
      <c r="M1826" s="57" t="s">
        <v>336</v>
      </c>
      <c r="N1826" s="57" t="s">
        <v>381</v>
      </c>
      <c r="O1826" s="57" t="s">
        <v>2755</v>
      </c>
      <c r="P1826" s="57"/>
      <c r="Q1826" s="57" t="s">
        <v>698</v>
      </c>
    </row>
    <row r="1827" s="50" customFormat="true" ht="14.25" hidden="false" customHeight="true" outlineLevel="0" collapsed="false">
      <c r="A1827" s="50" t="s">
        <v>651</v>
      </c>
      <c r="B1827" s="57" t="s">
        <v>651</v>
      </c>
      <c r="C1827" s="57" t="s">
        <v>1514</v>
      </c>
      <c r="D1827" s="58" t="n">
        <v>46072.5018518519</v>
      </c>
      <c r="E1827" s="58" t="n">
        <v>46072.5018518519</v>
      </c>
      <c r="F1827" s="58" t="n">
        <v>46072.5026273148</v>
      </c>
      <c r="G1827" s="59" t="n">
        <f aca="false">F1827-E1827</f>
        <v>0.000775462905092593</v>
      </c>
      <c r="H1827" s="57" t="s">
        <v>252</v>
      </c>
      <c r="I1827" s="57"/>
      <c r="J1827" s="57" t="s">
        <v>333</v>
      </c>
      <c r="K1827" s="57" t="s">
        <v>334</v>
      </c>
      <c r="L1827" s="57" t="s">
        <v>2754</v>
      </c>
      <c r="M1827" s="57" t="s">
        <v>336</v>
      </c>
      <c r="N1827" s="57" t="s">
        <v>381</v>
      </c>
      <c r="O1827" s="57" t="s">
        <v>2755</v>
      </c>
      <c r="P1827" s="57"/>
      <c r="Q1827" s="57" t="s">
        <v>698</v>
      </c>
    </row>
    <row r="1828" s="50" customFormat="true" ht="14.25" hidden="false" customHeight="true" outlineLevel="0" collapsed="false">
      <c r="A1828" s="50" t="s">
        <v>651</v>
      </c>
      <c r="B1828" s="57" t="s">
        <v>651</v>
      </c>
      <c r="C1828" s="57" t="s">
        <v>1514</v>
      </c>
      <c r="D1828" s="58" t="n">
        <v>46072.4988657407</v>
      </c>
      <c r="E1828" s="58" t="n">
        <v>46072.4988657407</v>
      </c>
      <c r="F1828" s="58" t="n">
        <v>46072.4996412037</v>
      </c>
      <c r="G1828" s="59" t="n">
        <f aca="false">F1828-E1828</f>
        <v>0.000775462997685185</v>
      </c>
      <c r="H1828" s="57" t="s">
        <v>252</v>
      </c>
      <c r="I1828" s="57"/>
      <c r="J1828" s="57" t="s">
        <v>333</v>
      </c>
      <c r="K1828" s="57" t="s">
        <v>334</v>
      </c>
      <c r="L1828" s="57" t="s">
        <v>2754</v>
      </c>
      <c r="M1828" s="57" t="s">
        <v>336</v>
      </c>
      <c r="N1828" s="57" t="s">
        <v>381</v>
      </c>
      <c r="O1828" s="57" t="s">
        <v>2755</v>
      </c>
      <c r="P1828" s="57"/>
      <c r="Q1828" s="57" t="s">
        <v>698</v>
      </c>
    </row>
    <row r="1829" s="50" customFormat="true" ht="14.25" hidden="false" customHeight="true" outlineLevel="0" collapsed="false">
      <c r="A1829" s="50" t="s">
        <v>651</v>
      </c>
      <c r="B1829" s="57" t="s">
        <v>651</v>
      </c>
      <c r="C1829" s="57" t="s">
        <v>1514</v>
      </c>
      <c r="D1829" s="58" t="n">
        <v>46072.4959490741</v>
      </c>
      <c r="E1829" s="58" t="n">
        <v>46072.4959490741</v>
      </c>
      <c r="F1829" s="58" t="n">
        <v>46072.496724537</v>
      </c>
      <c r="G1829" s="59" t="n">
        <f aca="false">F1829-E1829</f>
        <v>0.000775462893518519</v>
      </c>
      <c r="H1829" s="57" t="s">
        <v>252</v>
      </c>
      <c r="I1829" s="57"/>
      <c r="J1829" s="57" t="s">
        <v>333</v>
      </c>
      <c r="K1829" s="57" t="s">
        <v>334</v>
      </c>
      <c r="L1829" s="57" t="s">
        <v>2754</v>
      </c>
      <c r="M1829" s="57" t="s">
        <v>336</v>
      </c>
      <c r="N1829" s="57" t="s">
        <v>381</v>
      </c>
      <c r="O1829" s="57" t="s">
        <v>2755</v>
      </c>
      <c r="P1829" s="57"/>
      <c r="Q1829" s="57" t="s">
        <v>698</v>
      </c>
    </row>
    <row r="1830" s="50" customFormat="true" ht="14.25" hidden="false" customHeight="true" outlineLevel="0" collapsed="false">
      <c r="A1830" s="50" t="s">
        <v>651</v>
      </c>
      <c r="B1830" s="57" t="s">
        <v>651</v>
      </c>
      <c r="C1830" s="57" t="s">
        <v>1514</v>
      </c>
      <c r="D1830" s="58" t="n">
        <v>46072.4924074074</v>
      </c>
      <c r="E1830" s="58" t="n">
        <v>46072.4924074074</v>
      </c>
      <c r="F1830" s="58" t="n">
        <v>46072.4931828704</v>
      </c>
      <c r="G1830" s="59" t="n">
        <f aca="false">F1830-E1830</f>
        <v>0.000775462997685185</v>
      </c>
      <c r="H1830" s="57" t="s">
        <v>252</v>
      </c>
      <c r="I1830" s="57"/>
      <c r="J1830" s="57" t="s">
        <v>333</v>
      </c>
      <c r="K1830" s="57" t="s">
        <v>334</v>
      </c>
      <c r="L1830" s="57" t="s">
        <v>2754</v>
      </c>
      <c r="M1830" s="57" t="s">
        <v>336</v>
      </c>
      <c r="N1830" s="57" t="s">
        <v>381</v>
      </c>
      <c r="O1830" s="57" t="s">
        <v>2755</v>
      </c>
      <c r="P1830" s="57"/>
      <c r="Q1830" s="57" t="s">
        <v>698</v>
      </c>
    </row>
    <row r="1831" s="50" customFormat="true" ht="14.25" hidden="false" customHeight="true" outlineLevel="0" collapsed="false">
      <c r="A1831" s="50" t="s">
        <v>651</v>
      </c>
      <c r="B1831" s="57" t="s">
        <v>651</v>
      </c>
      <c r="C1831" s="57" t="s">
        <v>1514</v>
      </c>
      <c r="D1831" s="58" t="n">
        <v>46072.487650463</v>
      </c>
      <c r="E1831" s="58" t="n">
        <v>46072.487650463</v>
      </c>
      <c r="F1831" s="58" t="n">
        <v>46072.4884259259</v>
      </c>
      <c r="G1831" s="59" t="n">
        <f aca="false">F1831-E1831</f>
        <v>0.000775462893518519</v>
      </c>
      <c r="H1831" s="57" t="s">
        <v>252</v>
      </c>
      <c r="I1831" s="57"/>
      <c r="J1831" s="57" t="s">
        <v>333</v>
      </c>
      <c r="K1831" s="57" t="s">
        <v>334</v>
      </c>
      <c r="L1831" s="57" t="s">
        <v>2754</v>
      </c>
      <c r="M1831" s="57" t="s">
        <v>336</v>
      </c>
      <c r="N1831" s="57" t="s">
        <v>381</v>
      </c>
      <c r="O1831" s="57" t="s">
        <v>2755</v>
      </c>
      <c r="P1831" s="57"/>
      <c r="Q1831" s="57" t="s">
        <v>698</v>
      </c>
    </row>
    <row r="1832" s="50" customFormat="true" ht="14.25" hidden="false" customHeight="true" outlineLevel="0" collapsed="false">
      <c r="A1832" s="50" t="s">
        <v>651</v>
      </c>
      <c r="B1832" s="57" t="s">
        <v>651</v>
      </c>
      <c r="C1832" s="57" t="s">
        <v>1514</v>
      </c>
      <c r="D1832" s="58" t="n">
        <v>46072.4841435185</v>
      </c>
      <c r="E1832" s="58" t="n">
        <v>46072.4841435185</v>
      </c>
      <c r="F1832" s="58" t="n">
        <v>46072.4849074074</v>
      </c>
      <c r="G1832" s="59" t="n">
        <f aca="false">F1832-E1832</f>
        <v>0.000763888888888889</v>
      </c>
      <c r="H1832" s="57" t="s">
        <v>252</v>
      </c>
      <c r="I1832" s="57"/>
      <c r="J1832" s="57" t="s">
        <v>333</v>
      </c>
      <c r="K1832" s="57" t="s">
        <v>334</v>
      </c>
      <c r="L1832" s="57" t="s">
        <v>2754</v>
      </c>
      <c r="M1832" s="57" t="s">
        <v>336</v>
      </c>
      <c r="N1832" s="57" t="s">
        <v>381</v>
      </c>
      <c r="O1832" s="57" t="s">
        <v>2755</v>
      </c>
      <c r="P1832" s="57"/>
      <c r="Q1832" s="57" t="s">
        <v>698</v>
      </c>
    </row>
    <row r="1833" s="50" customFormat="true" ht="14.25" hidden="false" customHeight="true" outlineLevel="0" collapsed="false">
      <c r="A1833" s="50" t="s">
        <v>651</v>
      </c>
      <c r="B1833" s="57" t="s">
        <v>651</v>
      </c>
      <c r="C1833" s="57" t="s">
        <v>1514</v>
      </c>
      <c r="D1833" s="58" t="n">
        <v>46072.4401967593</v>
      </c>
      <c r="E1833" s="58" t="n">
        <v>46072.4401967593</v>
      </c>
      <c r="F1833" s="58" t="n">
        <v>46072.4409837963</v>
      </c>
      <c r="G1833" s="59" t="n">
        <f aca="false">F1833-E1833</f>
        <v>0.000787037002314815</v>
      </c>
      <c r="H1833" s="57" t="s">
        <v>252</v>
      </c>
      <c r="I1833" s="57"/>
      <c r="J1833" s="57" t="s">
        <v>333</v>
      </c>
      <c r="K1833" s="57" t="s">
        <v>334</v>
      </c>
      <c r="L1833" s="57" t="s">
        <v>2754</v>
      </c>
      <c r="M1833" s="57" t="s">
        <v>336</v>
      </c>
      <c r="N1833" s="57" t="s">
        <v>381</v>
      </c>
      <c r="O1833" s="57" t="s">
        <v>2755</v>
      </c>
      <c r="P1833" s="57"/>
      <c r="Q1833" s="57" t="s">
        <v>698</v>
      </c>
    </row>
    <row r="1834" s="50" customFormat="true" ht="14.25" hidden="false" customHeight="true" outlineLevel="0" collapsed="false">
      <c r="A1834" s="50" t="s">
        <v>651</v>
      </c>
      <c r="B1834" s="57" t="s">
        <v>651</v>
      </c>
      <c r="C1834" s="57" t="s">
        <v>1514</v>
      </c>
      <c r="D1834" s="58" t="n">
        <v>46072.4364814815</v>
      </c>
      <c r="E1834" s="58" t="n">
        <v>46072.4364814815</v>
      </c>
      <c r="F1834" s="58" t="n">
        <v>46072.4373032407</v>
      </c>
      <c r="G1834" s="59" t="n">
        <f aca="false">F1834-E1834</f>
        <v>0.000821759201388889</v>
      </c>
      <c r="H1834" s="57" t="s">
        <v>252</v>
      </c>
      <c r="I1834" s="57"/>
      <c r="J1834" s="57" t="s">
        <v>333</v>
      </c>
      <c r="K1834" s="57" t="s">
        <v>334</v>
      </c>
      <c r="L1834" s="57" t="s">
        <v>2754</v>
      </c>
      <c r="M1834" s="57" t="s">
        <v>336</v>
      </c>
      <c r="N1834" s="57" t="s">
        <v>381</v>
      </c>
      <c r="O1834" s="57" t="s">
        <v>2755</v>
      </c>
      <c r="P1834" s="57"/>
      <c r="Q1834" s="57" t="s">
        <v>698</v>
      </c>
    </row>
    <row r="1835" s="50" customFormat="true" ht="14.25" hidden="false" customHeight="true" outlineLevel="0" collapsed="false">
      <c r="A1835" s="50" t="s">
        <v>651</v>
      </c>
      <c r="B1835" s="57" t="s">
        <v>651</v>
      </c>
      <c r="C1835" s="57" t="s">
        <v>1514</v>
      </c>
      <c r="D1835" s="58" t="n">
        <v>46072.4325925926</v>
      </c>
      <c r="E1835" s="58" t="n">
        <v>46072.4325925926</v>
      </c>
      <c r="F1835" s="58" t="n">
        <v>46072.4333912037</v>
      </c>
      <c r="G1835" s="59" t="n">
        <f aca="false">F1835-E1835</f>
        <v>0.000798611099537037</v>
      </c>
      <c r="H1835" s="57" t="s">
        <v>252</v>
      </c>
      <c r="I1835" s="57"/>
      <c r="J1835" s="57" t="s">
        <v>333</v>
      </c>
      <c r="K1835" s="57" t="s">
        <v>334</v>
      </c>
      <c r="L1835" s="57" t="s">
        <v>2754</v>
      </c>
      <c r="M1835" s="57" t="s">
        <v>336</v>
      </c>
      <c r="N1835" s="57" t="s">
        <v>381</v>
      </c>
      <c r="O1835" s="57" t="s">
        <v>2755</v>
      </c>
      <c r="P1835" s="57"/>
      <c r="Q1835" s="57" t="s">
        <v>698</v>
      </c>
    </row>
    <row r="1836" s="50" customFormat="true" ht="14.25" hidden="false" customHeight="true" outlineLevel="0" collapsed="false">
      <c r="A1836" s="50" t="s">
        <v>651</v>
      </c>
      <c r="B1836" s="57" t="s">
        <v>651</v>
      </c>
      <c r="C1836" s="57" t="s">
        <v>1514</v>
      </c>
      <c r="D1836" s="58" t="n">
        <v>46072.4266087963</v>
      </c>
      <c r="E1836" s="58" t="n">
        <v>46072.4266087963</v>
      </c>
      <c r="F1836" s="58" t="n">
        <v>46072.4273958333</v>
      </c>
      <c r="G1836" s="59" t="n">
        <f aca="false">F1836-E1836</f>
        <v>0.000787037002314815</v>
      </c>
      <c r="H1836" s="57" t="s">
        <v>252</v>
      </c>
      <c r="I1836" s="57"/>
      <c r="J1836" s="57" t="s">
        <v>333</v>
      </c>
      <c r="K1836" s="57" t="s">
        <v>334</v>
      </c>
      <c r="L1836" s="57" t="s">
        <v>2754</v>
      </c>
      <c r="M1836" s="57" t="s">
        <v>336</v>
      </c>
      <c r="N1836" s="57" t="s">
        <v>381</v>
      </c>
      <c r="O1836" s="57" t="s">
        <v>2755</v>
      </c>
      <c r="P1836" s="57"/>
      <c r="Q1836" s="57" t="s">
        <v>698</v>
      </c>
    </row>
    <row r="1837" s="50" customFormat="true" ht="14.25" hidden="false" customHeight="true" outlineLevel="0" collapsed="false">
      <c r="A1837" s="50" t="s">
        <v>651</v>
      </c>
      <c r="B1837" s="57" t="s">
        <v>651</v>
      </c>
      <c r="C1837" s="57" t="s">
        <v>1514</v>
      </c>
      <c r="D1837" s="58" t="n">
        <v>46072.4222916667</v>
      </c>
      <c r="E1837" s="58" t="n">
        <v>46072.4222916667</v>
      </c>
      <c r="F1837" s="58" t="n">
        <v>46072.4230902778</v>
      </c>
      <c r="G1837" s="59" t="n">
        <f aca="false">F1837-E1837</f>
        <v>0.000798611111111111</v>
      </c>
      <c r="H1837" s="57" t="s">
        <v>252</v>
      </c>
      <c r="I1837" s="57"/>
      <c r="J1837" s="57" t="s">
        <v>333</v>
      </c>
      <c r="K1837" s="57" t="s">
        <v>334</v>
      </c>
      <c r="L1837" s="57" t="s">
        <v>2754</v>
      </c>
      <c r="M1837" s="57" t="s">
        <v>336</v>
      </c>
      <c r="N1837" s="57" t="s">
        <v>381</v>
      </c>
      <c r="O1837" s="57" t="s">
        <v>2755</v>
      </c>
      <c r="P1837" s="57"/>
      <c r="Q1837" s="57" t="s">
        <v>698</v>
      </c>
    </row>
    <row r="1838" s="50" customFormat="true" ht="14.25" hidden="false" customHeight="true" outlineLevel="0" collapsed="false">
      <c r="A1838" s="50" t="s">
        <v>651</v>
      </c>
      <c r="B1838" s="57" t="s">
        <v>651</v>
      </c>
      <c r="C1838" s="57" t="s">
        <v>1514</v>
      </c>
      <c r="D1838" s="58" t="n">
        <v>46072.4181365741</v>
      </c>
      <c r="E1838" s="58" t="n">
        <v>46072.4181365741</v>
      </c>
      <c r="F1838" s="58" t="n">
        <v>46072.4189467593</v>
      </c>
      <c r="G1838" s="59" t="n">
        <f aca="false">F1838-E1838</f>
        <v>0.000810185196759259</v>
      </c>
      <c r="H1838" s="57" t="s">
        <v>252</v>
      </c>
      <c r="I1838" s="57"/>
      <c r="J1838" s="57" t="s">
        <v>333</v>
      </c>
      <c r="K1838" s="57" t="s">
        <v>334</v>
      </c>
      <c r="L1838" s="57" t="s">
        <v>2754</v>
      </c>
      <c r="M1838" s="57" t="s">
        <v>336</v>
      </c>
      <c r="N1838" s="57" t="s">
        <v>381</v>
      </c>
      <c r="O1838" s="57" t="s">
        <v>2755</v>
      </c>
      <c r="P1838" s="57"/>
      <c r="Q1838" s="57" t="s">
        <v>698</v>
      </c>
    </row>
    <row r="1839" s="50" customFormat="true" ht="14.25" hidden="false" customHeight="true" outlineLevel="0" collapsed="false">
      <c r="A1839" s="50" t="s">
        <v>651</v>
      </c>
      <c r="B1839" s="57" t="s">
        <v>651</v>
      </c>
      <c r="C1839" s="57" t="s">
        <v>1514</v>
      </c>
      <c r="D1839" s="58" t="n">
        <v>46072.4135648148</v>
      </c>
      <c r="E1839" s="58" t="n">
        <v>46072.4135648148</v>
      </c>
      <c r="F1839" s="58" t="n">
        <v>46072.4143402778</v>
      </c>
      <c r="G1839" s="59" t="n">
        <f aca="false">F1839-E1839</f>
        <v>0.000775462997685185</v>
      </c>
      <c r="H1839" s="57" t="s">
        <v>252</v>
      </c>
      <c r="I1839" s="57"/>
      <c r="J1839" s="57" t="s">
        <v>333</v>
      </c>
      <c r="K1839" s="57" t="s">
        <v>334</v>
      </c>
      <c r="L1839" s="57" t="s">
        <v>2754</v>
      </c>
      <c r="M1839" s="57" t="s">
        <v>336</v>
      </c>
      <c r="N1839" s="57" t="s">
        <v>381</v>
      </c>
      <c r="O1839" s="57" t="s">
        <v>2755</v>
      </c>
      <c r="P1839" s="57"/>
      <c r="Q1839" s="57" t="s">
        <v>698</v>
      </c>
    </row>
    <row r="1840" s="50" customFormat="true" ht="14.25" hidden="false" customHeight="true" outlineLevel="0" collapsed="false">
      <c r="A1840" s="50" t="s">
        <v>651</v>
      </c>
      <c r="B1840" s="57" t="s">
        <v>651</v>
      </c>
      <c r="C1840" s="57" t="s">
        <v>1514</v>
      </c>
      <c r="D1840" s="58" t="n">
        <v>46071.6511226852</v>
      </c>
      <c r="E1840" s="58" t="n">
        <v>46071.6511226852</v>
      </c>
      <c r="F1840" s="58" t="n">
        <v>46071.6518981482</v>
      </c>
      <c r="G1840" s="59" t="n">
        <f aca="false">F1840-E1840</f>
        <v>0.000775462997685185</v>
      </c>
      <c r="H1840" s="57" t="s">
        <v>252</v>
      </c>
      <c r="I1840" s="57"/>
      <c r="J1840" s="57" t="s">
        <v>333</v>
      </c>
      <c r="K1840" s="57" t="s">
        <v>334</v>
      </c>
      <c r="L1840" s="57" t="s">
        <v>2754</v>
      </c>
      <c r="M1840" s="57" t="s">
        <v>336</v>
      </c>
      <c r="N1840" s="57" t="s">
        <v>381</v>
      </c>
      <c r="O1840" s="57" t="s">
        <v>2755</v>
      </c>
      <c r="P1840" s="57"/>
      <c r="Q1840" s="57" t="s">
        <v>698</v>
      </c>
    </row>
    <row r="1841" s="50" customFormat="true" ht="14.25" hidden="false" customHeight="true" outlineLevel="0" collapsed="false">
      <c r="A1841" s="50" t="s">
        <v>651</v>
      </c>
      <c r="B1841" s="57" t="s">
        <v>651</v>
      </c>
      <c r="C1841" s="57" t="s">
        <v>1514</v>
      </c>
      <c r="D1841" s="58" t="n">
        <v>46071.5548726852</v>
      </c>
      <c r="E1841" s="58" t="n">
        <v>46071.5548726852</v>
      </c>
      <c r="F1841" s="58" t="n">
        <v>46071.5556481482</v>
      </c>
      <c r="G1841" s="59" t="n">
        <f aca="false">F1841-E1841</f>
        <v>0.000775462997685185</v>
      </c>
      <c r="H1841" s="57" t="s">
        <v>252</v>
      </c>
      <c r="I1841" s="57"/>
      <c r="J1841" s="57" t="s">
        <v>333</v>
      </c>
      <c r="K1841" s="57" t="s">
        <v>334</v>
      </c>
      <c r="L1841" s="57" t="s">
        <v>2754</v>
      </c>
      <c r="M1841" s="57" t="s">
        <v>336</v>
      </c>
      <c r="N1841" s="57" t="s">
        <v>381</v>
      </c>
      <c r="O1841" s="57" t="s">
        <v>2755</v>
      </c>
      <c r="P1841" s="57"/>
      <c r="Q1841" s="57" t="s">
        <v>698</v>
      </c>
    </row>
    <row r="1842" s="50" customFormat="true" ht="14.25" hidden="false" customHeight="true" outlineLevel="0" collapsed="false">
      <c r="A1842" s="50" t="s">
        <v>651</v>
      </c>
      <c r="B1842" s="57" t="s">
        <v>651</v>
      </c>
      <c r="C1842" s="57" t="s">
        <v>1514</v>
      </c>
      <c r="D1842" s="58" t="n">
        <v>46071.5518055556</v>
      </c>
      <c r="E1842" s="58" t="n">
        <v>46071.5518055556</v>
      </c>
      <c r="F1842" s="58" t="n">
        <v>46071.5525694444</v>
      </c>
      <c r="G1842" s="59" t="n">
        <f aca="false">F1842-E1842</f>
        <v>0.000763888796296296</v>
      </c>
      <c r="H1842" s="57" t="s">
        <v>252</v>
      </c>
      <c r="I1842" s="57"/>
      <c r="J1842" s="57" t="s">
        <v>333</v>
      </c>
      <c r="K1842" s="57" t="s">
        <v>334</v>
      </c>
      <c r="L1842" s="57" t="s">
        <v>2754</v>
      </c>
      <c r="M1842" s="57" t="s">
        <v>336</v>
      </c>
      <c r="N1842" s="57" t="s">
        <v>381</v>
      </c>
      <c r="O1842" s="57" t="s">
        <v>2755</v>
      </c>
      <c r="P1842" s="57"/>
      <c r="Q1842" s="57" t="s">
        <v>698</v>
      </c>
    </row>
    <row r="1843" s="50" customFormat="true" ht="14.25" hidden="false" customHeight="true" outlineLevel="0" collapsed="false">
      <c r="A1843" s="50" t="s">
        <v>651</v>
      </c>
      <c r="B1843" s="57" t="s">
        <v>651</v>
      </c>
      <c r="C1843" s="57" t="s">
        <v>1514</v>
      </c>
      <c r="D1843" s="58" t="n">
        <v>46071.5484490741</v>
      </c>
      <c r="E1843" s="58" t="n">
        <v>46071.5484490741</v>
      </c>
      <c r="F1843" s="58" t="n">
        <v>46071.549224537</v>
      </c>
      <c r="G1843" s="59" t="n">
        <f aca="false">F1843-E1843</f>
        <v>0.000775462893518519</v>
      </c>
      <c r="H1843" s="57" t="s">
        <v>252</v>
      </c>
      <c r="I1843" s="57"/>
      <c r="J1843" s="57" t="s">
        <v>333</v>
      </c>
      <c r="K1843" s="57" t="s">
        <v>334</v>
      </c>
      <c r="L1843" s="57" t="s">
        <v>2754</v>
      </c>
      <c r="M1843" s="57" t="s">
        <v>336</v>
      </c>
      <c r="N1843" s="57" t="s">
        <v>381</v>
      </c>
      <c r="O1843" s="57" t="s">
        <v>2755</v>
      </c>
      <c r="P1843" s="57"/>
      <c r="Q1843" s="57" t="s">
        <v>698</v>
      </c>
    </row>
    <row r="1844" s="50" customFormat="true" ht="14.25" hidden="false" customHeight="true" outlineLevel="0" collapsed="false">
      <c r="A1844" s="50" t="s">
        <v>651</v>
      </c>
      <c r="B1844" s="57" t="s">
        <v>651</v>
      </c>
      <c r="C1844" s="57" t="s">
        <v>1514</v>
      </c>
      <c r="D1844" s="58" t="n">
        <v>46071.4767361111</v>
      </c>
      <c r="E1844" s="58" t="n">
        <v>46071.4767361111</v>
      </c>
      <c r="F1844" s="58" t="n">
        <v>46071.4775115741</v>
      </c>
      <c r="G1844" s="59" t="n">
        <f aca="false">F1844-E1844</f>
        <v>0.000775462997685185</v>
      </c>
      <c r="H1844" s="57" t="s">
        <v>252</v>
      </c>
      <c r="I1844" s="57"/>
      <c r="J1844" s="57" t="s">
        <v>333</v>
      </c>
      <c r="K1844" s="57" t="s">
        <v>334</v>
      </c>
      <c r="L1844" s="57" t="s">
        <v>2754</v>
      </c>
      <c r="M1844" s="57" t="s">
        <v>336</v>
      </c>
      <c r="N1844" s="57" t="s">
        <v>381</v>
      </c>
      <c r="O1844" s="57" t="s">
        <v>2755</v>
      </c>
      <c r="P1844" s="57"/>
      <c r="Q1844" s="57" t="s">
        <v>698</v>
      </c>
    </row>
    <row r="1845" s="50" customFormat="true" ht="14.25" hidden="false" customHeight="true" outlineLevel="0" collapsed="false">
      <c r="A1845" s="50" t="s">
        <v>651</v>
      </c>
      <c r="B1845" s="57" t="s">
        <v>651</v>
      </c>
      <c r="C1845" s="57" t="s">
        <v>1514</v>
      </c>
      <c r="D1845" s="58" t="n">
        <v>46071.473275463</v>
      </c>
      <c r="E1845" s="58" t="n">
        <v>46071.473275463</v>
      </c>
      <c r="F1845" s="58" t="n">
        <v>46071.4740509259</v>
      </c>
      <c r="G1845" s="59" t="n">
        <f aca="false">F1845-E1845</f>
        <v>0.000775462893518519</v>
      </c>
      <c r="H1845" s="57" t="s">
        <v>252</v>
      </c>
      <c r="I1845" s="57"/>
      <c r="J1845" s="57" t="s">
        <v>333</v>
      </c>
      <c r="K1845" s="57" t="s">
        <v>334</v>
      </c>
      <c r="L1845" s="57" t="s">
        <v>2754</v>
      </c>
      <c r="M1845" s="57" t="s">
        <v>336</v>
      </c>
      <c r="N1845" s="57" t="s">
        <v>381</v>
      </c>
      <c r="O1845" s="57" t="s">
        <v>2755</v>
      </c>
      <c r="P1845" s="57"/>
      <c r="Q1845" s="57" t="s">
        <v>698</v>
      </c>
    </row>
    <row r="1846" s="50" customFormat="true" ht="14.25" hidden="false" customHeight="true" outlineLevel="0" collapsed="false">
      <c r="A1846" s="50" t="s">
        <v>651</v>
      </c>
      <c r="B1846" s="57" t="s">
        <v>651</v>
      </c>
      <c r="C1846" s="57" t="s">
        <v>1514</v>
      </c>
      <c r="D1846" s="58" t="n">
        <v>46071.469837963</v>
      </c>
      <c r="E1846" s="58" t="n">
        <v>46071.469837963</v>
      </c>
      <c r="F1846" s="58" t="n">
        <v>46071.4706134259</v>
      </c>
      <c r="G1846" s="59" t="n">
        <f aca="false">F1846-E1846</f>
        <v>0.000775462905092593</v>
      </c>
      <c r="H1846" s="57" t="s">
        <v>252</v>
      </c>
      <c r="I1846" s="57"/>
      <c r="J1846" s="57" t="s">
        <v>333</v>
      </c>
      <c r="K1846" s="57" t="s">
        <v>334</v>
      </c>
      <c r="L1846" s="57" t="s">
        <v>2754</v>
      </c>
      <c r="M1846" s="57" t="s">
        <v>336</v>
      </c>
      <c r="N1846" s="57" t="s">
        <v>381</v>
      </c>
      <c r="O1846" s="57" t="s">
        <v>2755</v>
      </c>
      <c r="P1846" s="57"/>
      <c r="Q1846" s="57" t="s">
        <v>698</v>
      </c>
    </row>
    <row r="1847" s="50" customFormat="true" ht="14.25" hidden="false" customHeight="true" outlineLevel="0" collapsed="false">
      <c r="A1847" s="50" t="s">
        <v>651</v>
      </c>
      <c r="B1847" s="57" t="s">
        <v>651</v>
      </c>
      <c r="C1847" s="57" t="s">
        <v>1514</v>
      </c>
      <c r="D1847" s="58" t="n">
        <v>46071.4660763889</v>
      </c>
      <c r="E1847" s="58" t="n">
        <v>46071.4660763889</v>
      </c>
      <c r="F1847" s="58" t="n">
        <v>46071.4668634259</v>
      </c>
      <c r="G1847" s="59" t="n">
        <f aca="false">F1847-E1847</f>
        <v>0.000787037002314815</v>
      </c>
      <c r="H1847" s="57" t="s">
        <v>252</v>
      </c>
      <c r="I1847" s="57"/>
      <c r="J1847" s="57" t="s">
        <v>333</v>
      </c>
      <c r="K1847" s="57" t="s">
        <v>334</v>
      </c>
      <c r="L1847" s="57" t="s">
        <v>2754</v>
      </c>
      <c r="M1847" s="57" t="s">
        <v>336</v>
      </c>
      <c r="N1847" s="57" t="s">
        <v>381</v>
      </c>
      <c r="O1847" s="57" t="s">
        <v>2755</v>
      </c>
      <c r="P1847" s="57"/>
      <c r="Q1847" s="57" t="s">
        <v>698</v>
      </c>
    </row>
    <row r="1848" s="50" customFormat="true" ht="14.25" hidden="false" customHeight="true" outlineLevel="0" collapsed="false">
      <c r="A1848" s="50" t="s">
        <v>651</v>
      </c>
      <c r="B1848" s="57" t="s">
        <v>651</v>
      </c>
      <c r="C1848" s="57" t="s">
        <v>1514</v>
      </c>
      <c r="D1848" s="58" t="n">
        <v>46071.4617361111</v>
      </c>
      <c r="E1848" s="58" t="n">
        <v>46071.4617361111</v>
      </c>
      <c r="F1848" s="58" t="n">
        <v>46071.4625115741</v>
      </c>
      <c r="G1848" s="59" t="n">
        <f aca="false">F1848-E1848</f>
        <v>0.000775462997685185</v>
      </c>
      <c r="H1848" s="57" t="s">
        <v>252</v>
      </c>
      <c r="I1848" s="57"/>
      <c r="J1848" s="57" t="s">
        <v>333</v>
      </c>
      <c r="K1848" s="57" t="s">
        <v>334</v>
      </c>
      <c r="L1848" s="57" t="s">
        <v>2754</v>
      </c>
      <c r="M1848" s="57" t="s">
        <v>336</v>
      </c>
      <c r="N1848" s="57" t="s">
        <v>381</v>
      </c>
      <c r="O1848" s="57" t="s">
        <v>2755</v>
      </c>
      <c r="P1848" s="57"/>
      <c r="Q1848" s="57" t="s">
        <v>698</v>
      </c>
    </row>
    <row r="1849" s="50" customFormat="true" ht="14.25" hidden="false" customHeight="true" outlineLevel="0" collapsed="false">
      <c r="A1849" s="50" t="s">
        <v>651</v>
      </c>
      <c r="B1849" s="57" t="s">
        <v>651</v>
      </c>
      <c r="C1849" s="57" t="s">
        <v>1514</v>
      </c>
      <c r="D1849" s="58" t="n">
        <v>46071.4579398148</v>
      </c>
      <c r="E1849" s="58" t="n">
        <v>46071.4579398148</v>
      </c>
      <c r="F1849" s="58" t="n">
        <v>46071.4587037037</v>
      </c>
      <c r="G1849" s="59" t="n">
        <f aca="false">F1849-E1849</f>
        <v>0.000763888888888889</v>
      </c>
      <c r="H1849" s="57" t="s">
        <v>252</v>
      </c>
      <c r="I1849" s="57"/>
      <c r="J1849" s="57" t="s">
        <v>333</v>
      </c>
      <c r="K1849" s="57" t="s">
        <v>334</v>
      </c>
      <c r="L1849" s="57" t="s">
        <v>2754</v>
      </c>
      <c r="M1849" s="57" t="s">
        <v>336</v>
      </c>
      <c r="N1849" s="57" t="s">
        <v>381</v>
      </c>
      <c r="O1849" s="57" t="s">
        <v>2755</v>
      </c>
      <c r="P1849" s="57"/>
      <c r="Q1849" s="57" t="s">
        <v>698</v>
      </c>
    </row>
    <row r="1850" s="50" customFormat="true" ht="14.25" hidden="false" customHeight="true" outlineLevel="0" collapsed="false">
      <c r="A1850" s="50" t="s">
        <v>651</v>
      </c>
      <c r="B1850" s="57" t="s">
        <v>651</v>
      </c>
      <c r="C1850" s="57" t="s">
        <v>1514</v>
      </c>
      <c r="D1850" s="58" t="n">
        <v>46071.4540509259</v>
      </c>
      <c r="E1850" s="58" t="n">
        <v>46071.4540509259</v>
      </c>
      <c r="F1850" s="58" t="n">
        <v>46071.454837963</v>
      </c>
      <c r="G1850" s="59" t="n">
        <f aca="false">F1850-E1850</f>
        <v>0.000787037094907407</v>
      </c>
      <c r="H1850" s="57" t="s">
        <v>252</v>
      </c>
      <c r="I1850" s="57"/>
      <c r="J1850" s="57" t="s">
        <v>333</v>
      </c>
      <c r="K1850" s="57" t="s">
        <v>334</v>
      </c>
      <c r="L1850" s="57" t="s">
        <v>2754</v>
      </c>
      <c r="M1850" s="57" t="s">
        <v>336</v>
      </c>
      <c r="N1850" s="57" t="s">
        <v>381</v>
      </c>
      <c r="O1850" s="57" t="s">
        <v>2755</v>
      </c>
      <c r="P1850" s="57"/>
      <c r="Q1850" s="57" t="s">
        <v>698</v>
      </c>
    </row>
    <row r="1851" s="50" customFormat="true" ht="14.25" hidden="false" customHeight="true" outlineLevel="0" collapsed="false">
      <c r="A1851" s="50" t="s">
        <v>651</v>
      </c>
      <c r="B1851" s="57" t="s">
        <v>651</v>
      </c>
      <c r="C1851" s="57" t="s">
        <v>1514</v>
      </c>
      <c r="D1851" s="58" t="n">
        <v>46071.4500925926</v>
      </c>
      <c r="E1851" s="58" t="n">
        <v>46071.4500925926</v>
      </c>
      <c r="F1851" s="58" t="n">
        <v>46071.4508796296</v>
      </c>
      <c r="G1851" s="59" t="n">
        <f aca="false">F1851-E1851</f>
        <v>0.000787037002314815</v>
      </c>
      <c r="H1851" s="57" t="s">
        <v>252</v>
      </c>
      <c r="I1851" s="57"/>
      <c r="J1851" s="57" t="s">
        <v>333</v>
      </c>
      <c r="K1851" s="57" t="s">
        <v>334</v>
      </c>
      <c r="L1851" s="57" t="s">
        <v>2754</v>
      </c>
      <c r="M1851" s="57" t="s">
        <v>336</v>
      </c>
      <c r="N1851" s="57" t="s">
        <v>381</v>
      </c>
      <c r="O1851" s="57" t="s">
        <v>2755</v>
      </c>
      <c r="P1851" s="57"/>
      <c r="Q1851" s="57" t="s">
        <v>698</v>
      </c>
    </row>
    <row r="1852" s="50" customFormat="true" ht="14.25" hidden="false" customHeight="true" outlineLevel="0" collapsed="false">
      <c r="A1852" s="50" t="s">
        <v>651</v>
      </c>
      <c r="B1852" s="57" t="s">
        <v>651</v>
      </c>
      <c r="C1852" s="57" t="s">
        <v>1514</v>
      </c>
      <c r="D1852" s="58" t="n">
        <v>46071.4465277778</v>
      </c>
      <c r="E1852" s="58" t="n">
        <v>46071.4465277778</v>
      </c>
      <c r="F1852" s="58" t="n">
        <v>46071.4473032407</v>
      </c>
      <c r="G1852" s="59" t="n">
        <f aca="false">F1852-E1852</f>
        <v>0.000775462893518519</v>
      </c>
      <c r="H1852" s="57" t="s">
        <v>252</v>
      </c>
      <c r="I1852" s="57"/>
      <c r="J1852" s="57" t="s">
        <v>333</v>
      </c>
      <c r="K1852" s="57" t="s">
        <v>334</v>
      </c>
      <c r="L1852" s="57" t="s">
        <v>2754</v>
      </c>
      <c r="M1852" s="57" t="s">
        <v>336</v>
      </c>
      <c r="N1852" s="57" t="s">
        <v>381</v>
      </c>
      <c r="O1852" s="57" t="s">
        <v>2755</v>
      </c>
      <c r="P1852" s="57"/>
      <c r="Q1852" s="57" t="s">
        <v>698</v>
      </c>
    </row>
    <row r="1853" s="50" customFormat="true" ht="14.25" hidden="false" customHeight="true" outlineLevel="0" collapsed="false">
      <c r="A1853" s="50" t="s">
        <v>651</v>
      </c>
      <c r="B1853" s="57" t="s">
        <v>651</v>
      </c>
      <c r="C1853" s="57" t="s">
        <v>1514</v>
      </c>
      <c r="D1853" s="58" t="n">
        <v>46071.4412152778</v>
      </c>
      <c r="E1853" s="58" t="n">
        <v>46071.4412152778</v>
      </c>
      <c r="F1853" s="58" t="n">
        <v>46071.4421990741</v>
      </c>
      <c r="G1853" s="59" t="n">
        <f aca="false">F1853-E1853</f>
        <v>0.000983796296296296</v>
      </c>
      <c r="H1853" s="57" t="s">
        <v>252</v>
      </c>
      <c r="I1853" s="57"/>
      <c r="J1853" s="57" t="s">
        <v>333</v>
      </c>
      <c r="K1853" s="57" t="s">
        <v>334</v>
      </c>
      <c r="L1853" s="57" t="s">
        <v>2754</v>
      </c>
      <c r="M1853" s="57" t="s">
        <v>336</v>
      </c>
      <c r="N1853" s="57" t="s">
        <v>381</v>
      </c>
      <c r="O1853" s="57" t="s">
        <v>2755</v>
      </c>
      <c r="P1853" s="57"/>
      <c r="Q1853" s="57" t="s">
        <v>698</v>
      </c>
    </row>
    <row r="1854" s="50" customFormat="true" ht="14.25" hidden="false" customHeight="true" outlineLevel="0" collapsed="false">
      <c r="A1854" s="50" t="s">
        <v>651</v>
      </c>
      <c r="B1854" s="57" t="s">
        <v>651</v>
      </c>
      <c r="C1854" s="57" t="s">
        <v>1514</v>
      </c>
      <c r="D1854" s="58" t="n">
        <v>46071.4374652778</v>
      </c>
      <c r="E1854" s="58" t="n">
        <v>46071.4374652778</v>
      </c>
      <c r="F1854" s="58" t="n">
        <v>46071.4382523148</v>
      </c>
      <c r="G1854" s="59" t="n">
        <f aca="false">F1854-E1854</f>
        <v>0.000787037002314815</v>
      </c>
      <c r="H1854" s="57" t="s">
        <v>252</v>
      </c>
      <c r="I1854" s="57"/>
      <c r="J1854" s="57" t="s">
        <v>333</v>
      </c>
      <c r="K1854" s="57" t="s">
        <v>334</v>
      </c>
      <c r="L1854" s="57" t="s">
        <v>2754</v>
      </c>
      <c r="M1854" s="57" t="s">
        <v>336</v>
      </c>
      <c r="N1854" s="57" t="s">
        <v>381</v>
      </c>
      <c r="O1854" s="57" t="s">
        <v>2755</v>
      </c>
      <c r="P1854" s="57"/>
      <c r="Q1854" s="57" t="s">
        <v>698</v>
      </c>
    </row>
    <row r="1855" s="50" customFormat="true" ht="14.25" hidden="false" customHeight="true" outlineLevel="0" collapsed="false">
      <c r="A1855" s="50" t="s">
        <v>651</v>
      </c>
      <c r="B1855" s="57" t="s">
        <v>651</v>
      </c>
      <c r="C1855" s="57" t="s">
        <v>1514</v>
      </c>
      <c r="D1855" s="58" t="n">
        <v>46071.43375</v>
      </c>
      <c r="E1855" s="58" t="n">
        <v>46071.43375</v>
      </c>
      <c r="F1855" s="58" t="n">
        <v>46071.434525463</v>
      </c>
      <c r="G1855" s="59" t="n">
        <f aca="false">F1855-E1855</f>
        <v>0.000775463009259259</v>
      </c>
      <c r="H1855" s="57" t="s">
        <v>252</v>
      </c>
      <c r="I1855" s="57"/>
      <c r="J1855" s="57" t="s">
        <v>333</v>
      </c>
      <c r="K1855" s="57" t="s">
        <v>334</v>
      </c>
      <c r="L1855" s="57" t="s">
        <v>2754</v>
      </c>
      <c r="M1855" s="57" t="s">
        <v>336</v>
      </c>
      <c r="N1855" s="57" t="s">
        <v>381</v>
      </c>
      <c r="O1855" s="57" t="s">
        <v>2755</v>
      </c>
      <c r="P1855" s="57"/>
      <c r="Q1855" s="57" t="s">
        <v>698</v>
      </c>
    </row>
    <row r="1856" s="50" customFormat="true" ht="14.25" hidden="false" customHeight="true" outlineLevel="0" collapsed="false">
      <c r="A1856" s="50" t="s">
        <v>651</v>
      </c>
      <c r="B1856" s="57" t="s">
        <v>651</v>
      </c>
      <c r="C1856" s="57" t="s">
        <v>1514</v>
      </c>
      <c r="D1856" s="58" t="n">
        <v>46071.4295717593</v>
      </c>
      <c r="E1856" s="58" t="n">
        <v>46071.4295717593</v>
      </c>
      <c r="F1856" s="58" t="n">
        <v>46071.4303472222</v>
      </c>
      <c r="G1856" s="59" t="n">
        <f aca="false">F1856-E1856</f>
        <v>0.000775462905092593</v>
      </c>
      <c r="H1856" s="57" t="s">
        <v>252</v>
      </c>
      <c r="I1856" s="57"/>
      <c r="J1856" s="57" t="s">
        <v>333</v>
      </c>
      <c r="K1856" s="57" t="s">
        <v>334</v>
      </c>
      <c r="L1856" s="57" t="s">
        <v>2754</v>
      </c>
      <c r="M1856" s="57" t="s">
        <v>336</v>
      </c>
      <c r="N1856" s="57" t="s">
        <v>381</v>
      </c>
      <c r="O1856" s="57" t="s">
        <v>2755</v>
      </c>
      <c r="P1856" s="57"/>
      <c r="Q1856" s="57" t="s">
        <v>698</v>
      </c>
    </row>
    <row r="1857" s="50" customFormat="true" ht="14.25" hidden="false" customHeight="true" outlineLevel="0" collapsed="false">
      <c r="A1857" s="50" t="s">
        <v>651</v>
      </c>
      <c r="B1857" s="57" t="s">
        <v>651</v>
      </c>
      <c r="C1857" s="57" t="s">
        <v>1514</v>
      </c>
      <c r="D1857" s="58" t="n">
        <v>46071.4259722222</v>
      </c>
      <c r="E1857" s="58" t="n">
        <v>46071.4259722222</v>
      </c>
      <c r="F1857" s="58" t="n">
        <v>46071.4267476852</v>
      </c>
      <c r="G1857" s="59" t="n">
        <f aca="false">F1857-E1857</f>
        <v>0.000775462997685185</v>
      </c>
      <c r="H1857" s="57" t="s">
        <v>252</v>
      </c>
      <c r="I1857" s="57"/>
      <c r="J1857" s="57" t="s">
        <v>333</v>
      </c>
      <c r="K1857" s="57" t="s">
        <v>334</v>
      </c>
      <c r="L1857" s="57" t="s">
        <v>2754</v>
      </c>
      <c r="M1857" s="57" t="s">
        <v>336</v>
      </c>
      <c r="N1857" s="57" t="s">
        <v>381</v>
      </c>
      <c r="O1857" s="57" t="s">
        <v>2755</v>
      </c>
      <c r="P1857" s="57"/>
      <c r="Q1857" s="57" t="s">
        <v>698</v>
      </c>
    </row>
    <row r="1858" s="50" customFormat="true" ht="14.25" hidden="false" customHeight="true" outlineLevel="0" collapsed="false">
      <c r="A1858" s="50" t="s">
        <v>651</v>
      </c>
      <c r="B1858" s="57" t="s">
        <v>651</v>
      </c>
      <c r="C1858" s="57" t="s">
        <v>1514</v>
      </c>
      <c r="D1858" s="58" t="n">
        <v>46071.4222916667</v>
      </c>
      <c r="E1858" s="58" t="n">
        <v>46071.4222916667</v>
      </c>
      <c r="F1858" s="58" t="n">
        <v>46071.4230555556</v>
      </c>
      <c r="G1858" s="59" t="n">
        <f aca="false">F1858-E1858</f>
        <v>0.000763888888888889</v>
      </c>
      <c r="H1858" s="57" t="s">
        <v>252</v>
      </c>
      <c r="I1858" s="57"/>
      <c r="J1858" s="57" t="s">
        <v>333</v>
      </c>
      <c r="K1858" s="57" t="s">
        <v>334</v>
      </c>
      <c r="L1858" s="57" t="s">
        <v>2754</v>
      </c>
      <c r="M1858" s="57" t="s">
        <v>336</v>
      </c>
      <c r="N1858" s="57" t="s">
        <v>381</v>
      </c>
      <c r="O1858" s="57" t="s">
        <v>2755</v>
      </c>
      <c r="P1858" s="57"/>
      <c r="Q1858" s="57" t="s">
        <v>698</v>
      </c>
    </row>
    <row r="1859" s="50" customFormat="true" ht="14.25" hidden="false" customHeight="true" outlineLevel="0" collapsed="false">
      <c r="A1859" s="50" t="s">
        <v>651</v>
      </c>
      <c r="B1859" s="57" t="s">
        <v>651</v>
      </c>
      <c r="C1859" s="57" t="s">
        <v>1514</v>
      </c>
      <c r="D1859" s="58" t="n">
        <v>46071.418587963</v>
      </c>
      <c r="E1859" s="58" t="n">
        <v>46071.418587963</v>
      </c>
      <c r="F1859" s="58" t="n">
        <v>46071.419375</v>
      </c>
      <c r="G1859" s="59" t="n">
        <f aca="false">F1859-E1859</f>
        <v>0.000787036990740741</v>
      </c>
      <c r="H1859" s="57" t="s">
        <v>252</v>
      </c>
      <c r="I1859" s="57"/>
      <c r="J1859" s="57" t="s">
        <v>333</v>
      </c>
      <c r="K1859" s="57" t="s">
        <v>334</v>
      </c>
      <c r="L1859" s="57" t="s">
        <v>2754</v>
      </c>
      <c r="M1859" s="57" t="s">
        <v>336</v>
      </c>
      <c r="N1859" s="57" t="s">
        <v>381</v>
      </c>
      <c r="O1859" s="57" t="s">
        <v>2755</v>
      </c>
      <c r="P1859" s="57"/>
      <c r="Q1859" s="57" t="s">
        <v>698</v>
      </c>
    </row>
    <row r="1860" s="50" customFormat="true" ht="14.25" hidden="false" customHeight="true" outlineLevel="0" collapsed="false">
      <c r="A1860" s="50" t="s">
        <v>651</v>
      </c>
      <c r="B1860" s="57" t="s">
        <v>651</v>
      </c>
      <c r="C1860" s="57" t="s">
        <v>1514</v>
      </c>
      <c r="D1860" s="58" t="n">
        <v>46071.4150347222</v>
      </c>
      <c r="E1860" s="58" t="n">
        <v>46071.4150347222</v>
      </c>
      <c r="F1860" s="58" t="n">
        <v>46071.415787037</v>
      </c>
      <c r="G1860" s="59" t="n">
        <f aca="false">F1860-E1860</f>
        <v>0.000752314803240741</v>
      </c>
      <c r="H1860" s="57" t="s">
        <v>252</v>
      </c>
      <c r="I1860" s="57"/>
      <c r="J1860" s="57" t="s">
        <v>333</v>
      </c>
      <c r="K1860" s="57" t="s">
        <v>334</v>
      </c>
      <c r="L1860" s="57" t="s">
        <v>2754</v>
      </c>
      <c r="M1860" s="57" t="s">
        <v>336</v>
      </c>
      <c r="N1860" s="57" t="s">
        <v>381</v>
      </c>
      <c r="O1860" s="57" t="s">
        <v>2755</v>
      </c>
      <c r="P1860" s="57"/>
      <c r="Q1860" s="57" t="s">
        <v>698</v>
      </c>
    </row>
    <row r="1861" s="50" customFormat="true" ht="14.25" hidden="false" customHeight="true" outlineLevel="0" collapsed="false">
      <c r="A1861" s="50" t="s">
        <v>651</v>
      </c>
      <c r="B1861" s="57" t="s">
        <v>651</v>
      </c>
      <c r="C1861" s="57" t="s">
        <v>1514</v>
      </c>
      <c r="D1861" s="58" t="n">
        <v>46071.411087963</v>
      </c>
      <c r="E1861" s="58" t="n">
        <v>46071.411087963</v>
      </c>
      <c r="F1861" s="58" t="n">
        <v>46071.4118634259</v>
      </c>
      <c r="G1861" s="59" t="n">
        <f aca="false">F1861-E1861</f>
        <v>0.000775462893518519</v>
      </c>
      <c r="H1861" s="57" t="s">
        <v>252</v>
      </c>
      <c r="I1861" s="57"/>
      <c r="J1861" s="57" t="s">
        <v>333</v>
      </c>
      <c r="K1861" s="57" t="s">
        <v>334</v>
      </c>
      <c r="L1861" s="57" t="s">
        <v>2754</v>
      </c>
      <c r="M1861" s="57" t="s">
        <v>336</v>
      </c>
      <c r="N1861" s="57" t="s">
        <v>381</v>
      </c>
      <c r="O1861" s="57" t="s">
        <v>2755</v>
      </c>
      <c r="P1861" s="57"/>
      <c r="Q1861" s="57" t="s">
        <v>698</v>
      </c>
    </row>
    <row r="1862" s="50" customFormat="true" ht="14.25" hidden="false" customHeight="true" outlineLevel="0" collapsed="false">
      <c r="A1862" s="50" t="s">
        <v>651</v>
      </c>
      <c r="B1862" s="57" t="s">
        <v>651</v>
      </c>
      <c r="C1862" s="57" t="s">
        <v>1514</v>
      </c>
      <c r="D1862" s="58" t="n">
        <v>46071.4069791667</v>
      </c>
      <c r="E1862" s="58" t="n">
        <v>46071.4069791667</v>
      </c>
      <c r="F1862" s="58" t="n">
        <v>46071.4077546296</v>
      </c>
      <c r="G1862" s="59" t="n">
        <f aca="false">F1862-E1862</f>
        <v>0.000775462905092593</v>
      </c>
      <c r="H1862" s="57" t="s">
        <v>252</v>
      </c>
      <c r="I1862" s="57"/>
      <c r="J1862" s="57" t="s">
        <v>333</v>
      </c>
      <c r="K1862" s="57" t="s">
        <v>334</v>
      </c>
      <c r="L1862" s="57" t="s">
        <v>2754</v>
      </c>
      <c r="M1862" s="57" t="s">
        <v>336</v>
      </c>
      <c r="N1862" s="57" t="s">
        <v>381</v>
      </c>
      <c r="O1862" s="57" t="s">
        <v>2755</v>
      </c>
      <c r="P1862" s="57"/>
      <c r="Q1862" s="57" t="s">
        <v>698</v>
      </c>
    </row>
    <row r="1863" s="50" customFormat="true" ht="14.25" hidden="false" customHeight="true" outlineLevel="0" collapsed="false">
      <c r="A1863" s="50" t="s">
        <v>651</v>
      </c>
      <c r="B1863" s="57" t="s">
        <v>651</v>
      </c>
      <c r="C1863" s="57" t="s">
        <v>1514</v>
      </c>
      <c r="D1863" s="58" t="n">
        <v>46071.4027083333</v>
      </c>
      <c r="E1863" s="58" t="n">
        <v>46071.4027083333</v>
      </c>
      <c r="F1863" s="58" t="n">
        <v>46071.4034837963</v>
      </c>
      <c r="G1863" s="59" t="n">
        <f aca="false">F1863-E1863</f>
        <v>0.000775462997685185</v>
      </c>
      <c r="H1863" s="57" t="s">
        <v>252</v>
      </c>
      <c r="I1863" s="57"/>
      <c r="J1863" s="57" t="s">
        <v>333</v>
      </c>
      <c r="K1863" s="57" t="s">
        <v>334</v>
      </c>
      <c r="L1863" s="57" t="s">
        <v>2754</v>
      </c>
      <c r="M1863" s="57" t="s">
        <v>336</v>
      </c>
      <c r="N1863" s="57" t="s">
        <v>381</v>
      </c>
      <c r="O1863" s="57" t="s">
        <v>2755</v>
      </c>
      <c r="P1863" s="57"/>
      <c r="Q1863" s="57" t="s">
        <v>698</v>
      </c>
    </row>
    <row r="1864" s="50" customFormat="true" ht="14.25" hidden="false" customHeight="true" outlineLevel="0" collapsed="false">
      <c r="A1864" s="50" t="s">
        <v>651</v>
      </c>
      <c r="B1864" s="57" t="s">
        <v>651</v>
      </c>
      <c r="C1864" s="57" t="s">
        <v>1514</v>
      </c>
      <c r="D1864" s="58" t="n">
        <v>46071.3984259259</v>
      </c>
      <c r="E1864" s="58" t="n">
        <v>46071.3984259259</v>
      </c>
      <c r="F1864" s="58" t="n">
        <v>46071.3992013889</v>
      </c>
      <c r="G1864" s="59" t="n">
        <f aca="false">F1864-E1864</f>
        <v>0.000775462997685185</v>
      </c>
      <c r="H1864" s="57" t="s">
        <v>252</v>
      </c>
      <c r="I1864" s="57"/>
      <c r="J1864" s="57" t="s">
        <v>333</v>
      </c>
      <c r="K1864" s="57" t="s">
        <v>334</v>
      </c>
      <c r="L1864" s="57" t="s">
        <v>2754</v>
      </c>
      <c r="M1864" s="57" t="s">
        <v>336</v>
      </c>
      <c r="N1864" s="57" t="s">
        <v>381</v>
      </c>
      <c r="O1864" s="57" t="s">
        <v>2755</v>
      </c>
      <c r="P1864" s="57"/>
      <c r="Q1864" s="57" t="s">
        <v>698</v>
      </c>
    </row>
    <row r="1865" s="50" customFormat="true" ht="14.25" hidden="false" customHeight="true" outlineLevel="0" collapsed="false">
      <c r="A1865" s="50" t="s">
        <v>651</v>
      </c>
      <c r="B1865" s="57" t="s">
        <v>651</v>
      </c>
      <c r="C1865" s="57" t="s">
        <v>1514</v>
      </c>
      <c r="D1865" s="58" t="n">
        <v>46071.3924652778</v>
      </c>
      <c r="E1865" s="58" t="n">
        <v>46071.3924652778</v>
      </c>
      <c r="F1865" s="58" t="n">
        <v>46071.3932523148</v>
      </c>
      <c r="G1865" s="59" t="n">
        <f aca="false">F1865-E1865</f>
        <v>0.000787037002314815</v>
      </c>
      <c r="H1865" s="57" t="s">
        <v>252</v>
      </c>
      <c r="I1865" s="57"/>
      <c r="J1865" s="57" t="s">
        <v>333</v>
      </c>
      <c r="K1865" s="57" t="s">
        <v>334</v>
      </c>
      <c r="L1865" s="57" t="s">
        <v>2754</v>
      </c>
      <c r="M1865" s="57" t="s">
        <v>336</v>
      </c>
      <c r="N1865" s="57" t="s">
        <v>381</v>
      </c>
      <c r="O1865" s="57" t="s">
        <v>2755</v>
      </c>
      <c r="P1865" s="57"/>
      <c r="Q1865" s="57" t="s">
        <v>698</v>
      </c>
    </row>
    <row r="1866" s="50" customFormat="true" ht="14.25" hidden="false" customHeight="true" outlineLevel="0" collapsed="false">
      <c r="A1866" s="50" t="s">
        <v>651</v>
      </c>
      <c r="B1866" s="57" t="s">
        <v>651</v>
      </c>
      <c r="C1866" s="57" t="s">
        <v>1514</v>
      </c>
      <c r="D1866" s="58" t="n">
        <v>46071.3855208333</v>
      </c>
      <c r="E1866" s="58" t="n">
        <v>46071.3855208333</v>
      </c>
      <c r="F1866" s="58" t="n">
        <v>46071.3863078704</v>
      </c>
      <c r="G1866" s="59" t="n">
        <f aca="false">F1866-E1866</f>
        <v>0.000787037106481482</v>
      </c>
      <c r="H1866" s="57" t="s">
        <v>252</v>
      </c>
      <c r="I1866" s="57"/>
      <c r="J1866" s="57" t="s">
        <v>333</v>
      </c>
      <c r="K1866" s="57" t="s">
        <v>334</v>
      </c>
      <c r="L1866" s="57" t="s">
        <v>2754</v>
      </c>
      <c r="M1866" s="57" t="s">
        <v>336</v>
      </c>
      <c r="N1866" s="57" t="s">
        <v>381</v>
      </c>
      <c r="O1866" s="57" t="s">
        <v>2755</v>
      </c>
      <c r="P1866" s="57"/>
      <c r="Q1866" s="57" t="s">
        <v>698</v>
      </c>
    </row>
    <row r="1867" s="50" customFormat="true" ht="14.25" hidden="false" customHeight="true" outlineLevel="0" collapsed="false">
      <c r="A1867" s="50" t="s">
        <v>651</v>
      </c>
      <c r="B1867" s="57" t="s">
        <v>651</v>
      </c>
      <c r="C1867" s="57" t="s">
        <v>1514</v>
      </c>
      <c r="D1867" s="58" t="n">
        <v>46070.7052430556</v>
      </c>
      <c r="E1867" s="58" t="n">
        <v>46070.7052430556</v>
      </c>
      <c r="F1867" s="58" t="n">
        <v>46070.7060069444</v>
      </c>
      <c r="G1867" s="59" t="n">
        <f aca="false">F1867-E1867</f>
        <v>0.000763888796296296</v>
      </c>
      <c r="H1867" s="57" t="s">
        <v>252</v>
      </c>
      <c r="I1867" s="57"/>
      <c r="J1867" s="57" t="s">
        <v>333</v>
      </c>
      <c r="K1867" s="57" t="s">
        <v>334</v>
      </c>
      <c r="L1867" s="57" t="s">
        <v>2754</v>
      </c>
      <c r="M1867" s="57" t="s">
        <v>336</v>
      </c>
      <c r="N1867" s="57" t="s">
        <v>381</v>
      </c>
      <c r="O1867" s="57" t="s">
        <v>2755</v>
      </c>
      <c r="P1867" s="57"/>
      <c r="Q1867" s="57" t="s">
        <v>698</v>
      </c>
    </row>
    <row r="1868" s="50" customFormat="true" ht="14.25" hidden="false" customHeight="true" outlineLevel="0" collapsed="false">
      <c r="A1868" s="50" t="s">
        <v>651</v>
      </c>
      <c r="B1868" s="57" t="s">
        <v>651</v>
      </c>
      <c r="C1868" s="57" t="s">
        <v>1514</v>
      </c>
      <c r="D1868" s="58" t="n">
        <v>46070.6990740741</v>
      </c>
      <c r="E1868" s="58" t="n">
        <v>46070.6990740741</v>
      </c>
      <c r="F1868" s="58" t="n">
        <v>46070.6998611111</v>
      </c>
      <c r="G1868" s="59" t="n">
        <f aca="false">F1868-E1868</f>
        <v>0.000787036990740741</v>
      </c>
      <c r="H1868" s="57" t="s">
        <v>252</v>
      </c>
      <c r="I1868" s="57"/>
      <c r="J1868" s="57" t="s">
        <v>333</v>
      </c>
      <c r="K1868" s="57" t="s">
        <v>334</v>
      </c>
      <c r="L1868" s="57" t="s">
        <v>2754</v>
      </c>
      <c r="M1868" s="57" t="s">
        <v>336</v>
      </c>
      <c r="N1868" s="57" t="s">
        <v>381</v>
      </c>
      <c r="O1868" s="57" t="s">
        <v>2755</v>
      </c>
      <c r="P1868" s="57"/>
      <c r="Q1868" s="57" t="s">
        <v>698</v>
      </c>
    </row>
    <row r="1869" s="50" customFormat="true" ht="14.25" hidden="false" customHeight="true" outlineLevel="0" collapsed="false">
      <c r="A1869" s="50" t="s">
        <v>651</v>
      </c>
      <c r="B1869" s="57" t="s">
        <v>651</v>
      </c>
      <c r="C1869" s="57" t="s">
        <v>1514</v>
      </c>
      <c r="D1869" s="58" t="n">
        <v>46070.6928125</v>
      </c>
      <c r="E1869" s="58" t="n">
        <v>46070.6928125</v>
      </c>
      <c r="F1869" s="58" t="n">
        <v>46070.693587963</v>
      </c>
      <c r="G1869" s="59" t="n">
        <f aca="false">F1869-E1869</f>
        <v>0.000775462997685185</v>
      </c>
      <c r="H1869" s="57" t="s">
        <v>252</v>
      </c>
      <c r="I1869" s="57"/>
      <c r="J1869" s="57" t="s">
        <v>333</v>
      </c>
      <c r="K1869" s="57" t="s">
        <v>334</v>
      </c>
      <c r="L1869" s="57" t="s">
        <v>2754</v>
      </c>
      <c r="M1869" s="57" t="s">
        <v>336</v>
      </c>
      <c r="N1869" s="57" t="s">
        <v>381</v>
      </c>
      <c r="O1869" s="57" t="s">
        <v>2755</v>
      </c>
      <c r="P1869" s="57"/>
      <c r="Q1869" s="57" t="s">
        <v>698</v>
      </c>
    </row>
    <row r="1870" s="50" customFormat="true" ht="14.25" hidden="false" customHeight="true" outlineLevel="0" collapsed="false">
      <c r="A1870" s="50" t="s">
        <v>651</v>
      </c>
      <c r="B1870" s="57" t="s">
        <v>651</v>
      </c>
      <c r="C1870" s="57" t="s">
        <v>1514</v>
      </c>
      <c r="D1870" s="58" t="n">
        <v>46070.687662037</v>
      </c>
      <c r="E1870" s="58" t="n">
        <v>46070.687662037</v>
      </c>
      <c r="F1870" s="58" t="n">
        <v>46070.6884490741</v>
      </c>
      <c r="G1870" s="59" t="n">
        <f aca="false">F1870-E1870</f>
        <v>0.000787037094907407</v>
      </c>
      <c r="H1870" s="57" t="s">
        <v>252</v>
      </c>
      <c r="I1870" s="57"/>
      <c r="J1870" s="57" t="s">
        <v>333</v>
      </c>
      <c r="K1870" s="57" t="s">
        <v>334</v>
      </c>
      <c r="L1870" s="57" t="s">
        <v>2754</v>
      </c>
      <c r="M1870" s="57" t="s">
        <v>336</v>
      </c>
      <c r="N1870" s="57" t="s">
        <v>381</v>
      </c>
      <c r="O1870" s="57" t="s">
        <v>2755</v>
      </c>
      <c r="P1870" s="57"/>
      <c r="Q1870" s="57" t="s">
        <v>698</v>
      </c>
    </row>
    <row r="1871" s="50" customFormat="true" ht="14.25" hidden="false" customHeight="true" outlineLevel="0" collapsed="false">
      <c r="A1871" s="50" t="s">
        <v>651</v>
      </c>
      <c r="B1871" s="57" t="s">
        <v>651</v>
      </c>
      <c r="C1871" s="57" t="s">
        <v>1514</v>
      </c>
      <c r="D1871" s="58" t="n">
        <v>46070.6829513889</v>
      </c>
      <c r="E1871" s="58" t="n">
        <v>46070.6829513889</v>
      </c>
      <c r="F1871" s="58" t="n">
        <v>46070.6837152778</v>
      </c>
      <c r="G1871" s="59" t="n">
        <f aca="false">F1871-E1871</f>
        <v>0.000763888888888889</v>
      </c>
      <c r="H1871" s="57" t="s">
        <v>252</v>
      </c>
      <c r="I1871" s="57"/>
      <c r="J1871" s="57" t="s">
        <v>333</v>
      </c>
      <c r="K1871" s="57" t="s">
        <v>334</v>
      </c>
      <c r="L1871" s="57" t="s">
        <v>2754</v>
      </c>
      <c r="M1871" s="57" t="s">
        <v>336</v>
      </c>
      <c r="N1871" s="57" t="s">
        <v>381</v>
      </c>
      <c r="O1871" s="57" t="s">
        <v>2755</v>
      </c>
      <c r="P1871" s="57"/>
      <c r="Q1871" s="57" t="s">
        <v>698</v>
      </c>
    </row>
    <row r="1872" s="50" customFormat="true" ht="14.25" hidden="false" customHeight="true" outlineLevel="0" collapsed="false">
      <c r="A1872" s="50" t="s">
        <v>651</v>
      </c>
      <c r="B1872" s="57" t="s">
        <v>651</v>
      </c>
      <c r="C1872" s="57" t="s">
        <v>1514</v>
      </c>
      <c r="D1872" s="58" t="n">
        <v>46070.6767592593</v>
      </c>
      <c r="E1872" s="58" t="n">
        <v>46070.6767592593</v>
      </c>
      <c r="F1872" s="58" t="n">
        <v>46070.6775462963</v>
      </c>
      <c r="G1872" s="59" t="n">
        <f aca="false">F1872-E1872</f>
        <v>0.000787036990740741</v>
      </c>
      <c r="H1872" s="57" t="s">
        <v>252</v>
      </c>
      <c r="I1872" s="57"/>
      <c r="J1872" s="57" t="s">
        <v>333</v>
      </c>
      <c r="K1872" s="57" t="s">
        <v>334</v>
      </c>
      <c r="L1872" s="57" t="s">
        <v>2754</v>
      </c>
      <c r="M1872" s="57" t="s">
        <v>336</v>
      </c>
      <c r="N1872" s="57" t="s">
        <v>381</v>
      </c>
      <c r="O1872" s="57" t="s">
        <v>2755</v>
      </c>
      <c r="P1872" s="57"/>
      <c r="Q1872" s="57" t="s">
        <v>698</v>
      </c>
    </row>
    <row r="1873" s="50" customFormat="true" ht="14.25" hidden="false" customHeight="true" outlineLevel="0" collapsed="false">
      <c r="A1873" s="50" t="s">
        <v>651</v>
      </c>
      <c r="B1873" s="57" t="s">
        <v>651</v>
      </c>
      <c r="C1873" s="57" t="s">
        <v>1514</v>
      </c>
      <c r="D1873" s="58" t="n">
        <v>46070.6622685185</v>
      </c>
      <c r="E1873" s="58" t="n">
        <v>46070.6622685185</v>
      </c>
      <c r="F1873" s="58" t="n">
        <v>46070.6630439815</v>
      </c>
      <c r="G1873" s="59" t="n">
        <f aca="false">F1873-E1873</f>
        <v>0.000775462997685185</v>
      </c>
      <c r="H1873" s="57" t="s">
        <v>252</v>
      </c>
      <c r="I1873" s="57"/>
      <c r="J1873" s="57" t="s">
        <v>333</v>
      </c>
      <c r="K1873" s="57" t="s">
        <v>334</v>
      </c>
      <c r="L1873" s="57" t="s">
        <v>2754</v>
      </c>
      <c r="M1873" s="57" t="s">
        <v>336</v>
      </c>
      <c r="N1873" s="57" t="s">
        <v>381</v>
      </c>
      <c r="O1873" s="57" t="s">
        <v>2755</v>
      </c>
      <c r="P1873" s="57"/>
      <c r="Q1873" s="57" t="s">
        <v>698</v>
      </c>
    </row>
    <row r="1874" s="50" customFormat="true" ht="14.25" hidden="false" customHeight="true" outlineLevel="0" collapsed="false">
      <c r="A1874" s="50" t="s">
        <v>651</v>
      </c>
      <c r="B1874" s="57" t="s">
        <v>651</v>
      </c>
      <c r="C1874" s="57" t="s">
        <v>1514</v>
      </c>
      <c r="D1874" s="58" t="n">
        <v>46070.6590046296</v>
      </c>
      <c r="E1874" s="58" t="n">
        <v>46070.6590046296</v>
      </c>
      <c r="F1874" s="58" t="n">
        <v>46070.6597916667</v>
      </c>
      <c r="G1874" s="59" t="n">
        <f aca="false">F1874-E1874</f>
        <v>0.000787037106481482</v>
      </c>
      <c r="H1874" s="57" t="s">
        <v>252</v>
      </c>
      <c r="I1874" s="57"/>
      <c r="J1874" s="57" t="s">
        <v>333</v>
      </c>
      <c r="K1874" s="57" t="s">
        <v>334</v>
      </c>
      <c r="L1874" s="57" t="s">
        <v>2754</v>
      </c>
      <c r="M1874" s="57" t="s">
        <v>336</v>
      </c>
      <c r="N1874" s="57" t="s">
        <v>381</v>
      </c>
      <c r="O1874" s="57" t="s">
        <v>2755</v>
      </c>
      <c r="P1874" s="57"/>
      <c r="Q1874" s="57" t="s">
        <v>698</v>
      </c>
    </row>
    <row r="1875" s="50" customFormat="true" ht="14.25" hidden="false" customHeight="true" outlineLevel="0" collapsed="false">
      <c r="A1875" s="50" t="s">
        <v>651</v>
      </c>
      <c r="B1875" s="57" t="s">
        <v>651</v>
      </c>
      <c r="C1875" s="57" t="s">
        <v>1514</v>
      </c>
      <c r="D1875" s="58" t="n">
        <v>46070.6558564815</v>
      </c>
      <c r="E1875" s="58" t="n">
        <v>46070.6558564815</v>
      </c>
      <c r="F1875" s="58" t="n">
        <v>46070.6566435185</v>
      </c>
      <c r="G1875" s="59" t="n">
        <f aca="false">F1875-E1875</f>
        <v>0.000787037002314815</v>
      </c>
      <c r="H1875" s="57" t="s">
        <v>252</v>
      </c>
      <c r="I1875" s="57"/>
      <c r="J1875" s="57" t="s">
        <v>333</v>
      </c>
      <c r="K1875" s="57" t="s">
        <v>334</v>
      </c>
      <c r="L1875" s="57" t="s">
        <v>2754</v>
      </c>
      <c r="M1875" s="57" t="s">
        <v>336</v>
      </c>
      <c r="N1875" s="57" t="s">
        <v>381</v>
      </c>
      <c r="O1875" s="57" t="s">
        <v>2755</v>
      </c>
      <c r="P1875" s="57"/>
      <c r="Q1875" s="57" t="s">
        <v>698</v>
      </c>
    </row>
    <row r="1876" s="50" customFormat="true" ht="14.25" hidden="false" customHeight="true" outlineLevel="0" collapsed="false">
      <c r="A1876" s="50" t="s">
        <v>651</v>
      </c>
      <c r="B1876" s="57" t="s">
        <v>651</v>
      </c>
      <c r="C1876" s="57" t="s">
        <v>1514</v>
      </c>
      <c r="D1876" s="58" t="n">
        <v>46070.6524537037</v>
      </c>
      <c r="E1876" s="58" t="n">
        <v>46070.6524537037</v>
      </c>
      <c r="F1876" s="58" t="n">
        <v>46070.6532175926</v>
      </c>
      <c r="G1876" s="59" t="n">
        <f aca="false">F1876-E1876</f>
        <v>0.000763888888888889</v>
      </c>
      <c r="H1876" s="57" t="s">
        <v>252</v>
      </c>
      <c r="I1876" s="57"/>
      <c r="J1876" s="57" t="s">
        <v>333</v>
      </c>
      <c r="K1876" s="57" t="s">
        <v>334</v>
      </c>
      <c r="L1876" s="57" t="s">
        <v>2754</v>
      </c>
      <c r="M1876" s="57" t="s">
        <v>336</v>
      </c>
      <c r="N1876" s="57" t="s">
        <v>381</v>
      </c>
      <c r="O1876" s="57" t="s">
        <v>2755</v>
      </c>
      <c r="P1876" s="57"/>
      <c r="Q1876" s="57" t="s">
        <v>698</v>
      </c>
    </row>
    <row r="1877" s="50" customFormat="true" ht="14.25" hidden="false" customHeight="true" outlineLevel="0" collapsed="false">
      <c r="A1877" s="50" t="s">
        <v>651</v>
      </c>
      <c r="B1877" s="57" t="s">
        <v>651</v>
      </c>
      <c r="C1877" s="57" t="s">
        <v>1514</v>
      </c>
      <c r="D1877" s="58" t="n">
        <v>46070.6491550926</v>
      </c>
      <c r="E1877" s="58" t="n">
        <v>46070.6491550926</v>
      </c>
      <c r="F1877" s="58" t="n">
        <v>46070.6499305556</v>
      </c>
      <c r="G1877" s="59" t="n">
        <f aca="false">F1877-E1877</f>
        <v>0.000775462997685185</v>
      </c>
      <c r="H1877" s="57" t="s">
        <v>252</v>
      </c>
      <c r="I1877" s="57"/>
      <c r="J1877" s="57" t="s">
        <v>333</v>
      </c>
      <c r="K1877" s="57" t="s">
        <v>334</v>
      </c>
      <c r="L1877" s="57" t="s">
        <v>2754</v>
      </c>
      <c r="M1877" s="57" t="s">
        <v>336</v>
      </c>
      <c r="N1877" s="57" t="s">
        <v>381</v>
      </c>
      <c r="O1877" s="57" t="s">
        <v>2755</v>
      </c>
      <c r="P1877" s="57"/>
      <c r="Q1877" s="57" t="s">
        <v>698</v>
      </c>
    </row>
    <row r="1878" s="50" customFormat="true" ht="14.25" hidden="false" customHeight="true" outlineLevel="0" collapsed="false">
      <c r="A1878" s="50" t="s">
        <v>651</v>
      </c>
      <c r="B1878" s="57" t="s">
        <v>651</v>
      </c>
      <c r="C1878" s="57" t="s">
        <v>1514</v>
      </c>
      <c r="D1878" s="58" t="n">
        <v>46070.646400463</v>
      </c>
      <c r="E1878" s="58" t="n">
        <v>46070.646400463</v>
      </c>
      <c r="F1878" s="58" t="n">
        <v>46070.6472106481</v>
      </c>
      <c r="G1878" s="59" t="n">
        <f aca="false">F1878-E1878</f>
        <v>0.000810185092592593</v>
      </c>
      <c r="H1878" s="57" t="s">
        <v>252</v>
      </c>
      <c r="I1878" s="57"/>
      <c r="J1878" s="57" t="s">
        <v>333</v>
      </c>
      <c r="K1878" s="57" t="s">
        <v>334</v>
      </c>
      <c r="L1878" s="57" t="s">
        <v>2754</v>
      </c>
      <c r="M1878" s="57" t="s">
        <v>336</v>
      </c>
      <c r="N1878" s="57" t="s">
        <v>381</v>
      </c>
      <c r="O1878" s="57" t="s">
        <v>2755</v>
      </c>
      <c r="P1878" s="57"/>
      <c r="Q1878" s="57" t="s">
        <v>698</v>
      </c>
    </row>
    <row r="1879" s="50" customFormat="true" ht="14.25" hidden="false" customHeight="true" outlineLevel="0" collapsed="false">
      <c r="A1879" s="50" t="s">
        <v>651</v>
      </c>
      <c r="B1879" s="57" t="s">
        <v>651</v>
      </c>
      <c r="C1879" s="57" t="s">
        <v>1514</v>
      </c>
      <c r="D1879" s="58" t="n">
        <v>46070.6433101852</v>
      </c>
      <c r="E1879" s="58" t="n">
        <v>46070.6433101852</v>
      </c>
      <c r="F1879" s="58" t="n">
        <v>46070.6440972222</v>
      </c>
      <c r="G1879" s="59" t="n">
        <f aca="false">F1879-E1879</f>
        <v>0.000787036990740741</v>
      </c>
      <c r="H1879" s="57" t="s">
        <v>252</v>
      </c>
      <c r="I1879" s="57"/>
      <c r="J1879" s="57" t="s">
        <v>333</v>
      </c>
      <c r="K1879" s="57" t="s">
        <v>334</v>
      </c>
      <c r="L1879" s="57" t="s">
        <v>2754</v>
      </c>
      <c r="M1879" s="57" t="s">
        <v>336</v>
      </c>
      <c r="N1879" s="57" t="s">
        <v>381</v>
      </c>
      <c r="O1879" s="57" t="s">
        <v>2755</v>
      </c>
      <c r="P1879" s="57"/>
      <c r="Q1879" s="57" t="s">
        <v>698</v>
      </c>
    </row>
    <row r="1880" s="50" customFormat="true" ht="14.25" hidden="false" customHeight="true" outlineLevel="0" collapsed="false">
      <c r="A1880" s="50" t="s">
        <v>651</v>
      </c>
      <c r="B1880" s="57" t="s">
        <v>651</v>
      </c>
      <c r="C1880" s="57" t="s">
        <v>1514</v>
      </c>
      <c r="D1880" s="58" t="n">
        <v>46070.6401273148</v>
      </c>
      <c r="E1880" s="58" t="n">
        <v>46070.6401273148</v>
      </c>
      <c r="F1880" s="58" t="n">
        <v>46070.6409143519</v>
      </c>
      <c r="G1880" s="59" t="n">
        <f aca="false">F1880-E1880</f>
        <v>0.000787037094907407</v>
      </c>
      <c r="H1880" s="57" t="s">
        <v>252</v>
      </c>
      <c r="I1880" s="57"/>
      <c r="J1880" s="57" t="s">
        <v>333</v>
      </c>
      <c r="K1880" s="57" t="s">
        <v>334</v>
      </c>
      <c r="L1880" s="57" t="s">
        <v>2754</v>
      </c>
      <c r="M1880" s="57" t="s">
        <v>336</v>
      </c>
      <c r="N1880" s="57" t="s">
        <v>381</v>
      </c>
      <c r="O1880" s="57" t="s">
        <v>2755</v>
      </c>
      <c r="P1880" s="57"/>
      <c r="Q1880" s="57" t="s">
        <v>698</v>
      </c>
    </row>
    <row r="1881" s="50" customFormat="true" ht="14.25" hidden="false" customHeight="true" outlineLevel="0" collapsed="false">
      <c r="A1881" s="50" t="s">
        <v>651</v>
      </c>
      <c r="B1881" s="57" t="s">
        <v>651</v>
      </c>
      <c r="C1881" s="57" t="s">
        <v>1514</v>
      </c>
      <c r="D1881" s="58" t="n">
        <v>46070.6286805556</v>
      </c>
      <c r="E1881" s="58" t="n">
        <v>46070.6286805556</v>
      </c>
      <c r="F1881" s="58" t="n">
        <v>46070.6294444444</v>
      </c>
      <c r="G1881" s="59" t="n">
        <f aca="false">F1881-E1881</f>
        <v>0.000763888796296296</v>
      </c>
      <c r="H1881" s="57" t="s">
        <v>252</v>
      </c>
      <c r="I1881" s="57"/>
      <c r="J1881" s="57" t="s">
        <v>333</v>
      </c>
      <c r="K1881" s="57" t="s">
        <v>334</v>
      </c>
      <c r="L1881" s="57" t="s">
        <v>2754</v>
      </c>
      <c r="M1881" s="57" t="s">
        <v>336</v>
      </c>
      <c r="N1881" s="57" t="s">
        <v>381</v>
      </c>
      <c r="O1881" s="57" t="s">
        <v>2755</v>
      </c>
      <c r="P1881" s="57"/>
      <c r="Q1881" s="57" t="s">
        <v>698</v>
      </c>
    </row>
    <row r="1882" s="50" customFormat="true" ht="14.25" hidden="false" customHeight="true" outlineLevel="0" collapsed="false">
      <c r="A1882" s="50" t="s">
        <v>651</v>
      </c>
      <c r="B1882" s="57" t="s">
        <v>651</v>
      </c>
      <c r="C1882" s="57" t="s">
        <v>1514</v>
      </c>
      <c r="D1882" s="58" t="n">
        <v>46070.6250578704</v>
      </c>
      <c r="E1882" s="58" t="n">
        <v>46070.6250578704</v>
      </c>
      <c r="F1882" s="58" t="n">
        <v>46070.6258333333</v>
      </c>
      <c r="G1882" s="59" t="n">
        <f aca="false">F1882-E1882</f>
        <v>0.000775462905092593</v>
      </c>
      <c r="H1882" s="57" t="s">
        <v>252</v>
      </c>
      <c r="I1882" s="57"/>
      <c r="J1882" s="57" t="s">
        <v>333</v>
      </c>
      <c r="K1882" s="57" t="s">
        <v>334</v>
      </c>
      <c r="L1882" s="57" t="s">
        <v>2754</v>
      </c>
      <c r="M1882" s="57" t="s">
        <v>336</v>
      </c>
      <c r="N1882" s="57" t="s">
        <v>381</v>
      </c>
      <c r="O1882" s="57" t="s">
        <v>2755</v>
      </c>
      <c r="P1882" s="57"/>
      <c r="Q1882" s="57" t="s">
        <v>698</v>
      </c>
    </row>
    <row r="1883" s="50" customFormat="true" ht="14.25" hidden="false" customHeight="true" outlineLevel="0" collapsed="false">
      <c r="A1883" s="50" t="s">
        <v>651</v>
      </c>
      <c r="B1883" s="57" t="s">
        <v>651</v>
      </c>
      <c r="C1883" s="57" t="s">
        <v>1514</v>
      </c>
      <c r="D1883" s="58" t="n">
        <v>46070.6216898148</v>
      </c>
      <c r="E1883" s="58" t="n">
        <v>46070.6216898148</v>
      </c>
      <c r="F1883" s="58" t="n">
        <v>46070.6224884259</v>
      </c>
      <c r="G1883" s="59" t="n">
        <f aca="false">F1883-E1883</f>
        <v>0.000798611111111111</v>
      </c>
      <c r="H1883" s="57" t="s">
        <v>252</v>
      </c>
      <c r="I1883" s="57"/>
      <c r="J1883" s="57" t="s">
        <v>333</v>
      </c>
      <c r="K1883" s="57" t="s">
        <v>334</v>
      </c>
      <c r="L1883" s="57" t="s">
        <v>2754</v>
      </c>
      <c r="M1883" s="57" t="s">
        <v>336</v>
      </c>
      <c r="N1883" s="57" t="s">
        <v>381</v>
      </c>
      <c r="O1883" s="57" t="s">
        <v>2755</v>
      </c>
      <c r="P1883" s="57"/>
      <c r="Q1883" s="57" t="s">
        <v>698</v>
      </c>
    </row>
    <row r="1884" s="50" customFormat="true" ht="14.25" hidden="false" customHeight="true" outlineLevel="0" collapsed="false">
      <c r="A1884" s="50" t="s">
        <v>651</v>
      </c>
      <c r="B1884" s="57" t="s">
        <v>651</v>
      </c>
      <c r="C1884" s="57" t="s">
        <v>1514</v>
      </c>
      <c r="D1884" s="58" t="n">
        <v>46070.6186689815</v>
      </c>
      <c r="E1884" s="58" t="n">
        <v>46070.6186689815</v>
      </c>
      <c r="F1884" s="58" t="n">
        <v>46070.6194791667</v>
      </c>
      <c r="G1884" s="59" t="n">
        <f aca="false">F1884-E1884</f>
        <v>0.000810185196759259</v>
      </c>
      <c r="H1884" s="57" t="s">
        <v>252</v>
      </c>
      <c r="I1884" s="57"/>
      <c r="J1884" s="57" t="s">
        <v>333</v>
      </c>
      <c r="K1884" s="57" t="s">
        <v>334</v>
      </c>
      <c r="L1884" s="57" t="s">
        <v>2754</v>
      </c>
      <c r="M1884" s="57" t="s">
        <v>336</v>
      </c>
      <c r="N1884" s="57" t="s">
        <v>381</v>
      </c>
      <c r="O1884" s="57" t="s">
        <v>2755</v>
      </c>
      <c r="P1884" s="57"/>
      <c r="Q1884" s="57" t="s">
        <v>698</v>
      </c>
    </row>
    <row r="1885" s="50" customFormat="true" ht="14.25" hidden="false" customHeight="true" outlineLevel="0" collapsed="false">
      <c r="A1885" s="50" t="s">
        <v>651</v>
      </c>
      <c r="B1885" s="57" t="s">
        <v>651</v>
      </c>
      <c r="C1885" s="57" t="s">
        <v>1514</v>
      </c>
      <c r="D1885" s="58" t="n">
        <v>46070.6150810185</v>
      </c>
      <c r="E1885" s="58" t="n">
        <v>46070.6150810185</v>
      </c>
      <c r="F1885" s="58" t="n">
        <v>46070.6158680556</v>
      </c>
      <c r="G1885" s="59" t="n">
        <f aca="false">F1885-E1885</f>
        <v>0.000787037094907407</v>
      </c>
      <c r="H1885" s="57" t="s">
        <v>252</v>
      </c>
      <c r="I1885" s="57"/>
      <c r="J1885" s="57" t="s">
        <v>333</v>
      </c>
      <c r="K1885" s="57" t="s">
        <v>334</v>
      </c>
      <c r="L1885" s="57" t="s">
        <v>2754</v>
      </c>
      <c r="M1885" s="57" t="s">
        <v>336</v>
      </c>
      <c r="N1885" s="57" t="s">
        <v>381</v>
      </c>
      <c r="O1885" s="57" t="s">
        <v>2755</v>
      </c>
      <c r="P1885" s="57"/>
      <c r="Q1885" s="57" t="s">
        <v>698</v>
      </c>
    </row>
    <row r="1886" s="50" customFormat="true" ht="14.25" hidden="false" customHeight="true" outlineLevel="0" collapsed="false">
      <c r="A1886" s="50" t="s">
        <v>651</v>
      </c>
      <c r="B1886" s="57" t="s">
        <v>651</v>
      </c>
      <c r="C1886" s="57" t="s">
        <v>1514</v>
      </c>
      <c r="D1886" s="58" t="n">
        <v>46070.6117824074</v>
      </c>
      <c r="E1886" s="58" t="n">
        <v>46070.6117824074</v>
      </c>
      <c r="F1886" s="58" t="n">
        <v>46070.6125694444</v>
      </c>
      <c r="G1886" s="59" t="n">
        <f aca="false">F1886-E1886</f>
        <v>0.000787036990740741</v>
      </c>
      <c r="H1886" s="57" t="s">
        <v>252</v>
      </c>
      <c r="I1886" s="57"/>
      <c r="J1886" s="57" t="s">
        <v>333</v>
      </c>
      <c r="K1886" s="57" t="s">
        <v>334</v>
      </c>
      <c r="L1886" s="57" t="s">
        <v>2754</v>
      </c>
      <c r="M1886" s="57" t="s">
        <v>336</v>
      </c>
      <c r="N1886" s="57" t="s">
        <v>381</v>
      </c>
      <c r="O1886" s="57" t="s">
        <v>2755</v>
      </c>
      <c r="P1886" s="57"/>
      <c r="Q1886" s="57" t="s">
        <v>698</v>
      </c>
    </row>
    <row r="1887" s="50" customFormat="true" ht="14.25" hidden="false" customHeight="true" outlineLevel="0" collapsed="false">
      <c r="A1887" s="50" t="s">
        <v>651</v>
      </c>
      <c r="B1887" s="57" t="s">
        <v>651</v>
      </c>
      <c r="C1887" s="57" t="s">
        <v>1514</v>
      </c>
      <c r="D1887" s="58" t="n">
        <v>46070.6089236111</v>
      </c>
      <c r="E1887" s="58" t="n">
        <v>46070.6089236111</v>
      </c>
      <c r="F1887" s="58" t="n">
        <v>46070.6097106482</v>
      </c>
      <c r="G1887" s="59" t="n">
        <f aca="false">F1887-E1887</f>
        <v>0.000787037094907407</v>
      </c>
      <c r="H1887" s="57" t="s">
        <v>252</v>
      </c>
      <c r="I1887" s="57"/>
      <c r="J1887" s="57" t="s">
        <v>333</v>
      </c>
      <c r="K1887" s="57" t="s">
        <v>334</v>
      </c>
      <c r="L1887" s="57" t="s">
        <v>2754</v>
      </c>
      <c r="M1887" s="57" t="s">
        <v>336</v>
      </c>
      <c r="N1887" s="57" t="s">
        <v>381</v>
      </c>
      <c r="O1887" s="57" t="s">
        <v>2755</v>
      </c>
      <c r="P1887" s="57"/>
      <c r="Q1887" s="57" t="s">
        <v>698</v>
      </c>
    </row>
    <row r="1888" s="50" customFormat="true" ht="14.25" hidden="false" customHeight="true" outlineLevel="0" collapsed="false">
      <c r="A1888" s="50" t="s">
        <v>651</v>
      </c>
      <c r="B1888" s="57" t="s">
        <v>651</v>
      </c>
      <c r="C1888" s="57" t="s">
        <v>1514</v>
      </c>
      <c r="D1888" s="58" t="n">
        <v>46070.6057986111</v>
      </c>
      <c r="E1888" s="58" t="n">
        <v>46070.6057986111</v>
      </c>
      <c r="F1888" s="58" t="n">
        <v>46070.6065740741</v>
      </c>
      <c r="G1888" s="59" t="n">
        <f aca="false">F1888-E1888</f>
        <v>0.000775463009259259</v>
      </c>
      <c r="H1888" s="57" t="s">
        <v>252</v>
      </c>
      <c r="I1888" s="57"/>
      <c r="J1888" s="57" t="s">
        <v>333</v>
      </c>
      <c r="K1888" s="57" t="s">
        <v>334</v>
      </c>
      <c r="L1888" s="57" t="s">
        <v>2754</v>
      </c>
      <c r="M1888" s="57" t="s">
        <v>336</v>
      </c>
      <c r="N1888" s="57" t="s">
        <v>381</v>
      </c>
      <c r="O1888" s="57" t="s">
        <v>2755</v>
      </c>
      <c r="P1888" s="57"/>
      <c r="Q1888" s="57" t="s">
        <v>698</v>
      </c>
    </row>
    <row r="1889" s="50" customFormat="true" ht="14.25" hidden="false" customHeight="true" outlineLevel="0" collapsed="false">
      <c r="A1889" s="50" t="s">
        <v>651</v>
      </c>
      <c r="B1889" s="57" t="s">
        <v>651</v>
      </c>
      <c r="C1889" s="57" t="s">
        <v>1514</v>
      </c>
      <c r="D1889" s="58" t="n">
        <v>46070.6023842593</v>
      </c>
      <c r="E1889" s="58" t="n">
        <v>46070.6023842593</v>
      </c>
      <c r="F1889" s="58" t="n">
        <v>46070.6031712963</v>
      </c>
      <c r="G1889" s="59" t="n">
        <f aca="false">F1889-E1889</f>
        <v>0.000787037002314815</v>
      </c>
      <c r="H1889" s="57" t="s">
        <v>252</v>
      </c>
      <c r="I1889" s="57"/>
      <c r="J1889" s="57" t="s">
        <v>333</v>
      </c>
      <c r="K1889" s="57" t="s">
        <v>334</v>
      </c>
      <c r="L1889" s="57" t="s">
        <v>2754</v>
      </c>
      <c r="M1889" s="57" t="s">
        <v>336</v>
      </c>
      <c r="N1889" s="57" t="s">
        <v>381</v>
      </c>
      <c r="O1889" s="57" t="s">
        <v>2755</v>
      </c>
      <c r="P1889" s="57"/>
      <c r="Q1889" s="57" t="s">
        <v>698</v>
      </c>
    </row>
    <row r="1890" s="50" customFormat="true" ht="14.25" hidden="false" customHeight="true" outlineLevel="0" collapsed="false">
      <c r="A1890" s="50" t="s">
        <v>651</v>
      </c>
      <c r="B1890" s="57" t="s">
        <v>651</v>
      </c>
      <c r="C1890" s="57" t="s">
        <v>1514</v>
      </c>
      <c r="D1890" s="58" t="n">
        <v>46070.5991087963</v>
      </c>
      <c r="E1890" s="58" t="n">
        <v>46070.5991087963</v>
      </c>
      <c r="F1890" s="58" t="n">
        <v>46070.5998842593</v>
      </c>
      <c r="G1890" s="59" t="n">
        <f aca="false">F1890-E1890</f>
        <v>0.000775463009259259</v>
      </c>
      <c r="H1890" s="57" t="s">
        <v>252</v>
      </c>
      <c r="I1890" s="57"/>
      <c r="J1890" s="57" t="s">
        <v>333</v>
      </c>
      <c r="K1890" s="57" t="s">
        <v>334</v>
      </c>
      <c r="L1890" s="57" t="s">
        <v>2754</v>
      </c>
      <c r="M1890" s="57" t="s">
        <v>336</v>
      </c>
      <c r="N1890" s="57" t="s">
        <v>381</v>
      </c>
      <c r="O1890" s="57" t="s">
        <v>2755</v>
      </c>
      <c r="P1890" s="57"/>
      <c r="Q1890" s="57" t="s">
        <v>698</v>
      </c>
    </row>
    <row r="1891" s="50" customFormat="true" ht="14.25" hidden="false" customHeight="true" outlineLevel="0" collapsed="false">
      <c r="A1891" s="50" t="s">
        <v>651</v>
      </c>
      <c r="B1891" s="57" t="s">
        <v>651</v>
      </c>
      <c r="C1891" s="57" t="s">
        <v>1514</v>
      </c>
      <c r="D1891" s="58" t="n">
        <v>46070.5960416667</v>
      </c>
      <c r="E1891" s="58" t="n">
        <v>46070.5960416667</v>
      </c>
      <c r="F1891" s="58" t="n">
        <v>46070.5968287037</v>
      </c>
      <c r="G1891" s="59" t="n">
        <f aca="false">F1891-E1891</f>
        <v>0.000787037002314815</v>
      </c>
      <c r="H1891" s="57" t="s">
        <v>252</v>
      </c>
      <c r="I1891" s="57"/>
      <c r="J1891" s="57" t="s">
        <v>333</v>
      </c>
      <c r="K1891" s="57" t="s">
        <v>334</v>
      </c>
      <c r="L1891" s="57" t="s">
        <v>2754</v>
      </c>
      <c r="M1891" s="57" t="s">
        <v>336</v>
      </c>
      <c r="N1891" s="57" t="s">
        <v>381</v>
      </c>
      <c r="O1891" s="57" t="s">
        <v>2755</v>
      </c>
      <c r="P1891" s="57"/>
      <c r="Q1891" s="57" t="s">
        <v>698</v>
      </c>
    </row>
    <row r="1892" s="50" customFormat="true" ht="14.25" hidden="false" customHeight="true" outlineLevel="0" collapsed="false">
      <c r="A1892" s="50" t="s">
        <v>651</v>
      </c>
      <c r="B1892" s="57" t="s">
        <v>651</v>
      </c>
      <c r="C1892" s="57" t="s">
        <v>1514</v>
      </c>
      <c r="D1892" s="58" t="n">
        <v>46070.5925694444</v>
      </c>
      <c r="E1892" s="58" t="n">
        <v>46070.5925694444</v>
      </c>
      <c r="F1892" s="58" t="n">
        <v>46070.5933333333</v>
      </c>
      <c r="G1892" s="59" t="n">
        <f aca="false">F1892-E1892</f>
        <v>0.000763888888888889</v>
      </c>
      <c r="H1892" s="57" t="s">
        <v>252</v>
      </c>
      <c r="I1892" s="57"/>
      <c r="J1892" s="57" t="s">
        <v>333</v>
      </c>
      <c r="K1892" s="57" t="s">
        <v>334</v>
      </c>
      <c r="L1892" s="57" t="s">
        <v>2754</v>
      </c>
      <c r="M1892" s="57" t="s">
        <v>336</v>
      </c>
      <c r="N1892" s="57" t="s">
        <v>381</v>
      </c>
      <c r="O1892" s="57" t="s">
        <v>2755</v>
      </c>
      <c r="P1892" s="57"/>
      <c r="Q1892" s="57" t="s">
        <v>698</v>
      </c>
    </row>
    <row r="1893" s="50" customFormat="true" ht="14.25" hidden="false" customHeight="true" outlineLevel="0" collapsed="false">
      <c r="A1893" s="50" t="s">
        <v>651</v>
      </c>
      <c r="B1893" s="57" t="s">
        <v>651</v>
      </c>
      <c r="C1893" s="57" t="s">
        <v>1514</v>
      </c>
      <c r="D1893" s="58" t="n">
        <v>46070.5892361111</v>
      </c>
      <c r="E1893" s="58" t="n">
        <v>46070.5892361111</v>
      </c>
      <c r="F1893" s="58" t="n">
        <v>46070.5900347222</v>
      </c>
      <c r="G1893" s="59" t="n">
        <f aca="false">F1893-E1893</f>
        <v>0.000798611111111111</v>
      </c>
      <c r="H1893" s="57" t="s">
        <v>252</v>
      </c>
      <c r="I1893" s="57"/>
      <c r="J1893" s="57" t="s">
        <v>333</v>
      </c>
      <c r="K1893" s="57" t="s">
        <v>334</v>
      </c>
      <c r="L1893" s="57" t="s">
        <v>2754</v>
      </c>
      <c r="M1893" s="57" t="s">
        <v>336</v>
      </c>
      <c r="N1893" s="57" t="s">
        <v>381</v>
      </c>
      <c r="O1893" s="57" t="s">
        <v>2755</v>
      </c>
      <c r="P1893" s="57"/>
      <c r="Q1893" s="57" t="s">
        <v>698</v>
      </c>
    </row>
    <row r="1894" s="50" customFormat="true" ht="14.25" hidden="false" customHeight="true" outlineLevel="0" collapsed="false">
      <c r="A1894" s="50" t="s">
        <v>651</v>
      </c>
      <c r="B1894" s="57" t="s">
        <v>651</v>
      </c>
      <c r="C1894" s="57" t="s">
        <v>1514</v>
      </c>
      <c r="D1894" s="58" t="n">
        <v>46070.5856481481</v>
      </c>
      <c r="E1894" s="58" t="n">
        <v>46070.5856481481</v>
      </c>
      <c r="F1894" s="58" t="n">
        <v>46070.5864236111</v>
      </c>
      <c r="G1894" s="59" t="n">
        <f aca="false">F1894-E1894</f>
        <v>0.000775462997685185</v>
      </c>
      <c r="H1894" s="57" t="s">
        <v>252</v>
      </c>
      <c r="I1894" s="57"/>
      <c r="J1894" s="57" t="s">
        <v>333</v>
      </c>
      <c r="K1894" s="57" t="s">
        <v>334</v>
      </c>
      <c r="L1894" s="57" t="s">
        <v>2754</v>
      </c>
      <c r="M1894" s="57" t="s">
        <v>336</v>
      </c>
      <c r="N1894" s="57" t="s">
        <v>381</v>
      </c>
      <c r="O1894" s="57" t="s">
        <v>2755</v>
      </c>
      <c r="P1894" s="57"/>
      <c r="Q1894" s="57" t="s">
        <v>698</v>
      </c>
    </row>
    <row r="1895" s="50" customFormat="true" ht="14.25" hidden="false" customHeight="true" outlineLevel="0" collapsed="false">
      <c r="A1895" s="50" t="s">
        <v>651</v>
      </c>
      <c r="B1895" s="57" t="s">
        <v>651</v>
      </c>
      <c r="C1895" s="57" t="s">
        <v>1514</v>
      </c>
      <c r="D1895" s="58" t="n">
        <v>46070.5825462963</v>
      </c>
      <c r="E1895" s="58" t="n">
        <v>46070.5825462963</v>
      </c>
      <c r="F1895" s="58" t="n">
        <v>46070.5833564815</v>
      </c>
      <c r="G1895" s="59" t="n">
        <f aca="false">F1895-E1895</f>
        <v>0.000810185196759259</v>
      </c>
      <c r="H1895" s="57" t="s">
        <v>252</v>
      </c>
      <c r="I1895" s="57"/>
      <c r="J1895" s="57" t="s">
        <v>333</v>
      </c>
      <c r="K1895" s="57" t="s">
        <v>334</v>
      </c>
      <c r="L1895" s="57" t="s">
        <v>2754</v>
      </c>
      <c r="M1895" s="57" t="s">
        <v>336</v>
      </c>
      <c r="N1895" s="57" t="s">
        <v>381</v>
      </c>
      <c r="O1895" s="57" t="s">
        <v>2755</v>
      </c>
      <c r="P1895" s="57"/>
      <c r="Q1895" s="57" t="s">
        <v>698</v>
      </c>
    </row>
    <row r="1896" s="50" customFormat="true" ht="14.25" hidden="false" customHeight="true" outlineLevel="0" collapsed="false">
      <c r="A1896" s="50" t="s">
        <v>651</v>
      </c>
      <c r="B1896" s="57" t="s">
        <v>651</v>
      </c>
      <c r="C1896" s="57" t="s">
        <v>1514</v>
      </c>
      <c r="D1896" s="58" t="n">
        <v>46070.5796180556</v>
      </c>
      <c r="E1896" s="58" t="n">
        <v>46070.5796180556</v>
      </c>
      <c r="F1896" s="58" t="n">
        <v>46070.5803819444</v>
      </c>
      <c r="G1896" s="59" t="n">
        <f aca="false">F1896-E1896</f>
        <v>0.000763888796296296</v>
      </c>
      <c r="H1896" s="57" t="s">
        <v>252</v>
      </c>
      <c r="I1896" s="57"/>
      <c r="J1896" s="57" t="s">
        <v>333</v>
      </c>
      <c r="K1896" s="57" t="s">
        <v>334</v>
      </c>
      <c r="L1896" s="57" t="s">
        <v>2754</v>
      </c>
      <c r="M1896" s="57" t="s">
        <v>336</v>
      </c>
      <c r="N1896" s="57" t="s">
        <v>381</v>
      </c>
      <c r="O1896" s="57" t="s">
        <v>2755</v>
      </c>
      <c r="P1896" s="57"/>
      <c r="Q1896" s="57" t="s">
        <v>698</v>
      </c>
    </row>
    <row r="1897" s="50" customFormat="true" ht="14.25" hidden="false" customHeight="true" outlineLevel="0" collapsed="false">
      <c r="A1897" s="50" t="s">
        <v>651</v>
      </c>
      <c r="B1897" s="57" t="s">
        <v>651</v>
      </c>
      <c r="C1897" s="57" t="s">
        <v>1514</v>
      </c>
      <c r="D1897" s="58" t="n">
        <v>46070.5766435185</v>
      </c>
      <c r="E1897" s="58" t="n">
        <v>46070.5766435185</v>
      </c>
      <c r="F1897" s="58" t="n">
        <v>46070.5774189815</v>
      </c>
      <c r="G1897" s="59" t="n">
        <f aca="false">F1897-E1897</f>
        <v>0.000775462997685185</v>
      </c>
      <c r="H1897" s="57" t="s">
        <v>252</v>
      </c>
      <c r="I1897" s="57"/>
      <c r="J1897" s="57" t="s">
        <v>333</v>
      </c>
      <c r="K1897" s="57" t="s">
        <v>334</v>
      </c>
      <c r="L1897" s="57" t="s">
        <v>2754</v>
      </c>
      <c r="M1897" s="57" t="s">
        <v>336</v>
      </c>
      <c r="N1897" s="57" t="s">
        <v>381</v>
      </c>
      <c r="O1897" s="57" t="s">
        <v>2755</v>
      </c>
      <c r="P1897" s="57"/>
      <c r="Q1897" s="57" t="s">
        <v>698</v>
      </c>
    </row>
    <row r="1898" s="50" customFormat="true" ht="14.25" hidden="false" customHeight="true" outlineLevel="0" collapsed="false">
      <c r="A1898" s="50" t="s">
        <v>651</v>
      </c>
      <c r="B1898" s="57" t="s">
        <v>651</v>
      </c>
      <c r="C1898" s="57" t="s">
        <v>1514</v>
      </c>
      <c r="D1898" s="58" t="n">
        <v>46070.5737615741</v>
      </c>
      <c r="E1898" s="58" t="n">
        <v>46070.5737615741</v>
      </c>
      <c r="F1898" s="58" t="n">
        <v>46070.574537037</v>
      </c>
      <c r="G1898" s="59" t="n">
        <f aca="false">F1898-E1898</f>
        <v>0.000775462893518519</v>
      </c>
      <c r="H1898" s="57" t="s">
        <v>252</v>
      </c>
      <c r="I1898" s="57"/>
      <c r="J1898" s="57" t="s">
        <v>333</v>
      </c>
      <c r="K1898" s="57" t="s">
        <v>334</v>
      </c>
      <c r="L1898" s="57" t="s">
        <v>2754</v>
      </c>
      <c r="M1898" s="57" t="s">
        <v>336</v>
      </c>
      <c r="N1898" s="57" t="s">
        <v>381</v>
      </c>
      <c r="O1898" s="57" t="s">
        <v>2755</v>
      </c>
      <c r="P1898" s="57"/>
      <c r="Q1898" s="57" t="s">
        <v>698</v>
      </c>
    </row>
    <row r="1899" s="50" customFormat="true" ht="14.25" hidden="false" customHeight="true" outlineLevel="0" collapsed="false">
      <c r="A1899" s="50" t="s">
        <v>651</v>
      </c>
      <c r="B1899" s="57" t="s">
        <v>651</v>
      </c>
      <c r="C1899" s="57" t="s">
        <v>1514</v>
      </c>
      <c r="D1899" s="58" t="n">
        <v>46070.5702314815</v>
      </c>
      <c r="E1899" s="58" t="n">
        <v>46070.5702314815</v>
      </c>
      <c r="F1899" s="58" t="n">
        <v>46070.5709953704</v>
      </c>
      <c r="G1899" s="59" t="n">
        <f aca="false">F1899-E1899</f>
        <v>0.000763888888888889</v>
      </c>
      <c r="H1899" s="57" t="s">
        <v>252</v>
      </c>
      <c r="I1899" s="57"/>
      <c r="J1899" s="57" t="s">
        <v>333</v>
      </c>
      <c r="K1899" s="57" t="s">
        <v>334</v>
      </c>
      <c r="L1899" s="57" t="s">
        <v>2754</v>
      </c>
      <c r="M1899" s="57" t="s">
        <v>336</v>
      </c>
      <c r="N1899" s="57" t="s">
        <v>381</v>
      </c>
      <c r="O1899" s="57" t="s">
        <v>2755</v>
      </c>
      <c r="P1899" s="57"/>
      <c r="Q1899" s="57" t="s">
        <v>698</v>
      </c>
    </row>
    <row r="1900" s="50" customFormat="true" ht="14.25" hidden="false" customHeight="true" outlineLevel="0" collapsed="false">
      <c r="A1900" s="50" t="s">
        <v>651</v>
      </c>
      <c r="B1900" s="57" t="s">
        <v>651</v>
      </c>
      <c r="C1900" s="57" t="s">
        <v>1514</v>
      </c>
      <c r="D1900" s="58" t="n">
        <v>46070.5561226852</v>
      </c>
      <c r="E1900" s="58" t="n">
        <v>46070.5561226852</v>
      </c>
      <c r="F1900" s="58" t="n">
        <v>46070.5569097222</v>
      </c>
      <c r="G1900" s="59" t="n">
        <f aca="false">F1900-E1900</f>
        <v>0.000787037002314815</v>
      </c>
      <c r="H1900" s="57" t="s">
        <v>252</v>
      </c>
      <c r="I1900" s="57"/>
      <c r="J1900" s="57" t="s">
        <v>333</v>
      </c>
      <c r="K1900" s="57" t="s">
        <v>334</v>
      </c>
      <c r="L1900" s="57" t="s">
        <v>2754</v>
      </c>
      <c r="M1900" s="57" t="s">
        <v>336</v>
      </c>
      <c r="N1900" s="57" t="s">
        <v>381</v>
      </c>
      <c r="O1900" s="57" t="s">
        <v>2755</v>
      </c>
      <c r="P1900" s="57"/>
      <c r="Q1900" s="57" t="s">
        <v>698</v>
      </c>
    </row>
    <row r="1901" s="50" customFormat="true" ht="14.25" hidden="false" customHeight="true" outlineLevel="0" collapsed="false">
      <c r="A1901" s="50" t="s">
        <v>651</v>
      </c>
      <c r="B1901" s="57" t="s">
        <v>651</v>
      </c>
      <c r="C1901" s="57" t="s">
        <v>1514</v>
      </c>
      <c r="D1901" s="58" t="n">
        <v>46070.5474074074</v>
      </c>
      <c r="E1901" s="58" t="n">
        <v>46070.5474074074</v>
      </c>
      <c r="F1901" s="58" t="n">
        <v>46070.5482407407</v>
      </c>
      <c r="G1901" s="59" t="n">
        <f aca="false">F1901-E1901</f>
        <v>0.000833333298611111</v>
      </c>
      <c r="H1901" s="57" t="s">
        <v>252</v>
      </c>
      <c r="I1901" s="57"/>
      <c r="J1901" s="57" t="s">
        <v>333</v>
      </c>
      <c r="K1901" s="57" t="s">
        <v>334</v>
      </c>
      <c r="L1901" s="57" t="s">
        <v>2754</v>
      </c>
      <c r="M1901" s="57" t="s">
        <v>336</v>
      </c>
      <c r="N1901" s="57" t="s">
        <v>381</v>
      </c>
      <c r="O1901" s="57" t="s">
        <v>2755</v>
      </c>
      <c r="P1901" s="57"/>
      <c r="Q1901" s="57" t="s">
        <v>698</v>
      </c>
    </row>
    <row r="1902" s="50" customFormat="true" ht="14.25" hidden="false" customHeight="true" outlineLevel="0" collapsed="false">
      <c r="A1902" s="50" t="s">
        <v>651</v>
      </c>
      <c r="B1902" s="57" t="s">
        <v>651</v>
      </c>
      <c r="C1902" s="57" t="s">
        <v>1514</v>
      </c>
      <c r="D1902" s="58" t="n">
        <v>46070.5445138889</v>
      </c>
      <c r="E1902" s="58" t="n">
        <v>46070.5445138889</v>
      </c>
      <c r="F1902" s="58" t="n">
        <v>46070.5453009259</v>
      </c>
      <c r="G1902" s="59" t="n">
        <f aca="false">F1902-E1902</f>
        <v>0.000787037002314815</v>
      </c>
      <c r="H1902" s="57" t="s">
        <v>252</v>
      </c>
      <c r="I1902" s="57"/>
      <c r="J1902" s="57" t="s">
        <v>333</v>
      </c>
      <c r="K1902" s="57" t="s">
        <v>334</v>
      </c>
      <c r="L1902" s="57" t="s">
        <v>2754</v>
      </c>
      <c r="M1902" s="57" t="s">
        <v>336</v>
      </c>
      <c r="N1902" s="57" t="s">
        <v>381</v>
      </c>
      <c r="O1902" s="57" t="s">
        <v>2755</v>
      </c>
      <c r="P1902" s="57"/>
      <c r="Q1902" s="57" t="s">
        <v>698</v>
      </c>
    </row>
    <row r="1903" s="50" customFormat="true" ht="14.25" hidden="false" customHeight="true" outlineLevel="0" collapsed="false">
      <c r="A1903" s="50" t="s">
        <v>651</v>
      </c>
      <c r="B1903" s="57" t="s">
        <v>651</v>
      </c>
      <c r="C1903" s="57" t="s">
        <v>1514</v>
      </c>
      <c r="D1903" s="58" t="n">
        <v>46070.5416782407</v>
      </c>
      <c r="E1903" s="58" t="n">
        <v>46070.5416782407</v>
      </c>
      <c r="F1903" s="58" t="n">
        <v>46070.5424421296</v>
      </c>
      <c r="G1903" s="59" t="n">
        <f aca="false">F1903-E1903</f>
        <v>0.000763888888888889</v>
      </c>
      <c r="H1903" s="57" t="s">
        <v>252</v>
      </c>
      <c r="I1903" s="57"/>
      <c r="J1903" s="57" t="s">
        <v>333</v>
      </c>
      <c r="K1903" s="57" t="s">
        <v>334</v>
      </c>
      <c r="L1903" s="57" t="s">
        <v>2754</v>
      </c>
      <c r="M1903" s="57" t="s">
        <v>336</v>
      </c>
      <c r="N1903" s="57" t="s">
        <v>381</v>
      </c>
      <c r="O1903" s="57" t="s">
        <v>2755</v>
      </c>
      <c r="P1903" s="57"/>
      <c r="Q1903" s="57" t="s">
        <v>698</v>
      </c>
    </row>
    <row r="1904" s="50" customFormat="true" ht="14.25" hidden="false" customHeight="true" outlineLevel="0" collapsed="false">
      <c r="A1904" s="50" t="s">
        <v>651</v>
      </c>
      <c r="B1904" s="57" t="s">
        <v>651</v>
      </c>
      <c r="C1904" s="57" t="s">
        <v>1514</v>
      </c>
      <c r="D1904" s="58" t="n">
        <v>46070.5388078704</v>
      </c>
      <c r="E1904" s="58" t="n">
        <v>46070.5388078704</v>
      </c>
      <c r="F1904" s="58" t="n">
        <v>46070.5395833333</v>
      </c>
      <c r="G1904" s="59" t="n">
        <f aca="false">F1904-E1904</f>
        <v>0.000775462905092593</v>
      </c>
      <c r="H1904" s="57" t="s">
        <v>252</v>
      </c>
      <c r="I1904" s="57"/>
      <c r="J1904" s="57" t="s">
        <v>333</v>
      </c>
      <c r="K1904" s="57" t="s">
        <v>334</v>
      </c>
      <c r="L1904" s="57" t="s">
        <v>2754</v>
      </c>
      <c r="M1904" s="57" t="s">
        <v>336</v>
      </c>
      <c r="N1904" s="57" t="s">
        <v>381</v>
      </c>
      <c r="O1904" s="57" t="s">
        <v>2755</v>
      </c>
      <c r="P1904" s="57"/>
      <c r="Q1904" s="57" t="s">
        <v>698</v>
      </c>
    </row>
    <row r="1905" s="50" customFormat="true" ht="14.25" hidden="false" customHeight="true" outlineLevel="0" collapsed="false">
      <c r="A1905" s="50" t="s">
        <v>651</v>
      </c>
      <c r="B1905" s="57" t="s">
        <v>651</v>
      </c>
      <c r="C1905" s="57" t="s">
        <v>1514</v>
      </c>
      <c r="D1905" s="58" t="n">
        <v>46070.5358680556</v>
      </c>
      <c r="E1905" s="58" t="n">
        <v>46070.5358680556</v>
      </c>
      <c r="F1905" s="58" t="n">
        <v>46070.5366435185</v>
      </c>
      <c r="G1905" s="59" t="n">
        <f aca="false">F1905-E1905</f>
        <v>0.000775462893518519</v>
      </c>
      <c r="H1905" s="57" t="s">
        <v>252</v>
      </c>
      <c r="I1905" s="57"/>
      <c r="J1905" s="57" t="s">
        <v>333</v>
      </c>
      <c r="K1905" s="57" t="s">
        <v>334</v>
      </c>
      <c r="L1905" s="57" t="s">
        <v>2754</v>
      </c>
      <c r="M1905" s="57" t="s">
        <v>336</v>
      </c>
      <c r="N1905" s="57" t="s">
        <v>381</v>
      </c>
      <c r="O1905" s="57" t="s">
        <v>2755</v>
      </c>
      <c r="P1905" s="57"/>
      <c r="Q1905" s="57" t="s">
        <v>698</v>
      </c>
    </row>
    <row r="1906" s="50" customFormat="true" ht="14.25" hidden="false" customHeight="true" outlineLevel="0" collapsed="false">
      <c r="A1906" s="50" t="s">
        <v>651</v>
      </c>
      <c r="B1906" s="57" t="s">
        <v>651</v>
      </c>
      <c r="C1906" s="57" t="s">
        <v>1514</v>
      </c>
      <c r="D1906" s="58" t="n">
        <v>46070.5242939815</v>
      </c>
      <c r="E1906" s="58" t="n">
        <v>46070.5242939815</v>
      </c>
      <c r="F1906" s="58" t="n">
        <v>46070.5250694445</v>
      </c>
      <c r="G1906" s="59" t="n">
        <f aca="false">F1906-E1906</f>
        <v>0.000775462997685185</v>
      </c>
      <c r="H1906" s="57" t="s">
        <v>252</v>
      </c>
      <c r="I1906" s="57"/>
      <c r="J1906" s="57" t="s">
        <v>333</v>
      </c>
      <c r="K1906" s="57" t="s">
        <v>334</v>
      </c>
      <c r="L1906" s="57" t="s">
        <v>2754</v>
      </c>
      <c r="M1906" s="57" t="s">
        <v>336</v>
      </c>
      <c r="N1906" s="57" t="s">
        <v>381</v>
      </c>
      <c r="O1906" s="57" t="s">
        <v>2755</v>
      </c>
      <c r="P1906" s="57"/>
      <c r="Q1906" s="57" t="s">
        <v>698</v>
      </c>
    </row>
    <row r="1907" s="50" customFormat="true" ht="14.25" hidden="false" customHeight="true" outlineLevel="0" collapsed="false">
      <c r="A1907" s="50" t="s">
        <v>651</v>
      </c>
      <c r="B1907" s="57" t="s">
        <v>651</v>
      </c>
      <c r="C1907" s="57" t="s">
        <v>1514</v>
      </c>
      <c r="D1907" s="58" t="n">
        <v>46070.5202662037</v>
      </c>
      <c r="E1907" s="58" t="n">
        <v>46070.5202662037</v>
      </c>
      <c r="F1907" s="58" t="n">
        <v>46070.5210300926</v>
      </c>
      <c r="G1907" s="59" t="n">
        <f aca="false">F1907-E1907</f>
        <v>0.000763888888888889</v>
      </c>
      <c r="H1907" s="57" t="s">
        <v>252</v>
      </c>
      <c r="I1907" s="57"/>
      <c r="J1907" s="57" t="s">
        <v>333</v>
      </c>
      <c r="K1907" s="57" t="s">
        <v>334</v>
      </c>
      <c r="L1907" s="57" t="s">
        <v>2754</v>
      </c>
      <c r="M1907" s="57" t="s">
        <v>336</v>
      </c>
      <c r="N1907" s="57" t="s">
        <v>381</v>
      </c>
      <c r="O1907" s="57" t="s">
        <v>2755</v>
      </c>
      <c r="P1907" s="57"/>
      <c r="Q1907" s="57" t="s">
        <v>698</v>
      </c>
    </row>
    <row r="1908" s="50" customFormat="true" ht="14.25" hidden="false" customHeight="true" outlineLevel="0" collapsed="false">
      <c r="A1908" s="50" t="s">
        <v>651</v>
      </c>
      <c r="B1908" s="57" t="s">
        <v>651</v>
      </c>
      <c r="C1908" s="57" t="s">
        <v>1514</v>
      </c>
      <c r="D1908" s="58" t="n">
        <v>46070.5160763889</v>
      </c>
      <c r="E1908" s="58" t="n">
        <v>46070.5160763889</v>
      </c>
      <c r="F1908" s="58" t="n">
        <v>46070.5168518519</v>
      </c>
      <c r="G1908" s="59" t="n">
        <f aca="false">F1908-E1908</f>
        <v>0.000775462997685185</v>
      </c>
      <c r="H1908" s="57" t="s">
        <v>252</v>
      </c>
      <c r="I1908" s="57"/>
      <c r="J1908" s="57" t="s">
        <v>333</v>
      </c>
      <c r="K1908" s="57" t="s">
        <v>334</v>
      </c>
      <c r="L1908" s="57" t="s">
        <v>2754</v>
      </c>
      <c r="M1908" s="57" t="s">
        <v>336</v>
      </c>
      <c r="N1908" s="57" t="s">
        <v>381</v>
      </c>
      <c r="O1908" s="57" t="s">
        <v>2755</v>
      </c>
      <c r="P1908" s="57"/>
      <c r="Q1908" s="57" t="s">
        <v>698</v>
      </c>
    </row>
    <row r="1909" s="50" customFormat="true" ht="14.25" hidden="false" customHeight="true" outlineLevel="0" collapsed="false">
      <c r="A1909" s="50" t="s">
        <v>651</v>
      </c>
      <c r="B1909" s="57" t="s">
        <v>651</v>
      </c>
      <c r="C1909" s="57" t="s">
        <v>1514</v>
      </c>
      <c r="D1909" s="58" t="n">
        <v>46070.5122222222</v>
      </c>
      <c r="E1909" s="58" t="n">
        <v>46070.5122222222</v>
      </c>
      <c r="F1909" s="58" t="n">
        <v>46070.5129976852</v>
      </c>
      <c r="G1909" s="59" t="n">
        <f aca="false">F1909-E1909</f>
        <v>0.000775462997685185</v>
      </c>
      <c r="H1909" s="57" t="s">
        <v>252</v>
      </c>
      <c r="I1909" s="57"/>
      <c r="J1909" s="57" t="s">
        <v>333</v>
      </c>
      <c r="K1909" s="57" t="s">
        <v>334</v>
      </c>
      <c r="L1909" s="57" t="s">
        <v>2754</v>
      </c>
      <c r="M1909" s="57" t="s">
        <v>336</v>
      </c>
      <c r="N1909" s="57" t="s">
        <v>381</v>
      </c>
      <c r="O1909" s="57" t="s">
        <v>2755</v>
      </c>
      <c r="P1909" s="57"/>
      <c r="Q1909" s="57" t="s">
        <v>698</v>
      </c>
    </row>
    <row r="1910" s="50" customFormat="true" ht="14.25" hidden="false" customHeight="true" outlineLevel="0" collapsed="false">
      <c r="A1910" s="50" t="s">
        <v>651</v>
      </c>
      <c r="B1910" s="57" t="s">
        <v>651</v>
      </c>
      <c r="C1910" s="57" t="s">
        <v>1514</v>
      </c>
      <c r="D1910" s="58" t="n">
        <v>46070.5089814815</v>
      </c>
      <c r="E1910" s="58" t="n">
        <v>46070.5089814815</v>
      </c>
      <c r="F1910" s="58" t="n">
        <v>46070.5097453704</v>
      </c>
      <c r="G1910" s="59" t="n">
        <f aca="false">F1910-E1910</f>
        <v>0.000763888888888889</v>
      </c>
      <c r="H1910" s="57" t="s">
        <v>252</v>
      </c>
      <c r="I1910" s="57"/>
      <c r="J1910" s="57" t="s">
        <v>333</v>
      </c>
      <c r="K1910" s="57" t="s">
        <v>334</v>
      </c>
      <c r="L1910" s="57" t="s">
        <v>2754</v>
      </c>
      <c r="M1910" s="57" t="s">
        <v>336</v>
      </c>
      <c r="N1910" s="57" t="s">
        <v>381</v>
      </c>
      <c r="O1910" s="57" t="s">
        <v>2755</v>
      </c>
      <c r="P1910" s="57"/>
      <c r="Q1910" s="57" t="s">
        <v>698</v>
      </c>
    </row>
    <row r="1911" s="50" customFormat="true" ht="14.25" hidden="false" customHeight="true" outlineLevel="0" collapsed="false">
      <c r="A1911" s="50" t="s">
        <v>651</v>
      </c>
      <c r="B1911" s="57" t="s">
        <v>651</v>
      </c>
      <c r="C1911" s="57" t="s">
        <v>1514</v>
      </c>
      <c r="D1911" s="58" t="n">
        <v>46070.5043865741</v>
      </c>
      <c r="E1911" s="58" t="n">
        <v>46070.5043865741</v>
      </c>
      <c r="F1911" s="58" t="n">
        <v>46070.5051736111</v>
      </c>
      <c r="G1911" s="59" t="n">
        <f aca="false">F1911-E1911</f>
        <v>0.000787036990740741</v>
      </c>
      <c r="H1911" s="57" t="s">
        <v>252</v>
      </c>
      <c r="I1911" s="57"/>
      <c r="J1911" s="57" t="s">
        <v>333</v>
      </c>
      <c r="K1911" s="57" t="s">
        <v>334</v>
      </c>
      <c r="L1911" s="57" t="s">
        <v>2754</v>
      </c>
      <c r="M1911" s="57" t="s">
        <v>336</v>
      </c>
      <c r="N1911" s="57" t="s">
        <v>381</v>
      </c>
      <c r="O1911" s="57" t="s">
        <v>2755</v>
      </c>
      <c r="P1911" s="57"/>
      <c r="Q1911" s="57" t="s">
        <v>698</v>
      </c>
    </row>
    <row r="1912" s="50" customFormat="true" ht="14.25" hidden="false" customHeight="true" outlineLevel="0" collapsed="false">
      <c r="A1912" s="50" t="s">
        <v>651</v>
      </c>
      <c r="B1912" s="57" t="s">
        <v>651</v>
      </c>
      <c r="C1912" s="57" t="s">
        <v>1514</v>
      </c>
      <c r="D1912" s="58" t="n">
        <v>46070.5001388889</v>
      </c>
      <c r="E1912" s="58" t="n">
        <v>46070.5001388889</v>
      </c>
      <c r="F1912" s="58" t="n">
        <v>46070.5009143519</v>
      </c>
      <c r="G1912" s="59" t="n">
        <f aca="false">F1912-E1912</f>
        <v>0.000775462997685185</v>
      </c>
      <c r="H1912" s="57" t="s">
        <v>252</v>
      </c>
      <c r="I1912" s="57"/>
      <c r="J1912" s="57" t="s">
        <v>333</v>
      </c>
      <c r="K1912" s="57" t="s">
        <v>334</v>
      </c>
      <c r="L1912" s="57" t="s">
        <v>2754</v>
      </c>
      <c r="M1912" s="57" t="s">
        <v>336</v>
      </c>
      <c r="N1912" s="57" t="s">
        <v>381</v>
      </c>
      <c r="O1912" s="57" t="s">
        <v>2755</v>
      </c>
      <c r="P1912" s="57"/>
      <c r="Q1912" s="57" t="s">
        <v>698</v>
      </c>
    </row>
    <row r="1913" s="50" customFormat="true" ht="14.25" hidden="false" customHeight="true" outlineLevel="0" collapsed="false">
      <c r="A1913" s="50" t="s">
        <v>651</v>
      </c>
      <c r="B1913" s="57" t="s">
        <v>651</v>
      </c>
      <c r="C1913" s="57" t="s">
        <v>1514</v>
      </c>
      <c r="D1913" s="58" t="n">
        <v>46070.495625</v>
      </c>
      <c r="E1913" s="58" t="n">
        <v>46070.495625</v>
      </c>
      <c r="F1913" s="58" t="n">
        <v>46070.496412037</v>
      </c>
      <c r="G1913" s="59" t="n">
        <f aca="false">F1913-E1913</f>
        <v>0.000787036990740741</v>
      </c>
      <c r="H1913" s="57" t="s">
        <v>252</v>
      </c>
      <c r="I1913" s="57"/>
      <c r="J1913" s="57" t="s">
        <v>333</v>
      </c>
      <c r="K1913" s="57" t="s">
        <v>334</v>
      </c>
      <c r="L1913" s="57" t="s">
        <v>2754</v>
      </c>
      <c r="M1913" s="57" t="s">
        <v>336</v>
      </c>
      <c r="N1913" s="57" t="s">
        <v>381</v>
      </c>
      <c r="O1913" s="57" t="s">
        <v>2755</v>
      </c>
      <c r="P1913" s="57"/>
      <c r="Q1913" s="57" t="s">
        <v>698</v>
      </c>
    </row>
    <row r="1914" s="50" customFormat="true" ht="14.25" hidden="false" customHeight="true" outlineLevel="0" collapsed="false">
      <c r="A1914" s="50" t="s">
        <v>651</v>
      </c>
      <c r="B1914" s="57" t="s">
        <v>651</v>
      </c>
      <c r="C1914" s="57" t="s">
        <v>1514</v>
      </c>
      <c r="D1914" s="58" t="n">
        <v>46070.4912037037</v>
      </c>
      <c r="E1914" s="58" t="n">
        <v>46070.4912037037</v>
      </c>
      <c r="F1914" s="58" t="n">
        <v>46070.4919675926</v>
      </c>
      <c r="G1914" s="59" t="n">
        <f aca="false">F1914-E1914</f>
        <v>0.000763888888888889</v>
      </c>
      <c r="H1914" s="57" t="s">
        <v>252</v>
      </c>
      <c r="I1914" s="57"/>
      <c r="J1914" s="57" t="s">
        <v>333</v>
      </c>
      <c r="K1914" s="57" t="s">
        <v>334</v>
      </c>
      <c r="L1914" s="57" t="s">
        <v>2754</v>
      </c>
      <c r="M1914" s="57" t="s">
        <v>336</v>
      </c>
      <c r="N1914" s="57" t="s">
        <v>381</v>
      </c>
      <c r="O1914" s="57" t="s">
        <v>2755</v>
      </c>
      <c r="P1914" s="57"/>
      <c r="Q1914" s="57" t="s">
        <v>698</v>
      </c>
    </row>
    <row r="1915" s="50" customFormat="true" ht="14.25" hidden="false" customHeight="true" outlineLevel="0" collapsed="false">
      <c r="A1915" s="50" t="s">
        <v>651</v>
      </c>
      <c r="B1915" s="57" t="s">
        <v>651</v>
      </c>
      <c r="C1915" s="57" t="s">
        <v>1514</v>
      </c>
      <c r="D1915" s="58" t="n">
        <v>46070.4873611111</v>
      </c>
      <c r="E1915" s="58" t="n">
        <v>46070.4873611111</v>
      </c>
      <c r="F1915" s="58" t="n">
        <v>46070.4881365741</v>
      </c>
      <c r="G1915" s="59" t="n">
        <f aca="false">F1915-E1915</f>
        <v>0.000775462997685185</v>
      </c>
      <c r="H1915" s="57" t="s">
        <v>252</v>
      </c>
      <c r="I1915" s="57"/>
      <c r="J1915" s="57" t="s">
        <v>333</v>
      </c>
      <c r="K1915" s="57" t="s">
        <v>334</v>
      </c>
      <c r="L1915" s="57" t="s">
        <v>2754</v>
      </c>
      <c r="M1915" s="57" t="s">
        <v>336</v>
      </c>
      <c r="N1915" s="57" t="s">
        <v>381</v>
      </c>
      <c r="O1915" s="57" t="s">
        <v>2755</v>
      </c>
      <c r="P1915" s="57"/>
      <c r="Q1915" s="57" t="s">
        <v>698</v>
      </c>
    </row>
    <row r="1916" s="50" customFormat="true" ht="14.25" hidden="false" customHeight="true" outlineLevel="0" collapsed="false">
      <c r="A1916" s="50" t="s">
        <v>651</v>
      </c>
      <c r="B1916" s="57" t="s">
        <v>651</v>
      </c>
      <c r="C1916" s="57" t="s">
        <v>1514</v>
      </c>
      <c r="D1916" s="58" t="n">
        <v>46070.4836226852</v>
      </c>
      <c r="E1916" s="58" t="n">
        <v>46070.4836226852</v>
      </c>
      <c r="F1916" s="58" t="n">
        <v>46070.4843865741</v>
      </c>
      <c r="G1916" s="59" t="n">
        <f aca="false">F1916-E1916</f>
        <v>0.000763888888888889</v>
      </c>
      <c r="H1916" s="57" t="s">
        <v>252</v>
      </c>
      <c r="I1916" s="57"/>
      <c r="J1916" s="57" t="s">
        <v>333</v>
      </c>
      <c r="K1916" s="57" t="s">
        <v>334</v>
      </c>
      <c r="L1916" s="57" t="s">
        <v>2754</v>
      </c>
      <c r="M1916" s="57" t="s">
        <v>336</v>
      </c>
      <c r="N1916" s="57" t="s">
        <v>381</v>
      </c>
      <c r="O1916" s="57" t="s">
        <v>2755</v>
      </c>
      <c r="P1916" s="57"/>
      <c r="Q1916" s="57" t="s">
        <v>698</v>
      </c>
    </row>
    <row r="1917" s="50" customFormat="true" ht="14.25" hidden="false" customHeight="true" outlineLevel="0" collapsed="false">
      <c r="A1917" s="50" t="s">
        <v>651</v>
      </c>
      <c r="B1917" s="57" t="s">
        <v>651</v>
      </c>
      <c r="C1917" s="57" t="s">
        <v>1514</v>
      </c>
      <c r="D1917" s="58" t="n">
        <v>46070.4800462963</v>
      </c>
      <c r="E1917" s="58" t="n">
        <v>46070.4800462963</v>
      </c>
      <c r="F1917" s="58" t="n">
        <v>46070.4808217593</v>
      </c>
      <c r="G1917" s="59" t="n">
        <f aca="false">F1917-E1917</f>
        <v>0.000775462997685185</v>
      </c>
      <c r="H1917" s="57" t="s">
        <v>252</v>
      </c>
      <c r="I1917" s="57"/>
      <c r="J1917" s="57" t="s">
        <v>333</v>
      </c>
      <c r="K1917" s="57" t="s">
        <v>334</v>
      </c>
      <c r="L1917" s="57" t="s">
        <v>2754</v>
      </c>
      <c r="M1917" s="57" t="s">
        <v>336</v>
      </c>
      <c r="N1917" s="57" t="s">
        <v>381</v>
      </c>
      <c r="O1917" s="57" t="s">
        <v>2755</v>
      </c>
      <c r="P1917" s="57"/>
      <c r="Q1917" s="57" t="s">
        <v>698</v>
      </c>
    </row>
    <row r="1918" s="50" customFormat="true" ht="14.25" hidden="false" customHeight="true" outlineLevel="0" collapsed="false">
      <c r="A1918" s="50" t="s">
        <v>651</v>
      </c>
      <c r="B1918" s="57" t="s">
        <v>651</v>
      </c>
      <c r="C1918" s="57" t="s">
        <v>1514</v>
      </c>
      <c r="D1918" s="58" t="n">
        <v>46070.47625</v>
      </c>
      <c r="E1918" s="58" t="n">
        <v>46070.47625</v>
      </c>
      <c r="F1918" s="58" t="n">
        <v>46070.4770138889</v>
      </c>
      <c r="G1918" s="59" t="n">
        <f aca="false">F1918-E1918</f>
        <v>0.000763888888888889</v>
      </c>
      <c r="H1918" s="57" t="s">
        <v>252</v>
      </c>
      <c r="I1918" s="57"/>
      <c r="J1918" s="57" t="s">
        <v>333</v>
      </c>
      <c r="K1918" s="57" t="s">
        <v>334</v>
      </c>
      <c r="L1918" s="57" t="s">
        <v>2754</v>
      </c>
      <c r="M1918" s="57" t="s">
        <v>336</v>
      </c>
      <c r="N1918" s="57" t="s">
        <v>381</v>
      </c>
      <c r="O1918" s="57" t="s">
        <v>2755</v>
      </c>
      <c r="P1918" s="57"/>
      <c r="Q1918" s="57" t="s">
        <v>698</v>
      </c>
    </row>
    <row r="1919" s="50" customFormat="true" ht="14.25" hidden="false" customHeight="true" outlineLevel="0" collapsed="false">
      <c r="A1919" s="50" t="s">
        <v>651</v>
      </c>
      <c r="B1919" s="57" t="s">
        <v>651</v>
      </c>
      <c r="C1919" s="57" t="s">
        <v>1514</v>
      </c>
      <c r="D1919" s="58" t="n">
        <v>46070.4722916667</v>
      </c>
      <c r="E1919" s="58" t="n">
        <v>46070.4722916667</v>
      </c>
      <c r="F1919" s="58" t="n">
        <v>46070.4730787037</v>
      </c>
      <c r="G1919" s="59" t="n">
        <f aca="false">F1919-E1919</f>
        <v>0.000787036990740741</v>
      </c>
      <c r="H1919" s="57" t="s">
        <v>252</v>
      </c>
      <c r="I1919" s="57"/>
      <c r="J1919" s="57" t="s">
        <v>333</v>
      </c>
      <c r="K1919" s="57" t="s">
        <v>334</v>
      </c>
      <c r="L1919" s="57" t="s">
        <v>2754</v>
      </c>
      <c r="M1919" s="57" t="s">
        <v>336</v>
      </c>
      <c r="N1919" s="57" t="s">
        <v>381</v>
      </c>
      <c r="O1919" s="57" t="s">
        <v>2755</v>
      </c>
      <c r="P1919" s="57"/>
      <c r="Q1919" s="57" t="s">
        <v>698</v>
      </c>
    </row>
    <row r="1920" s="50" customFormat="true" ht="14.25" hidden="false" customHeight="true" outlineLevel="0" collapsed="false">
      <c r="A1920" s="50" t="s">
        <v>651</v>
      </c>
      <c r="B1920" s="57" t="s">
        <v>651</v>
      </c>
      <c r="C1920" s="57" t="s">
        <v>1514</v>
      </c>
      <c r="D1920" s="58" t="n">
        <v>46070.4682291667</v>
      </c>
      <c r="E1920" s="58" t="n">
        <v>46070.4682291667</v>
      </c>
      <c r="F1920" s="58" t="n">
        <v>46070.4690046296</v>
      </c>
      <c r="G1920" s="59" t="n">
        <f aca="false">F1920-E1920</f>
        <v>0.000775462905092593</v>
      </c>
      <c r="H1920" s="57" t="s">
        <v>252</v>
      </c>
      <c r="I1920" s="57"/>
      <c r="J1920" s="57" t="s">
        <v>333</v>
      </c>
      <c r="K1920" s="57" t="s">
        <v>334</v>
      </c>
      <c r="L1920" s="57" t="s">
        <v>2754</v>
      </c>
      <c r="M1920" s="57" t="s">
        <v>336</v>
      </c>
      <c r="N1920" s="57" t="s">
        <v>381</v>
      </c>
      <c r="O1920" s="57" t="s">
        <v>2755</v>
      </c>
      <c r="P1920" s="57"/>
      <c r="Q1920" s="57" t="s">
        <v>698</v>
      </c>
    </row>
    <row r="1921" s="50" customFormat="true" ht="14.25" hidden="false" customHeight="true" outlineLevel="0" collapsed="false">
      <c r="A1921" s="50" t="s">
        <v>651</v>
      </c>
      <c r="B1921" s="57" t="s">
        <v>651</v>
      </c>
      <c r="C1921" s="57" t="s">
        <v>1514</v>
      </c>
      <c r="D1921" s="58" t="n">
        <v>46070.4641782407</v>
      </c>
      <c r="E1921" s="58" t="n">
        <v>46070.4641782407</v>
      </c>
      <c r="F1921" s="58" t="n">
        <v>46070.4649884259</v>
      </c>
      <c r="G1921" s="59" t="n">
        <f aca="false">F1921-E1921</f>
        <v>0.000810185196759259</v>
      </c>
      <c r="H1921" s="57" t="s">
        <v>252</v>
      </c>
      <c r="I1921" s="57"/>
      <c r="J1921" s="57" t="s">
        <v>333</v>
      </c>
      <c r="K1921" s="57" t="s">
        <v>334</v>
      </c>
      <c r="L1921" s="57" t="s">
        <v>2754</v>
      </c>
      <c r="M1921" s="57" t="s">
        <v>336</v>
      </c>
      <c r="N1921" s="57" t="s">
        <v>381</v>
      </c>
      <c r="O1921" s="57" t="s">
        <v>2755</v>
      </c>
      <c r="P1921" s="57"/>
      <c r="Q1921" s="57" t="s">
        <v>698</v>
      </c>
    </row>
    <row r="1922" s="50" customFormat="true" ht="14.25" hidden="false" customHeight="true" outlineLevel="0" collapsed="false">
      <c r="A1922" s="50" t="s">
        <v>651</v>
      </c>
      <c r="B1922" s="57" t="s">
        <v>651</v>
      </c>
      <c r="C1922" s="57" t="s">
        <v>1514</v>
      </c>
      <c r="D1922" s="58" t="n">
        <v>46070.4601388889</v>
      </c>
      <c r="E1922" s="58" t="n">
        <v>46070.4601388889</v>
      </c>
      <c r="F1922" s="58" t="n">
        <v>46070.4609259259</v>
      </c>
      <c r="G1922" s="59" t="n">
        <f aca="false">F1922-E1922</f>
        <v>0.000787037002314815</v>
      </c>
      <c r="H1922" s="57" t="s">
        <v>252</v>
      </c>
      <c r="I1922" s="57"/>
      <c r="J1922" s="57" t="s">
        <v>333</v>
      </c>
      <c r="K1922" s="57" t="s">
        <v>334</v>
      </c>
      <c r="L1922" s="57" t="s">
        <v>2754</v>
      </c>
      <c r="M1922" s="57" t="s">
        <v>336</v>
      </c>
      <c r="N1922" s="57" t="s">
        <v>381</v>
      </c>
      <c r="O1922" s="57" t="s">
        <v>2755</v>
      </c>
      <c r="P1922" s="57"/>
      <c r="Q1922" s="57" t="s">
        <v>698</v>
      </c>
    </row>
    <row r="1923" s="50" customFormat="true" ht="14.25" hidden="false" customHeight="true" outlineLevel="0" collapsed="false">
      <c r="A1923" s="50" t="s">
        <v>651</v>
      </c>
      <c r="B1923" s="57" t="s">
        <v>651</v>
      </c>
      <c r="C1923" s="57" t="s">
        <v>1514</v>
      </c>
      <c r="D1923" s="58" t="n">
        <v>46070.456087963</v>
      </c>
      <c r="E1923" s="58" t="n">
        <v>46070.456087963</v>
      </c>
      <c r="F1923" s="58" t="n">
        <v>46070.4568634259</v>
      </c>
      <c r="G1923" s="59" t="n">
        <f aca="false">F1923-E1923</f>
        <v>0.000775462893518519</v>
      </c>
      <c r="H1923" s="57" t="s">
        <v>252</v>
      </c>
      <c r="I1923" s="57"/>
      <c r="J1923" s="57" t="s">
        <v>333</v>
      </c>
      <c r="K1923" s="57" t="s">
        <v>334</v>
      </c>
      <c r="L1923" s="57" t="s">
        <v>2754</v>
      </c>
      <c r="M1923" s="57" t="s">
        <v>336</v>
      </c>
      <c r="N1923" s="57" t="s">
        <v>381</v>
      </c>
      <c r="O1923" s="57" t="s">
        <v>2755</v>
      </c>
      <c r="P1923" s="57"/>
      <c r="Q1923" s="57" t="s">
        <v>698</v>
      </c>
    </row>
    <row r="1924" s="50" customFormat="true" ht="14.25" hidden="false" customHeight="true" outlineLevel="0" collapsed="false">
      <c r="A1924" s="50" t="s">
        <v>651</v>
      </c>
      <c r="B1924" s="57" t="s">
        <v>651</v>
      </c>
      <c r="C1924" s="57" t="s">
        <v>1514</v>
      </c>
      <c r="D1924" s="58" t="n">
        <v>46070.4521296296</v>
      </c>
      <c r="E1924" s="58" t="n">
        <v>46070.4521296296</v>
      </c>
      <c r="F1924" s="58" t="n">
        <v>46070.4529050926</v>
      </c>
      <c r="G1924" s="59" t="n">
        <f aca="false">F1924-E1924</f>
        <v>0.000775462997685185</v>
      </c>
      <c r="H1924" s="57" t="s">
        <v>252</v>
      </c>
      <c r="I1924" s="57"/>
      <c r="J1924" s="57" t="s">
        <v>333</v>
      </c>
      <c r="K1924" s="57" t="s">
        <v>334</v>
      </c>
      <c r="L1924" s="57" t="s">
        <v>2754</v>
      </c>
      <c r="M1924" s="57" t="s">
        <v>336</v>
      </c>
      <c r="N1924" s="57" t="s">
        <v>381</v>
      </c>
      <c r="O1924" s="57" t="s">
        <v>2755</v>
      </c>
      <c r="P1924" s="57"/>
      <c r="Q1924" s="57" t="s">
        <v>698</v>
      </c>
    </row>
    <row r="1925" s="50" customFormat="true" ht="14.25" hidden="false" customHeight="true" outlineLevel="0" collapsed="false">
      <c r="A1925" s="50" t="s">
        <v>651</v>
      </c>
      <c r="B1925" s="57" t="s">
        <v>651</v>
      </c>
      <c r="C1925" s="57" t="s">
        <v>1514</v>
      </c>
      <c r="D1925" s="58" t="n">
        <v>46070.4479398148</v>
      </c>
      <c r="E1925" s="58" t="n">
        <v>46070.4479398148</v>
      </c>
      <c r="F1925" s="58" t="n">
        <v>46070.4487152778</v>
      </c>
      <c r="G1925" s="59" t="n">
        <f aca="false">F1925-E1925</f>
        <v>0.000775462997685185</v>
      </c>
      <c r="H1925" s="57" t="s">
        <v>252</v>
      </c>
      <c r="I1925" s="57"/>
      <c r="J1925" s="57" t="s">
        <v>333</v>
      </c>
      <c r="K1925" s="57" t="s">
        <v>334</v>
      </c>
      <c r="L1925" s="57" t="s">
        <v>2754</v>
      </c>
      <c r="M1925" s="57" t="s">
        <v>336</v>
      </c>
      <c r="N1925" s="57" t="s">
        <v>381</v>
      </c>
      <c r="O1925" s="57" t="s">
        <v>2755</v>
      </c>
      <c r="P1925" s="57"/>
      <c r="Q1925" s="57" t="s">
        <v>698</v>
      </c>
    </row>
    <row r="1926" s="50" customFormat="true" ht="14.25" hidden="false" customHeight="true" outlineLevel="0" collapsed="false">
      <c r="A1926" s="50" t="s">
        <v>651</v>
      </c>
      <c r="B1926" s="57" t="s">
        <v>651</v>
      </c>
      <c r="C1926" s="57" t="s">
        <v>1514</v>
      </c>
      <c r="D1926" s="58" t="n">
        <v>46070.4434259259</v>
      </c>
      <c r="E1926" s="58" t="n">
        <v>46070.4434259259</v>
      </c>
      <c r="F1926" s="58" t="n">
        <v>46070.444212963</v>
      </c>
      <c r="G1926" s="59" t="n">
        <f aca="false">F1926-E1926</f>
        <v>0.000787037094907407</v>
      </c>
      <c r="H1926" s="57" t="s">
        <v>252</v>
      </c>
      <c r="I1926" s="57"/>
      <c r="J1926" s="57" t="s">
        <v>333</v>
      </c>
      <c r="K1926" s="57" t="s">
        <v>334</v>
      </c>
      <c r="L1926" s="57" t="s">
        <v>2754</v>
      </c>
      <c r="M1926" s="57" t="s">
        <v>336</v>
      </c>
      <c r="N1926" s="57" t="s">
        <v>381</v>
      </c>
      <c r="O1926" s="57" t="s">
        <v>2755</v>
      </c>
      <c r="P1926" s="57"/>
      <c r="Q1926" s="57" t="s">
        <v>698</v>
      </c>
    </row>
    <row r="1927" s="50" customFormat="true" ht="14.25" hidden="false" customHeight="true" outlineLevel="0" collapsed="false">
      <c r="A1927" s="50" t="s">
        <v>651</v>
      </c>
      <c r="B1927" s="57" t="s">
        <v>651</v>
      </c>
      <c r="C1927" s="57" t="s">
        <v>1514</v>
      </c>
      <c r="D1927" s="58" t="n">
        <v>46070.4384490741</v>
      </c>
      <c r="E1927" s="58" t="n">
        <v>46070.4384490741</v>
      </c>
      <c r="F1927" s="58" t="n">
        <v>46070.439224537</v>
      </c>
      <c r="G1927" s="59" t="n">
        <f aca="false">F1927-E1927</f>
        <v>0.000775462905092593</v>
      </c>
      <c r="H1927" s="57" t="s">
        <v>252</v>
      </c>
      <c r="I1927" s="57"/>
      <c r="J1927" s="57" t="s">
        <v>333</v>
      </c>
      <c r="K1927" s="57" t="s">
        <v>334</v>
      </c>
      <c r="L1927" s="57" t="s">
        <v>2754</v>
      </c>
      <c r="M1927" s="57" t="s">
        <v>336</v>
      </c>
      <c r="N1927" s="57" t="s">
        <v>381</v>
      </c>
      <c r="O1927" s="57" t="s">
        <v>2755</v>
      </c>
      <c r="P1927" s="57"/>
      <c r="Q1927" s="57" t="s">
        <v>698</v>
      </c>
    </row>
    <row r="1928" s="50" customFormat="true" ht="14.25" hidden="false" customHeight="true" outlineLevel="0" collapsed="false">
      <c r="A1928" s="50" t="s">
        <v>651</v>
      </c>
      <c r="B1928" s="57" t="s">
        <v>651</v>
      </c>
      <c r="C1928" s="57" t="s">
        <v>1514</v>
      </c>
      <c r="D1928" s="58" t="n">
        <v>46070.4336458333</v>
      </c>
      <c r="E1928" s="58" t="n">
        <v>46070.4336458333</v>
      </c>
      <c r="F1928" s="58" t="n">
        <v>46070.4344212963</v>
      </c>
      <c r="G1928" s="59" t="n">
        <f aca="false">F1928-E1928</f>
        <v>0.000775462997685185</v>
      </c>
      <c r="H1928" s="57" t="s">
        <v>252</v>
      </c>
      <c r="I1928" s="57"/>
      <c r="J1928" s="57" t="s">
        <v>333</v>
      </c>
      <c r="K1928" s="57" t="s">
        <v>334</v>
      </c>
      <c r="L1928" s="57" t="s">
        <v>2754</v>
      </c>
      <c r="M1928" s="57" t="s">
        <v>336</v>
      </c>
      <c r="N1928" s="57" t="s">
        <v>381</v>
      </c>
      <c r="O1928" s="57" t="s">
        <v>2755</v>
      </c>
      <c r="P1928" s="57"/>
      <c r="Q1928" s="57" t="s">
        <v>698</v>
      </c>
    </row>
    <row r="1929" s="50" customFormat="true" ht="14.25" hidden="false" customHeight="true" outlineLevel="0" collapsed="false">
      <c r="A1929" s="50" t="s">
        <v>651</v>
      </c>
      <c r="B1929" s="57" t="s">
        <v>651</v>
      </c>
      <c r="C1929" s="57" t="s">
        <v>1514</v>
      </c>
      <c r="D1929" s="58" t="n">
        <v>46070.4288888889</v>
      </c>
      <c r="E1929" s="58" t="n">
        <v>46070.4288888889</v>
      </c>
      <c r="F1929" s="58" t="n">
        <v>46070.4296643519</v>
      </c>
      <c r="G1929" s="59" t="n">
        <f aca="false">F1929-E1929</f>
        <v>0.000775462997685185</v>
      </c>
      <c r="H1929" s="57" t="s">
        <v>252</v>
      </c>
      <c r="I1929" s="57"/>
      <c r="J1929" s="57" t="s">
        <v>333</v>
      </c>
      <c r="K1929" s="57" t="s">
        <v>334</v>
      </c>
      <c r="L1929" s="57" t="s">
        <v>2754</v>
      </c>
      <c r="M1929" s="57" t="s">
        <v>336</v>
      </c>
      <c r="N1929" s="57" t="s">
        <v>381</v>
      </c>
      <c r="O1929" s="57" t="s">
        <v>2755</v>
      </c>
      <c r="P1929" s="57"/>
      <c r="Q1929" s="57" t="s">
        <v>698</v>
      </c>
    </row>
    <row r="1930" s="50" customFormat="true" ht="14.25" hidden="false" customHeight="true" outlineLevel="0" collapsed="false">
      <c r="A1930" s="50" t="s">
        <v>651</v>
      </c>
      <c r="B1930" s="57" t="s">
        <v>651</v>
      </c>
      <c r="C1930" s="57" t="s">
        <v>1514</v>
      </c>
      <c r="D1930" s="58" t="n">
        <v>46070.4229513889</v>
      </c>
      <c r="E1930" s="58" t="n">
        <v>46070.4229513889</v>
      </c>
      <c r="F1930" s="58" t="n">
        <v>46070.4237268519</v>
      </c>
      <c r="G1930" s="59" t="n">
        <f aca="false">F1930-E1930</f>
        <v>0.000775462997685185</v>
      </c>
      <c r="H1930" s="57" t="s">
        <v>252</v>
      </c>
      <c r="I1930" s="57"/>
      <c r="J1930" s="57" t="s">
        <v>333</v>
      </c>
      <c r="K1930" s="57" t="s">
        <v>334</v>
      </c>
      <c r="L1930" s="57" t="s">
        <v>2754</v>
      </c>
      <c r="M1930" s="57" t="s">
        <v>336</v>
      </c>
      <c r="N1930" s="57" t="s">
        <v>381</v>
      </c>
      <c r="O1930" s="57" t="s">
        <v>2755</v>
      </c>
      <c r="P1930" s="57"/>
      <c r="Q1930" s="57" t="s">
        <v>698</v>
      </c>
    </row>
    <row r="1931" s="50" customFormat="true" ht="14.25" hidden="false" customHeight="true" outlineLevel="0" collapsed="false">
      <c r="A1931" s="50" t="s">
        <v>651</v>
      </c>
      <c r="B1931" s="57" t="s">
        <v>651</v>
      </c>
      <c r="C1931" s="57" t="s">
        <v>1514</v>
      </c>
      <c r="D1931" s="58" t="n">
        <v>46070.4183217593</v>
      </c>
      <c r="E1931" s="58" t="n">
        <v>46070.4183217593</v>
      </c>
      <c r="F1931" s="58" t="n">
        <v>46070.4190972222</v>
      </c>
      <c r="G1931" s="59" t="n">
        <f aca="false">F1931-E1931</f>
        <v>0.000775462893518519</v>
      </c>
      <c r="H1931" s="57" t="s">
        <v>252</v>
      </c>
      <c r="I1931" s="57"/>
      <c r="J1931" s="57" t="s">
        <v>333</v>
      </c>
      <c r="K1931" s="57" t="s">
        <v>334</v>
      </c>
      <c r="L1931" s="57" t="s">
        <v>2754</v>
      </c>
      <c r="M1931" s="57" t="s">
        <v>336</v>
      </c>
      <c r="N1931" s="57" t="s">
        <v>381</v>
      </c>
      <c r="O1931" s="57" t="s">
        <v>2755</v>
      </c>
      <c r="P1931" s="57"/>
      <c r="Q1931" s="57" t="s">
        <v>698</v>
      </c>
    </row>
    <row r="1932" s="50" customFormat="true" ht="14.25" hidden="false" customHeight="true" outlineLevel="0" collapsed="false">
      <c r="A1932" s="50" t="s">
        <v>651</v>
      </c>
      <c r="B1932" s="57" t="s">
        <v>651</v>
      </c>
      <c r="C1932" s="57" t="s">
        <v>1514</v>
      </c>
      <c r="D1932" s="58" t="n">
        <v>46070.4134606481</v>
      </c>
      <c r="E1932" s="58" t="n">
        <v>46070.4134606481</v>
      </c>
      <c r="F1932" s="58" t="n">
        <v>46070.4142476852</v>
      </c>
      <c r="G1932" s="59" t="n">
        <f aca="false">F1932-E1932</f>
        <v>0.000787037094907407</v>
      </c>
      <c r="H1932" s="57" t="s">
        <v>252</v>
      </c>
      <c r="I1932" s="57"/>
      <c r="J1932" s="57" t="s">
        <v>333</v>
      </c>
      <c r="K1932" s="57" t="s">
        <v>334</v>
      </c>
      <c r="L1932" s="57" t="s">
        <v>2754</v>
      </c>
      <c r="M1932" s="57" t="s">
        <v>336</v>
      </c>
      <c r="N1932" s="57" t="s">
        <v>381</v>
      </c>
      <c r="O1932" s="57" t="s">
        <v>2755</v>
      </c>
      <c r="P1932" s="57"/>
      <c r="Q1932" s="57" t="s">
        <v>698</v>
      </c>
    </row>
    <row r="1933" s="50" customFormat="true" ht="14.25" hidden="false" customHeight="true" outlineLevel="0" collapsed="false">
      <c r="A1933" s="50" t="s">
        <v>651</v>
      </c>
      <c r="B1933" s="57" t="s">
        <v>651</v>
      </c>
      <c r="C1933" s="57" t="s">
        <v>1514</v>
      </c>
      <c r="D1933" s="58" t="n">
        <v>46070.4083564815</v>
      </c>
      <c r="E1933" s="58" t="n">
        <v>46070.4083564815</v>
      </c>
      <c r="F1933" s="58" t="n">
        <v>46070.4091087963</v>
      </c>
      <c r="G1933" s="59" t="n">
        <f aca="false">F1933-E1933</f>
        <v>0.000752314803240741</v>
      </c>
      <c r="H1933" s="57" t="s">
        <v>252</v>
      </c>
      <c r="I1933" s="57"/>
      <c r="J1933" s="57" t="s">
        <v>333</v>
      </c>
      <c r="K1933" s="57" t="s">
        <v>334</v>
      </c>
      <c r="L1933" s="57" t="s">
        <v>2754</v>
      </c>
      <c r="M1933" s="57" t="s">
        <v>336</v>
      </c>
      <c r="N1933" s="57" t="s">
        <v>381</v>
      </c>
      <c r="O1933" s="57" t="s">
        <v>2755</v>
      </c>
      <c r="P1933" s="57"/>
      <c r="Q1933" s="57" t="s">
        <v>698</v>
      </c>
    </row>
    <row r="1934" s="50" customFormat="true" ht="14.25" hidden="false" customHeight="true" outlineLevel="0" collapsed="false">
      <c r="A1934" s="50" t="s">
        <v>651</v>
      </c>
      <c r="B1934" s="57" t="s">
        <v>651</v>
      </c>
      <c r="C1934" s="57" t="s">
        <v>1514</v>
      </c>
      <c r="D1934" s="58" t="n">
        <v>46070.4031944444</v>
      </c>
      <c r="E1934" s="58" t="n">
        <v>46070.4031944444</v>
      </c>
      <c r="F1934" s="58" t="n">
        <v>46070.4039814815</v>
      </c>
      <c r="G1934" s="59" t="n">
        <f aca="false">F1934-E1934</f>
        <v>0.000787037094907407</v>
      </c>
      <c r="H1934" s="57" t="s">
        <v>252</v>
      </c>
      <c r="I1934" s="57"/>
      <c r="J1934" s="57" t="s">
        <v>333</v>
      </c>
      <c r="K1934" s="57" t="s">
        <v>334</v>
      </c>
      <c r="L1934" s="57" t="s">
        <v>2754</v>
      </c>
      <c r="M1934" s="57" t="s">
        <v>336</v>
      </c>
      <c r="N1934" s="57" t="s">
        <v>381</v>
      </c>
      <c r="O1934" s="57" t="s">
        <v>2755</v>
      </c>
      <c r="P1934" s="57"/>
      <c r="Q1934" s="57" t="s">
        <v>698</v>
      </c>
    </row>
    <row r="1935" s="50" customFormat="true" ht="14.25" hidden="false" customHeight="true" outlineLevel="0" collapsed="false">
      <c r="A1935" s="50" t="s">
        <v>651</v>
      </c>
      <c r="B1935" s="57" t="s">
        <v>651</v>
      </c>
      <c r="C1935" s="57" t="s">
        <v>1514</v>
      </c>
      <c r="D1935" s="58" t="n">
        <v>46070.3971412037</v>
      </c>
      <c r="E1935" s="58" t="n">
        <v>46070.3971412037</v>
      </c>
      <c r="F1935" s="58" t="n">
        <v>46070.3978935185</v>
      </c>
      <c r="G1935" s="59" t="n">
        <f aca="false">F1935-E1935</f>
        <v>0.000752314803240741</v>
      </c>
      <c r="H1935" s="57" t="s">
        <v>252</v>
      </c>
      <c r="I1935" s="57"/>
      <c r="J1935" s="57" t="s">
        <v>333</v>
      </c>
      <c r="K1935" s="57" t="s">
        <v>334</v>
      </c>
      <c r="L1935" s="57" t="s">
        <v>2754</v>
      </c>
      <c r="M1935" s="57" t="s">
        <v>336</v>
      </c>
      <c r="N1935" s="57" t="s">
        <v>381</v>
      </c>
      <c r="O1935" s="57" t="s">
        <v>2755</v>
      </c>
      <c r="P1935" s="57"/>
      <c r="Q1935" s="57" t="s">
        <v>698</v>
      </c>
    </row>
    <row r="1936" s="50" customFormat="true" ht="14.25" hidden="false" customHeight="true" outlineLevel="0" collapsed="false">
      <c r="A1936" s="50" t="s">
        <v>651</v>
      </c>
      <c r="B1936" s="57" t="s">
        <v>651</v>
      </c>
      <c r="C1936" s="57" t="s">
        <v>1514</v>
      </c>
      <c r="D1936" s="58" t="n">
        <v>46070.3904398148</v>
      </c>
      <c r="E1936" s="58" t="n">
        <v>46070.3904398148</v>
      </c>
      <c r="F1936" s="58" t="n">
        <v>46070.3912152778</v>
      </c>
      <c r="G1936" s="59" t="n">
        <f aca="false">F1936-E1936</f>
        <v>0.000775462997685185</v>
      </c>
      <c r="H1936" s="57" t="s">
        <v>252</v>
      </c>
      <c r="I1936" s="57"/>
      <c r="J1936" s="57" t="s">
        <v>333</v>
      </c>
      <c r="K1936" s="57" t="s">
        <v>334</v>
      </c>
      <c r="L1936" s="57" t="s">
        <v>2754</v>
      </c>
      <c r="M1936" s="57" t="s">
        <v>336</v>
      </c>
      <c r="N1936" s="57" t="s">
        <v>381</v>
      </c>
      <c r="O1936" s="57" t="s">
        <v>2755</v>
      </c>
      <c r="P1936" s="57"/>
      <c r="Q1936" s="57" t="s">
        <v>698</v>
      </c>
    </row>
    <row r="1937" s="50" customFormat="true" ht="14.25" hidden="false" customHeight="true" outlineLevel="0" collapsed="false">
      <c r="A1937" s="50" t="s">
        <v>651</v>
      </c>
      <c r="B1937" s="57" t="s">
        <v>651</v>
      </c>
      <c r="C1937" s="57" t="s">
        <v>1514</v>
      </c>
      <c r="D1937" s="58" t="n">
        <v>46070.3844907407</v>
      </c>
      <c r="E1937" s="58" t="n">
        <v>46070.3844907407</v>
      </c>
      <c r="F1937" s="58" t="n">
        <v>46070.3852662037</v>
      </c>
      <c r="G1937" s="59" t="n">
        <f aca="false">F1937-E1937</f>
        <v>0.000775463009259259</v>
      </c>
      <c r="H1937" s="57" t="s">
        <v>252</v>
      </c>
      <c r="I1937" s="57"/>
      <c r="J1937" s="57" t="s">
        <v>333</v>
      </c>
      <c r="K1937" s="57" t="s">
        <v>334</v>
      </c>
      <c r="L1937" s="57" t="s">
        <v>2754</v>
      </c>
      <c r="M1937" s="57" t="s">
        <v>336</v>
      </c>
      <c r="N1937" s="57" t="s">
        <v>381</v>
      </c>
      <c r="O1937" s="57" t="s">
        <v>2755</v>
      </c>
      <c r="P1937" s="57"/>
      <c r="Q1937" s="57" t="s">
        <v>698</v>
      </c>
    </row>
    <row r="1938" s="50" customFormat="true" ht="14.25" hidden="false" customHeight="true" outlineLevel="0" collapsed="false">
      <c r="A1938" s="50" t="s">
        <v>651</v>
      </c>
      <c r="B1938" s="57" t="s">
        <v>651</v>
      </c>
      <c r="C1938" s="57" t="s">
        <v>1514</v>
      </c>
      <c r="D1938" s="58" t="n">
        <v>46070.3790277778</v>
      </c>
      <c r="E1938" s="58" t="n">
        <v>46070.3790277778</v>
      </c>
      <c r="F1938" s="58" t="n">
        <v>46070.3798032407</v>
      </c>
      <c r="G1938" s="59" t="n">
        <f aca="false">F1938-E1938</f>
        <v>0.000775462893518519</v>
      </c>
      <c r="H1938" s="57" t="s">
        <v>252</v>
      </c>
      <c r="I1938" s="57"/>
      <c r="J1938" s="57" t="s">
        <v>333</v>
      </c>
      <c r="K1938" s="57" t="s">
        <v>334</v>
      </c>
      <c r="L1938" s="57" t="s">
        <v>2754</v>
      </c>
      <c r="M1938" s="57" t="s">
        <v>336</v>
      </c>
      <c r="N1938" s="57" t="s">
        <v>381</v>
      </c>
      <c r="O1938" s="57" t="s">
        <v>2755</v>
      </c>
      <c r="P1938" s="57"/>
      <c r="Q1938" s="57" t="s">
        <v>698</v>
      </c>
    </row>
    <row r="1939" s="50" customFormat="true" ht="14.25" hidden="false" customHeight="true" outlineLevel="0" collapsed="false">
      <c r="A1939" s="50" t="s">
        <v>651</v>
      </c>
      <c r="B1939" s="57" t="s">
        <v>651</v>
      </c>
      <c r="C1939" s="57" t="s">
        <v>1514</v>
      </c>
      <c r="D1939" s="58" t="n">
        <v>46070.3734143519</v>
      </c>
      <c r="E1939" s="58" t="n">
        <v>46070.3734143519</v>
      </c>
      <c r="F1939" s="58" t="n">
        <v>46070.3741782407</v>
      </c>
      <c r="G1939" s="59" t="n">
        <f aca="false">F1939-E1939</f>
        <v>0.000763888796296296</v>
      </c>
      <c r="H1939" s="57" t="s">
        <v>252</v>
      </c>
      <c r="I1939" s="57"/>
      <c r="J1939" s="57" t="s">
        <v>333</v>
      </c>
      <c r="K1939" s="57" t="s">
        <v>334</v>
      </c>
      <c r="L1939" s="57" t="s">
        <v>2754</v>
      </c>
      <c r="M1939" s="57" t="s">
        <v>336</v>
      </c>
      <c r="N1939" s="57" t="s">
        <v>381</v>
      </c>
      <c r="O1939" s="57" t="s">
        <v>2755</v>
      </c>
      <c r="P1939" s="57"/>
      <c r="Q1939" s="57" t="s">
        <v>698</v>
      </c>
    </row>
    <row r="1940" s="50" customFormat="true" ht="14.25" hidden="false" customHeight="true" outlineLevel="0" collapsed="false">
      <c r="A1940" s="50" t="s">
        <v>651</v>
      </c>
      <c r="B1940" s="57" t="s">
        <v>651</v>
      </c>
      <c r="C1940" s="57" t="s">
        <v>1514</v>
      </c>
      <c r="D1940" s="58" t="n">
        <v>46069.6718171296</v>
      </c>
      <c r="E1940" s="58" t="n">
        <v>46069.6718171296</v>
      </c>
      <c r="F1940" s="58" t="n">
        <v>46069.672650463</v>
      </c>
      <c r="G1940" s="59" t="n">
        <f aca="false">F1940-E1940</f>
        <v>0.000833333402777778</v>
      </c>
      <c r="H1940" s="57" t="s">
        <v>252</v>
      </c>
      <c r="I1940" s="57"/>
      <c r="J1940" s="57" t="s">
        <v>333</v>
      </c>
      <c r="K1940" s="57" t="s">
        <v>334</v>
      </c>
      <c r="L1940" s="57" t="s">
        <v>2754</v>
      </c>
      <c r="M1940" s="57" t="s">
        <v>336</v>
      </c>
      <c r="N1940" s="57" t="s">
        <v>381</v>
      </c>
      <c r="O1940" s="57" t="s">
        <v>2755</v>
      </c>
      <c r="P1940" s="57"/>
      <c r="Q1940" s="57" t="s">
        <v>698</v>
      </c>
    </row>
    <row r="1941" s="50" customFormat="true" ht="14.25" hidden="false" customHeight="true" outlineLevel="0" collapsed="false">
      <c r="A1941" s="50" t="s">
        <v>651</v>
      </c>
      <c r="B1941" s="57" t="s">
        <v>651</v>
      </c>
      <c r="C1941" s="57" t="s">
        <v>1514</v>
      </c>
      <c r="D1941" s="58" t="n">
        <v>46069.6688078704</v>
      </c>
      <c r="E1941" s="58" t="n">
        <v>46069.6688078704</v>
      </c>
      <c r="F1941" s="58" t="n">
        <v>46069.6696180556</v>
      </c>
      <c r="G1941" s="59" t="n">
        <f aca="false">F1941-E1941</f>
        <v>0.000810185196759259</v>
      </c>
      <c r="H1941" s="57" t="s">
        <v>252</v>
      </c>
      <c r="I1941" s="57"/>
      <c r="J1941" s="57" t="s">
        <v>333</v>
      </c>
      <c r="K1941" s="57" t="s">
        <v>334</v>
      </c>
      <c r="L1941" s="57" t="s">
        <v>2754</v>
      </c>
      <c r="M1941" s="57" t="s">
        <v>336</v>
      </c>
      <c r="N1941" s="57" t="s">
        <v>381</v>
      </c>
      <c r="O1941" s="57" t="s">
        <v>2755</v>
      </c>
      <c r="P1941" s="57"/>
      <c r="Q1941" s="57" t="s">
        <v>698</v>
      </c>
    </row>
    <row r="1942" s="50" customFormat="true" ht="14.25" hidden="false" customHeight="true" outlineLevel="0" collapsed="false">
      <c r="A1942" s="50" t="s">
        <v>651</v>
      </c>
      <c r="B1942" s="57" t="s">
        <v>651</v>
      </c>
      <c r="C1942" s="57" t="s">
        <v>1514</v>
      </c>
      <c r="D1942" s="58" t="n">
        <v>46069.6648726852</v>
      </c>
      <c r="E1942" s="58" t="n">
        <v>46069.6648726852</v>
      </c>
      <c r="F1942" s="58" t="n">
        <v>46069.6656828704</v>
      </c>
      <c r="G1942" s="59" t="n">
        <f aca="false">F1942-E1942</f>
        <v>0.000810185196759259</v>
      </c>
      <c r="H1942" s="57" t="s">
        <v>252</v>
      </c>
      <c r="I1942" s="57"/>
      <c r="J1942" s="57" t="s">
        <v>333</v>
      </c>
      <c r="K1942" s="57" t="s">
        <v>334</v>
      </c>
      <c r="L1942" s="57" t="s">
        <v>2754</v>
      </c>
      <c r="M1942" s="57" t="s">
        <v>336</v>
      </c>
      <c r="N1942" s="57" t="s">
        <v>381</v>
      </c>
      <c r="O1942" s="57" t="s">
        <v>2755</v>
      </c>
      <c r="P1942" s="57"/>
      <c r="Q1942" s="57" t="s">
        <v>698</v>
      </c>
    </row>
    <row r="1943" s="50" customFormat="true" ht="14.25" hidden="false" customHeight="true" outlineLevel="0" collapsed="false">
      <c r="A1943" s="50" t="s">
        <v>651</v>
      </c>
      <c r="B1943" s="57" t="s">
        <v>651</v>
      </c>
      <c r="C1943" s="57" t="s">
        <v>1514</v>
      </c>
      <c r="D1943" s="58" t="n">
        <v>46069.6616782407</v>
      </c>
      <c r="E1943" s="58" t="n">
        <v>46069.6616782407</v>
      </c>
      <c r="F1943" s="58" t="n">
        <v>46069.6624768519</v>
      </c>
      <c r="G1943" s="59" t="n">
        <f aca="false">F1943-E1943</f>
        <v>0.000798611203703704</v>
      </c>
      <c r="H1943" s="57" t="s">
        <v>252</v>
      </c>
      <c r="I1943" s="57"/>
      <c r="J1943" s="57" t="s">
        <v>333</v>
      </c>
      <c r="K1943" s="57" t="s">
        <v>334</v>
      </c>
      <c r="L1943" s="57" t="s">
        <v>2754</v>
      </c>
      <c r="M1943" s="57" t="s">
        <v>336</v>
      </c>
      <c r="N1943" s="57" t="s">
        <v>381</v>
      </c>
      <c r="O1943" s="57" t="s">
        <v>2755</v>
      </c>
      <c r="P1943" s="57"/>
      <c r="Q1943" s="57" t="s">
        <v>698</v>
      </c>
    </row>
    <row r="1944" s="50" customFormat="true" ht="14.25" hidden="false" customHeight="true" outlineLevel="0" collapsed="false">
      <c r="A1944" s="50" t="s">
        <v>651</v>
      </c>
      <c r="B1944" s="57" t="s">
        <v>651</v>
      </c>
      <c r="C1944" s="57" t="s">
        <v>1514</v>
      </c>
      <c r="D1944" s="58" t="n">
        <v>46069.6583101852</v>
      </c>
      <c r="E1944" s="58" t="n">
        <v>46069.6583101852</v>
      </c>
      <c r="F1944" s="58" t="n">
        <v>46069.6591319444</v>
      </c>
      <c r="G1944" s="59" t="n">
        <f aca="false">F1944-E1944</f>
        <v>0.000821759201388889</v>
      </c>
      <c r="H1944" s="57" t="s">
        <v>252</v>
      </c>
      <c r="I1944" s="57"/>
      <c r="J1944" s="57" t="s">
        <v>333</v>
      </c>
      <c r="K1944" s="57" t="s">
        <v>334</v>
      </c>
      <c r="L1944" s="57" t="s">
        <v>2754</v>
      </c>
      <c r="M1944" s="57" t="s">
        <v>336</v>
      </c>
      <c r="N1944" s="57" t="s">
        <v>381</v>
      </c>
      <c r="O1944" s="57" t="s">
        <v>2755</v>
      </c>
      <c r="P1944" s="57"/>
      <c r="Q1944" s="57" t="s">
        <v>698</v>
      </c>
    </row>
    <row r="1945" s="50" customFormat="true" ht="14.25" hidden="false" customHeight="true" outlineLevel="0" collapsed="false">
      <c r="A1945" s="50" t="s">
        <v>651</v>
      </c>
      <c r="B1945" s="57" t="s">
        <v>651</v>
      </c>
      <c r="C1945" s="57" t="s">
        <v>1514</v>
      </c>
      <c r="D1945" s="58" t="n">
        <v>46069.6553587963</v>
      </c>
      <c r="E1945" s="58" t="n">
        <v>46069.6553587963</v>
      </c>
      <c r="F1945" s="58" t="n">
        <v>46069.6561574074</v>
      </c>
      <c r="G1945" s="59" t="n">
        <f aca="false">F1945-E1945</f>
        <v>0.000798611111111111</v>
      </c>
      <c r="H1945" s="57" t="s">
        <v>252</v>
      </c>
      <c r="I1945" s="57"/>
      <c r="J1945" s="57" t="s">
        <v>333</v>
      </c>
      <c r="K1945" s="57" t="s">
        <v>334</v>
      </c>
      <c r="L1945" s="57" t="s">
        <v>2754</v>
      </c>
      <c r="M1945" s="57" t="s">
        <v>336</v>
      </c>
      <c r="N1945" s="57" t="s">
        <v>381</v>
      </c>
      <c r="O1945" s="57" t="s">
        <v>2755</v>
      </c>
      <c r="P1945" s="57"/>
      <c r="Q1945" s="57" t="s">
        <v>698</v>
      </c>
    </row>
    <row r="1946" s="50" customFormat="true" ht="14.25" hidden="false" customHeight="true" outlineLevel="0" collapsed="false">
      <c r="A1946" s="50" t="s">
        <v>651</v>
      </c>
      <c r="B1946" s="57" t="s">
        <v>651</v>
      </c>
      <c r="C1946" s="57" t="s">
        <v>1514</v>
      </c>
      <c r="D1946" s="58" t="n">
        <v>46069.6512037037</v>
      </c>
      <c r="E1946" s="58" t="n">
        <v>46069.6512037037</v>
      </c>
      <c r="F1946" s="58" t="n">
        <v>46069.6521527778</v>
      </c>
      <c r="G1946" s="59" t="n">
        <f aca="false">F1946-E1946</f>
        <v>0.000949074097222222</v>
      </c>
      <c r="H1946" s="57" t="s">
        <v>252</v>
      </c>
      <c r="I1946" s="57"/>
      <c r="J1946" s="57" t="s">
        <v>333</v>
      </c>
      <c r="K1946" s="57" t="s">
        <v>334</v>
      </c>
      <c r="L1946" s="57" t="s">
        <v>2754</v>
      </c>
      <c r="M1946" s="57" t="s">
        <v>336</v>
      </c>
      <c r="N1946" s="57" t="s">
        <v>381</v>
      </c>
      <c r="O1946" s="57" t="s">
        <v>2755</v>
      </c>
      <c r="P1946" s="57"/>
      <c r="Q1946" s="57" t="s">
        <v>698</v>
      </c>
    </row>
    <row r="1947" s="50" customFormat="true" ht="14.25" hidden="false" customHeight="true" outlineLevel="0" collapsed="false">
      <c r="A1947" s="50" t="s">
        <v>651</v>
      </c>
      <c r="B1947" s="57" t="s">
        <v>651</v>
      </c>
      <c r="C1947" s="57" t="s">
        <v>1514</v>
      </c>
      <c r="D1947" s="58" t="n">
        <v>46069.648125</v>
      </c>
      <c r="E1947" s="58" t="n">
        <v>46069.648125</v>
      </c>
      <c r="F1947" s="58" t="n">
        <v>46069.6489351852</v>
      </c>
      <c r="G1947" s="59" t="n">
        <f aca="false">F1947-E1947</f>
        <v>0.000810185196759259</v>
      </c>
      <c r="H1947" s="57" t="s">
        <v>252</v>
      </c>
      <c r="I1947" s="57"/>
      <c r="J1947" s="57" t="s">
        <v>333</v>
      </c>
      <c r="K1947" s="57" t="s">
        <v>334</v>
      </c>
      <c r="L1947" s="57" t="s">
        <v>2754</v>
      </c>
      <c r="M1947" s="57" t="s">
        <v>336</v>
      </c>
      <c r="N1947" s="57" t="s">
        <v>381</v>
      </c>
      <c r="O1947" s="57" t="s">
        <v>2755</v>
      </c>
      <c r="P1947" s="57"/>
      <c r="Q1947" s="57" t="s">
        <v>698</v>
      </c>
    </row>
    <row r="1948" s="50" customFormat="true" ht="14.25" hidden="false" customHeight="true" outlineLevel="0" collapsed="false">
      <c r="A1948" s="50" t="s">
        <v>651</v>
      </c>
      <c r="B1948" s="57" t="s">
        <v>651</v>
      </c>
      <c r="C1948" s="57" t="s">
        <v>1514</v>
      </c>
      <c r="D1948" s="58" t="n">
        <v>46069.645474537</v>
      </c>
      <c r="E1948" s="58" t="n">
        <v>46069.645474537</v>
      </c>
      <c r="F1948" s="58" t="n">
        <v>46069.6462731482</v>
      </c>
      <c r="G1948" s="59" t="n">
        <f aca="false">F1948-E1948</f>
        <v>0.000798611203703704</v>
      </c>
      <c r="H1948" s="57" t="s">
        <v>252</v>
      </c>
      <c r="I1948" s="57"/>
      <c r="J1948" s="57" t="s">
        <v>333</v>
      </c>
      <c r="K1948" s="57" t="s">
        <v>334</v>
      </c>
      <c r="L1948" s="57" t="s">
        <v>2754</v>
      </c>
      <c r="M1948" s="57" t="s">
        <v>336</v>
      </c>
      <c r="N1948" s="57" t="s">
        <v>381</v>
      </c>
      <c r="O1948" s="57" t="s">
        <v>2755</v>
      </c>
      <c r="P1948" s="57"/>
      <c r="Q1948" s="57" t="s">
        <v>698</v>
      </c>
    </row>
    <row r="1949" s="50" customFormat="true" ht="14.25" hidden="false" customHeight="true" outlineLevel="0" collapsed="false">
      <c r="A1949" s="50" t="s">
        <v>651</v>
      </c>
      <c r="B1949" s="57" t="s">
        <v>651</v>
      </c>
      <c r="C1949" s="57" t="s">
        <v>1514</v>
      </c>
      <c r="D1949" s="58" t="n">
        <v>46069.6428472222</v>
      </c>
      <c r="E1949" s="58" t="n">
        <v>46069.6428472222</v>
      </c>
      <c r="F1949" s="58" t="n">
        <v>46069.6436226852</v>
      </c>
      <c r="G1949" s="59" t="n">
        <f aca="false">F1949-E1949</f>
        <v>0.000775462997685185</v>
      </c>
      <c r="H1949" s="57" t="s">
        <v>252</v>
      </c>
      <c r="I1949" s="57"/>
      <c r="J1949" s="57" t="s">
        <v>333</v>
      </c>
      <c r="K1949" s="57" t="s">
        <v>334</v>
      </c>
      <c r="L1949" s="57" t="s">
        <v>2754</v>
      </c>
      <c r="M1949" s="57" t="s">
        <v>336</v>
      </c>
      <c r="N1949" s="57" t="s">
        <v>381</v>
      </c>
      <c r="O1949" s="57" t="s">
        <v>2755</v>
      </c>
      <c r="P1949" s="57"/>
      <c r="Q1949" s="57" t="s">
        <v>698</v>
      </c>
    </row>
    <row r="1950" s="50" customFormat="true" ht="14.25" hidden="false" customHeight="true" outlineLevel="0" collapsed="false">
      <c r="A1950" s="50" t="s">
        <v>651</v>
      </c>
      <c r="B1950" s="57" t="s">
        <v>651</v>
      </c>
      <c r="C1950" s="57" t="s">
        <v>1514</v>
      </c>
      <c r="D1950" s="58" t="n">
        <v>46069.6399189815</v>
      </c>
      <c r="E1950" s="58" t="n">
        <v>46069.6399189815</v>
      </c>
      <c r="F1950" s="58" t="n">
        <v>46069.6406944444</v>
      </c>
      <c r="G1950" s="59" t="n">
        <f aca="false">F1950-E1950</f>
        <v>0.000775462905092593</v>
      </c>
      <c r="H1950" s="57" t="s">
        <v>252</v>
      </c>
      <c r="I1950" s="57"/>
      <c r="J1950" s="57" t="s">
        <v>333</v>
      </c>
      <c r="K1950" s="57" t="s">
        <v>334</v>
      </c>
      <c r="L1950" s="57" t="s">
        <v>2754</v>
      </c>
      <c r="M1950" s="57" t="s">
        <v>336</v>
      </c>
      <c r="N1950" s="57" t="s">
        <v>381</v>
      </c>
      <c r="O1950" s="57" t="s">
        <v>2755</v>
      </c>
      <c r="P1950" s="57"/>
      <c r="Q1950" s="57" t="s">
        <v>698</v>
      </c>
    </row>
    <row r="1951" s="50" customFormat="true" ht="14.25" hidden="false" customHeight="true" outlineLevel="0" collapsed="false">
      <c r="A1951" s="50" t="s">
        <v>651</v>
      </c>
      <c r="B1951" s="57" t="s">
        <v>651</v>
      </c>
      <c r="C1951" s="57" t="s">
        <v>1514</v>
      </c>
      <c r="D1951" s="58" t="n">
        <v>46069.6368402778</v>
      </c>
      <c r="E1951" s="58" t="n">
        <v>46069.6368402778</v>
      </c>
      <c r="F1951" s="58" t="n">
        <v>46069.6376157407</v>
      </c>
      <c r="G1951" s="59" t="n">
        <f aca="false">F1951-E1951</f>
        <v>0.000775462893518519</v>
      </c>
      <c r="H1951" s="57" t="s">
        <v>252</v>
      </c>
      <c r="I1951" s="57"/>
      <c r="J1951" s="57" t="s">
        <v>333</v>
      </c>
      <c r="K1951" s="57" t="s">
        <v>334</v>
      </c>
      <c r="L1951" s="57" t="s">
        <v>2754</v>
      </c>
      <c r="M1951" s="57" t="s">
        <v>336</v>
      </c>
      <c r="N1951" s="57" t="s">
        <v>381</v>
      </c>
      <c r="O1951" s="57" t="s">
        <v>2755</v>
      </c>
      <c r="P1951" s="57"/>
      <c r="Q1951" s="57" t="s">
        <v>698</v>
      </c>
    </row>
    <row r="1952" s="50" customFormat="true" ht="14.25" hidden="false" customHeight="true" outlineLevel="0" collapsed="false">
      <c r="A1952" s="50" t="s">
        <v>651</v>
      </c>
      <c r="B1952" s="57" t="s">
        <v>651</v>
      </c>
      <c r="C1952" s="57" t="s">
        <v>1514</v>
      </c>
      <c r="D1952" s="58" t="n">
        <v>46069.6336689815</v>
      </c>
      <c r="E1952" s="58" t="n">
        <v>46069.6336689815</v>
      </c>
      <c r="F1952" s="58" t="n">
        <v>46069.6344444445</v>
      </c>
      <c r="G1952" s="59" t="n">
        <f aca="false">F1952-E1952</f>
        <v>0.000775462997685185</v>
      </c>
      <c r="H1952" s="57" t="s">
        <v>252</v>
      </c>
      <c r="I1952" s="57"/>
      <c r="J1952" s="57" t="s">
        <v>333</v>
      </c>
      <c r="K1952" s="57" t="s">
        <v>334</v>
      </c>
      <c r="L1952" s="57" t="s">
        <v>2754</v>
      </c>
      <c r="M1952" s="57" t="s">
        <v>336</v>
      </c>
      <c r="N1952" s="57" t="s">
        <v>381</v>
      </c>
      <c r="O1952" s="57" t="s">
        <v>2755</v>
      </c>
      <c r="P1952" s="57"/>
      <c r="Q1952" s="57" t="s">
        <v>698</v>
      </c>
    </row>
    <row r="1953" s="50" customFormat="true" ht="14.25" hidden="false" customHeight="true" outlineLevel="0" collapsed="false">
      <c r="A1953" s="50" t="s">
        <v>651</v>
      </c>
      <c r="B1953" s="57" t="s">
        <v>651</v>
      </c>
      <c r="C1953" s="57" t="s">
        <v>1514</v>
      </c>
      <c r="D1953" s="58" t="n">
        <v>46069.6307986111</v>
      </c>
      <c r="E1953" s="58" t="n">
        <v>46069.6307986111</v>
      </c>
      <c r="F1953" s="58" t="n">
        <v>46069.6315740741</v>
      </c>
      <c r="G1953" s="59" t="n">
        <f aca="false">F1953-E1953</f>
        <v>0.000775462997685185</v>
      </c>
      <c r="H1953" s="57" t="s">
        <v>252</v>
      </c>
      <c r="I1953" s="57"/>
      <c r="J1953" s="57" t="s">
        <v>333</v>
      </c>
      <c r="K1953" s="57" t="s">
        <v>334</v>
      </c>
      <c r="L1953" s="57" t="s">
        <v>2754</v>
      </c>
      <c r="M1953" s="57" t="s">
        <v>336</v>
      </c>
      <c r="N1953" s="57" t="s">
        <v>381</v>
      </c>
      <c r="O1953" s="57" t="s">
        <v>2755</v>
      </c>
      <c r="P1953" s="57"/>
      <c r="Q1953" s="57" t="s">
        <v>698</v>
      </c>
    </row>
    <row r="1954" s="50" customFormat="true" ht="14.25" hidden="false" customHeight="true" outlineLevel="0" collapsed="false">
      <c r="A1954" s="50" t="s">
        <v>651</v>
      </c>
      <c r="B1954" s="57" t="s">
        <v>651</v>
      </c>
      <c r="C1954" s="57" t="s">
        <v>1514</v>
      </c>
      <c r="D1954" s="58" t="n">
        <v>46069.6274421296</v>
      </c>
      <c r="E1954" s="58" t="n">
        <v>46069.6274421296</v>
      </c>
      <c r="F1954" s="58" t="n">
        <v>46069.6282060185</v>
      </c>
      <c r="G1954" s="59" t="n">
        <f aca="false">F1954-E1954</f>
        <v>0.000763888888888889</v>
      </c>
      <c r="H1954" s="57" t="s">
        <v>252</v>
      </c>
      <c r="I1954" s="57"/>
      <c r="J1954" s="57" t="s">
        <v>333</v>
      </c>
      <c r="K1954" s="57" t="s">
        <v>334</v>
      </c>
      <c r="L1954" s="57" t="s">
        <v>2754</v>
      </c>
      <c r="M1954" s="57" t="s">
        <v>336</v>
      </c>
      <c r="N1954" s="57" t="s">
        <v>381</v>
      </c>
      <c r="O1954" s="57" t="s">
        <v>2755</v>
      </c>
      <c r="P1954" s="57"/>
      <c r="Q1954" s="57" t="s">
        <v>698</v>
      </c>
    </row>
    <row r="1955" s="50" customFormat="true" ht="14.25" hidden="false" customHeight="true" outlineLevel="0" collapsed="false">
      <c r="A1955" s="50" t="s">
        <v>651</v>
      </c>
      <c r="B1955" s="57" t="s">
        <v>651</v>
      </c>
      <c r="C1955" s="57" t="s">
        <v>1514</v>
      </c>
      <c r="D1955" s="58" t="n">
        <v>46069.5957407407</v>
      </c>
      <c r="E1955" s="58" t="n">
        <v>46069.5957407407</v>
      </c>
      <c r="F1955" s="58" t="n">
        <v>46069.596724537</v>
      </c>
      <c r="G1955" s="59" t="n">
        <f aca="false">F1955-E1955</f>
        <v>0.000983796296296296</v>
      </c>
      <c r="H1955" s="57" t="s">
        <v>252</v>
      </c>
      <c r="I1955" s="57"/>
      <c r="J1955" s="57" t="s">
        <v>333</v>
      </c>
      <c r="K1955" s="57" t="s">
        <v>334</v>
      </c>
      <c r="L1955" s="57" t="s">
        <v>2754</v>
      </c>
      <c r="M1955" s="57" t="s">
        <v>336</v>
      </c>
      <c r="N1955" s="57" t="s">
        <v>381</v>
      </c>
      <c r="O1955" s="57" t="s">
        <v>2755</v>
      </c>
      <c r="P1955" s="57"/>
      <c r="Q1955" s="57" t="s">
        <v>698</v>
      </c>
    </row>
    <row r="1956" s="50" customFormat="true" ht="14.25" hidden="false" customHeight="true" outlineLevel="0" collapsed="false">
      <c r="A1956" s="50" t="s">
        <v>651</v>
      </c>
      <c r="B1956" s="57" t="s">
        <v>651</v>
      </c>
      <c r="C1956" s="57" t="s">
        <v>1514</v>
      </c>
      <c r="D1956" s="58" t="n">
        <v>46069.5928587963</v>
      </c>
      <c r="E1956" s="58" t="n">
        <v>46069.5928587963</v>
      </c>
      <c r="F1956" s="58" t="n">
        <v>46069.5936342593</v>
      </c>
      <c r="G1956" s="59" t="n">
        <f aca="false">F1956-E1956</f>
        <v>0.000775462997685185</v>
      </c>
      <c r="H1956" s="57" t="s">
        <v>252</v>
      </c>
      <c r="I1956" s="57"/>
      <c r="J1956" s="57" t="s">
        <v>333</v>
      </c>
      <c r="K1956" s="57" t="s">
        <v>334</v>
      </c>
      <c r="L1956" s="57" t="s">
        <v>2754</v>
      </c>
      <c r="M1956" s="57" t="s">
        <v>336</v>
      </c>
      <c r="N1956" s="57" t="s">
        <v>381</v>
      </c>
      <c r="O1956" s="57" t="s">
        <v>2755</v>
      </c>
      <c r="P1956" s="57"/>
      <c r="Q1956" s="57" t="s">
        <v>698</v>
      </c>
    </row>
    <row r="1957" s="50" customFormat="true" ht="14.25" hidden="false" customHeight="true" outlineLevel="0" collapsed="false">
      <c r="A1957" s="50" t="s">
        <v>651</v>
      </c>
      <c r="B1957" s="57" t="s">
        <v>651</v>
      </c>
      <c r="C1957" s="57" t="s">
        <v>1514</v>
      </c>
      <c r="D1957" s="58" t="n">
        <v>46069.5898842593</v>
      </c>
      <c r="E1957" s="58" t="n">
        <v>46069.5898842593</v>
      </c>
      <c r="F1957" s="58" t="n">
        <v>46069.5906828704</v>
      </c>
      <c r="G1957" s="59" t="n">
        <f aca="false">F1957-E1957</f>
        <v>0.000798611111111111</v>
      </c>
      <c r="H1957" s="57" t="s">
        <v>252</v>
      </c>
      <c r="I1957" s="57"/>
      <c r="J1957" s="57" t="s">
        <v>333</v>
      </c>
      <c r="K1957" s="57" t="s">
        <v>334</v>
      </c>
      <c r="L1957" s="57" t="s">
        <v>2754</v>
      </c>
      <c r="M1957" s="57" t="s">
        <v>336</v>
      </c>
      <c r="N1957" s="57" t="s">
        <v>381</v>
      </c>
      <c r="O1957" s="57" t="s">
        <v>2755</v>
      </c>
      <c r="P1957" s="57"/>
      <c r="Q1957" s="57" t="s">
        <v>698</v>
      </c>
    </row>
    <row r="1958" s="50" customFormat="true" ht="14.25" hidden="false" customHeight="true" outlineLevel="0" collapsed="false">
      <c r="A1958" s="50" t="s">
        <v>651</v>
      </c>
      <c r="B1958" s="57" t="s">
        <v>651</v>
      </c>
      <c r="C1958" s="57" t="s">
        <v>1514</v>
      </c>
      <c r="D1958" s="58" t="n">
        <v>46069.5861226852</v>
      </c>
      <c r="E1958" s="58" t="n">
        <v>46069.5861226852</v>
      </c>
      <c r="F1958" s="58" t="n">
        <v>46069.5870949074</v>
      </c>
      <c r="G1958" s="59" t="n">
        <f aca="false">F1958-E1958</f>
        <v>0.000972222199074074</v>
      </c>
      <c r="H1958" s="57" t="s">
        <v>252</v>
      </c>
      <c r="I1958" s="57"/>
      <c r="J1958" s="57" t="s">
        <v>333</v>
      </c>
      <c r="K1958" s="57" t="s">
        <v>334</v>
      </c>
      <c r="L1958" s="57" t="s">
        <v>2754</v>
      </c>
      <c r="M1958" s="57" t="s">
        <v>336</v>
      </c>
      <c r="N1958" s="57" t="s">
        <v>381</v>
      </c>
      <c r="O1958" s="57" t="s">
        <v>2755</v>
      </c>
      <c r="P1958" s="57"/>
      <c r="Q1958" s="57" t="s">
        <v>698</v>
      </c>
    </row>
    <row r="1959" s="50" customFormat="true" ht="14.25" hidden="false" customHeight="true" outlineLevel="0" collapsed="false">
      <c r="A1959" s="50" t="s">
        <v>651</v>
      </c>
      <c r="B1959" s="57" t="s">
        <v>651</v>
      </c>
      <c r="C1959" s="57" t="s">
        <v>1514</v>
      </c>
      <c r="D1959" s="58" t="n">
        <v>46069.5829166667</v>
      </c>
      <c r="E1959" s="58" t="n">
        <v>46069.5829166667</v>
      </c>
      <c r="F1959" s="58" t="n">
        <v>46069.5836921296</v>
      </c>
      <c r="G1959" s="59" t="n">
        <f aca="false">F1959-E1959</f>
        <v>0.000775462893518519</v>
      </c>
      <c r="H1959" s="57" t="s">
        <v>252</v>
      </c>
      <c r="I1959" s="57"/>
      <c r="J1959" s="57" t="s">
        <v>333</v>
      </c>
      <c r="K1959" s="57" t="s">
        <v>334</v>
      </c>
      <c r="L1959" s="57" t="s">
        <v>2754</v>
      </c>
      <c r="M1959" s="57" t="s">
        <v>336</v>
      </c>
      <c r="N1959" s="57" t="s">
        <v>381</v>
      </c>
      <c r="O1959" s="57" t="s">
        <v>2755</v>
      </c>
      <c r="P1959" s="57"/>
      <c r="Q1959" s="57" t="s">
        <v>698</v>
      </c>
    </row>
    <row r="1960" s="50" customFormat="true" ht="14.25" hidden="false" customHeight="true" outlineLevel="0" collapsed="false">
      <c r="A1960" s="50" t="s">
        <v>651</v>
      </c>
      <c r="B1960" s="57" t="s">
        <v>651</v>
      </c>
      <c r="C1960" s="57" t="s">
        <v>1514</v>
      </c>
      <c r="D1960" s="58" t="n">
        <v>46069.58</v>
      </c>
      <c r="E1960" s="58" t="n">
        <v>46069.58</v>
      </c>
      <c r="F1960" s="58" t="n">
        <v>46069.5808101852</v>
      </c>
      <c r="G1960" s="59" t="n">
        <f aca="false">F1960-E1960</f>
        <v>0.000810185196759259</v>
      </c>
      <c r="H1960" s="57" t="s">
        <v>252</v>
      </c>
      <c r="I1960" s="57"/>
      <c r="J1960" s="57" t="s">
        <v>333</v>
      </c>
      <c r="K1960" s="57" t="s">
        <v>334</v>
      </c>
      <c r="L1960" s="57" t="s">
        <v>2754</v>
      </c>
      <c r="M1960" s="57" t="s">
        <v>336</v>
      </c>
      <c r="N1960" s="57" t="s">
        <v>381</v>
      </c>
      <c r="O1960" s="57" t="s">
        <v>2755</v>
      </c>
      <c r="P1960" s="57"/>
      <c r="Q1960" s="57" t="s">
        <v>698</v>
      </c>
    </row>
    <row r="1961" s="50" customFormat="true" ht="14.25" hidden="false" customHeight="true" outlineLevel="0" collapsed="false">
      <c r="A1961" s="50" t="s">
        <v>651</v>
      </c>
      <c r="B1961" s="57" t="s">
        <v>651</v>
      </c>
      <c r="C1961" s="57" t="s">
        <v>1514</v>
      </c>
      <c r="D1961" s="58" t="n">
        <v>46069.5771990741</v>
      </c>
      <c r="E1961" s="58" t="n">
        <v>46069.5771990741</v>
      </c>
      <c r="F1961" s="58" t="n">
        <v>46069.5779861111</v>
      </c>
      <c r="G1961" s="59" t="n">
        <f aca="false">F1961-E1961</f>
        <v>0.000787037002314815</v>
      </c>
      <c r="H1961" s="57" t="s">
        <v>252</v>
      </c>
      <c r="I1961" s="57"/>
      <c r="J1961" s="57" t="s">
        <v>333</v>
      </c>
      <c r="K1961" s="57" t="s">
        <v>334</v>
      </c>
      <c r="L1961" s="57" t="s">
        <v>2754</v>
      </c>
      <c r="M1961" s="57" t="s">
        <v>336</v>
      </c>
      <c r="N1961" s="57" t="s">
        <v>381</v>
      </c>
      <c r="O1961" s="57" t="s">
        <v>2755</v>
      </c>
      <c r="P1961" s="57"/>
      <c r="Q1961" s="57" t="s">
        <v>698</v>
      </c>
    </row>
    <row r="1962" s="50" customFormat="true" ht="14.25" hidden="false" customHeight="true" outlineLevel="0" collapsed="false">
      <c r="A1962" s="50" t="s">
        <v>651</v>
      </c>
      <c r="B1962" s="57" t="s">
        <v>651</v>
      </c>
      <c r="C1962" s="57" t="s">
        <v>1514</v>
      </c>
      <c r="D1962" s="58" t="n">
        <v>46069.5743171296</v>
      </c>
      <c r="E1962" s="58" t="n">
        <v>46069.5743171296</v>
      </c>
      <c r="F1962" s="58" t="n">
        <v>46069.5750810185</v>
      </c>
      <c r="G1962" s="59" t="n">
        <f aca="false">F1962-E1962</f>
        <v>0.000763888888888889</v>
      </c>
      <c r="H1962" s="57" t="s">
        <v>252</v>
      </c>
      <c r="I1962" s="57"/>
      <c r="J1962" s="57" t="s">
        <v>333</v>
      </c>
      <c r="K1962" s="57" t="s">
        <v>334</v>
      </c>
      <c r="L1962" s="57" t="s">
        <v>2754</v>
      </c>
      <c r="M1962" s="57" t="s">
        <v>336</v>
      </c>
      <c r="N1962" s="57" t="s">
        <v>381</v>
      </c>
      <c r="O1962" s="57" t="s">
        <v>2755</v>
      </c>
      <c r="P1962" s="57"/>
      <c r="Q1962" s="57" t="s">
        <v>698</v>
      </c>
    </row>
    <row r="1963" s="50" customFormat="true" ht="14.25" hidden="false" customHeight="true" outlineLevel="0" collapsed="false">
      <c r="A1963" s="50" t="s">
        <v>651</v>
      </c>
      <c r="B1963" s="57" t="s">
        <v>651</v>
      </c>
      <c r="C1963" s="57" t="s">
        <v>1514</v>
      </c>
      <c r="D1963" s="58" t="n">
        <v>46069.5709259259</v>
      </c>
      <c r="E1963" s="58" t="n">
        <v>46069.5709259259</v>
      </c>
      <c r="F1963" s="58" t="n">
        <v>46069.571724537</v>
      </c>
      <c r="G1963" s="59" t="n">
        <f aca="false">F1963-E1963</f>
        <v>0.000798611111111111</v>
      </c>
      <c r="H1963" s="57" t="s">
        <v>252</v>
      </c>
      <c r="I1963" s="57"/>
      <c r="J1963" s="57" t="s">
        <v>333</v>
      </c>
      <c r="K1963" s="57" t="s">
        <v>334</v>
      </c>
      <c r="L1963" s="57" t="s">
        <v>2754</v>
      </c>
      <c r="M1963" s="57" t="s">
        <v>336</v>
      </c>
      <c r="N1963" s="57" t="s">
        <v>381</v>
      </c>
      <c r="O1963" s="57" t="s">
        <v>2755</v>
      </c>
      <c r="P1963" s="57"/>
      <c r="Q1963" s="57" t="s">
        <v>698</v>
      </c>
    </row>
    <row r="1964" s="50" customFormat="true" ht="14.25" hidden="false" customHeight="true" outlineLevel="0" collapsed="false">
      <c r="A1964" s="50" t="s">
        <v>651</v>
      </c>
      <c r="B1964" s="57" t="s">
        <v>651</v>
      </c>
      <c r="C1964" s="57" t="s">
        <v>1514</v>
      </c>
      <c r="D1964" s="58" t="n">
        <v>46069.5678587963</v>
      </c>
      <c r="E1964" s="58" t="n">
        <v>46069.5678587963</v>
      </c>
      <c r="F1964" s="58" t="n">
        <v>46069.5686226852</v>
      </c>
      <c r="G1964" s="59" t="n">
        <f aca="false">F1964-E1964</f>
        <v>0.000763888888888889</v>
      </c>
      <c r="H1964" s="57" t="s">
        <v>252</v>
      </c>
      <c r="I1964" s="57"/>
      <c r="J1964" s="57" t="s">
        <v>333</v>
      </c>
      <c r="K1964" s="57" t="s">
        <v>334</v>
      </c>
      <c r="L1964" s="57" t="s">
        <v>2754</v>
      </c>
      <c r="M1964" s="57" t="s">
        <v>336</v>
      </c>
      <c r="N1964" s="57" t="s">
        <v>381</v>
      </c>
      <c r="O1964" s="57" t="s">
        <v>2755</v>
      </c>
      <c r="P1964" s="57"/>
      <c r="Q1964" s="57" t="s">
        <v>698</v>
      </c>
    </row>
    <row r="1965" s="50" customFormat="true" ht="14.25" hidden="false" customHeight="true" outlineLevel="0" collapsed="false">
      <c r="A1965" s="50" t="s">
        <v>651</v>
      </c>
      <c r="B1965" s="57" t="s">
        <v>651</v>
      </c>
      <c r="C1965" s="57" t="s">
        <v>1514</v>
      </c>
      <c r="D1965" s="58" t="n">
        <v>46069.5645138889</v>
      </c>
      <c r="E1965" s="58" t="n">
        <v>46069.5645138889</v>
      </c>
      <c r="F1965" s="58" t="n">
        <v>46069.5652777778</v>
      </c>
      <c r="G1965" s="59" t="n">
        <f aca="false">F1965-E1965</f>
        <v>0.000763888888888889</v>
      </c>
      <c r="H1965" s="57" t="s">
        <v>252</v>
      </c>
      <c r="I1965" s="57"/>
      <c r="J1965" s="57" t="s">
        <v>333</v>
      </c>
      <c r="K1965" s="57" t="s">
        <v>334</v>
      </c>
      <c r="L1965" s="57" t="s">
        <v>2754</v>
      </c>
      <c r="M1965" s="57" t="s">
        <v>336</v>
      </c>
      <c r="N1965" s="57" t="s">
        <v>381</v>
      </c>
      <c r="O1965" s="57" t="s">
        <v>2755</v>
      </c>
      <c r="P1965" s="57"/>
      <c r="Q1965" s="57" t="s">
        <v>698</v>
      </c>
    </row>
    <row r="1966" s="50" customFormat="true" ht="14.25" hidden="false" customHeight="true" outlineLevel="0" collapsed="false">
      <c r="A1966" s="50" t="s">
        <v>651</v>
      </c>
      <c r="B1966" s="57" t="s">
        <v>651</v>
      </c>
      <c r="C1966" s="57" t="s">
        <v>1514</v>
      </c>
      <c r="D1966" s="58" t="n">
        <v>46069.5606134259</v>
      </c>
      <c r="E1966" s="58" t="n">
        <v>46069.5606134259</v>
      </c>
      <c r="F1966" s="58" t="n">
        <v>46069.5613888889</v>
      </c>
      <c r="G1966" s="59" t="n">
        <f aca="false">F1966-E1966</f>
        <v>0.000775462997685185</v>
      </c>
      <c r="H1966" s="57" t="s">
        <v>252</v>
      </c>
      <c r="I1966" s="57"/>
      <c r="J1966" s="57" t="s">
        <v>333</v>
      </c>
      <c r="K1966" s="57" t="s">
        <v>334</v>
      </c>
      <c r="L1966" s="57" t="s">
        <v>2754</v>
      </c>
      <c r="M1966" s="57" t="s">
        <v>336</v>
      </c>
      <c r="N1966" s="57" t="s">
        <v>381</v>
      </c>
      <c r="O1966" s="57" t="s">
        <v>2755</v>
      </c>
      <c r="P1966" s="57"/>
      <c r="Q1966" s="57" t="s">
        <v>698</v>
      </c>
    </row>
    <row r="1967" s="50" customFormat="true" ht="14.25" hidden="false" customHeight="true" outlineLevel="0" collapsed="false">
      <c r="A1967" s="50" t="s">
        <v>651</v>
      </c>
      <c r="B1967" s="57" t="s">
        <v>651</v>
      </c>
      <c r="C1967" s="57" t="s">
        <v>1514</v>
      </c>
      <c r="D1967" s="58" t="n">
        <v>46069.5558564815</v>
      </c>
      <c r="E1967" s="58" t="n">
        <v>46069.5558564815</v>
      </c>
      <c r="F1967" s="58" t="n">
        <v>46069.5566435185</v>
      </c>
      <c r="G1967" s="59" t="n">
        <f aca="false">F1967-E1967</f>
        <v>0.000787037002314815</v>
      </c>
      <c r="H1967" s="57" t="s">
        <v>252</v>
      </c>
      <c r="I1967" s="57"/>
      <c r="J1967" s="57" t="s">
        <v>333</v>
      </c>
      <c r="K1967" s="57" t="s">
        <v>334</v>
      </c>
      <c r="L1967" s="57" t="s">
        <v>2754</v>
      </c>
      <c r="M1967" s="57" t="s">
        <v>336</v>
      </c>
      <c r="N1967" s="57" t="s">
        <v>381</v>
      </c>
      <c r="O1967" s="57" t="s">
        <v>2755</v>
      </c>
      <c r="P1967" s="57"/>
      <c r="Q1967" s="57" t="s">
        <v>698</v>
      </c>
    </row>
    <row r="1968" s="50" customFormat="true" ht="14.25" hidden="false" customHeight="true" outlineLevel="0" collapsed="false">
      <c r="A1968" s="50" t="s">
        <v>651</v>
      </c>
      <c r="B1968" s="57" t="s">
        <v>651</v>
      </c>
      <c r="C1968" s="57" t="s">
        <v>1514</v>
      </c>
      <c r="D1968" s="58" t="n">
        <v>46069.5515972222</v>
      </c>
      <c r="E1968" s="58" t="n">
        <v>46069.5515972222</v>
      </c>
      <c r="F1968" s="58" t="n">
        <v>46069.5523611111</v>
      </c>
      <c r="G1968" s="59" t="n">
        <f aca="false">F1968-E1968</f>
        <v>0.000763888888888889</v>
      </c>
      <c r="H1968" s="57" t="s">
        <v>252</v>
      </c>
      <c r="I1968" s="57"/>
      <c r="J1968" s="57" t="s">
        <v>333</v>
      </c>
      <c r="K1968" s="57" t="s">
        <v>334</v>
      </c>
      <c r="L1968" s="57" t="s">
        <v>2754</v>
      </c>
      <c r="M1968" s="57" t="s">
        <v>336</v>
      </c>
      <c r="N1968" s="57" t="s">
        <v>381</v>
      </c>
      <c r="O1968" s="57" t="s">
        <v>2755</v>
      </c>
      <c r="P1968" s="57"/>
      <c r="Q1968" s="57" t="s">
        <v>698</v>
      </c>
    </row>
    <row r="1969" s="50" customFormat="true" ht="14.25" hidden="false" customHeight="true" outlineLevel="0" collapsed="false">
      <c r="A1969" s="50" t="s">
        <v>651</v>
      </c>
      <c r="B1969" s="57" t="s">
        <v>651</v>
      </c>
      <c r="C1969" s="57" t="s">
        <v>1514</v>
      </c>
      <c r="D1969" s="58" t="n">
        <v>46069.5452893519</v>
      </c>
      <c r="E1969" s="58" t="n">
        <v>46069.5452893519</v>
      </c>
      <c r="F1969" s="58" t="n">
        <v>46069.5460763889</v>
      </c>
      <c r="G1969" s="59" t="n">
        <f aca="false">F1969-E1969</f>
        <v>0.000787036990740741</v>
      </c>
      <c r="H1969" s="57" t="s">
        <v>252</v>
      </c>
      <c r="I1969" s="57"/>
      <c r="J1969" s="57" t="s">
        <v>333</v>
      </c>
      <c r="K1969" s="57" t="s">
        <v>334</v>
      </c>
      <c r="L1969" s="57" t="s">
        <v>2754</v>
      </c>
      <c r="M1969" s="57" t="s">
        <v>336</v>
      </c>
      <c r="N1969" s="57" t="s">
        <v>381</v>
      </c>
      <c r="O1969" s="57" t="s">
        <v>2755</v>
      </c>
      <c r="P1969" s="57"/>
      <c r="Q1969" s="57" t="s">
        <v>698</v>
      </c>
    </row>
    <row r="1970" s="50" customFormat="true" ht="14.25" hidden="false" customHeight="true" outlineLevel="0" collapsed="false">
      <c r="A1970" s="50" t="s">
        <v>651</v>
      </c>
      <c r="B1970" s="57" t="s">
        <v>651</v>
      </c>
      <c r="C1970" s="57" t="s">
        <v>1514</v>
      </c>
      <c r="D1970" s="58" t="n">
        <v>46069.5416319444</v>
      </c>
      <c r="E1970" s="58" t="n">
        <v>46069.5416319444</v>
      </c>
      <c r="F1970" s="58" t="n">
        <v>46069.5424305556</v>
      </c>
      <c r="G1970" s="59" t="n">
        <f aca="false">F1970-E1970</f>
        <v>0.000798611203703704</v>
      </c>
      <c r="H1970" s="57" t="s">
        <v>252</v>
      </c>
      <c r="I1970" s="57"/>
      <c r="J1970" s="57" t="s">
        <v>333</v>
      </c>
      <c r="K1970" s="57" t="s">
        <v>334</v>
      </c>
      <c r="L1970" s="57" t="s">
        <v>2754</v>
      </c>
      <c r="M1970" s="57" t="s">
        <v>336</v>
      </c>
      <c r="N1970" s="57" t="s">
        <v>381</v>
      </c>
      <c r="O1970" s="57" t="s">
        <v>2755</v>
      </c>
      <c r="P1970" s="57"/>
      <c r="Q1970" s="57" t="s">
        <v>698</v>
      </c>
    </row>
    <row r="1971" s="50" customFormat="true" ht="14.25" hidden="false" customHeight="true" outlineLevel="0" collapsed="false">
      <c r="A1971" s="50" t="s">
        <v>651</v>
      </c>
      <c r="B1971" s="57" t="s">
        <v>651</v>
      </c>
      <c r="C1971" s="57" t="s">
        <v>1514</v>
      </c>
      <c r="D1971" s="58" t="n">
        <v>46069.5376967593</v>
      </c>
      <c r="E1971" s="58" t="n">
        <v>46069.5376967593</v>
      </c>
      <c r="F1971" s="58" t="n">
        <v>46069.5384722222</v>
      </c>
      <c r="G1971" s="59" t="n">
        <f aca="false">F1971-E1971</f>
        <v>0.000775462905092593</v>
      </c>
      <c r="H1971" s="57" t="s">
        <v>252</v>
      </c>
      <c r="I1971" s="57"/>
      <c r="J1971" s="57" t="s">
        <v>333</v>
      </c>
      <c r="K1971" s="57" t="s">
        <v>334</v>
      </c>
      <c r="L1971" s="57" t="s">
        <v>2754</v>
      </c>
      <c r="M1971" s="57" t="s">
        <v>336</v>
      </c>
      <c r="N1971" s="57" t="s">
        <v>381</v>
      </c>
      <c r="O1971" s="57" t="s">
        <v>2755</v>
      </c>
      <c r="P1971" s="57"/>
      <c r="Q1971" s="57" t="s">
        <v>698</v>
      </c>
    </row>
    <row r="1972" s="50" customFormat="true" ht="14.25" hidden="false" customHeight="true" outlineLevel="0" collapsed="false">
      <c r="A1972" s="50" t="s">
        <v>651</v>
      </c>
      <c r="B1972" s="57" t="s">
        <v>651</v>
      </c>
      <c r="C1972" s="57" t="s">
        <v>1514</v>
      </c>
      <c r="D1972" s="58" t="n">
        <v>46069.5343055556</v>
      </c>
      <c r="E1972" s="58" t="n">
        <v>46069.5343055556</v>
      </c>
      <c r="F1972" s="58" t="n">
        <v>46069.5350694444</v>
      </c>
      <c r="G1972" s="59" t="n">
        <f aca="false">F1972-E1972</f>
        <v>0.000763888796296296</v>
      </c>
      <c r="H1972" s="57" t="s">
        <v>252</v>
      </c>
      <c r="I1972" s="57"/>
      <c r="J1972" s="57" t="s">
        <v>333</v>
      </c>
      <c r="K1972" s="57" t="s">
        <v>334</v>
      </c>
      <c r="L1972" s="57" t="s">
        <v>2754</v>
      </c>
      <c r="M1972" s="57" t="s">
        <v>336</v>
      </c>
      <c r="N1972" s="57" t="s">
        <v>381</v>
      </c>
      <c r="O1972" s="57" t="s">
        <v>2755</v>
      </c>
      <c r="P1972" s="57"/>
      <c r="Q1972" s="57" t="s">
        <v>698</v>
      </c>
    </row>
    <row r="1973" s="50" customFormat="true" ht="14.25" hidden="false" customHeight="true" outlineLevel="0" collapsed="false">
      <c r="A1973" s="50" t="s">
        <v>651</v>
      </c>
      <c r="B1973" s="57" t="s">
        <v>651</v>
      </c>
      <c r="C1973" s="57" t="s">
        <v>1514</v>
      </c>
      <c r="D1973" s="58" t="n">
        <v>46069.5309722222</v>
      </c>
      <c r="E1973" s="58" t="n">
        <v>46069.5309722222</v>
      </c>
      <c r="F1973" s="58" t="n">
        <v>46069.5317361111</v>
      </c>
      <c r="G1973" s="59" t="n">
        <f aca="false">F1973-E1973</f>
        <v>0.000763888888888889</v>
      </c>
      <c r="H1973" s="57" t="s">
        <v>252</v>
      </c>
      <c r="I1973" s="57"/>
      <c r="J1973" s="57" t="s">
        <v>333</v>
      </c>
      <c r="K1973" s="57" t="s">
        <v>334</v>
      </c>
      <c r="L1973" s="57" t="s">
        <v>2754</v>
      </c>
      <c r="M1973" s="57" t="s">
        <v>336</v>
      </c>
      <c r="N1973" s="57" t="s">
        <v>381</v>
      </c>
      <c r="O1973" s="57" t="s">
        <v>2755</v>
      </c>
      <c r="P1973" s="57"/>
      <c r="Q1973" s="57" t="s">
        <v>698</v>
      </c>
    </row>
    <row r="1974" s="50" customFormat="true" ht="14.25" hidden="false" customHeight="true" outlineLevel="0" collapsed="false">
      <c r="A1974" s="50" t="s">
        <v>651</v>
      </c>
      <c r="B1974" s="57" t="s">
        <v>651</v>
      </c>
      <c r="C1974" s="57" t="s">
        <v>1514</v>
      </c>
      <c r="D1974" s="58" t="n">
        <v>46069.5272685185</v>
      </c>
      <c r="E1974" s="58" t="n">
        <v>46069.5272685185</v>
      </c>
      <c r="F1974" s="58" t="n">
        <v>46069.5280439815</v>
      </c>
      <c r="G1974" s="59" t="n">
        <f aca="false">F1974-E1974</f>
        <v>0.000775463009259259</v>
      </c>
      <c r="H1974" s="57" t="s">
        <v>252</v>
      </c>
      <c r="I1974" s="57"/>
      <c r="J1974" s="57" t="s">
        <v>333</v>
      </c>
      <c r="K1974" s="57" t="s">
        <v>334</v>
      </c>
      <c r="L1974" s="57" t="s">
        <v>2754</v>
      </c>
      <c r="M1974" s="57" t="s">
        <v>336</v>
      </c>
      <c r="N1974" s="57" t="s">
        <v>381</v>
      </c>
      <c r="O1974" s="57" t="s">
        <v>2755</v>
      </c>
      <c r="P1974" s="57"/>
      <c r="Q1974" s="57" t="s">
        <v>698</v>
      </c>
    </row>
    <row r="1975" s="50" customFormat="true" ht="14.25" hidden="false" customHeight="true" outlineLevel="0" collapsed="false">
      <c r="A1975" s="50" t="s">
        <v>651</v>
      </c>
      <c r="B1975" s="57" t="s">
        <v>651</v>
      </c>
      <c r="C1975" s="57" t="s">
        <v>1514</v>
      </c>
      <c r="D1975" s="58" t="n">
        <v>46069.5088888889</v>
      </c>
      <c r="E1975" s="58" t="n">
        <v>46069.5088888889</v>
      </c>
      <c r="F1975" s="58" t="n">
        <v>46069.5096527778</v>
      </c>
      <c r="G1975" s="59" t="n">
        <f aca="false">F1975-E1975</f>
        <v>0.000763888888888889</v>
      </c>
      <c r="H1975" s="57" t="s">
        <v>252</v>
      </c>
      <c r="I1975" s="57"/>
      <c r="J1975" s="57" t="s">
        <v>333</v>
      </c>
      <c r="K1975" s="57" t="s">
        <v>334</v>
      </c>
      <c r="L1975" s="57" t="s">
        <v>2754</v>
      </c>
      <c r="M1975" s="57" t="s">
        <v>336</v>
      </c>
      <c r="N1975" s="57" t="s">
        <v>381</v>
      </c>
      <c r="O1975" s="57" t="s">
        <v>2755</v>
      </c>
      <c r="P1975" s="57"/>
      <c r="Q1975" s="57" t="s">
        <v>698</v>
      </c>
    </row>
    <row r="1976" s="50" customFormat="true" ht="14.25" hidden="false" customHeight="true" outlineLevel="0" collapsed="false">
      <c r="A1976" s="50" t="s">
        <v>651</v>
      </c>
      <c r="B1976" s="57" t="s">
        <v>651</v>
      </c>
      <c r="C1976" s="57" t="s">
        <v>1514</v>
      </c>
      <c r="D1976" s="58" t="n">
        <v>46069.5039930556</v>
      </c>
      <c r="E1976" s="58" t="n">
        <v>46069.5039930556</v>
      </c>
      <c r="F1976" s="58" t="n">
        <v>46069.5047685185</v>
      </c>
      <c r="G1976" s="59" t="n">
        <f aca="false">F1976-E1976</f>
        <v>0.000775462893518519</v>
      </c>
      <c r="H1976" s="57" t="s">
        <v>252</v>
      </c>
      <c r="I1976" s="57"/>
      <c r="J1976" s="57" t="s">
        <v>333</v>
      </c>
      <c r="K1976" s="57" t="s">
        <v>334</v>
      </c>
      <c r="L1976" s="57" t="s">
        <v>2754</v>
      </c>
      <c r="M1976" s="57" t="s">
        <v>336</v>
      </c>
      <c r="N1976" s="57" t="s">
        <v>381</v>
      </c>
      <c r="O1976" s="57" t="s">
        <v>2755</v>
      </c>
      <c r="P1976" s="57"/>
      <c r="Q1976" s="57" t="s">
        <v>698</v>
      </c>
    </row>
    <row r="1977" s="50" customFormat="true" ht="14.25" hidden="false" customHeight="true" outlineLevel="0" collapsed="false">
      <c r="A1977" s="50" t="s">
        <v>651</v>
      </c>
      <c r="B1977" s="57" t="s">
        <v>651</v>
      </c>
      <c r="C1977" s="57" t="s">
        <v>1514</v>
      </c>
      <c r="D1977" s="58" t="n">
        <v>46069.4956944444</v>
      </c>
      <c r="E1977" s="58" t="n">
        <v>46069.4956944444</v>
      </c>
      <c r="F1977" s="58" t="n">
        <v>46069.4964814815</v>
      </c>
      <c r="G1977" s="59" t="n">
        <f aca="false">F1977-E1977</f>
        <v>0.000787037106481482</v>
      </c>
      <c r="H1977" s="57" t="s">
        <v>252</v>
      </c>
      <c r="I1977" s="57"/>
      <c r="J1977" s="57" t="s">
        <v>333</v>
      </c>
      <c r="K1977" s="57" t="s">
        <v>334</v>
      </c>
      <c r="L1977" s="57" t="s">
        <v>2754</v>
      </c>
      <c r="M1977" s="57" t="s">
        <v>336</v>
      </c>
      <c r="N1977" s="57" t="s">
        <v>381</v>
      </c>
      <c r="O1977" s="57" t="s">
        <v>2755</v>
      </c>
      <c r="P1977" s="57"/>
      <c r="Q1977" s="57" t="s">
        <v>698</v>
      </c>
    </row>
    <row r="1978" s="50" customFormat="true" ht="14.25" hidden="false" customHeight="true" outlineLevel="0" collapsed="false">
      <c r="A1978" s="50" t="s">
        <v>651</v>
      </c>
      <c r="B1978" s="57" t="s">
        <v>651</v>
      </c>
      <c r="C1978" s="57" t="s">
        <v>1514</v>
      </c>
      <c r="D1978" s="58" t="n">
        <v>46069.491724537</v>
      </c>
      <c r="E1978" s="58" t="n">
        <v>46069.491724537</v>
      </c>
      <c r="F1978" s="58" t="n">
        <v>46069.4924884259</v>
      </c>
      <c r="G1978" s="59" t="n">
        <f aca="false">F1978-E1978</f>
        <v>0.000763888888888889</v>
      </c>
      <c r="H1978" s="57" t="s">
        <v>252</v>
      </c>
      <c r="I1978" s="57"/>
      <c r="J1978" s="57" t="s">
        <v>333</v>
      </c>
      <c r="K1978" s="57" t="s">
        <v>334</v>
      </c>
      <c r="L1978" s="57" t="s">
        <v>2754</v>
      </c>
      <c r="M1978" s="57" t="s">
        <v>336</v>
      </c>
      <c r="N1978" s="57" t="s">
        <v>381</v>
      </c>
      <c r="O1978" s="57" t="s">
        <v>2755</v>
      </c>
      <c r="P1978" s="57"/>
      <c r="Q1978" s="57" t="s">
        <v>698</v>
      </c>
    </row>
    <row r="1979" s="50" customFormat="true" ht="14.25" hidden="false" customHeight="true" outlineLevel="0" collapsed="false">
      <c r="A1979" s="50" t="s">
        <v>651</v>
      </c>
      <c r="B1979" s="57" t="s">
        <v>651</v>
      </c>
      <c r="C1979" s="57" t="s">
        <v>1514</v>
      </c>
      <c r="D1979" s="58" t="n">
        <v>46069.4839583333</v>
      </c>
      <c r="E1979" s="58" t="n">
        <v>46069.4839583333</v>
      </c>
      <c r="F1979" s="58" t="n">
        <v>46069.4847337963</v>
      </c>
      <c r="G1979" s="59" t="n">
        <f aca="false">F1979-E1979</f>
        <v>0.000775462997685185</v>
      </c>
      <c r="H1979" s="57" t="s">
        <v>252</v>
      </c>
      <c r="I1979" s="57"/>
      <c r="J1979" s="57" t="s">
        <v>333</v>
      </c>
      <c r="K1979" s="57" t="s">
        <v>334</v>
      </c>
      <c r="L1979" s="57" t="s">
        <v>2754</v>
      </c>
      <c r="M1979" s="57" t="s">
        <v>336</v>
      </c>
      <c r="N1979" s="57" t="s">
        <v>381</v>
      </c>
      <c r="O1979" s="57" t="s">
        <v>2755</v>
      </c>
      <c r="P1979" s="57"/>
      <c r="Q1979" s="57" t="s">
        <v>698</v>
      </c>
    </row>
    <row r="1980" s="50" customFormat="true" ht="14.25" hidden="false" customHeight="true" outlineLevel="0" collapsed="false">
      <c r="A1980" s="50" t="s">
        <v>651</v>
      </c>
      <c r="B1980" s="57" t="s">
        <v>651</v>
      </c>
      <c r="C1980" s="57" t="s">
        <v>1514</v>
      </c>
      <c r="D1980" s="58" t="n">
        <v>46069.4792708333</v>
      </c>
      <c r="E1980" s="58" t="n">
        <v>46069.4792708333</v>
      </c>
      <c r="F1980" s="58" t="n">
        <v>46069.4800578704</v>
      </c>
      <c r="G1980" s="59" t="n">
        <f aca="false">F1980-E1980</f>
        <v>0.000787037106481482</v>
      </c>
      <c r="H1980" s="57" t="s">
        <v>252</v>
      </c>
      <c r="I1980" s="57"/>
      <c r="J1980" s="57" t="s">
        <v>333</v>
      </c>
      <c r="K1980" s="57" t="s">
        <v>334</v>
      </c>
      <c r="L1980" s="57" t="s">
        <v>2754</v>
      </c>
      <c r="M1980" s="57" t="s">
        <v>336</v>
      </c>
      <c r="N1980" s="57" t="s">
        <v>381</v>
      </c>
      <c r="O1980" s="57" t="s">
        <v>2755</v>
      </c>
      <c r="P1980" s="57"/>
      <c r="Q1980" s="57" t="s">
        <v>698</v>
      </c>
    </row>
    <row r="1981" s="50" customFormat="true" ht="14.25" hidden="false" customHeight="true" outlineLevel="0" collapsed="false">
      <c r="A1981" s="50" t="s">
        <v>651</v>
      </c>
      <c r="B1981" s="57" t="s">
        <v>651</v>
      </c>
      <c r="C1981" s="57" t="s">
        <v>1514</v>
      </c>
      <c r="D1981" s="58" t="n">
        <v>46069.4746412037</v>
      </c>
      <c r="E1981" s="58" t="n">
        <v>46069.4746412037</v>
      </c>
      <c r="F1981" s="58" t="n">
        <v>46069.4754282407</v>
      </c>
      <c r="G1981" s="59" t="n">
        <f aca="false">F1981-E1981</f>
        <v>0.000787037002314815</v>
      </c>
      <c r="H1981" s="57" t="s">
        <v>252</v>
      </c>
      <c r="I1981" s="57"/>
      <c r="J1981" s="57" t="s">
        <v>333</v>
      </c>
      <c r="K1981" s="57" t="s">
        <v>334</v>
      </c>
      <c r="L1981" s="57" t="s">
        <v>2754</v>
      </c>
      <c r="M1981" s="57" t="s">
        <v>336</v>
      </c>
      <c r="N1981" s="57" t="s">
        <v>381</v>
      </c>
      <c r="O1981" s="57" t="s">
        <v>2755</v>
      </c>
      <c r="P1981" s="57"/>
      <c r="Q1981" s="57" t="s">
        <v>698</v>
      </c>
    </row>
    <row r="1982" s="50" customFormat="true" ht="14.25" hidden="false" customHeight="true" outlineLevel="0" collapsed="false">
      <c r="A1982" s="50" t="s">
        <v>651</v>
      </c>
      <c r="B1982" s="57" t="s">
        <v>651</v>
      </c>
      <c r="C1982" s="57" t="s">
        <v>1514</v>
      </c>
      <c r="D1982" s="58" t="n">
        <v>46069.4637731482</v>
      </c>
      <c r="E1982" s="58" t="n">
        <v>46069.4637731482</v>
      </c>
      <c r="F1982" s="58" t="n">
        <v>46069.4645486111</v>
      </c>
      <c r="G1982" s="59" t="n">
        <f aca="false">F1982-E1982</f>
        <v>0.000775462893518519</v>
      </c>
      <c r="H1982" s="57" t="s">
        <v>252</v>
      </c>
      <c r="I1982" s="57"/>
      <c r="J1982" s="57" t="s">
        <v>333</v>
      </c>
      <c r="K1982" s="57" t="s">
        <v>334</v>
      </c>
      <c r="L1982" s="57" t="s">
        <v>2754</v>
      </c>
      <c r="M1982" s="57" t="s">
        <v>336</v>
      </c>
      <c r="N1982" s="57" t="s">
        <v>381</v>
      </c>
      <c r="O1982" s="57" t="s">
        <v>2755</v>
      </c>
      <c r="P1982" s="57"/>
      <c r="Q1982" s="57" t="s">
        <v>698</v>
      </c>
    </row>
    <row r="1983" s="50" customFormat="true" ht="14.25" hidden="false" customHeight="true" outlineLevel="0" collapsed="false">
      <c r="A1983" s="50" t="s">
        <v>651</v>
      </c>
      <c r="B1983" s="57" t="s">
        <v>651</v>
      </c>
      <c r="C1983" s="57" t="s">
        <v>1514</v>
      </c>
      <c r="D1983" s="58" t="n">
        <v>46069.4531828704</v>
      </c>
      <c r="E1983" s="58" t="n">
        <v>46069.4531828704</v>
      </c>
      <c r="F1983" s="58" t="n">
        <v>46069.4541550926</v>
      </c>
      <c r="G1983" s="59" t="n">
        <f aca="false">F1983-E1983</f>
        <v>0.000972222199074074</v>
      </c>
      <c r="H1983" s="57" t="s">
        <v>252</v>
      </c>
      <c r="I1983" s="57"/>
      <c r="J1983" s="57" t="s">
        <v>333</v>
      </c>
      <c r="K1983" s="57" t="s">
        <v>334</v>
      </c>
      <c r="L1983" s="57" t="s">
        <v>2754</v>
      </c>
      <c r="M1983" s="57" t="s">
        <v>336</v>
      </c>
      <c r="N1983" s="57" t="s">
        <v>381</v>
      </c>
      <c r="O1983" s="57" t="s">
        <v>2755</v>
      </c>
      <c r="P1983" s="57"/>
      <c r="Q1983" s="57" t="s">
        <v>698</v>
      </c>
    </row>
    <row r="1984" s="50" customFormat="true" ht="14.25" hidden="false" customHeight="true" outlineLevel="0" collapsed="false">
      <c r="A1984" s="50" t="s">
        <v>651</v>
      </c>
      <c r="B1984" s="57" t="s">
        <v>651</v>
      </c>
      <c r="C1984" s="57" t="s">
        <v>1514</v>
      </c>
      <c r="D1984" s="58" t="n">
        <v>46069.4489351852</v>
      </c>
      <c r="E1984" s="58" t="n">
        <v>46069.4489351852</v>
      </c>
      <c r="F1984" s="58" t="n">
        <v>46069.4496990741</v>
      </c>
      <c r="G1984" s="59" t="n">
        <f aca="false">F1984-E1984</f>
        <v>0.000763888888888889</v>
      </c>
      <c r="H1984" s="57" t="s">
        <v>252</v>
      </c>
      <c r="I1984" s="57"/>
      <c r="J1984" s="57" t="s">
        <v>333</v>
      </c>
      <c r="K1984" s="57" t="s">
        <v>334</v>
      </c>
      <c r="L1984" s="57" t="s">
        <v>2754</v>
      </c>
      <c r="M1984" s="57" t="s">
        <v>336</v>
      </c>
      <c r="N1984" s="57" t="s">
        <v>381</v>
      </c>
      <c r="O1984" s="57" t="s">
        <v>2755</v>
      </c>
      <c r="P1984" s="57"/>
      <c r="Q1984" s="57" t="s">
        <v>698</v>
      </c>
    </row>
    <row r="1985" s="50" customFormat="true" ht="14.25" hidden="false" customHeight="true" outlineLevel="0" collapsed="false">
      <c r="A1985" s="50" t="s">
        <v>651</v>
      </c>
      <c r="B1985" s="57" t="s">
        <v>651</v>
      </c>
      <c r="C1985" s="57" t="s">
        <v>1514</v>
      </c>
      <c r="D1985" s="58" t="n">
        <v>46069.4427546296</v>
      </c>
      <c r="E1985" s="58" t="n">
        <v>46069.4427546296</v>
      </c>
      <c r="F1985" s="58" t="n">
        <v>46069.4435300926</v>
      </c>
      <c r="G1985" s="59" t="n">
        <f aca="false">F1985-E1985</f>
        <v>0.000775462997685185</v>
      </c>
      <c r="H1985" s="57" t="s">
        <v>252</v>
      </c>
      <c r="I1985" s="57"/>
      <c r="J1985" s="57" t="s">
        <v>333</v>
      </c>
      <c r="K1985" s="57" t="s">
        <v>334</v>
      </c>
      <c r="L1985" s="57" t="s">
        <v>2754</v>
      </c>
      <c r="M1985" s="57" t="s">
        <v>336</v>
      </c>
      <c r="N1985" s="57" t="s">
        <v>381</v>
      </c>
      <c r="O1985" s="57" t="s">
        <v>2755</v>
      </c>
      <c r="P1985" s="57"/>
      <c r="Q1985" s="57" t="s">
        <v>698</v>
      </c>
    </row>
    <row r="1986" s="50" customFormat="true" ht="14.25" hidden="false" customHeight="true" outlineLevel="0" collapsed="false">
      <c r="A1986" s="50" t="s">
        <v>651</v>
      </c>
      <c r="B1986" s="57" t="s">
        <v>651</v>
      </c>
      <c r="C1986" s="57" t="s">
        <v>1514</v>
      </c>
      <c r="D1986" s="58" t="n">
        <v>46069.4382060185</v>
      </c>
      <c r="E1986" s="58" t="n">
        <v>46069.4382060185</v>
      </c>
      <c r="F1986" s="58" t="n">
        <v>46069.4389814815</v>
      </c>
      <c r="G1986" s="59" t="n">
        <f aca="false">F1986-E1986</f>
        <v>0.000775462997685185</v>
      </c>
      <c r="H1986" s="57" t="s">
        <v>252</v>
      </c>
      <c r="I1986" s="57"/>
      <c r="J1986" s="57" t="s">
        <v>333</v>
      </c>
      <c r="K1986" s="57" t="s">
        <v>334</v>
      </c>
      <c r="L1986" s="57" t="s">
        <v>2754</v>
      </c>
      <c r="M1986" s="57" t="s">
        <v>336</v>
      </c>
      <c r="N1986" s="57" t="s">
        <v>381</v>
      </c>
      <c r="O1986" s="57" t="s">
        <v>2755</v>
      </c>
      <c r="P1986" s="57"/>
      <c r="Q1986" s="57" t="s">
        <v>698</v>
      </c>
    </row>
    <row r="1987" s="50" customFormat="true" ht="14.25" hidden="false" customHeight="true" outlineLevel="0" collapsed="false">
      <c r="A1987" s="50" t="s">
        <v>651</v>
      </c>
      <c r="B1987" s="57" t="s">
        <v>651</v>
      </c>
      <c r="C1987" s="57" t="s">
        <v>1514</v>
      </c>
      <c r="D1987" s="58" t="n">
        <v>46069.4338078704</v>
      </c>
      <c r="E1987" s="58" t="n">
        <v>46069.4338078704</v>
      </c>
      <c r="F1987" s="58" t="n">
        <v>46069.4345949074</v>
      </c>
      <c r="G1987" s="59" t="n">
        <f aca="false">F1987-E1987</f>
        <v>0.000787036990740741</v>
      </c>
      <c r="H1987" s="57" t="s">
        <v>252</v>
      </c>
      <c r="I1987" s="57"/>
      <c r="J1987" s="57" t="s">
        <v>333</v>
      </c>
      <c r="K1987" s="57" t="s">
        <v>334</v>
      </c>
      <c r="L1987" s="57" t="s">
        <v>2754</v>
      </c>
      <c r="M1987" s="57" t="s">
        <v>336</v>
      </c>
      <c r="N1987" s="57" t="s">
        <v>381</v>
      </c>
      <c r="O1987" s="57" t="s">
        <v>2755</v>
      </c>
      <c r="P1987" s="57"/>
      <c r="Q1987" s="57" t="s">
        <v>698</v>
      </c>
    </row>
    <row r="1988" s="50" customFormat="true" ht="14.25" hidden="false" customHeight="true" outlineLevel="0" collapsed="false">
      <c r="A1988" s="50" t="s">
        <v>651</v>
      </c>
      <c r="B1988" s="57" t="s">
        <v>651</v>
      </c>
      <c r="C1988" s="57" t="s">
        <v>1514</v>
      </c>
      <c r="D1988" s="58" t="n">
        <v>46069.4278472222</v>
      </c>
      <c r="E1988" s="58" t="n">
        <v>46069.4278472222</v>
      </c>
      <c r="F1988" s="58" t="n">
        <v>46069.4286226852</v>
      </c>
      <c r="G1988" s="59" t="n">
        <f aca="false">F1988-E1988</f>
        <v>0.000775462997685185</v>
      </c>
      <c r="H1988" s="57" t="s">
        <v>252</v>
      </c>
      <c r="I1988" s="57"/>
      <c r="J1988" s="57" t="s">
        <v>333</v>
      </c>
      <c r="K1988" s="57" t="s">
        <v>334</v>
      </c>
      <c r="L1988" s="57" t="s">
        <v>2754</v>
      </c>
      <c r="M1988" s="57" t="s">
        <v>336</v>
      </c>
      <c r="N1988" s="57" t="s">
        <v>381</v>
      </c>
      <c r="O1988" s="57" t="s">
        <v>2755</v>
      </c>
      <c r="P1988" s="57"/>
      <c r="Q1988" s="57" t="s">
        <v>698</v>
      </c>
    </row>
    <row r="1989" s="50" customFormat="true" ht="14.25" hidden="false" customHeight="true" outlineLevel="0" collapsed="false">
      <c r="A1989" s="50" t="s">
        <v>651</v>
      </c>
      <c r="B1989" s="57" t="s">
        <v>651</v>
      </c>
      <c r="C1989" s="57" t="s">
        <v>1514</v>
      </c>
      <c r="D1989" s="58" t="n">
        <v>46069.4232407407</v>
      </c>
      <c r="E1989" s="58" t="n">
        <v>46069.4232407407</v>
      </c>
      <c r="F1989" s="58" t="n">
        <v>46069.4240162037</v>
      </c>
      <c r="G1989" s="59" t="n">
        <f aca="false">F1989-E1989</f>
        <v>0.000775462997685185</v>
      </c>
      <c r="H1989" s="57" t="s">
        <v>252</v>
      </c>
      <c r="I1989" s="57"/>
      <c r="J1989" s="57" t="s">
        <v>333</v>
      </c>
      <c r="K1989" s="57" t="s">
        <v>334</v>
      </c>
      <c r="L1989" s="57" t="s">
        <v>2754</v>
      </c>
      <c r="M1989" s="57" t="s">
        <v>336</v>
      </c>
      <c r="N1989" s="57" t="s">
        <v>381</v>
      </c>
      <c r="O1989" s="57" t="s">
        <v>2755</v>
      </c>
      <c r="P1989" s="57"/>
      <c r="Q1989" s="57" t="s">
        <v>698</v>
      </c>
    </row>
    <row r="1990" s="50" customFormat="true" ht="14.25" hidden="false" customHeight="true" outlineLevel="0" collapsed="false">
      <c r="A1990" s="50" t="s">
        <v>651</v>
      </c>
      <c r="B1990" s="57" t="s">
        <v>651</v>
      </c>
      <c r="C1990" s="57" t="s">
        <v>1514</v>
      </c>
      <c r="D1990" s="58" t="n">
        <v>46069.418275463</v>
      </c>
      <c r="E1990" s="58" t="n">
        <v>46069.418275463</v>
      </c>
      <c r="F1990" s="58" t="n">
        <v>46069.4190509259</v>
      </c>
      <c r="G1990" s="59" t="n">
        <f aca="false">F1990-E1990</f>
        <v>0.000775462893518519</v>
      </c>
      <c r="H1990" s="57" t="s">
        <v>252</v>
      </c>
      <c r="I1990" s="57"/>
      <c r="J1990" s="57" t="s">
        <v>333</v>
      </c>
      <c r="K1990" s="57" t="s">
        <v>334</v>
      </c>
      <c r="L1990" s="57" t="s">
        <v>2754</v>
      </c>
      <c r="M1990" s="57" t="s">
        <v>336</v>
      </c>
      <c r="N1990" s="57" t="s">
        <v>381</v>
      </c>
      <c r="O1990" s="57" t="s">
        <v>2755</v>
      </c>
      <c r="P1990" s="57"/>
      <c r="Q1990" s="57" t="s">
        <v>698</v>
      </c>
    </row>
    <row r="1991" s="50" customFormat="true" ht="14.25" hidden="false" customHeight="true" outlineLevel="0" collapsed="false">
      <c r="A1991" s="50" t="s">
        <v>651</v>
      </c>
      <c r="B1991" s="57" t="s">
        <v>651</v>
      </c>
      <c r="C1991" s="57" t="s">
        <v>1514</v>
      </c>
      <c r="D1991" s="58" t="n">
        <v>46069.4127083333</v>
      </c>
      <c r="E1991" s="58" t="n">
        <v>46069.4127083333</v>
      </c>
      <c r="F1991" s="58" t="n">
        <v>46069.4134837963</v>
      </c>
      <c r="G1991" s="59" t="n">
        <f aca="false">F1991-E1991</f>
        <v>0.000775462997685185</v>
      </c>
      <c r="H1991" s="57" t="s">
        <v>252</v>
      </c>
      <c r="I1991" s="57"/>
      <c r="J1991" s="57" t="s">
        <v>333</v>
      </c>
      <c r="K1991" s="57" t="s">
        <v>334</v>
      </c>
      <c r="L1991" s="57" t="s">
        <v>2754</v>
      </c>
      <c r="M1991" s="57" t="s">
        <v>336</v>
      </c>
      <c r="N1991" s="57" t="s">
        <v>381</v>
      </c>
      <c r="O1991" s="57" t="s">
        <v>2755</v>
      </c>
      <c r="P1991" s="57"/>
      <c r="Q1991" s="57" t="s">
        <v>698</v>
      </c>
    </row>
    <row r="1992" s="50" customFormat="true" ht="14.25" hidden="false" customHeight="true" outlineLevel="0" collapsed="false">
      <c r="A1992" s="50" t="s">
        <v>651</v>
      </c>
      <c r="B1992" s="57" t="s">
        <v>651</v>
      </c>
      <c r="C1992" s="57" t="s">
        <v>1514</v>
      </c>
      <c r="D1992" s="58" t="n">
        <v>46069.4064583333</v>
      </c>
      <c r="E1992" s="58" t="n">
        <v>46069.4064583333</v>
      </c>
      <c r="F1992" s="58" t="n">
        <v>46069.4072453704</v>
      </c>
      <c r="G1992" s="59" t="n">
        <f aca="false">F1992-E1992</f>
        <v>0.000787037094907407</v>
      </c>
      <c r="H1992" s="57" t="s">
        <v>252</v>
      </c>
      <c r="I1992" s="57"/>
      <c r="J1992" s="57" t="s">
        <v>333</v>
      </c>
      <c r="K1992" s="57" t="s">
        <v>334</v>
      </c>
      <c r="L1992" s="57" t="s">
        <v>2754</v>
      </c>
      <c r="M1992" s="57" t="s">
        <v>336</v>
      </c>
      <c r="N1992" s="57" t="s">
        <v>381</v>
      </c>
      <c r="O1992" s="57" t="s">
        <v>2755</v>
      </c>
      <c r="P1992" s="57"/>
      <c r="Q1992" s="57" t="s">
        <v>698</v>
      </c>
    </row>
    <row r="1993" s="50" customFormat="true" ht="14.25" hidden="false" customHeight="true" outlineLevel="0" collapsed="false">
      <c r="A1993" s="50" t="s">
        <v>651</v>
      </c>
      <c r="B1993" s="57" t="s">
        <v>651</v>
      </c>
      <c r="C1993" s="57" t="s">
        <v>1514</v>
      </c>
      <c r="D1993" s="58" t="n">
        <v>46069.4001388889</v>
      </c>
      <c r="E1993" s="58" t="n">
        <v>46069.4001388889</v>
      </c>
      <c r="F1993" s="58" t="n">
        <v>46069.4009143519</v>
      </c>
      <c r="G1993" s="59" t="n">
        <f aca="false">F1993-E1993</f>
        <v>0.000775462997685185</v>
      </c>
      <c r="H1993" s="57" t="s">
        <v>252</v>
      </c>
      <c r="I1993" s="57"/>
      <c r="J1993" s="57" t="s">
        <v>333</v>
      </c>
      <c r="K1993" s="57" t="s">
        <v>334</v>
      </c>
      <c r="L1993" s="57" t="s">
        <v>2754</v>
      </c>
      <c r="M1993" s="57" t="s">
        <v>336</v>
      </c>
      <c r="N1993" s="57" t="s">
        <v>381</v>
      </c>
      <c r="O1993" s="57" t="s">
        <v>2755</v>
      </c>
      <c r="P1993" s="57"/>
      <c r="Q1993" s="57" t="s">
        <v>698</v>
      </c>
    </row>
    <row r="1994" s="50" customFormat="true" ht="14.25" hidden="false" customHeight="true" outlineLevel="0" collapsed="false">
      <c r="A1994" s="50" t="s">
        <v>651</v>
      </c>
      <c r="B1994" s="57" t="s">
        <v>651</v>
      </c>
      <c r="C1994" s="57" t="s">
        <v>1514</v>
      </c>
      <c r="D1994" s="58" t="n">
        <v>46069.3945023148</v>
      </c>
      <c r="E1994" s="58" t="n">
        <v>46069.3945023148</v>
      </c>
      <c r="F1994" s="58" t="n">
        <v>46069.3952662037</v>
      </c>
      <c r="G1994" s="59" t="n">
        <f aca="false">F1994-E1994</f>
        <v>0.000763888888888889</v>
      </c>
      <c r="H1994" s="57" t="s">
        <v>252</v>
      </c>
      <c r="I1994" s="57"/>
      <c r="J1994" s="57" t="s">
        <v>333</v>
      </c>
      <c r="K1994" s="57" t="s">
        <v>334</v>
      </c>
      <c r="L1994" s="57" t="s">
        <v>2754</v>
      </c>
      <c r="M1994" s="57" t="s">
        <v>336</v>
      </c>
      <c r="N1994" s="57" t="s">
        <v>381</v>
      </c>
      <c r="O1994" s="57" t="s">
        <v>2755</v>
      </c>
      <c r="P1994" s="57"/>
      <c r="Q1994" s="57" t="s">
        <v>698</v>
      </c>
    </row>
    <row r="1995" s="50" customFormat="true" ht="14.25" hidden="false" customHeight="true" outlineLevel="0" collapsed="false">
      <c r="A1995" s="50" t="s">
        <v>651</v>
      </c>
      <c r="B1995" s="57" t="s">
        <v>651</v>
      </c>
      <c r="C1995" s="57" t="s">
        <v>1514</v>
      </c>
      <c r="D1995" s="58" t="n">
        <v>46069.3876967593</v>
      </c>
      <c r="E1995" s="58" t="n">
        <v>46069.3876967593</v>
      </c>
      <c r="F1995" s="58" t="n">
        <v>46069.3884722222</v>
      </c>
      <c r="G1995" s="59" t="n">
        <f aca="false">F1995-E1995</f>
        <v>0.000775462893518519</v>
      </c>
      <c r="H1995" s="57" t="s">
        <v>252</v>
      </c>
      <c r="I1995" s="57"/>
      <c r="J1995" s="57" t="s">
        <v>333</v>
      </c>
      <c r="K1995" s="57" t="s">
        <v>334</v>
      </c>
      <c r="L1995" s="57" t="s">
        <v>2754</v>
      </c>
      <c r="M1995" s="57" t="s">
        <v>336</v>
      </c>
      <c r="N1995" s="57" t="s">
        <v>381</v>
      </c>
      <c r="O1995" s="57" t="s">
        <v>2755</v>
      </c>
      <c r="P1995" s="57"/>
      <c r="Q1995" s="57" t="s">
        <v>698</v>
      </c>
    </row>
    <row r="1996" s="50" customFormat="true" ht="14.25" hidden="false" customHeight="true" outlineLevel="0" collapsed="false">
      <c r="A1996" s="50" t="s">
        <v>651</v>
      </c>
      <c r="B1996" s="57" t="s">
        <v>651</v>
      </c>
      <c r="C1996" s="57" t="s">
        <v>1514</v>
      </c>
      <c r="D1996" s="58" t="n">
        <v>46069.3815740741</v>
      </c>
      <c r="E1996" s="58" t="n">
        <v>46069.3815740741</v>
      </c>
      <c r="F1996" s="58" t="n">
        <v>46069.3823263889</v>
      </c>
      <c r="G1996" s="59" t="n">
        <f aca="false">F1996-E1996</f>
        <v>0.000752314803240741</v>
      </c>
      <c r="H1996" s="57" t="s">
        <v>252</v>
      </c>
      <c r="I1996" s="57"/>
      <c r="J1996" s="57" t="s">
        <v>333</v>
      </c>
      <c r="K1996" s="57" t="s">
        <v>334</v>
      </c>
      <c r="L1996" s="57" t="s">
        <v>2754</v>
      </c>
      <c r="M1996" s="57" t="s">
        <v>336</v>
      </c>
      <c r="N1996" s="57" t="s">
        <v>381</v>
      </c>
      <c r="O1996" s="57" t="s">
        <v>2755</v>
      </c>
      <c r="P1996" s="57"/>
      <c r="Q1996" s="57" t="s">
        <v>698</v>
      </c>
    </row>
    <row r="1997" s="50" customFormat="true" ht="14.25" hidden="false" customHeight="true" outlineLevel="0" collapsed="false">
      <c r="A1997" s="50" t="s">
        <v>651</v>
      </c>
      <c r="B1997" s="57" t="s">
        <v>651</v>
      </c>
      <c r="C1997" s="57" t="s">
        <v>1514</v>
      </c>
      <c r="D1997" s="58" t="n">
        <v>46069.3763425926</v>
      </c>
      <c r="E1997" s="58" t="n">
        <v>46069.3763425926</v>
      </c>
      <c r="F1997" s="58" t="n">
        <v>46069.3771064815</v>
      </c>
      <c r="G1997" s="59" t="n">
        <f aca="false">F1997-E1997</f>
        <v>0.000763888888888889</v>
      </c>
      <c r="H1997" s="57" t="s">
        <v>252</v>
      </c>
      <c r="I1997" s="57"/>
      <c r="J1997" s="57" t="s">
        <v>333</v>
      </c>
      <c r="K1997" s="57" t="s">
        <v>334</v>
      </c>
      <c r="L1997" s="57" t="s">
        <v>2754</v>
      </c>
      <c r="M1997" s="57" t="s">
        <v>336</v>
      </c>
      <c r="N1997" s="57" t="s">
        <v>381</v>
      </c>
      <c r="O1997" s="57" t="s">
        <v>2755</v>
      </c>
      <c r="P1997" s="57"/>
      <c r="Q1997" s="57" t="s">
        <v>698</v>
      </c>
    </row>
    <row r="1998" s="50" customFormat="true" ht="14.25" hidden="false" customHeight="true" outlineLevel="0" collapsed="false">
      <c r="A1998" s="50" t="s">
        <v>651</v>
      </c>
      <c r="B1998" s="57" t="s">
        <v>651</v>
      </c>
      <c r="C1998" s="57" t="s">
        <v>1514</v>
      </c>
      <c r="D1998" s="58" t="n">
        <v>46069.3699768519</v>
      </c>
      <c r="E1998" s="58" t="n">
        <v>46069.3699768519</v>
      </c>
      <c r="F1998" s="58" t="n">
        <v>46069.3707523148</v>
      </c>
      <c r="G1998" s="59" t="n">
        <f aca="false">F1998-E1998</f>
        <v>0.000775462893518519</v>
      </c>
      <c r="H1998" s="57" t="s">
        <v>252</v>
      </c>
      <c r="I1998" s="57"/>
      <c r="J1998" s="57" t="s">
        <v>333</v>
      </c>
      <c r="K1998" s="57" t="s">
        <v>334</v>
      </c>
      <c r="L1998" s="57" t="s">
        <v>2754</v>
      </c>
      <c r="M1998" s="57" t="s">
        <v>336</v>
      </c>
      <c r="N1998" s="57" t="s">
        <v>381</v>
      </c>
      <c r="O1998" s="57" t="s">
        <v>2755</v>
      </c>
      <c r="P1998" s="57"/>
      <c r="Q1998" s="57" t="s">
        <v>698</v>
      </c>
    </row>
    <row r="1999" s="50" customFormat="true" ht="14.25" hidden="false" customHeight="true" outlineLevel="0" collapsed="false">
      <c r="A1999" s="50" t="s">
        <v>651</v>
      </c>
      <c r="B1999" s="57" t="s">
        <v>651</v>
      </c>
      <c r="C1999" s="57" t="s">
        <v>1514</v>
      </c>
      <c r="D1999" s="58" t="n">
        <v>46068.7092939815</v>
      </c>
      <c r="E1999" s="58" t="n">
        <v>46068.7092939815</v>
      </c>
      <c r="F1999" s="58" t="n">
        <v>46068.7103009259</v>
      </c>
      <c r="G1999" s="59" t="n">
        <f aca="false">F1999-E1999</f>
        <v>0.00100694439814815</v>
      </c>
      <c r="H1999" s="57" t="s">
        <v>252</v>
      </c>
      <c r="I1999" s="57"/>
      <c r="J1999" s="57" t="s">
        <v>333</v>
      </c>
      <c r="K1999" s="57" t="s">
        <v>334</v>
      </c>
      <c r="L1999" s="57" t="s">
        <v>2754</v>
      </c>
      <c r="M1999" s="57" t="s">
        <v>336</v>
      </c>
      <c r="N1999" s="57" t="s">
        <v>381</v>
      </c>
      <c r="O1999" s="57" t="s">
        <v>2755</v>
      </c>
      <c r="P1999" s="57"/>
      <c r="Q1999" s="57" t="s">
        <v>698</v>
      </c>
    </row>
    <row r="2000" s="50" customFormat="true" ht="14.25" hidden="false" customHeight="true" outlineLevel="0" collapsed="false">
      <c r="A2000" s="50" t="s">
        <v>651</v>
      </c>
      <c r="B2000" s="57" t="s">
        <v>651</v>
      </c>
      <c r="C2000" s="57" t="s">
        <v>1514</v>
      </c>
      <c r="D2000" s="58" t="n">
        <v>46068.7023032407</v>
      </c>
      <c r="E2000" s="58" t="n">
        <v>46068.7023032407</v>
      </c>
      <c r="F2000" s="58" t="n">
        <v>46068.7030787037</v>
      </c>
      <c r="G2000" s="59" t="n">
        <f aca="false">F2000-E2000</f>
        <v>0.000775462997685185</v>
      </c>
      <c r="H2000" s="57" t="s">
        <v>252</v>
      </c>
      <c r="I2000" s="57"/>
      <c r="J2000" s="57" t="s">
        <v>333</v>
      </c>
      <c r="K2000" s="57" t="s">
        <v>334</v>
      </c>
      <c r="L2000" s="57" t="s">
        <v>2754</v>
      </c>
      <c r="M2000" s="57" t="s">
        <v>336</v>
      </c>
      <c r="N2000" s="57" t="s">
        <v>381</v>
      </c>
      <c r="O2000" s="57" t="s">
        <v>2755</v>
      </c>
      <c r="P2000" s="57"/>
      <c r="Q2000" s="57" t="s">
        <v>698</v>
      </c>
    </row>
    <row r="2001" s="50" customFormat="true" ht="14.25" hidden="false" customHeight="true" outlineLevel="0" collapsed="false">
      <c r="A2001" s="50" t="s">
        <v>651</v>
      </c>
      <c r="B2001" s="57" t="s">
        <v>651</v>
      </c>
      <c r="C2001" s="57" t="s">
        <v>1514</v>
      </c>
      <c r="D2001" s="58" t="n">
        <v>46068.6641435185</v>
      </c>
      <c r="E2001" s="58" t="n">
        <v>46068.6641435185</v>
      </c>
      <c r="F2001" s="58" t="n">
        <v>46068.6649305556</v>
      </c>
      <c r="G2001" s="59" t="n">
        <f aca="false">F2001-E2001</f>
        <v>0.000787037094907407</v>
      </c>
      <c r="H2001" s="57" t="s">
        <v>252</v>
      </c>
      <c r="I2001" s="57"/>
      <c r="J2001" s="57" t="s">
        <v>333</v>
      </c>
      <c r="K2001" s="57" t="s">
        <v>334</v>
      </c>
      <c r="L2001" s="57" t="s">
        <v>2754</v>
      </c>
      <c r="M2001" s="57" t="s">
        <v>336</v>
      </c>
      <c r="N2001" s="57" t="s">
        <v>381</v>
      </c>
      <c r="O2001" s="57" t="s">
        <v>2755</v>
      </c>
      <c r="P2001" s="57"/>
      <c r="Q2001" s="57" t="s">
        <v>698</v>
      </c>
    </row>
    <row r="2002" s="50" customFormat="true" ht="14.25" hidden="false" customHeight="true" outlineLevel="0" collapsed="false">
      <c r="A2002" s="50" t="s">
        <v>651</v>
      </c>
      <c r="B2002" s="57" t="s">
        <v>651</v>
      </c>
      <c r="C2002" s="57" t="s">
        <v>1514</v>
      </c>
      <c r="D2002" s="58" t="n">
        <v>46068.66</v>
      </c>
      <c r="E2002" s="58" t="n">
        <v>46068.66</v>
      </c>
      <c r="F2002" s="58" t="n">
        <v>46068.660775463</v>
      </c>
      <c r="G2002" s="59" t="n">
        <f aca="false">F2002-E2002</f>
        <v>0.000775462997685185</v>
      </c>
      <c r="H2002" s="57" t="s">
        <v>252</v>
      </c>
      <c r="I2002" s="57"/>
      <c r="J2002" s="57" t="s">
        <v>333</v>
      </c>
      <c r="K2002" s="57" t="s">
        <v>334</v>
      </c>
      <c r="L2002" s="57" t="s">
        <v>2754</v>
      </c>
      <c r="M2002" s="57" t="s">
        <v>336</v>
      </c>
      <c r="N2002" s="57" t="s">
        <v>381</v>
      </c>
      <c r="O2002" s="57" t="s">
        <v>2755</v>
      </c>
      <c r="P2002" s="57"/>
      <c r="Q2002" s="57" t="s">
        <v>698</v>
      </c>
    </row>
    <row r="2003" s="50" customFormat="true" ht="14.25" hidden="false" customHeight="true" outlineLevel="0" collapsed="false">
      <c r="A2003" s="50" t="s">
        <v>651</v>
      </c>
      <c r="B2003" s="57" t="s">
        <v>651</v>
      </c>
      <c r="C2003" s="57" t="s">
        <v>1514</v>
      </c>
      <c r="D2003" s="58" t="n">
        <v>46068.6558333333</v>
      </c>
      <c r="E2003" s="58" t="n">
        <v>46068.6558333333</v>
      </c>
      <c r="F2003" s="58" t="n">
        <v>46068.6565972222</v>
      </c>
      <c r="G2003" s="59" t="n">
        <f aca="false">F2003-E2003</f>
        <v>0.000763888888888889</v>
      </c>
      <c r="H2003" s="57" t="s">
        <v>252</v>
      </c>
      <c r="I2003" s="57"/>
      <c r="J2003" s="57" t="s">
        <v>333</v>
      </c>
      <c r="K2003" s="57" t="s">
        <v>334</v>
      </c>
      <c r="L2003" s="57" t="s">
        <v>2754</v>
      </c>
      <c r="M2003" s="57" t="s">
        <v>336</v>
      </c>
      <c r="N2003" s="57" t="s">
        <v>381</v>
      </c>
      <c r="O2003" s="57" t="s">
        <v>2755</v>
      </c>
      <c r="P2003" s="57"/>
      <c r="Q2003" s="57" t="s">
        <v>698</v>
      </c>
    </row>
    <row r="2004" s="50" customFormat="true" ht="14.25" hidden="false" customHeight="true" outlineLevel="0" collapsed="false">
      <c r="A2004" s="50" t="s">
        <v>651</v>
      </c>
      <c r="B2004" s="57" t="s">
        <v>651</v>
      </c>
      <c r="C2004" s="57" t="s">
        <v>1514</v>
      </c>
      <c r="D2004" s="58" t="n">
        <v>46068.6524537037</v>
      </c>
      <c r="E2004" s="58" t="n">
        <v>46068.6524537037</v>
      </c>
      <c r="F2004" s="58" t="n">
        <v>46068.6532291667</v>
      </c>
      <c r="G2004" s="59" t="n">
        <f aca="false">F2004-E2004</f>
        <v>0.000775463009259259</v>
      </c>
      <c r="H2004" s="57" t="s">
        <v>252</v>
      </c>
      <c r="I2004" s="57"/>
      <c r="J2004" s="57" t="s">
        <v>333</v>
      </c>
      <c r="K2004" s="57" t="s">
        <v>334</v>
      </c>
      <c r="L2004" s="57" t="s">
        <v>2754</v>
      </c>
      <c r="M2004" s="57" t="s">
        <v>336</v>
      </c>
      <c r="N2004" s="57" t="s">
        <v>381</v>
      </c>
      <c r="O2004" s="57" t="s">
        <v>2755</v>
      </c>
      <c r="P2004" s="57"/>
      <c r="Q2004" s="57" t="s">
        <v>698</v>
      </c>
    </row>
    <row r="2005" s="50" customFormat="true" ht="14.25" hidden="false" customHeight="true" outlineLevel="0" collapsed="false">
      <c r="A2005" s="50" t="s">
        <v>651</v>
      </c>
      <c r="B2005" s="57" t="s">
        <v>651</v>
      </c>
      <c r="C2005" s="57" t="s">
        <v>1514</v>
      </c>
      <c r="D2005" s="58" t="n">
        <v>46068.649375</v>
      </c>
      <c r="E2005" s="58" t="n">
        <v>46068.649375</v>
      </c>
      <c r="F2005" s="58" t="n">
        <v>46068.650150463</v>
      </c>
      <c r="G2005" s="59" t="n">
        <f aca="false">F2005-E2005</f>
        <v>0.000775462997685185</v>
      </c>
      <c r="H2005" s="57" t="s">
        <v>252</v>
      </c>
      <c r="I2005" s="57"/>
      <c r="J2005" s="57" t="s">
        <v>333</v>
      </c>
      <c r="K2005" s="57" t="s">
        <v>334</v>
      </c>
      <c r="L2005" s="57" t="s">
        <v>2754</v>
      </c>
      <c r="M2005" s="57" t="s">
        <v>336</v>
      </c>
      <c r="N2005" s="57" t="s">
        <v>381</v>
      </c>
      <c r="O2005" s="57" t="s">
        <v>2755</v>
      </c>
      <c r="P2005" s="57"/>
      <c r="Q2005" s="57" t="s">
        <v>698</v>
      </c>
    </row>
    <row r="2006" s="50" customFormat="true" ht="14.25" hidden="false" customHeight="true" outlineLevel="0" collapsed="false">
      <c r="A2006" s="50" t="s">
        <v>651</v>
      </c>
      <c r="B2006" s="57" t="s">
        <v>651</v>
      </c>
      <c r="C2006" s="57" t="s">
        <v>1514</v>
      </c>
      <c r="D2006" s="58" t="n">
        <v>46068.6465046296</v>
      </c>
      <c r="E2006" s="58" t="n">
        <v>46068.6465046296</v>
      </c>
      <c r="F2006" s="58" t="n">
        <v>46068.6472800926</v>
      </c>
      <c r="G2006" s="59" t="n">
        <f aca="false">F2006-E2006</f>
        <v>0.000775462997685185</v>
      </c>
      <c r="H2006" s="57" t="s">
        <v>252</v>
      </c>
      <c r="I2006" s="57"/>
      <c r="J2006" s="57" t="s">
        <v>333</v>
      </c>
      <c r="K2006" s="57" t="s">
        <v>334</v>
      </c>
      <c r="L2006" s="57" t="s">
        <v>2754</v>
      </c>
      <c r="M2006" s="57" t="s">
        <v>336</v>
      </c>
      <c r="N2006" s="57" t="s">
        <v>381</v>
      </c>
      <c r="O2006" s="57" t="s">
        <v>2755</v>
      </c>
      <c r="P2006" s="57"/>
      <c r="Q2006" s="57" t="s">
        <v>698</v>
      </c>
    </row>
    <row r="2007" s="50" customFormat="true" ht="14.25" hidden="false" customHeight="true" outlineLevel="0" collapsed="false">
      <c r="A2007" s="50" t="s">
        <v>651</v>
      </c>
      <c r="B2007" s="57" t="s">
        <v>651</v>
      </c>
      <c r="C2007" s="57" t="s">
        <v>1514</v>
      </c>
      <c r="D2007" s="58" t="n">
        <v>46068.6433449074</v>
      </c>
      <c r="E2007" s="58" t="n">
        <v>46068.6433449074</v>
      </c>
      <c r="F2007" s="58" t="n">
        <v>46068.6441319444</v>
      </c>
      <c r="G2007" s="59" t="n">
        <f aca="false">F2007-E2007</f>
        <v>0.000787036990740741</v>
      </c>
      <c r="H2007" s="57" t="s">
        <v>252</v>
      </c>
      <c r="I2007" s="57"/>
      <c r="J2007" s="57" t="s">
        <v>333</v>
      </c>
      <c r="K2007" s="57" t="s">
        <v>334</v>
      </c>
      <c r="L2007" s="57" t="s">
        <v>2754</v>
      </c>
      <c r="M2007" s="57" t="s">
        <v>336</v>
      </c>
      <c r="N2007" s="57" t="s">
        <v>381</v>
      </c>
      <c r="O2007" s="57" t="s">
        <v>2755</v>
      </c>
      <c r="P2007" s="57"/>
      <c r="Q2007" s="57" t="s">
        <v>698</v>
      </c>
    </row>
    <row r="2008" s="50" customFormat="true" ht="14.25" hidden="false" customHeight="true" outlineLevel="0" collapsed="false">
      <c r="A2008" s="50" t="s">
        <v>651</v>
      </c>
      <c r="B2008" s="57" t="s">
        <v>651</v>
      </c>
      <c r="C2008" s="57" t="s">
        <v>1514</v>
      </c>
      <c r="D2008" s="58" t="n">
        <v>46068.6396064815</v>
      </c>
      <c r="E2008" s="58" t="n">
        <v>46068.6396064815</v>
      </c>
      <c r="F2008" s="58" t="n">
        <v>46068.6403819444</v>
      </c>
      <c r="G2008" s="59" t="n">
        <f aca="false">F2008-E2008</f>
        <v>0.000775462905092593</v>
      </c>
      <c r="H2008" s="57" t="s">
        <v>252</v>
      </c>
      <c r="I2008" s="57"/>
      <c r="J2008" s="57" t="s">
        <v>333</v>
      </c>
      <c r="K2008" s="57" t="s">
        <v>334</v>
      </c>
      <c r="L2008" s="57" t="s">
        <v>2754</v>
      </c>
      <c r="M2008" s="57" t="s">
        <v>336</v>
      </c>
      <c r="N2008" s="57" t="s">
        <v>381</v>
      </c>
      <c r="O2008" s="57" t="s">
        <v>2755</v>
      </c>
      <c r="P2008" s="57"/>
      <c r="Q2008" s="57" t="s">
        <v>698</v>
      </c>
    </row>
    <row r="2009" s="50" customFormat="true" ht="14.25" hidden="false" customHeight="true" outlineLevel="0" collapsed="false">
      <c r="A2009" s="50" t="s">
        <v>651</v>
      </c>
      <c r="B2009" s="57" t="s">
        <v>651</v>
      </c>
      <c r="C2009" s="57" t="s">
        <v>1514</v>
      </c>
      <c r="D2009" s="58" t="n">
        <v>46068.581712963</v>
      </c>
      <c r="E2009" s="58" t="n">
        <v>46068.581712963</v>
      </c>
      <c r="F2009" s="58" t="n">
        <v>46068.5825</v>
      </c>
      <c r="G2009" s="59" t="n">
        <f aca="false">F2009-E2009</f>
        <v>0.000787036990740741</v>
      </c>
      <c r="H2009" s="57" t="s">
        <v>252</v>
      </c>
      <c r="I2009" s="57"/>
      <c r="J2009" s="57" t="s">
        <v>333</v>
      </c>
      <c r="K2009" s="57" t="s">
        <v>334</v>
      </c>
      <c r="L2009" s="57" t="s">
        <v>2754</v>
      </c>
      <c r="M2009" s="57" t="s">
        <v>336</v>
      </c>
      <c r="N2009" s="57" t="s">
        <v>381</v>
      </c>
      <c r="O2009" s="57" t="s">
        <v>2755</v>
      </c>
      <c r="P2009" s="57"/>
      <c r="Q2009" s="57" t="s">
        <v>698</v>
      </c>
    </row>
    <row r="2010" s="50" customFormat="true" ht="14.25" hidden="false" customHeight="true" outlineLevel="0" collapsed="false">
      <c r="A2010" s="50" t="s">
        <v>651</v>
      </c>
      <c r="B2010" s="57" t="s">
        <v>651</v>
      </c>
      <c r="C2010" s="57" t="s">
        <v>1514</v>
      </c>
      <c r="D2010" s="58" t="n">
        <v>46068.5784606482</v>
      </c>
      <c r="E2010" s="58" t="n">
        <v>46068.5784606482</v>
      </c>
      <c r="F2010" s="58" t="n">
        <v>46068.5792708333</v>
      </c>
      <c r="G2010" s="59" t="n">
        <f aca="false">F2010-E2010</f>
        <v>0.000810185104166667</v>
      </c>
      <c r="H2010" s="57" t="s">
        <v>252</v>
      </c>
      <c r="I2010" s="57"/>
      <c r="J2010" s="57" t="s">
        <v>333</v>
      </c>
      <c r="K2010" s="57" t="s">
        <v>334</v>
      </c>
      <c r="L2010" s="57" t="s">
        <v>2754</v>
      </c>
      <c r="M2010" s="57" t="s">
        <v>336</v>
      </c>
      <c r="N2010" s="57" t="s">
        <v>381</v>
      </c>
      <c r="O2010" s="57" t="s">
        <v>2755</v>
      </c>
      <c r="P2010" s="57"/>
      <c r="Q2010" s="57" t="s">
        <v>698</v>
      </c>
    </row>
    <row r="2011" s="50" customFormat="true" ht="14.25" hidden="false" customHeight="true" outlineLevel="0" collapsed="false">
      <c r="A2011" s="50" t="s">
        <v>651</v>
      </c>
      <c r="B2011" s="57" t="s">
        <v>651</v>
      </c>
      <c r="C2011" s="57" t="s">
        <v>1514</v>
      </c>
      <c r="D2011" s="58" t="n">
        <v>46068.5754398148</v>
      </c>
      <c r="E2011" s="58" t="n">
        <v>46068.5754398148</v>
      </c>
      <c r="F2011" s="58" t="n">
        <v>46068.5762152778</v>
      </c>
      <c r="G2011" s="59" t="n">
        <f aca="false">F2011-E2011</f>
        <v>0.000775462997685185</v>
      </c>
      <c r="H2011" s="57" t="s">
        <v>252</v>
      </c>
      <c r="I2011" s="57"/>
      <c r="J2011" s="57" t="s">
        <v>333</v>
      </c>
      <c r="K2011" s="57" t="s">
        <v>334</v>
      </c>
      <c r="L2011" s="57" t="s">
        <v>2754</v>
      </c>
      <c r="M2011" s="57" t="s">
        <v>336</v>
      </c>
      <c r="N2011" s="57" t="s">
        <v>381</v>
      </c>
      <c r="O2011" s="57" t="s">
        <v>2755</v>
      </c>
      <c r="P2011" s="57"/>
      <c r="Q2011" s="57" t="s">
        <v>698</v>
      </c>
    </row>
    <row r="2012" s="50" customFormat="true" ht="14.25" hidden="false" customHeight="true" outlineLevel="0" collapsed="false">
      <c r="A2012" s="50" t="s">
        <v>651</v>
      </c>
      <c r="B2012" s="57" t="s">
        <v>651</v>
      </c>
      <c r="C2012" s="57" t="s">
        <v>1514</v>
      </c>
      <c r="D2012" s="58" t="n">
        <v>46068.5720023148</v>
      </c>
      <c r="E2012" s="58" t="n">
        <v>46068.5720023148</v>
      </c>
      <c r="F2012" s="58" t="n">
        <v>46068.5727662037</v>
      </c>
      <c r="G2012" s="59" t="n">
        <f aca="false">F2012-E2012</f>
        <v>0.000763888888888889</v>
      </c>
      <c r="H2012" s="57" t="s">
        <v>252</v>
      </c>
      <c r="I2012" s="57"/>
      <c r="J2012" s="57" t="s">
        <v>333</v>
      </c>
      <c r="K2012" s="57" t="s">
        <v>334</v>
      </c>
      <c r="L2012" s="57" t="s">
        <v>2754</v>
      </c>
      <c r="M2012" s="57" t="s">
        <v>336</v>
      </c>
      <c r="N2012" s="57" t="s">
        <v>381</v>
      </c>
      <c r="O2012" s="57" t="s">
        <v>2755</v>
      </c>
      <c r="P2012" s="57"/>
      <c r="Q2012" s="57" t="s">
        <v>698</v>
      </c>
    </row>
    <row r="2013" s="50" customFormat="true" ht="14.25" hidden="false" customHeight="true" outlineLevel="0" collapsed="false">
      <c r="A2013" s="50" t="s">
        <v>651</v>
      </c>
      <c r="B2013" s="57" t="s">
        <v>651</v>
      </c>
      <c r="C2013" s="57" t="s">
        <v>1514</v>
      </c>
      <c r="D2013" s="58" t="n">
        <v>46068.5654976852</v>
      </c>
      <c r="E2013" s="58" t="n">
        <v>46068.5654976852</v>
      </c>
      <c r="F2013" s="58" t="n">
        <v>46068.5662731482</v>
      </c>
      <c r="G2013" s="59" t="n">
        <f aca="false">F2013-E2013</f>
        <v>0.000775462997685185</v>
      </c>
      <c r="H2013" s="57" t="s">
        <v>252</v>
      </c>
      <c r="I2013" s="57"/>
      <c r="J2013" s="57" t="s">
        <v>333</v>
      </c>
      <c r="K2013" s="57" t="s">
        <v>334</v>
      </c>
      <c r="L2013" s="57" t="s">
        <v>2754</v>
      </c>
      <c r="M2013" s="57" t="s">
        <v>336</v>
      </c>
      <c r="N2013" s="57" t="s">
        <v>381</v>
      </c>
      <c r="O2013" s="57" t="s">
        <v>2755</v>
      </c>
      <c r="P2013" s="57"/>
      <c r="Q2013" s="57" t="s">
        <v>698</v>
      </c>
    </row>
    <row r="2014" s="50" customFormat="true" ht="14.25" hidden="false" customHeight="true" outlineLevel="0" collapsed="false">
      <c r="A2014" s="50" t="s">
        <v>651</v>
      </c>
      <c r="B2014" s="57" t="s">
        <v>651</v>
      </c>
      <c r="C2014" s="57" t="s">
        <v>1514</v>
      </c>
      <c r="D2014" s="58" t="n">
        <v>46068.5624652778</v>
      </c>
      <c r="E2014" s="58" t="n">
        <v>46068.5624652778</v>
      </c>
      <c r="F2014" s="58" t="n">
        <v>46068.5632407407</v>
      </c>
      <c r="G2014" s="59" t="n">
        <f aca="false">F2014-E2014</f>
        <v>0.000775462905092593</v>
      </c>
      <c r="H2014" s="57" t="s">
        <v>252</v>
      </c>
      <c r="I2014" s="57"/>
      <c r="J2014" s="57" t="s">
        <v>333</v>
      </c>
      <c r="K2014" s="57" t="s">
        <v>334</v>
      </c>
      <c r="L2014" s="57" t="s">
        <v>2754</v>
      </c>
      <c r="M2014" s="57" t="s">
        <v>336</v>
      </c>
      <c r="N2014" s="57" t="s">
        <v>381</v>
      </c>
      <c r="O2014" s="57" t="s">
        <v>2755</v>
      </c>
      <c r="P2014" s="57"/>
      <c r="Q2014" s="57" t="s">
        <v>698</v>
      </c>
    </row>
    <row r="2015" s="50" customFormat="true" ht="14.25" hidden="false" customHeight="true" outlineLevel="0" collapsed="false">
      <c r="A2015" s="50" t="s">
        <v>651</v>
      </c>
      <c r="B2015" s="57" t="s">
        <v>651</v>
      </c>
      <c r="C2015" s="57" t="s">
        <v>1514</v>
      </c>
      <c r="D2015" s="58" t="n">
        <v>46068.5590393519</v>
      </c>
      <c r="E2015" s="58" t="n">
        <v>46068.5590393519</v>
      </c>
      <c r="F2015" s="58" t="n">
        <v>46068.5598263889</v>
      </c>
      <c r="G2015" s="59" t="n">
        <f aca="false">F2015-E2015</f>
        <v>0.000787036990740741</v>
      </c>
      <c r="H2015" s="57" t="s">
        <v>252</v>
      </c>
      <c r="I2015" s="57"/>
      <c r="J2015" s="57" t="s">
        <v>333</v>
      </c>
      <c r="K2015" s="57" t="s">
        <v>334</v>
      </c>
      <c r="L2015" s="57" t="s">
        <v>2754</v>
      </c>
      <c r="M2015" s="57" t="s">
        <v>336</v>
      </c>
      <c r="N2015" s="57" t="s">
        <v>381</v>
      </c>
      <c r="O2015" s="57" t="s">
        <v>2755</v>
      </c>
      <c r="P2015" s="57"/>
      <c r="Q2015" s="57" t="s">
        <v>698</v>
      </c>
    </row>
    <row r="2016" s="50" customFormat="true" ht="14.25" hidden="false" customHeight="true" outlineLevel="0" collapsed="false">
      <c r="A2016" s="50" t="s">
        <v>651</v>
      </c>
      <c r="B2016" s="57" t="s">
        <v>651</v>
      </c>
      <c r="C2016" s="57" t="s">
        <v>1514</v>
      </c>
      <c r="D2016" s="58" t="n">
        <v>46068.5521990741</v>
      </c>
      <c r="E2016" s="58" t="n">
        <v>46068.5521990741</v>
      </c>
      <c r="F2016" s="58" t="n">
        <v>46068.5529861111</v>
      </c>
      <c r="G2016" s="59" t="n">
        <f aca="false">F2016-E2016</f>
        <v>0.000787036990740741</v>
      </c>
      <c r="H2016" s="57" t="s">
        <v>252</v>
      </c>
      <c r="I2016" s="57"/>
      <c r="J2016" s="57" t="s">
        <v>333</v>
      </c>
      <c r="K2016" s="57" t="s">
        <v>334</v>
      </c>
      <c r="L2016" s="57" t="s">
        <v>2754</v>
      </c>
      <c r="M2016" s="57" t="s">
        <v>336</v>
      </c>
      <c r="N2016" s="57" t="s">
        <v>381</v>
      </c>
      <c r="O2016" s="57" t="s">
        <v>2755</v>
      </c>
      <c r="P2016" s="57"/>
      <c r="Q2016" s="57" t="s">
        <v>698</v>
      </c>
    </row>
    <row r="2017" s="50" customFormat="true" ht="14.25" hidden="false" customHeight="true" outlineLevel="0" collapsed="false">
      <c r="A2017" s="50" t="s">
        <v>651</v>
      </c>
      <c r="B2017" s="57" t="s">
        <v>651</v>
      </c>
      <c r="C2017" s="57" t="s">
        <v>1514</v>
      </c>
      <c r="D2017" s="58" t="n">
        <v>46068.5404976852</v>
      </c>
      <c r="E2017" s="58" t="n">
        <v>46068.5404976852</v>
      </c>
      <c r="F2017" s="58" t="n">
        <v>46068.5413078704</v>
      </c>
      <c r="G2017" s="59" t="n">
        <f aca="false">F2017-E2017</f>
        <v>0.000810185196759259</v>
      </c>
      <c r="H2017" s="57" t="s">
        <v>252</v>
      </c>
      <c r="I2017" s="57"/>
      <c r="J2017" s="57" t="s">
        <v>333</v>
      </c>
      <c r="K2017" s="57" t="s">
        <v>334</v>
      </c>
      <c r="L2017" s="57" t="s">
        <v>2754</v>
      </c>
      <c r="M2017" s="57" t="s">
        <v>336</v>
      </c>
      <c r="N2017" s="57" t="s">
        <v>381</v>
      </c>
      <c r="O2017" s="57" t="s">
        <v>2755</v>
      </c>
      <c r="P2017" s="57"/>
      <c r="Q2017" s="57" t="s">
        <v>698</v>
      </c>
    </row>
    <row r="2018" s="50" customFormat="true" ht="14.25" hidden="false" customHeight="true" outlineLevel="0" collapsed="false">
      <c r="A2018" s="50" t="s">
        <v>651</v>
      </c>
      <c r="B2018" s="57" t="s">
        <v>651</v>
      </c>
      <c r="C2018" s="57" t="s">
        <v>1514</v>
      </c>
      <c r="D2018" s="58" t="n">
        <v>46068.5368634259</v>
      </c>
      <c r="E2018" s="58" t="n">
        <v>46068.5368634259</v>
      </c>
      <c r="F2018" s="58" t="n">
        <v>46068.5376273148</v>
      </c>
      <c r="G2018" s="59" t="n">
        <f aca="false">F2018-E2018</f>
        <v>0.000763888888888889</v>
      </c>
      <c r="H2018" s="57" t="s">
        <v>252</v>
      </c>
      <c r="I2018" s="57"/>
      <c r="J2018" s="57" t="s">
        <v>333</v>
      </c>
      <c r="K2018" s="57" t="s">
        <v>334</v>
      </c>
      <c r="L2018" s="57" t="s">
        <v>2754</v>
      </c>
      <c r="M2018" s="57" t="s">
        <v>336</v>
      </c>
      <c r="N2018" s="57" t="s">
        <v>381</v>
      </c>
      <c r="O2018" s="57" t="s">
        <v>2755</v>
      </c>
      <c r="P2018" s="57"/>
      <c r="Q2018" s="57" t="s">
        <v>698</v>
      </c>
    </row>
    <row r="2019" s="50" customFormat="true" ht="14.25" hidden="false" customHeight="true" outlineLevel="0" collapsed="false">
      <c r="A2019" s="50" t="s">
        <v>651</v>
      </c>
      <c r="B2019" s="57" t="s">
        <v>651</v>
      </c>
      <c r="C2019" s="57" t="s">
        <v>1514</v>
      </c>
      <c r="D2019" s="58" t="n">
        <v>46068.5246180556</v>
      </c>
      <c r="E2019" s="58" t="n">
        <v>46068.5246180556</v>
      </c>
      <c r="F2019" s="58" t="n">
        <v>46068.5254050926</v>
      </c>
      <c r="G2019" s="59" t="n">
        <f aca="false">F2019-E2019</f>
        <v>0.000787037002314815</v>
      </c>
      <c r="H2019" s="57" t="s">
        <v>252</v>
      </c>
      <c r="I2019" s="57"/>
      <c r="J2019" s="57" t="s">
        <v>333</v>
      </c>
      <c r="K2019" s="57" t="s">
        <v>334</v>
      </c>
      <c r="L2019" s="57" t="s">
        <v>2754</v>
      </c>
      <c r="M2019" s="57" t="s">
        <v>336</v>
      </c>
      <c r="N2019" s="57" t="s">
        <v>381</v>
      </c>
      <c r="O2019" s="57" t="s">
        <v>2755</v>
      </c>
      <c r="P2019" s="57"/>
      <c r="Q2019" s="57" t="s">
        <v>698</v>
      </c>
    </row>
    <row r="2020" s="50" customFormat="true" ht="14.25" hidden="false" customHeight="true" outlineLevel="0" collapsed="false">
      <c r="A2020" s="50" t="s">
        <v>651</v>
      </c>
      <c r="B2020" s="57" t="s">
        <v>651</v>
      </c>
      <c r="C2020" s="57" t="s">
        <v>1514</v>
      </c>
      <c r="D2020" s="58" t="n">
        <v>46068.5208564815</v>
      </c>
      <c r="E2020" s="58" t="n">
        <v>46068.5208564815</v>
      </c>
      <c r="F2020" s="58" t="n">
        <v>46068.5216435185</v>
      </c>
      <c r="G2020" s="59" t="n">
        <f aca="false">F2020-E2020</f>
        <v>0.000787037002314815</v>
      </c>
      <c r="H2020" s="57" t="s">
        <v>252</v>
      </c>
      <c r="I2020" s="57"/>
      <c r="J2020" s="57" t="s">
        <v>333</v>
      </c>
      <c r="K2020" s="57" t="s">
        <v>334</v>
      </c>
      <c r="L2020" s="57" t="s">
        <v>2754</v>
      </c>
      <c r="M2020" s="57" t="s">
        <v>336</v>
      </c>
      <c r="N2020" s="57" t="s">
        <v>381</v>
      </c>
      <c r="O2020" s="57" t="s">
        <v>2755</v>
      </c>
      <c r="P2020" s="57"/>
      <c r="Q2020" s="57" t="s">
        <v>698</v>
      </c>
    </row>
    <row r="2021" s="50" customFormat="true" ht="14.25" hidden="false" customHeight="true" outlineLevel="0" collapsed="false">
      <c r="A2021" s="50" t="s">
        <v>651</v>
      </c>
      <c r="B2021" s="57" t="s">
        <v>651</v>
      </c>
      <c r="C2021" s="57" t="s">
        <v>1514</v>
      </c>
      <c r="D2021" s="58" t="n">
        <v>46068.5144907407</v>
      </c>
      <c r="E2021" s="58" t="n">
        <v>46068.5144907407</v>
      </c>
      <c r="F2021" s="58" t="n">
        <v>46068.5152777778</v>
      </c>
      <c r="G2021" s="59" t="n">
        <f aca="false">F2021-E2021</f>
        <v>0.000787037094907407</v>
      </c>
      <c r="H2021" s="57" t="s">
        <v>252</v>
      </c>
      <c r="I2021" s="57"/>
      <c r="J2021" s="57" t="s">
        <v>333</v>
      </c>
      <c r="K2021" s="57" t="s">
        <v>334</v>
      </c>
      <c r="L2021" s="57" t="s">
        <v>2754</v>
      </c>
      <c r="M2021" s="57" t="s">
        <v>336</v>
      </c>
      <c r="N2021" s="57" t="s">
        <v>381</v>
      </c>
      <c r="O2021" s="57" t="s">
        <v>2755</v>
      </c>
      <c r="P2021" s="57"/>
      <c r="Q2021" s="57" t="s">
        <v>698</v>
      </c>
    </row>
    <row r="2022" s="50" customFormat="true" ht="14.25" hidden="false" customHeight="true" outlineLevel="0" collapsed="false">
      <c r="A2022" s="50" t="s">
        <v>651</v>
      </c>
      <c r="B2022" s="57" t="s">
        <v>651</v>
      </c>
      <c r="C2022" s="57" t="s">
        <v>1514</v>
      </c>
      <c r="D2022" s="58" t="n">
        <v>46068.5100694444</v>
      </c>
      <c r="E2022" s="58" t="n">
        <v>46068.5100694444</v>
      </c>
      <c r="F2022" s="58" t="n">
        <v>46068.5108333333</v>
      </c>
      <c r="G2022" s="59" t="n">
        <f aca="false">F2022-E2022</f>
        <v>0.000763888888888889</v>
      </c>
      <c r="H2022" s="57" t="s">
        <v>252</v>
      </c>
      <c r="I2022" s="57"/>
      <c r="J2022" s="57" t="s">
        <v>333</v>
      </c>
      <c r="K2022" s="57" t="s">
        <v>334</v>
      </c>
      <c r="L2022" s="57" t="s">
        <v>2754</v>
      </c>
      <c r="M2022" s="57" t="s">
        <v>336</v>
      </c>
      <c r="N2022" s="57" t="s">
        <v>381</v>
      </c>
      <c r="O2022" s="57" t="s">
        <v>2755</v>
      </c>
      <c r="P2022" s="57"/>
      <c r="Q2022" s="57" t="s">
        <v>698</v>
      </c>
    </row>
    <row r="2023" s="50" customFormat="true" ht="14.25" hidden="false" customHeight="true" outlineLevel="0" collapsed="false">
      <c r="A2023" s="50" t="s">
        <v>651</v>
      </c>
      <c r="B2023" s="57" t="s">
        <v>651</v>
      </c>
      <c r="C2023" s="57" t="s">
        <v>1514</v>
      </c>
      <c r="D2023" s="58" t="n">
        <v>46068.5050810185</v>
      </c>
      <c r="E2023" s="58" t="n">
        <v>46068.5050810185</v>
      </c>
      <c r="F2023" s="58" t="n">
        <v>46068.5058449074</v>
      </c>
      <c r="G2023" s="59" t="n">
        <f aca="false">F2023-E2023</f>
        <v>0.000763888888888889</v>
      </c>
      <c r="H2023" s="57" t="s">
        <v>252</v>
      </c>
      <c r="I2023" s="57"/>
      <c r="J2023" s="57" t="s">
        <v>333</v>
      </c>
      <c r="K2023" s="57" t="s">
        <v>334</v>
      </c>
      <c r="L2023" s="57" t="s">
        <v>2754</v>
      </c>
      <c r="M2023" s="57" t="s">
        <v>336</v>
      </c>
      <c r="N2023" s="57" t="s">
        <v>381</v>
      </c>
      <c r="O2023" s="57" t="s">
        <v>2755</v>
      </c>
      <c r="P2023" s="57"/>
      <c r="Q2023" s="57" t="s">
        <v>698</v>
      </c>
    </row>
    <row r="2024" s="50" customFormat="true" ht="14.25" hidden="false" customHeight="true" outlineLevel="0" collapsed="false">
      <c r="A2024" s="50" t="s">
        <v>651</v>
      </c>
      <c r="B2024" s="57" t="s">
        <v>651</v>
      </c>
      <c r="C2024" s="57" t="s">
        <v>1514</v>
      </c>
      <c r="D2024" s="58" t="n">
        <v>46068.4926041667</v>
      </c>
      <c r="E2024" s="58" t="n">
        <v>46068.4926041667</v>
      </c>
      <c r="F2024" s="58" t="n">
        <v>46068.4933796296</v>
      </c>
      <c r="G2024" s="59" t="n">
        <f aca="false">F2024-E2024</f>
        <v>0.000775462905092593</v>
      </c>
      <c r="H2024" s="57" t="s">
        <v>252</v>
      </c>
      <c r="I2024" s="57"/>
      <c r="J2024" s="57" t="s">
        <v>333</v>
      </c>
      <c r="K2024" s="57" t="s">
        <v>334</v>
      </c>
      <c r="L2024" s="57" t="s">
        <v>2754</v>
      </c>
      <c r="M2024" s="57" t="s">
        <v>336</v>
      </c>
      <c r="N2024" s="57" t="s">
        <v>381</v>
      </c>
      <c r="O2024" s="57" t="s">
        <v>2755</v>
      </c>
      <c r="P2024" s="57"/>
      <c r="Q2024" s="57" t="s">
        <v>698</v>
      </c>
    </row>
    <row r="2025" s="50" customFormat="true" ht="14.25" hidden="false" customHeight="true" outlineLevel="0" collapsed="false">
      <c r="A2025" s="50" t="s">
        <v>651</v>
      </c>
      <c r="B2025" s="57" t="s">
        <v>651</v>
      </c>
      <c r="C2025" s="57" t="s">
        <v>1514</v>
      </c>
      <c r="D2025" s="58" t="n">
        <v>46068.4611689815</v>
      </c>
      <c r="E2025" s="58" t="n">
        <v>46068.4611689815</v>
      </c>
      <c r="F2025" s="58" t="n">
        <v>46068.4619444445</v>
      </c>
      <c r="G2025" s="59" t="n">
        <f aca="false">F2025-E2025</f>
        <v>0.000775462997685185</v>
      </c>
      <c r="H2025" s="57" t="s">
        <v>252</v>
      </c>
      <c r="I2025" s="57"/>
      <c r="J2025" s="57" t="s">
        <v>333</v>
      </c>
      <c r="K2025" s="57" t="s">
        <v>334</v>
      </c>
      <c r="L2025" s="57" t="s">
        <v>2754</v>
      </c>
      <c r="M2025" s="57" t="s">
        <v>336</v>
      </c>
      <c r="N2025" s="57" t="s">
        <v>381</v>
      </c>
      <c r="O2025" s="57" t="s">
        <v>2755</v>
      </c>
      <c r="P2025" s="57"/>
      <c r="Q2025" s="57" t="s">
        <v>698</v>
      </c>
    </row>
    <row r="2026" s="50" customFormat="true" ht="14.25" hidden="false" customHeight="true" outlineLevel="0" collapsed="false">
      <c r="A2026" s="50" t="s">
        <v>651</v>
      </c>
      <c r="B2026" s="57" t="s">
        <v>651</v>
      </c>
      <c r="C2026" s="57" t="s">
        <v>1514</v>
      </c>
      <c r="D2026" s="58" t="n">
        <v>46068.4569097222</v>
      </c>
      <c r="E2026" s="58" t="n">
        <v>46068.4569097222</v>
      </c>
      <c r="F2026" s="58" t="n">
        <v>46068.4576851852</v>
      </c>
      <c r="G2026" s="59" t="n">
        <f aca="false">F2026-E2026</f>
        <v>0.000775463009259259</v>
      </c>
      <c r="H2026" s="57" t="s">
        <v>252</v>
      </c>
      <c r="I2026" s="57"/>
      <c r="J2026" s="57" t="s">
        <v>333</v>
      </c>
      <c r="K2026" s="57" t="s">
        <v>334</v>
      </c>
      <c r="L2026" s="57" t="s">
        <v>2754</v>
      </c>
      <c r="M2026" s="57" t="s">
        <v>336</v>
      </c>
      <c r="N2026" s="57" t="s">
        <v>381</v>
      </c>
      <c r="O2026" s="57" t="s">
        <v>2755</v>
      </c>
      <c r="P2026" s="57"/>
      <c r="Q2026" s="57" t="s">
        <v>698</v>
      </c>
    </row>
    <row r="2027" s="50" customFormat="true" ht="14.25" hidden="false" customHeight="true" outlineLevel="0" collapsed="false">
      <c r="A2027" s="50" t="s">
        <v>651</v>
      </c>
      <c r="B2027" s="57" t="s">
        <v>651</v>
      </c>
      <c r="C2027" s="57" t="s">
        <v>1514</v>
      </c>
      <c r="D2027" s="58" t="n">
        <v>46068.4523726852</v>
      </c>
      <c r="E2027" s="58" t="n">
        <v>46068.4523726852</v>
      </c>
      <c r="F2027" s="58" t="n">
        <v>46068.4531828704</v>
      </c>
      <c r="G2027" s="59" t="n">
        <f aca="false">F2027-E2027</f>
        <v>0.000810185196759259</v>
      </c>
      <c r="H2027" s="57" t="s">
        <v>252</v>
      </c>
      <c r="I2027" s="57"/>
      <c r="J2027" s="57" t="s">
        <v>333</v>
      </c>
      <c r="K2027" s="57" t="s">
        <v>334</v>
      </c>
      <c r="L2027" s="57" t="s">
        <v>2754</v>
      </c>
      <c r="M2027" s="57" t="s">
        <v>336</v>
      </c>
      <c r="N2027" s="57" t="s">
        <v>381</v>
      </c>
      <c r="O2027" s="57" t="s">
        <v>2755</v>
      </c>
      <c r="P2027" s="57"/>
      <c r="Q2027" s="57" t="s">
        <v>698</v>
      </c>
    </row>
    <row r="2028" s="50" customFormat="true" ht="14.25" hidden="false" customHeight="true" outlineLevel="0" collapsed="false">
      <c r="A2028" s="50" t="s">
        <v>651</v>
      </c>
      <c r="B2028" s="57" t="s">
        <v>651</v>
      </c>
      <c r="C2028" s="57" t="s">
        <v>1514</v>
      </c>
      <c r="D2028" s="58" t="n">
        <v>46068.448275463</v>
      </c>
      <c r="E2028" s="58" t="n">
        <v>46068.448275463</v>
      </c>
      <c r="F2028" s="58" t="n">
        <v>46068.4490625</v>
      </c>
      <c r="G2028" s="59" t="n">
        <f aca="false">F2028-E2028</f>
        <v>0.000787037002314815</v>
      </c>
      <c r="H2028" s="57" t="s">
        <v>252</v>
      </c>
      <c r="I2028" s="57"/>
      <c r="J2028" s="57" t="s">
        <v>333</v>
      </c>
      <c r="K2028" s="57" t="s">
        <v>334</v>
      </c>
      <c r="L2028" s="57" t="s">
        <v>2754</v>
      </c>
      <c r="M2028" s="57" t="s">
        <v>336</v>
      </c>
      <c r="N2028" s="57" t="s">
        <v>381</v>
      </c>
      <c r="O2028" s="57" t="s">
        <v>2755</v>
      </c>
      <c r="P2028" s="57"/>
      <c r="Q2028" s="57" t="s">
        <v>698</v>
      </c>
    </row>
    <row r="2029" s="50" customFormat="true" ht="14.25" hidden="false" customHeight="true" outlineLevel="0" collapsed="false">
      <c r="A2029" s="50" t="s">
        <v>651</v>
      </c>
      <c r="B2029" s="57" t="s">
        <v>651</v>
      </c>
      <c r="C2029" s="57" t="s">
        <v>1514</v>
      </c>
      <c r="D2029" s="58" t="n">
        <v>46068.4418865741</v>
      </c>
      <c r="E2029" s="58" t="n">
        <v>46068.4418865741</v>
      </c>
      <c r="F2029" s="58" t="n">
        <v>46068.4426967593</v>
      </c>
      <c r="G2029" s="59" t="n">
        <f aca="false">F2029-E2029</f>
        <v>0.000810185196759259</v>
      </c>
      <c r="H2029" s="57" t="s">
        <v>252</v>
      </c>
      <c r="I2029" s="57"/>
      <c r="J2029" s="57" t="s">
        <v>333</v>
      </c>
      <c r="K2029" s="57" t="s">
        <v>334</v>
      </c>
      <c r="L2029" s="57" t="s">
        <v>2754</v>
      </c>
      <c r="M2029" s="57" t="s">
        <v>336</v>
      </c>
      <c r="N2029" s="57" t="s">
        <v>381</v>
      </c>
      <c r="O2029" s="57" t="s">
        <v>2755</v>
      </c>
      <c r="P2029" s="57"/>
      <c r="Q2029" s="57" t="s">
        <v>698</v>
      </c>
    </row>
    <row r="2030" s="50" customFormat="true" ht="14.25" hidden="false" customHeight="true" outlineLevel="0" collapsed="false">
      <c r="A2030" s="50" t="s">
        <v>651</v>
      </c>
      <c r="B2030" s="57" t="s">
        <v>651</v>
      </c>
      <c r="C2030" s="57" t="s">
        <v>1514</v>
      </c>
      <c r="D2030" s="58" t="n">
        <v>46068.4379861111</v>
      </c>
      <c r="E2030" s="58" t="n">
        <v>46068.4379861111</v>
      </c>
      <c r="F2030" s="58" t="n">
        <v>46068.4387615741</v>
      </c>
      <c r="G2030" s="59" t="n">
        <f aca="false">F2030-E2030</f>
        <v>0.000775462997685185</v>
      </c>
      <c r="H2030" s="57" t="s">
        <v>252</v>
      </c>
      <c r="I2030" s="57"/>
      <c r="J2030" s="57" t="s">
        <v>333</v>
      </c>
      <c r="K2030" s="57" t="s">
        <v>334</v>
      </c>
      <c r="L2030" s="57" t="s">
        <v>2754</v>
      </c>
      <c r="M2030" s="57" t="s">
        <v>336</v>
      </c>
      <c r="N2030" s="57" t="s">
        <v>381</v>
      </c>
      <c r="O2030" s="57" t="s">
        <v>2755</v>
      </c>
      <c r="P2030" s="57"/>
      <c r="Q2030" s="57" t="s">
        <v>698</v>
      </c>
    </row>
    <row r="2031" s="50" customFormat="true" ht="14.25" hidden="false" customHeight="true" outlineLevel="0" collapsed="false">
      <c r="A2031" s="50" t="s">
        <v>651</v>
      </c>
      <c r="B2031" s="57" t="s">
        <v>651</v>
      </c>
      <c r="C2031" s="57" t="s">
        <v>1514</v>
      </c>
      <c r="D2031" s="58" t="n">
        <v>46068.4339351852</v>
      </c>
      <c r="E2031" s="58" t="n">
        <v>46068.4339351852</v>
      </c>
      <c r="F2031" s="58" t="n">
        <v>46068.4346990741</v>
      </c>
      <c r="G2031" s="59" t="n">
        <f aca="false">F2031-E2031</f>
        <v>0.000763888888888889</v>
      </c>
      <c r="H2031" s="57" t="s">
        <v>252</v>
      </c>
      <c r="I2031" s="57"/>
      <c r="J2031" s="57" t="s">
        <v>333</v>
      </c>
      <c r="K2031" s="57" t="s">
        <v>334</v>
      </c>
      <c r="L2031" s="57" t="s">
        <v>2754</v>
      </c>
      <c r="M2031" s="57" t="s">
        <v>336</v>
      </c>
      <c r="N2031" s="57" t="s">
        <v>381</v>
      </c>
      <c r="O2031" s="57" t="s">
        <v>2755</v>
      </c>
      <c r="P2031" s="57"/>
      <c r="Q2031" s="57" t="s">
        <v>698</v>
      </c>
    </row>
    <row r="2032" s="50" customFormat="true" ht="14.25" hidden="false" customHeight="true" outlineLevel="0" collapsed="false">
      <c r="A2032" s="50" t="s">
        <v>651</v>
      </c>
      <c r="B2032" s="57" t="s">
        <v>651</v>
      </c>
      <c r="C2032" s="57" t="s">
        <v>1514</v>
      </c>
      <c r="D2032" s="58" t="n">
        <v>46068.4299189815</v>
      </c>
      <c r="E2032" s="58" t="n">
        <v>46068.4299189815</v>
      </c>
      <c r="F2032" s="58" t="n">
        <v>46068.4306828704</v>
      </c>
      <c r="G2032" s="59" t="n">
        <f aca="false">F2032-E2032</f>
        <v>0.000763888888888889</v>
      </c>
      <c r="H2032" s="57" t="s">
        <v>252</v>
      </c>
      <c r="I2032" s="57"/>
      <c r="J2032" s="57" t="s">
        <v>333</v>
      </c>
      <c r="K2032" s="57" t="s">
        <v>334</v>
      </c>
      <c r="L2032" s="57" t="s">
        <v>2754</v>
      </c>
      <c r="M2032" s="57" t="s">
        <v>336</v>
      </c>
      <c r="N2032" s="57" t="s">
        <v>381</v>
      </c>
      <c r="O2032" s="57" t="s">
        <v>2755</v>
      </c>
      <c r="P2032" s="57"/>
      <c r="Q2032" s="57" t="s">
        <v>698</v>
      </c>
    </row>
    <row r="2033" s="50" customFormat="true" ht="14.25" hidden="false" customHeight="true" outlineLevel="0" collapsed="false">
      <c r="A2033" s="50" t="s">
        <v>651</v>
      </c>
      <c r="B2033" s="57" t="s">
        <v>651</v>
      </c>
      <c r="C2033" s="57" t="s">
        <v>1514</v>
      </c>
      <c r="D2033" s="58" t="n">
        <v>46068.4257060185</v>
      </c>
      <c r="E2033" s="58" t="n">
        <v>46068.4257060185</v>
      </c>
      <c r="F2033" s="58" t="n">
        <v>46068.4264699074</v>
      </c>
      <c r="G2033" s="59" t="n">
        <f aca="false">F2033-E2033</f>
        <v>0.000763888888888889</v>
      </c>
      <c r="H2033" s="57" t="s">
        <v>252</v>
      </c>
      <c r="I2033" s="57"/>
      <c r="J2033" s="57" t="s">
        <v>333</v>
      </c>
      <c r="K2033" s="57" t="s">
        <v>334</v>
      </c>
      <c r="L2033" s="57" t="s">
        <v>2754</v>
      </c>
      <c r="M2033" s="57" t="s">
        <v>336</v>
      </c>
      <c r="N2033" s="57" t="s">
        <v>381</v>
      </c>
      <c r="O2033" s="57" t="s">
        <v>2755</v>
      </c>
      <c r="P2033" s="57"/>
      <c r="Q2033" s="57" t="s">
        <v>698</v>
      </c>
    </row>
    <row r="2034" s="50" customFormat="true" ht="14.25" hidden="false" customHeight="true" outlineLevel="0" collapsed="false">
      <c r="A2034" s="50" t="s">
        <v>651</v>
      </c>
      <c r="B2034" s="57" t="s">
        <v>651</v>
      </c>
      <c r="C2034" s="57" t="s">
        <v>1514</v>
      </c>
      <c r="D2034" s="58" t="n">
        <v>46068.4203472222</v>
      </c>
      <c r="E2034" s="58" t="n">
        <v>46068.4203472222</v>
      </c>
      <c r="F2034" s="58" t="n">
        <v>46068.4211342593</v>
      </c>
      <c r="G2034" s="59" t="n">
        <f aca="false">F2034-E2034</f>
        <v>0.000787037094907407</v>
      </c>
      <c r="H2034" s="57" t="s">
        <v>252</v>
      </c>
      <c r="I2034" s="57"/>
      <c r="J2034" s="57" t="s">
        <v>333</v>
      </c>
      <c r="K2034" s="57" t="s">
        <v>334</v>
      </c>
      <c r="L2034" s="57" t="s">
        <v>2754</v>
      </c>
      <c r="M2034" s="57" t="s">
        <v>336</v>
      </c>
      <c r="N2034" s="57" t="s">
        <v>381</v>
      </c>
      <c r="O2034" s="57" t="s">
        <v>2755</v>
      </c>
      <c r="P2034" s="57"/>
      <c r="Q2034" s="57" t="s">
        <v>698</v>
      </c>
    </row>
    <row r="2035" s="50" customFormat="true" ht="14.25" hidden="false" customHeight="true" outlineLevel="0" collapsed="false">
      <c r="A2035" s="50" t="s">
        <v>651</v>
      </c>
      <c r="B2035" s="57" t="s">
        <v>651</v>
      </c>
      <c r="C2035" s="57" t="s">
        <v>1514</v>
      </c>
      <c r="D2035" s="58" t="n">
        <v>46068.4142824074</v>
      </c>
      <c r="E2035" s="58" t="n">
        <v>46068.4142824074</v>
      </c>
      <c r="F2035" s="58" t="n">
        <v>46068.4150462963</v>
      </c>
      <c r="G2035" s="59" t="n">
        <f aca="false">F2035-E2035</f>
        <v>0.000763888888888889</v>
      </c>
      <c r="H2035" s="57" t="s">
        <v>252</v>
      </c>
      <c r="I2035" s="57"/>
      <c r="J2035" s="57" t="s">
        <v>333</v>
      </c>
      <c r="K2035" s="57" t="s">
        <v>334</v>
      </c>
      <c r="L2035" s="57" t="s">
        <v>2754</v>
      </c>
      <c r="M2035" s="57" t="s">
        <v>336</v>
      </c>
      <c r="N2035" s="57" t="s">
        <v>381</v>
      </c>
      <c r="O2035" s="57" t="s">
        <v>2755</v>
      </c>
      <c r="P2035" s="57"/>
      <c r="Q2035" s="57" t="s">
        <v>698</v>
      </c>
    </row>
    <row r="2036" s="50" customFormat="true" ht="14.25" hidden="false" customHeight="true" outlineLevel="0" collapsed="false">
      <c r="A2036" s="50" t="s">
        <v>651</v>
      </c>
      <c r="B2036" s="57" t="s">
        <v>651</v>
      </c>
      <c r="C2036" s="57" t="s">
        <v>1514</v>
      </c>
      <c r="D2036" s="58" t="n">
        <v>46068.4096759259</v>
      </c>
      <c r="E2036" s="58" t="n">
        <v>46068.4096759259</v>
      </c>
      <c r="F2036" s="58" t="n">
        <v>46068.4104398148</v>
      </c>
      <c r="G2036" s="59" t="n">
        <f aca="false">F2036-E2036</f>
        <v>0.000763888888888889</v>
      </c>
      <c r="H2036" s="57" t="s">
        <v>252</v>
      </c>
      <c r="I2036" s="57"/>
      <c r="J2036" s="57" t="s">
        <v>333</v>
      </c>
      <c r="K2036" s="57" t="s">
        <v>334</v>
      </c>
      <c r="L2036" s="57" t="s">
        <v>2754</v>
      </c>
      <c r="M2036" s="57" t="s">
        <v>336</v>
      </c>
      <c r="N2036" s="57" t="s">
        <v>381</v>
      </c>
      <c r="O2036" s="57" t="s">
        <v>2755</v>
      </c>
      <c r="P2036" s="57"/>
      <c r="Q2036" s="57" t="s">
        <v>698</v>
      </c>
    </row>
    <row r="2037" s="50" customFormat="true" ht="14.25" hidden="false" customHeight="true" outlineLevel="0" collapsed="false">
      <c r="A2037" s="50" t="s">
        <v>651</v>
      </c>
      <c r="B2037" s="57" t="s">
        <v>651</v>
      </c>
      <c r="C2037" s="57" t="s">
        <v>1514</v>
      </c>
      <c r="D2037" s="58" t="n">
        <v>46068.4049305556</v>
      </c>
      <c r="E2037" s="58" t="n">
        <v>46068.4049305556</v>
      </c>
      <c r="F2037" s="58" t="n">
        <v>46068.4057175926</v>
      </c>
      <c r="G2037" s="59" t="n">
        <f aca="false">F2037-E2037</f>
        <v>0.000787037002314815</v>
      </c>
      <c r="H2037" s="57" t="s">
        <v>252</v>
      </c>
      <c r="I2037" s="57"/>
      <c r="J2037" s="57" t="s">
        <v>333</v>
      </c>
      <c r="K2037" s="57" t="s">
        <v>334</v>
      </c>
      <c r="L2037" s="57" t="s">
        <v>2754</v>
      </c>
      <c r="M2037" s="57" t="s">
        <v>336</v>
      </c>
      <c r="N2037" s="57" t="s">
        <v>381</v>
      </c>
      <c r="O2037" s="57" t="s">
        <v>2755</v>
      </c>
      <c r="P2037" s="57"/>
      <c r="Q2037" s="57" t="s">
        <v>698</v>
      </c>
    </row>
    <row r="2038" s="50" customFormat="true" ht="14.25" hidden="false" customHeight="true" outlineLevel="0" collapsed="false">
      <c r="A2038" s="50" t="s">
        <v>651</v>
      </c>
      <c r="B2038" s="57" t="s">
        <v>651</v>
      </c>
      <c r="C2038" s="57" t="s">
        <v>1514</v>
      </c>
      <c r="D2038" s="58" t="n">
        <v>46068.3987268519</v>
      </c>
      <c r="E2038" s="58" t="n">
        <v>46068.3987268519</v>
      </c>
      <c r="F2038" s="58" t="n">
        <v>46068.3995023148</v>
      </c>
      <c r="G2038" s="59" t="n">
        <f aca="false">F2038-E2038</f>
        <v>0.000775462905092593</v>
      </c>
      <c r="H2038" s="57" t="s">
        <v>252</v>
      </c>
      <c r="I2038" s="57"/>
      <c r="J2038" s="57" t="s">
        <v>333</v>
      </c>
      <c r="K2038" s="57" t="s">
        <v>334</v>
      </c>
      <c r="L2038" s="57" t="s">
        <v>2754</v>
      </c>
      <c r="M2038" s="57" t="s">
        <v>336</v>
      </c>
      <c r="N2038" s="57" t="s">
        <v>381</v>
      </c>
      <c r="O2038" s="57" t="s">
        <v>2755</v>
      </c>
      <c r="P2038" s="57"/>
      <c r="Q2038" s="57" t="s">
        <v>698</v>
      </c>
    </row>
    <row r="2039" s="50" customFormat="true" ht="14.25" hidden="false" customHeight="true" outlineLevel="0" collapsed="false">
      <c r="A2039" s="50" t="s">
        <v>651</v>
      </c>
      <c r="B2039" s="57" t="s">
        <v>651</v>
      </c>
      <c r="C2039" s="57" t="s">
        <v>1514</v>
      </c>
      <c r="D2039" s="58" t="n">
        <v>46068.3920717593</v>
      </c>
      <c r="E2039" s="58" t="n">
        <v>46068.3920717593</v>
      </c>
      <c r="F2039" s="58" t="n">
        <v>46068.3928472222</v>
      </c>
      <c r="G2039" s="59" t="n">
        <f aca="false">F2039-E2039</f>
        <v>0.000775462905092593</v>
      </c>
      <c r="H2039" s="57" t="s">
        <v>252</v>
      </c>
      <c r="I2039" s="57"/>
      <c r="J2039" s="57" t="s">
        <v>333</v>
      </c>
      <c r="K2039" s="57" t="s">
        <v>334</v>
      </c>
      <c r="L2039" s="57" t="s">
        <v>2754</v>
      </c>
      <c r="M2039" s="57" t="s">
        <v>336</v>
      </c>
      <c r="N2039" s="57" t="s">
        <v>381</v>
      </c>
      <c r="O2039" s="57" t="s">
        <v>2755</v>
      </c>
      <c r="P2039" s="57"/>
      <c r="Q2039" s="57" t="s">
        <v>698</v>
      </c>
    </row>
    <row r="2040" s="50" customFormat="true" ht="14.25" hidden="false" customHeight="true" outlineLevel="0" collapsed="false">
      <c r="A2040" s="50" t="s">
        <v>651</v>
      </c>
      <c r="B2040" s="57" t="s">
        <v>651</v>
      </c>
      <c r="C2040" s="57" t="s">
        <v>1514</v>
      </c>
      <c r="D2040" s="58" t="n">
        <v>46068.3871064815</v>
      </c>
      <c r="E2040" s="58" t="n">
        <v>46068.3871064815</v>
      </c>
      <c r="F2040" s="58" t="n">
        <v>46068.3878703704</v>
      </c>
      <c r="G2040" s="59" t="n">
        <f aca="false">F2040-E2040</f>
        <v>0.000763888888888889</v>
      </c>
      <c r="H2040" s="57" t="s">
        <v>252</v>
      </c>
      <c r="I2040" s="57"/>
      <c r="J2040" s="57" t="s">
        <v>333</v>
      </c>
      <c r="K2040" s="57" t="s">
        <v>334</v>
      </c>
      <c r="L2040" s="57" t="s">
        <v>2754</v>
      </c>
      <c r="M2040" s="57" t="s">
        <v>336</v>
      </c>
      <c r="N2040" s="57" t="s">
        <v>381</v>
      </c>
      <c r="O2040" s="57" t="s">
        <v>2755</v>
      </c>
      <c r="P2040" s="57"/>
      <c r="Q2040" s="57" t="s">
        <v>698</v>
      </c>
    </row>
    <row r="2041" s="50" customFormat="true" ht="14.25" hidden="false" customHeight="true" outlineLevel="0" collapsed="false">
      <c r="A2041" s="50" t="s">
        <v>651</v>
      </c>
      <c r="B2041" s="57" t="s">
        <v>651</v>
      </c>
      <c r="C2041" s="57" t="s">
        <v>1514</v>
      </c>
      <c r="D2041" s="58" t="n">
        <v>46068.3820601852</v>
      </c>
      <c r="E2041" s="58" t="n">
        <v>46068.3820601852</v>
      </c>
      <c r="F2041" s="58" t="n">
        <v>46068.3828240741</v>
      </c>
      <c r="G2041" s="59" t="n">
        <f aca="false">F2041-E2041</f>
        <v>0.000763888888888889</v>
      </c>
      <c r="H2041" s="57" t="s">
        <v>252</v>
      </c>
      <c r="I2041" s="57"/>
      <c r="J2041" s="57" t="s">
        <v>333</v>
      </c>
      <c r="K2041" s="57" t="s">
        <v>334</v>
      </c>
      <c r="L2041" s="57" t="s">
        <v>2754</v>
      </c>
      <c r="M2041" s="57" t="s">
        <v>336</v>
      </c>
      <c r="N2041" s="57" t="s">
        <v>381</v>
      </c>
      <c r="O2041" s="57" t="s">
        <v>2755</v>
      </c>
      <c r="P2041" s="57"/>
      <c r="Q2041" s="57" t="s">
        <v>698</v>
      </c>
    </row>
    <row r="2042" s="50" customFormat="true" ht="14.25" hidden="false" customHeight="true" outlineLevel="0" collapsed="false">
      <c r="A2042" s="50" t="s">
        <v>651</v>
      </c>
      <c r="B2042" s="57" t="s">
        <v>651</v>
      </c>
      <c r="C2042" s="57" t="s">
        <v>1514</v>
      </c>
      <c r="D2042" s="58" t="n">
        <v>46068.3767824074</v>
      </c>
      <c r="E2042" s="58" t="n">
        <v>46068.3767824074</v>
      </c>
      <c r="F2042" s="58" t="n">
        <v>46068.3775810185</v>
      </c>
      <c r="G2042" s="59" t="n">
        <f aca="false">F2042-E2042</f>
        <v>0.000798611111111111</v>
      </c>
      <c r="H2042" s="57" t="s">
        <v>252</v>
      </c>
      <c r="I2042" s="57"/>
      <c r="J2042" s="57" t="s">
        <v>333</v>
      </c>
      <c r="K2042" s="57" t="s">
        <v>334</v>
      </c>
      <c r="L2042" s="57" t="s">
        <v>2754</v>
      </c>
      <c r="M2042" s="57" t="s">
        <v>336</v>
      </c>
      <c r="N2042" s="57" t="s">
        <v>381</v>
      </c>
      <c r="O2042" s="57" t="s">
        <v>2755</v>
      </c>
      <c r="P2042" s="57"/>
      <c r="Q2042" s="57" t="s">
        <v>698</v>
      </c>
    </row>
    <row r="2043" s="50" customFormat="true" ht="14.25" hidden="false" customHeight="true" outlineLevel="0" collapsed="false">
      <c r="A2043" s="50" t="s">
        <v>651</v>
      </c>
      <c r="B2043" s="57" t="s">
        <v>651</v>
      </c>
      <c r="C2043" s="57" t="s">
        <v>1514</v>
      </c>
      <c r="D2043" s="58" t="n">
        <v>46068.3716435185</v>
      </c>
      <c r="E2043" s="58" t="n">
        <v>46068.3716435185</v>
      </c>
      <c r="F2043" s="58" t="n">
        <v>46068.3724189815</v>
      </c>
      <c r="G2043" s="59" t="n">
        <f aca="false">F2043-E2043</f>
        <v>0.000775462997685185</v>
      </c>
      <c r="H2043" s="57" t="s">
        <v>252</v>
      </c>
      <c r="I2043" s="57"/>
      <c r="J2043" s="57" t="s">
        <v>333</v>
      </c>
      <c r="K2043" s="57" t="s">
        <v>334</v>
      </c>
      <c r="L2043" s="57" t="s">
        <v>2754</v>
      </c>
      <c r="M2043" s="57" t="s">
        <v>336</v>
      </c>
      <c r="N2043" s="57" t="s">
        <v>381</v>
      </c>
      <c r="O2043" s="57" t="s">
        <v>2755</v>
      </c>
      <c r="P2043" s="57"/>
      <c r="Q2043" s="57" t="s">
        <v>698</v>
      </c>
    </row>
    <row r="2044" s="50" customFormat="true" ht="14.25" hidden="false" customHeight="true" outlineLevel="0" collapsed="false">
      <c r="A2044" s="50" t="s">
        <v>651</v>
      </c>
      <c r="B2044" s="57" t="s">
        <v>651</v>
      </c>
      <c r="C2044" s="57" t="s">
        <v>1514</v>
      </c>
      <c r="D2044" s="58" t="n">
        <v>46067.6951273148</v>
      </c>
      <c r="E2044" s="58" t="n">
        <v>46067.6951273148</v>
      </c>
      <c r="F2044" s="58" t="n">
        <v>46067.6959143519</v>
      </c>
      <c r="G2044" s="59" t="n">
        <f aca="false">F2044-E2044</f>
        <v>0.000787037094907407</v>
      </c>
      <c r="H2044" s="57" t="s">
        <v>252</v>
      </c>
      <c r="I2044" s="57"/>
      <c r="J2044" s="57" t="s">
        <v>333</v>
      </c>
      <c r="K2044" s="57" t="s">
        <v>334</v>
      </c>
      <c r="L2044" s="57" t="s">
        <v>2754</v>
      </c>
      <c r="M2044" s="57" t="s">
        <v>336</v>
      </c>
      <c r="N2044" s="57" t="s">
        <v>381</v>
      </c>
      <c r="O2044" s="57" t="s">
        <v>2755</v>
      </c>
      <c r="P2044" s="57"/>
      <c r="Q2044" s="57" t="s">
        <v>698</v>
      </c>
    </row>
    <row r="2045" s="50" customFormat="true" ht="14.25" hidden="false" customHeight="true" outlineLevel="0" collapsed="false">
      <c r="A2045" s="50" t="s">
        <v>651</v>
      </c>
      <c r="B2045" s="57" t="s">
        <v>651</v>
      </c>
      <c r="C2045" s="57" t="s">
        <v>1514</v>
      </c>
      <c r="D2045" s="58" t="n">
        <v>46067.6593055556</v>
      </c>
      <c r="E2045" s="58" t="n">
        <v>46067.6593055556</v>
      </c>
      <c r="F2045" s="58" t="n">
        <v>46067.6600810185</v>
      </c>
      <c r="G2045" s="59" t="n">
        <f aca="false">F2045-E2045</f>
        <v>0.000775462893518519</v>
      </c>
      <c r="H2045" s="57" t="s">
        <v>252</v>
      </c>
      <c r="I2045" s="57"/>
      <c r="J2045" s="57" t="s">
        <v>333</v>
      </c>
      <c r="K2045" s="57" t="s">
        <v>334</v>
      </c>
      <c r="L2045" s="57" t="s">
        <v>2754</v>
      </c>
      <c r="M2045" s="57" t="s">
        <v>336</v>
      </c>
      <c r="N2045" s="57" t="s">
        <v>381</v>
      </c>
      <c r="O2045" s="57" t="s">
        <v>2755</v>
      </c>
      <c r="P2045" s="57"/>
      <c r="Q2045" s="57" t="s">
        <v>698</v>
      </c>
    </row>
    <row r="2046" s="50" customFormat="true" ht="14.25" hidden="false" customHeight="true" outlineLevel="0" collapsed="false">
      <c r="A2046" s="50" t="s">
        <v>651</v>
      </c>
      <c r="B2046" s="57" t="s">
        <v>651</v>
      </c>
      <c r="C2046" s="57" t="s">
        <v>1514</v>
      </c>
      <c r="D2046" s="58" t="n">
        <v>46067.6560763889</v>
      </c>
      <c r="E2046" s="58" t="n">
        <v>46067.6560763889</v>
      </c>
      <c r="F2046" s="58" t="n">
        <v>46067.6568518519</v>
      </c>
      <c r="G2046" s="59" t="n">
        <f aca="false">F2046-E2046</f>
        <v>0.000775462997685185</v>
      </c>
      <c r="H2046" s="57" t="s">
        <v>252</v>
      </c>
      <c r="I2046" s="57"/>
      <c r="J2046" s="57" t="s">
        <v>333</v>
      </c>
      <c r="K2046" s="57" t="s">
        <v>334</v>
      </c>
      <c r="L2046" s="57" t="s">
        <v>2754</v>
      </c>
      <c r="M2046" s="57" t="s">
        <v>336</v>
      </c>
      <c r="N2046" s="57" t="s">
        <v>381</v>
      </c>
      <c r="O2046" s="57" t="s">
        <v>2755</v>
      </c>
      <c r="P2046" s="57"/>
      <c r="Q2046" s="57" t="s">
        <v>698</v>
      </c>
    </row>
    <row r="2047" s="50" customFormat="true" ht="14.25" hidden="false" customHeight="true" outlineLevel="0" collapsed="false">
      <c r="A2047" s="50" t="s">
        <v>651</v>
      </c>
      <c r="B2047" s="57" t="s">
        <v>651</v>
      </c>
      <c r="C2047" s="57" t="s">
        <v>1514</v>
      </c>
      <c r="D2047" s="58" t="n">
        <v>46067.6365277778</v>
      </c>
      <c r="E2047" s="58" t="n">
        <v>46067.6365277778</v>
      </c>
      <c r="F2047" s="58" t="n">
        <v>46067.6373032407</v>
      </c>
      <c r="G2047" s="59" t="n">
        <f aca="false">F2047-E2047</f>
        <v>0.000775462893518519</v>
      </c>
      <c r="H2047" s="57" t="s">
        <v>252</v>
      </c>
      <c r="I2047" s="57"/>
      <c r="J2047" s="57" t="s">
        <v>333</v>
      </c>
      <c r="K2047" s="57" t="s">
        <v>334</v>
      </c>
      <c r="L2047" s="57" t="s">
        <v>2754</v>
      </c>
      <c r="M2047" s="57" t="s">
        <v>336</v>
      </c>
      <c r="N2047" s="57" t="s">
        <v>381</v>
      </c>
      <c r="O2047" s="57" t="s">
        <v>2755</v>
      </c>
      <c r="P2047" s="57"/>
      <c r="Q2047" s="57" t="s">
        <v>698</v>
      </c>
    </row>
    <row r="2048" s="50" customFormat="true" ht="14.25" hidden="false" customHeight="true" outlineLevel="0" collapsed="false">
      <c r="A2048" s="50" t="s">
        <v>651</v>
      </c>
      <c r="B2048" s="57" t="s">
        <v>651</v>
      </c>
      <c r="C2048" s="57" t="s">
        <v>1514</v>
      </c>
      <c r="D2048" s="58" t="n">
        <v>46067.6312847222</v>
      </c>
      <c r="E2048" s="58" t="n">
        <v>46067.6312847222</v>
      </c>
      <c r="F2048" s="58" t="n">
        <v>46067.6320949074</v>
      </c>
      <c r="G2048" s="59" t="n">
        <f aca="false">F2048-E2048</f>
        <v>0.000810185196759259</v>
      </c>
      <c r="H2048" s="57" t="s">
        <v>252</v>
      </c>
      <c r="I2048" s="57"/>
      <c r="J2048" s="57" t="s">
        <v>333</v>
      </c>
      <c r="K2048" s="57" t="s">
        <v>334</v>
      </c>
      <c r="L2048" s="57" t="s">
        <v>2754</v>
      </c>
      <c r="M2048" s="57" t="s">
        <v>336</v>
      </c>
      <c r="N2048" s="57" t="s">
        <v>381</v>
      </c>
      <c r="O2048" s="57" t="s">
        <v>2755</v>
      </c>
      <c r="P2048" s="57"/>
      <c r="Q2048" s="57" t="s">
        <v>698</v>
      </c>
    </row>
    <row r="2049" s="50" customFormat="true" ht="14.25" hidden="false" customHeight="true" outlineLevel="0" collapsed="false">
      <c r="A2049" s="50" t="s">
        <v>651</v>
      </c>
      <c r="B2049" s="57" t="s">
        <v>651</v>
      </c>
      <c r="C2049" s="57" t="s">
        <v>1514</v>
      </c>
      <c r="D2049" s="58" t="n">
        <v>46067.6262962963</v>
      </c>
      <c r="E2049" s="58" t="n">
        <v>46067.6262962963</v>
      </c>
      <c r="F2049" s="58" t="n">
        <v>46067.6270833333</v>
      </c>
      <c r="G2049" s="59" t="n">
        <f aca="false">F2049-E2049</f>
        <v>0.000787036990740741</v>
      </c>
      <c r="H2049" s="57" t="s">
        <v>252</v>
      </c>
      <c r="I2049" s="57"/>
      <c r="J2049" s="57" t="s">
        <v>333</v>
      </c>
      <c r="K2049" s="57" t="s">
        <v>334</v>
      </c>
      <c r="L2049" s="57" t="s">
        <v>2754</v>
      </c>
      <c r="M2049" s="57" t="s">
        <v>336</v>
      </c>
      <c r="N2049" s="57" t="s">
        <v>381</v>
      </c>
      <c r="O2049" s="57" t="s">
        <v>2755</v>
      </c>
      <c r="P2049" s="57"/>
      <c r="Q2049" s="57" t="s">
        <v>698</v>
      </c>
    </row>
    <row r="2050" s="50" customFormat="true" ht="14.25" hidden="false" customHeight="true" outlineLevel="0" collapsed="false">
      <c r="A2050" s="50" t="s">
        <v>651</v>
      </c>
      <c r="B2050" s="57" t="s">
        <v>651</v>
      </c>
      <c r="C2050" s="57" t="s">
        <v>1514</v>
      </c>
      <c r="D2050" s="58" t="n">
        <v>46067.6233796296</v>
      </c>
      <c r="E2050" s="58" t="n">
        <v>46067.6233796296</v>
      </c>
      <c r="F2050" s="58" t="n">
        <v>46067.6241666667</v>
      </c>
      <c r="G2050" s="59" t="n">
        <f aca="false">F2050-E2050</f>
        <v>0.000787037094907407</v>
      </c>
      <c r="H2050" s="57" t="s">
        <v>252</v>
      </c>
      <c r="I2050" s="57"/>
      <c r="J2050" s="57" t="s">
        <v>333</v>
      </c>
      <c r="K2050" s="57" t="s">
        <v>334</v>
      </c>
      <c r="L2050" s="57" t="s">
        <v>2754</v>
      </c>
      <c r="M2050" s="57" t="s">
        <v>336</v>
      </c>
      <c r="N2050" s="57" t="s">
        <v>381</v>
      </c>
      <c r="O2050" s="57" t="s">
        <v>2755</v>
      </c>
      <c r="P2050" s="57"/>
      <c r="Q2050" s="57" t="s">
        <v>698</v>
      </c>
    </row>
    <row r="2051" s="50" customFormat="true" ht="14.25" hidden="false" customHeight="true" outlineLevel="0" collapsed="false">
      <c r="A2051" s="50" t="s">
        <v>651</v>
      </c>
      <c r="B2051" s="57" t="s">
        <v>651</v>
      </c>
      <c r="C2051" s="57" t="s">
        <v>1514</v>
      </c>
      <c r="D2051" s="58" t="n">
        <v>46067.6205555556</v>
      </c>
      <c r="E2051" s="58" t="n">
        <v>46067.6205555556</v>
      </c>
      <c r="F2051" s="58" t="n">
        <v>46067.6213425926</v>
      </c>
      <c r="G2051" s="59" t="n">
        <f aca="false">F2051-E2051</f>
        <v>0.000787037002314815</v>
      </c>
      <c r="H2051" s="57" t="s">
        <v>252</v>
      </c>
      <c r="I2051" s="57"/>
      <c r="J2051" s="57" t="s">
        <v>333</v>
      </c>
      <c r="K2051" s="57" t="s">
        <v>334</v>
      </c>
      <c r="L2051" s="57" t="s">
        <v>2754</v>
      </c>
      <c r="M2051" s="57" t="s">
        <v>336</v>
      </c>
      <c r="N2051" s="57" t="s">
        <v>381</v>
      </c>
      <c r="O2051" s="57" t="s">
        <v>2755</v>
      </c>
      <c r="P2051" s="57"/>
      <c r="Q2051" s="57" t="s">
        <v>698</v>
      </c>
    </row>
    <row r="2052" s="50" customFormat="true" ht="14.25" hidden="false" customHeight="true" outlineLevel="0" collapsed="false">
      <c r="A2052" s="50" t="s">
        <v>651</v>
      </c>
      <c r="B2052" s="57" t="s">
        <v>651</v>
      </c>
      <c r="C2052" s="57" t="s">
        <v>1514</v>
      </c>
      <c r="D2052" s="58" t="n">
        <v>46067.6175925926</v>
      </c>
      <c r="E2052" s="58" t="n">
        <v>46067.6175925926</v>
      </c>
      <c r="F2052" s="58" t="n">
        <v>46067.6183564815</v>
      </c>
      <c r="G2052" s="59" t="n">
        <f aca="false">F2052-E2052</f>
        <v>0.000763888888888889</v>
      </c>
      <c r="H2052" s="57" t="s">
        <v>252</v>
      </c>
      <c r="I2052" s="57"/>
      <c r="J2052" s="57" t="s">
        <v>333</v>
      </c>
      <c r="K2052" s="57" t="s">
        <v>334</v>
      </c>
      <c r="L2052" s="57" t="s">
        <v>2754</v>
      </c>
      <c r="M2052" s="57" t="s">
        <v>336</v>
      </c>
      <c r="N2052" s="57" t="s">
        <v>381</v>
      </c>
      <c r="O2052" s="57" t="s">
        <v>2755</v>
      </c>
      <c r="P2052" s="57"/>
      <c r="Q2052" s="57" t="s">
        <v>698</v>
      </c>
    </row>
    <row r="2053" s="50" customFormat="true" ht="14.25" hidden="false" customHeight="true" outlineLevel="0" collapsed="false">
      <c r="A2053" s="50" t="s">
        <v>651</v>
      </c>
      <c r="B2053" s="57" t="s">
        <v>651</v>
      </c>
      <c r="C2053" s="57" t="s">
        <v>1514</v>
      </c>
      <c r="D2053" s="58" t="n">
        <v>46067.6146064815</v>
      </c>
      <c r="E2053" s="58" t="n">
        <v>46067.6146064815</v>
      </c>
      <c r="F2053" s="58" t="n">
        <v>46067.6153703704</v>
      </c>
      <c r="G2053" s="59" t="n">
        <f aca="false">F2053-E2053</f>
        <v>0.000763888888888889</v>
      </c>
      <c r="H2053" s="57" t="s">
        <v>252</v>
      </c>
      <c r="I2053" s="57"/>
      <c r="J2053" s="57" t="s">
        <v>333</v>
      </c>
      <c r="K2053" s="57" t="s">
        <v>334</v>
      </c>
      <c r="L2053" s="57" t="s">
        <v>2754</v>
      </c>
      <c r="M2053" s="57" t="s">
        <v>336</v>
      </c>
      <c r="N2053" s="57" t="s">
        <v>381</v>
      </c>
      <c r="O2053" s="57" t="s">
        <v>2755</v>
      </c>
      <c r="P2053" s="57"/>
      <c r="Q2053" s="57" t="s">
        <v>698</v>
      </c>
    </row>
    <row r="2054" s="50" customFormat="true" ht="14.25" hidden="false" customHeight="true" outlineLevel="0" collapsed="false">
      <c r="A2054" s="50" t="s">
        <v>651</v>
      </c>
      <c r="B2054" s="57" t="s">
        <v>651</v>
      </c>
      <c r="C2054" s="57" t="s">
        <v>1514</v>
      </c>
      <c r="D2054" s="58" t="n">
        <v>46067.6116666667</v>
      </c>
      <c r="E2054" s="58" t="n">
        <v>46067.6116666667</v>
      </c>
      <c r="F2054" s="58" t="n">
        <v>46067.6124421296</v>
      </c>
      <c r="G2054" s="59" t="n">
        <f aca="false">F2054-E2054</f>
        <v>0.000775462893518519</v>
      </c>
      <c r="H2054" s="57" t="s">
        <v>252</v>
      </c>
      <c r="I2054" s="57"/>
      <c r="J2054" s="57" t="s">
        <v>333</v>
      </c>
      <c r="K2054" s="57" t="s">
        <v>334</v>
      </c>
      <c r="L2054" s="57" t="s">
        <v>2754</v>
      </c>
      <c r="M2054" s="57" t="s">
        <v>336</v>
      </c>
      <c r="N2054" s="57" t="s">
        <v>381</v>
      </c>
      <c r="O2054" s="57" t="s">
        <v>2755</v>
      </c>
      <c r="P2054" s="57"/>
      <c r="Q2054" s="57" t="s">
        <v>698</v>
      </c>
    </row>
    <row r="2055" s="50" customFormat="true" ht="14.25" hidden="false" customHeight="true" outlineLevel="0" collapsed="false">
      <c r="A2055" s="50" t="s">
        <v>651</v>
      </c>
      <c r="B2055" s="57" t="s">
        <v>651</v>
      </c>
      <c r="C2055" s="57" t="s">
        <v>1514</v>
      </c>
      <c r="D2055" s="58" t="n">
        <v>46067.6086689815</v>
      </c>
      <c r="E2055" s="58" t="n">
        <v>46067.6086689815</v>
      </c>
      <c r="F2055" s="58" t="n">
        <v>46067.6094444444</v>
      </c>
      <c r="G2055" s="59" t="n">
        <f aca="false">F2055-E2055</f>
        <v>0.000775462905092593</v>
      </c>
      <c r="H2055" s="57" t="s">
        <v>252</v>
      </c>
      <c r="I2055" s="57"/>
      <c r="J2055" s="57" t="s">
        <v>333</v>
      </c>
      <c r="K2055" s="57" t="s">
        <v>334</v>
      </c>
      <c r="L2055" s="57" t="s">
        <v>2754</v>
      </c>
      <c r="M2055" s="57" t="s">
        <v>336</v>
      </c>
      <c r="N2055" s="57" t="s">
        <v>381</v>
      </c>
      <c r="O2055" s="57" t="s">
        <v>2755</v>
      </c>
      <c r="P2055" s="57"/>
      <c r="Q2055" s="57" t="s">
        <v>698</v>
      </c>
    </row>
    <row r="2056" s="50" customFormat="true" ht="14.25" hidden="false" customHeight="true" outlineLevel="0" collapsed="false">
      <c r="A2056" s="50" t="s">
        <v>651</v>
      </c>
      <c r="B2056" s="57" t="s">
        <v>651</v>
      </c>
      <c r="C2056" s="57" t="s">
        <v>1514</v>
      </c>
      <c r="D2056" s="58" t="n">
        <v>46067.6052893519</v>
      </c>
      <c r="E2056" s="58" t="n">
        <v>46067.6052893519</v>
      </c>
      <c r="F2056" s="58" t="n">
        <v>46067.6060648148</v>
      </c>
      <c r="G2056" s="59" t="n">
        <f aca="false">F2056-E2056</f>
        <v>0.000775462893518519</v>
      </c>
      <c r="H2056" s="57" t="s">
        <v>252</v>
      </c>
      <c r="I2056" s="57"/>
      <c r="J2056" s="57" t="s">
        <v>333</v>
      </c>
      <c r="K2056" s="57" t="s">
        <v>334</v>
      </c>
      <c r="L2056" s="57" t="s">
        <v>2754</v>
      </c>
      <c r="M2056" s="57" t="s">
        <v>336</v>
      </c>
      <c r="N2056" s="57" t="s">
        <v>381</v>
      </c>
      <c r="O2056" s="57" t="s">
        <v>2755</v>
      </c>
      <c r="P2056" s="57"/>
      <c r="Q2056" s="57" t="s">
        <v>698</v>
      </c>
    </row>
    <row r="2057" s="50" customFormat="true" ht="14.25" hidden="false" customHeight="true" outlineLevel="0" collapsed="false">
      <c r="A2057" s="50" t="s">
        <v>651</v>
      </c>
      <c r="B2057" s="57" t="s">
        <v>651</v>
      </c>
      <c r="C2057" s="57" t="s">
        <v>1514</v>
      </c>
      <c r="D2057" s="58" t="n">
        <v>46067.6020601852</v>
      </c>
      <c r="E2057" s="58" t="n">
        <v>46067.6020601852</v>
      </c>
      <c r="F2057" s="58" t="n">
        <v>46067.6028472222</v>
      </c>
      <c r="G2057" s="59" t="n">
        <f aca="false">F2057-E2057</f>
        <v>0.000787037002314815</v>
      </c>
      <c r="H2057" s="57" t="s">
        <v>252</v>
      </c>
      <c r="I2057" s="57"/>
      <c r="J2057" s="57" t="s">
        <v>333</v>
      </c>
      <c r="K2057" s="57" t="s">
        <v>334</v>
      </c>
      <c r="L2057" s="57" t="s">
        <v>2754</v>
      </c>
      <c r="M2057" s="57" t="s">
        <v>336</v>
      </c>
      <c r="N2057" s="57" t="s">
        <v>381</v>
      </c>
      <c r="O2057" s="57" t="s">
        <v>2755</v>
      </c>
      <c r="P2057" s="57"/>
      <c r="Q2057" s="57" t="s">
        <v>698</v>
      </c>
    </row>
    <row r="2058" s="50" customFormat="true" ht="14.25" hidden="false" customHeight="true" outlineLevel="0" collapsed="false">
      <c r="A2058" s="50" t="s">
        <v>651</v>
      </c>
      <c r="B2058" s="57" t="s">
        <v>651</v>
      </c>
      <c r="C2058" s="57" t="s">
        <v>1514</v>
      </c>
      <c r="D2058" s="58" t="n">
        <v>46067.5993634259</v>
      </c>
      <c r="E2058" s="58" t="n">
        <v>46067.5993634259</v>
      </c>
      <c r="F2058" s="58" t="n">
        <v>46067.6001273148</v>
      </c>
      <c r="G2058" s="59" t="n">
        <f aca="false">F2058-E2058</f>
        <v>0.000763888888888889</v>
      </c>
      <c r="H2058" s="57" t="s">
        <v>252</v>
      </c>
      <c r="I2058" s="57"/>
      <c r="J2058" s="57" t="s">
        <v>333</v>
      </c>
      <c r="K2058" s="57" t="s">
        <v>334</v>
      </c>
      <c r="L2058" s="57" t="s">
        <v>2754</v>
      </c>
      <c r="M2058" s="57" t="s">
        <v>336</v>
      </c>
      <c r="N2058" s="57" t="s">
        <v>381</v>
      </c>
      <c r="O2058" s="57" t="s">
        <v>2755</v>
      </c>
      <c r="P2058" s="57"/>
      <c r="Q2058" s="57" t="s">
        <v>698</v>
      </c>
    </row>
    <row r="2059" s="50" customFormat="true" ht="14.25" hidden="false" customHeight="true" outlineLevel="0" collapsed="false">
      <c r="A2059" s="50" t="s">
        <v>651</v>
      </c>
      <c r="B2059" s="57" t="s">
        <v>651</v>
      </c>
      <c r="C2059" s="57" t="s">
        <v>1514</v>
      </c>
      <c r="D2059" s="58" t="n">
        <v>46067.5965277778</v>
      </c>
      <c r="E2059" s="58" t="n">
        <v>46067.5965277778</v>
      </c>
      <c r="F2059" s="58" t="n">
        <v>46067.5973148148</v>
      </c>
      <c r="G2059" s="59" t="n">
        <f aca="false">F2059-E2059</f>
        <v>0.000787036990740741</v>
      </c>
      <c r="H2059" s="57" t="s">
        <v>252</v>
      </c>
      <c r="I2059" s="57"/>
      <c r="J2059" s="57" t="s">
        <v>333</v>
      </c>
      <c r="K2059" s="57" t="s">
        <v>334</v>
      </c>
      <c r="L2059" s="57" t="s">
        <v>2754</v>
      </c>
      <c r="M2059" s="57" t="s">
        <v>336</v>
      </c>
      <c r="N2059" s="57" t="s">
        <v>381</v>
      </c>
      <c r="O2059" s="57" t="s">
        <v>2755</v>
      </c>
      <c r="P2059" s="57"/>
      <c r="Q2059" s="57" t="s">
        <v>698</v>
      </c>
    </row>
    <row r="2060" s="50" customFormat="true" ht="14.25" hidden="false" customHeight="true" outlineLevel="0" collapsed="false">
      <c r="A2060" s="50" t="s">
        <v>651</v>
      </c>
      <c r="B2060" s="57" t="s">
        <v>651</v>
      </c>
      <c r="C2060" s="57" t="s">
        <v>1514</v>
      </c>
      <c r="D2060" s="58" t="n">
        <v>46067.5933101852</v>
      </c>
      <c r="E2060" s="58" t="n">
        <v>46067.5933101852</v>
      </c>
      <c r="F2060" s="58" t="n">
        <v>46067.5940856482</v>
      </c>
      <c r="G2060" s="59" t="n">
        <f aca="false">F2060-E2060</f>
        <v>0.000775462997685185</v>
      </c>
      <c r="H2060" s="57" t="s">
        <v>252</v>
      </c>
      <c r="I2060" s="57"/>
      <c r="J2060" s="57" t="s">
        <v>333</v>
      </c>
      <c r="K2060" s="57" t="s">
        <v>334</v>
      </c>
      <c r="L2060" s="57" t="s">
        <v>2754</v>
      </c>
      <c r="M2060" s="57" t="s">
        <v>336</v>
      </c>
      <c r="N2060" s="57" t="s">
        <v>381</v>
      </c>
      <c r="O2060" s="57" t="s">
        <v>2755</v>
      </c>
      <c r="P2060" s="57"/>
      <c r="Q2060" s="57" t="s">
        <v>698</v>
      </c>
    </row>
    <row r="2061" s="50" customFormat="true" ht="14.25" hidden="false" customHeight="true" outlineLevel="0" collapsed="false">
      <c r="A2061" s="50" t="s">
        <v>651</v>
      </c>
      <c r="B2061" s="57" t="s">
        <v>651</v>
      </c>
      <c r="C2061" s="57" t="s">
        <v>1514</v>
      </c>
      <c r="D2061" s="58" t="n">
        <v>46067.5900810185</v>
      </c>
      <c r="E2061" s="58" t="n">
        <v>46067.5900810185</v>
      </c>
      <c r="F2061" s="58" t="n">
        <v>46067.5908564815</v>
      </c>
      <c r="G2061" s="59" t="n">
        <f aca="false">F2061-E2061</f>
        <v>0.000775463009259259</v>
      </c>
      <c r="H2061" s="57" t="s">
        <v>252</v>
      </c>
      <c r="I2061" s="57"/>
      <c r="J2061" s="57" t="s">
        <v>333</v>
      </c>
      <c r="K2061" s="57" t="s">
        <v>334</v>
      </c>
      <c r="L2061" s="57" t="s">
        <v>2754</v>
      </c>
      <c r="M2061" s="57" t="s">
        <v>336</v>
      </c>
      <c r="N2061" s="57" t="s">
        <v>381</v>
      </c>
      <c r="O2061" s="57" t="s">
        <v>2755</v>
      </c>
      <c r="P2061" s="57"/>
      <c r="Q2061" s="57" t="s">
        <v>698</v>
      </c>
    </row>
    <row r="2062" s="50" customFormat="true" ht="14.25" hidden="false" customHeight="true" outlineLevel="0" collapsed="false">
      <c r="A2062" s="50" t="s">
        <v>651</v>
      </c>
      <c r="B2062" s="57" t="s">
        <v>651</v>
      </c>
      <c r="C2062" s="57" t="s">
        <v>1514</v>
      </c>
      <c r="D2062" s="58" t="n">
        <v>46067.5866319445</v>
      </c>
      <c r="E2062" s="58" t="n">
        <v>46067.5866319445</v>
      </c>
      <c r="F2062" s="58" t="n">
        <v>46067.5874421296</v>
      </c>
      <c r="G2062" s="59" t="n">
        <f aca="false">F2062-E2062</f>
        <v>0.000810185104166667</v>
      </c>
      <c r="H2062" s="57" t="s">
        <v>252</v>
      </c>
      <c r="I2062" s="57"/>
      <c r="J2062" s="57" t="s">
        <v>333</v>
      </c>
      <c r="K2062" s="57" t="s">
        <v>334</v>
      </c>
      <c r="L2062" s="57" t="s">
        <v>2754</v>
      </c>
      <c r="M2062" s="57" t="s">
        <v>336</v>
      </c>
      <c r="N2062" s="57" t="s">
        <v>381</v>
      </c>
      <c r="O2062" s="57" t="s">
        <v>2755</v>
      </c>
      <c r="P2062" s="57"/>
      <c r="Q2062" s="57" t="s">
        <v>698</v>
      </c>
    </row>
    <row r="2063" s="50" customFormat="true" ht="14.25" hidden="false" customHeight="true" outlineLevel="0" collapsed="false">
      <c r="A2063" s="50" t="s">
        <v>651</v>
      </c>
      <c r="B2063" s="57" t="s">
        <v>651</v>
      </c>
      <c r="C2063" s="57" t="s">
        <v>1514</v>
      </c>
      <c r="D2063" s="58" t="n">
        <v>46067.5838078704</v>
      </c>
      <c r="E2063" s="58" t="n">
        <v>46067.5838078704</v>
      </c>
      <c r="F2063" s="58" t="n">
        <v>46067.5845717593</v>
      </c>
      <c r="G2063" s="59" t="n">
        <f aca="false">F2063-E2063</f>
        <v>0.000763888888888889</v>
      </c>
      <c r="H2063" s="57" t="s">
        <v>252</v>
      </c>
      <c r="I2063" s="57"/>
      <c r="J2063" s="57" t="s">
        <v>333</v>
      </c>
      <c r="K2063" s="57" t="s">
        <v>334</v>
      </c>
      <c r="L2063" s="57" t="s">
        <v>2754</v>
      </c>
      <c r="M2063" s="57" t="s">
        <v>336</v>
      </c>
      <c r="N2063" s="57" t="s">
        <v>381</v>
      </c>
      <c r="O2063" s="57" t="s">
        <v>2755</v>
      </c>
      <c r="P2063" s="57"/>
      <c r="Q2063" s="57" t="s">
        <v>698</v>
      </c>
    </row>
    <row r="2064" s="50" customFormat="true" ht="14.25" hidden="false" customHeight="true" outlineLevel="0" collapsed="false">
      <c r="A2064" s="50" t="s">
        <v>651</v>
      </c>
      <c r="B2064" s="57" t="s">
        <v>651</v>
      </c>
      <c r="C2064" s="57" t="s">
        <v>1514</v>
      </c>
      <c r="D2064" s="58" t="n">
        <v>46067.5808912037</v>
      </c>
      <c r="E2064" s="58" t="n">
        <v>46067.5808912037</v>
      </c>
      <c r="F2064" s="58" t="n">
        <v>46067.5816782407</v>
      </c>
      <c r="G2064" s="59" t="n">
        <f aca="false">F2064-E2064</f>
        <v>0.000787036990740741</v>
      </c>
      <c r="H2064" s="57" t="s">
        <v>252</v>
      </c>
      <c r="I2064" s="57"/>
      <c r="J2064" s="57" t="s">
        <v>333</v>
      </c>
      <c r="K2064" s="57" t="s">
        <v>334</v>
      </c>
      <c r="L2064" s="57" t="s">
        <v>2754</v>
      </c>
      <c r="M2064" s="57" t="s">
        <v>336</v>
      </c>
      <c r="N2064" s="57" t="s">
        <v>381</v>
      </c>
      <c r="O2064" s="57" t="s">
        <v>2755</v>
      </c>
      <c r="P2064" s="57"/>
      <c r="Q2064" s="57" t="s">
        <v>698</v>
      </c>
    </row>
    <row r="2065" s="50" customFormat="true" ht="14.25" hidden="false" customHeight="true" outlineLevel="0" collapsed="false">
      <c r="A2065" s="50" t="s">
        <v>651</v>
      </c>
      <c r="B2065" s="57" t="s">
        <v>651</v>
      </c>
      <c r="C2065" s="57" t="s">
        <v>1514</v>
      </c>
      <c r="D2065" s="58" t="n">
        <v>46067.5772916667</v>
      </c>
      <c r="E2065" s="58" t="n">
        <v>46067.5772916667</v>
      </c>
      <c r="F2065" s="58" t="n">
        <v>46067.5780555556</v>
      </c>
      <c r="G2065" s="59" t="n">
        <f aca="false">F2065-E2065</f>
        <v>0.000763888888888889</v>
      </c>
      <c r="H2065" s="57" t="s">
        <v>252</v>
      </c>
      <c r="I2065" s="57"/>
      <c r="J2065" s="57" t="s">
        <v>333</v>
      </c>
      <c r="K2065" s="57" t="s">
        <v>334</v>
      </c>
      <c r="L2065" s="57" t="s">
        <v>2754</v>
      </c>
      <c r="M2065" s="57" t="s">
        <v>336</v>
      </c>
      <c r="N2065" s="57" t="s">
        <v>381</v>
      </c>
      <c r="O2065" s="57" t="s">
        <v>2755</v>
      </c>
      <c r="P2065" s="57"/>
      <c r="Q2065" s="57" t="s">
        <v>698</v>
      </c>
    </row>
    <row r="2066" s="50" customFormat="true" ht="14.25" hidden="false" customHeight="true" outlineLevel="0" collapsed="false">
      <c r="A2066" s="50" t="s">
        <v>651</v>
      </c>
      <c r="B2066" s="57" t="s">
        <v>651</v>
      </c>
      <c r="C2066" s="57" t="s">
        <v>1514</v>
      </c>
      <c r="D2066" s="58" t="n">
        <v>46067.5743055556</v>
      </c>
      <c r="E2066" s="58" t="n">
        <v>46067.5743055556</v>
      </c>
      <c r="F2066" s="58" t="n">
        <v>46067.5750925926</v>
      </c>
      <c r="G2066" s="59" t="n">
        <f aca="false">F2066-E2066</f>
        <v>0.000787036990740741</v>
      </c>
      <c r="H2066" s="57" t="s">
        <v>252</v>
      </c>
      <c r="I2066" s="57"/>
      <c r="J2066" s="57" t="s">
        <v>333</v>
      </c>
      <c r="K2066" s="57" t="s">
        <v>334</v>
      </c>
      <c r="L2066" s="57" t="s">
        <v>2754</v>
      </c>
      <c r="M2066" s="57" t="s">
        <v>336</v>
      </c>
      <c r="N2066" s="57" t="s">
        <v>381</v>
      </c>
      <c r="O2066" s="57" t="s">
        <v>2755</v>
      </c>
      <c r="P2066" s="57"/>
      <c r="Q2066" s="57" t="s">
        <v>698</v>
      </c>
    </row>
    <row r="2067" s="50" customFormat="true" ht="14.25" hidden="false" customHeight="true" outlineLevel="0" collapsed="false">
      <c r="A2067" s="50" t="s">
        <v>651</v>
      </c>
      <c r="B2067" s="57" t="s">
        <v>651</v>
      </c>
      <c r="C2067" s="57" t="s">
        <v>1514</v>
      </c>
      <c r="D2067" s="58" t="n">
        <v>46067.5709722222</v>
      </c>
      <c r="E2067" s="58" t="n">
        <v>46067.5709722222</v>
      </c>
      <c r="F2067" s="58" t="n">
        <v>46067.5717476852</v>
      </c>
      <c r="G2067" s="59" t="n">
        <f aca="false">F2067-E2067</f>
        <v>0.000775462997685185</v>
      </c>
      <c r="H2067" s="57" t="s">
        <v>252</v>
      </c>
      <c r="I2067" s="57"/>
      <c r="J2067" s="57" t="s">
        <v>333</v>
      </c>
      <c r="K2067" s="57" t="s">
        <v>334</v>
      </c>
      <c r="L2067" s="57" t="s">
        <v>2754</v>
      </c>
      <c r="M2067" s="57" t="s">
        <v>336</v>
      </c>
      <c r="N2067" s="57" t="s">
        <v>381</v>
      </c>
      <c r="O2067" s="57" t="s">
        <v>2755</v>
      </c>
      <c r="P2067" s="57"/>
      <c r="Q2067" s="57" t="s">
        <v>698</v>
      </c>
    </row>
    <row r="2068" s="50" customFormat="true" ht="14.25" hidden="false" customHeight="true" outlineLevel="0" collapsed="false">
      <c r="A2068" s="50" t="s">
        <v>651</v>
      </c>
      <c r="B2068" s="57" t="s">
        <v>651</v>
      </c>
      <c r="C2068" s="57" t="s">
        <v>1514</v>
      </c>
      <c r="D2068" s="58" t="n">
        <v>46067.5677777778</v>
      </c>
      <c r="E2068" s="58" t="n">
        <v>46067.5677777778</v>
      </c>
      <c r="F2068" s="58" t="n">
        <v>46067.5685532407</v>
      </c>
      <c r="G2068" s="59" t="n">
        <f aca="false">F2068-E2068</f>
        <v>0.000775462905092593</v>
      </c>
      <c r="H2068" s="57" t="s">
        <v>252</v>
      </c>
      <c r="I2068" s="57"/>
      <c r="J2068" s="57" t="s">
        <v>333</v>
      </c>
      <c r="K2068" s="57" t="s">
        <v>334</v>
      </c>
      <c r="L2068" s="57" t="s">
        <v>2754</v>
      </c>
      <c r="M2068" s="57" t="s">
        <v>336</v>
      </c>
      <c r="N2068" s="57" t="s">
        <v>381</v>
      </c>
      <c r="O2068" s="57" t="s">
        <v>2755</v>
      </c>
      <c r="P2068" s="57"/>
      <c r="Q2068" s="57" t="s">
        <v>698</v>
      </c>
    </row>
    <row r="2069" s="50" customFormat="true" ht="14.25" hidden="false" customHeight="true" outlineLevel="0" collapsed="false">
      <c r="A2069" s="50" t="s">
        <v>651</v>
      </c>
      <c r="B2069" s="57" t="s">
        <v>651</v>
      </c>
      <c r="C2069" s="57" t="s">
        <v>1514</v>
      </c>
      <c r="D2069" s="58" t="n">
        <v>46067.562650463</v>
      </c>
      <c r="E2069" s="58" t="n">
        <v>46067.562650463</v>
      </c>
      <c r="F2069" s="58" t="n">
        <v>46067.5634259259</v>
      </c>
      <c r="G2069" s="59" t="n">
        <f aca="false">F2069-E2069</f>
        <v>0.000775462905092593</v>
      </c>
      <c r="H2069" s="57" t="s">
        <v>252</v>
      </c>
      <c r="I2069" s="57"/>
      <c r="J2069" s="57" t="s">
        <v>333</v>
      </c>
      <c r="K2069" s="57" t="s">
        <v>334</v>
      </c>
      <c r="L2069" s="57" t="s">
        <v>2754</v>
      </c>
      <c r="M2069" s="57" t="s">
        <v>336</v>
      </c>
      <c r="N2069" s="57" t="s">
        <v>381</v>
      </c>
      <c r="O2069" s="57" t="s">
        <v>2755</v>
      </c>
      <c r="P2069" s="57"/>
      <c r="Q2069" s="57" t="s">
        <v>698</v>
      </c>
    </row>
    <row r="2070" s="50" customFormat="true" ht="14.25" hidden="false" customHeight="true" outlineLevel="0" collapsed="false">
      <c r="A2070" s="50" t="s">
        <v>651</v>
      </c>
      <c r="B2070" s="57" t="s">
        <v>651</v>
      </c>
      <c r="C2070" s="57" t="s">
        <v>1514</v>
      </c>
      <c r="D2070" s="58" t="n">
        <v>46067.5562152778</v>
      </c>
      <c r="E2070" s="58" t="n">
        <v>46067.5562152778</v>
      </c>
      <c r="F2070" s="58" t="n">
        <v>46067.5570023148</v>
      </c>
      <c r="G2070" s="59" t="n">
        <f aca="false">F2070-E2070</f>
        <v>0.000787037002314815</v>
      </c>
      <c r="H2070" s="57" t="s">
        <v>252</v>
      </c>
      <c r="I2070" s="57"/>
      <c r="J2070" s="57" t="s">
        <v>333</v>
      </c>
      <c r="K2070" s="57" t="s">
        <v>334</v>
      </c>
      <c r="L2070" s="57" t="s">
        <v>2754</v>
      </c>
      <c r="M2070" s="57" t="s">
        <v>336</v>
      </c>
      <c r="N2070" s="57" t="s">
        <v>381</v>
      </c>
      <c r="O2070" s="57" t="s">
        <v>2755</v>
      </c>
      <c r="P2070" s="57"/>
      <c r="Q2070" s="57" t="s">
        <v>698</v>
      </c>
    </row>
    <row r="2071" s="50" customFormat="true" ht="14.25" hidden="false" customHeight="true" outlineLevel="0" collapsed="false">
      <c r="A2071" s="50" t="s">
        <v>651</v>
      </c>
      <c r="B2071" s="57" t="s">
        <v>651</v>
      </c>
      <c r="C2071" s="57" t="s">
        <v>1514</v>
      </c>
      <c r="D2071" s="58" t="n">
        <v>46067.5516782407</v>
      </c>
      <c r="E2071" s="58" t="n">
        <v>46067.5516782407</v>
      </c>
      <c r="F2071" s="58" t="n">
        <v>46067.5524768519</v>
      </c>
      <c r="G2071" s="59" t="n">
        <f aca="false">F2071-E2071</f>
        <v>0.000798611203703704</v>
      </c>
      <c r="H2071" s="57" t="s">
        <v>252</v>
      </c>
      <c r="I2071" s="57"/>
      <c r="J2071" s="57" t="s">
        <v>333</v>
      </c>
      <c r="K2071" s="57" t="s">
        <v>334</v>
      </c>
      <c r="L2071" s="57" t="s">
        <v>2754</v>
      </c>
      <c r="M2071" s="57" t="s">
        <v>336</v>
      </c>
      <c r="N2071" s="57" t="s">
        <v>381</v>
      </c>
      <c r="O2071" s="57" t="s">
        <v>2755</v>
      </c>
      <c r="P2071" s="57"/>
      <c r="Q2071" s="57" t="s">
        <v>698</v>
      </c>
    </row>
    <row r="2072" s="50" customFormat="true" ht="14.25" hidden="false" customHeight="true" outlineLevel="0" collapsed="false">
      <c r="A2072" s="50" t="s">
        <v>651</v>
      </c>
      <c r="B2072" s="57" t="s">
        <v>651</v>
      </c>
      <c r="C2072" s="57" t="s">
        <v>1514</v>
      </c>
      <c r="D2072" s="58" t="n">
        <v>46067.5484143519</v>
      </c>
      <c r="E2072" s="58" t="n">
        <v>46067.5484143519</v>
      </c>
      <c r="F2072" s="58" t="n">
        <v>46067.5491782407</v>
      </c>
      <c r="G2072" s="59" t="n">
        <f aca="false">F2072-E2072</f>
        <v>0.000763888796296296</v>
      </c>
      <c r="H2072" s="57" t="s">
        <v>252</v>
      </c>
      <c r="I2072" s="57"/>
      <c r="J2072" s="57" t="s">
        <v>333</v>
      </c>
      <c r="K2072" s="57" t="s">
        <v>334</v>
      </c>
      <c r="L2072" s="57" t="s">
        <v>2754</v>
      </c>
      <c r="M2072" s="57" t="s">
        <v>336</v>
      </c>
      <c r="N2072" s="57" t="s">
        <v>381</v>
      </c>
      <c r="O2072" s="57" t="s">
        <v>2755</v>
      </c>
      <c r="P2072" s="57"/>
      <c r="Q2072" s="57" t="s">
        <v>698</v>
      </c>
    </row>
    <row r="2073" s="50" customFormat="true" ht="14.25" hidden="false" customHeight="true" outlineLevel="0" collapsed="false">
      <c r="A2073" s="50" t="s">
        <v>651</v>
      </c>
      <c r="B2073" s="57" t="s">
        <v>651</v>
      </c>
      <c r="C2073" s="57" t="s">
        <v>1514</v>
      </c>
      <c r="D2073" s="58" t="n">
        <v>46067.5444097222</v>
      </c>
      <c r="E2073" s="58" t="n">
        <v>46067.5444097222</v>
      </c>
      <c r="F2073" s="58" t="n">
        <v>46067.5451851852</v>
      </c>
      <c r="G2073" s="59" t="n">
        <f aca="false">F2073-E2073</f>
        <v>0.000775462997685185</v>
      </c>
      <c r="H2073" s="57" t="s">
        <v>252</v>
      </c>
      <c r="I2073" s="57"/>
      <c r="J2073" s="57" t="s">
        <v>333</v>
      </c>
      <c r="K2073" s="57" t="s">
        <v>334</v>
      </c>
      <c r="L2073" s="57" t="s">
        <v>2754</v>
      </c>
      <c r="M2073" s="57" t="s">
        <v>336</v>
      </c>
      <c r="N2073" s="57" t="s">
        <v>381</v>
      </c>
      <c r="O2073" s="57" t="s">
        <v>2755</v>
      </c>
      <c r="P2073" s="57"/>
      <c r="Q2073" s="57" t="s">
        <v>698</v>
      </c>
    </row>
    <row r="2074" s="50" customFormat="true" ht="14.25" hidden="false" customHeight="true" outlineLevel="0" collapsed="false">
      <c r="A2074" s="50" t="s">
        <v>651</v>
      </c>
      <c r="B2074" s="57" t="s">
        <v>651</v>
      </c>
      <c r="C2074" s="57" t="s">
        <v>1514</v>
      </c>
      <c r="D2074" s="58" t="n">
        <v>46067.5041782407</v>
      </c>
      <c r="E2074" s="58" t="n">
        <v>46067.5041782407</v>
      </c>
      <c r="F2074" s="58" t="n">
        <v>46067.5049537037</v>
      </c>
      <c r="G2074" s="59" t="n">
        <f aca="false">F2074-E2074</f>
        <v>0.000775462997685185</v>
      </c>
      <c r="H2074" s="57" t="s">
        <v>252</v>
      </c>
      <c r="I2074" s="57"/>
      <c r="J2074" s="57" t="s">
        <v>333</v>
      </c>
      <c r="K2074" s="57" t="s">
        <v>334</v>
      </c>
      <c r="L2074" s="57" t="s">
        <v>2754</v>
      </c>
      <c r="M2074" s="57" t="s">
        <v>336</v>
      </c>
      <c r="N2074" s="57" t="s">
        <v>381</v>
      </c>
      <c r="O2074" s="57" t="s">
        <v>2755</v>
      </c>
      <c r="P2074" s="57"/>
      <c r="Q2074" s="57" t="s">
        <v>698</v>
      </c>
    </row>
    <row r="2075" s="50" customFormat="true" ht="14.25" hidden="false" customHeight="true" outlineLevel="0" collapsed="false">
      <c r="A2075" s="50" t="s">
        <v>651</v>
      </c>
      <c r="B2075" s="57" t="s">
        <v>651</v>
      </c>
      <c r="C2075" s="57" t="s">
        <v>1514</v>
      </c>
      <c r="D2075" s="58" t="n">
        <v>46067.4998726852</v>
      </c>
      <c r="E2075" s="58" t="n">
        <v>46067.4998726852</v>
      </c>
      <c r="F2075" s="58" t="n">
        <v>46067.5006481482</v>
      </c>
      <c r="G2075" s="59" t="n">
        <f aca="false">F2075-E2075</f>
        <v>0.000775462997685185</v>
      </c>
      <c r="H2075" s="57" t="s">
        <v>252</v>
      </c>
      <c r="I2075" s="57"/>
      <c r="J2075" s="57" t="s">
        <v>333</v>
      </c>
      <c r="K2075" s="57" t="s">
        <v>334</v>
      </c>
      <c r="L2075" s="57" t="s">
        <v>2754</v>
      </c>
      <c r="M2075" s="57" t="s">
        <v>336</v>
      </c>
      <c r="N2075" s="57" t="s">
        <v>381</v>
      </c>
      <c r="O2075" s="57" t="s">
        <v>2755</v>
      </c>
      <c r="P2075" s="57"/>
      <c r="Q2075" s="57" t="s">
        <v>698</v>
      </c>
    </row>
    <row r="2076" s="50" customFormat="true" ht="14.25" hidden="false" customHeight="true" outlineLevel="0" collapsed="false">
      <c r="A2076" s="50" t="s">
        <v>651</v>
      </c>
      <c r="B2076" s="57" t="s">
        <v>651</v>
      </c>
      <c r="C2076" s="57" t="s">
        <v>1514</v>
      </c>
      <c r="D2076" s="58" t="n">
        <v>46067.4866666667</v>
      </c>
      <c r="E2076" s="58" t="n">
        <v>46067.4866666667</v>
      </c>
      <c r="F2076" s="58" t="n">
        <v>46067.4874421296</v>
      </c>
      <c r="G2076" s="59" t="n">
        <f aca="false">F2076-E2076</f>
        <v>0.000775462893518519</v>
      </c>
      <c r="H2076" s="57" t="s">
        <v>252</v>
      </c>
      <c r="I2076" s="57"/>
      <c r="J2076" s="57" t="s">
        <v>333</v>
      </c>
      <c r="K2076" s="57" t="s">
        <v>334</v>
      </c>
      <c r="L2076" s="57" t="s">
        <v>2754</v>
      </c>
      <c r="M2076" s="57" t="s">
        <v>336</v>
      </c>
      <c r="N2076" s="57" t="s">
        <v>381</v>
      </c>
      <c r="O2076" s="57" t="s">
        <v>2755</v>
      </c>
      <c r="P2076" s="57"/>
      <c r="Q2076" s="57" t="s">
        <v>698</v>
      </c>
    </row>
    <row r="2077" s="50" customFormat="true" ht="14.25" hidden="false" customHeight="true" outlineLevel="0" collapsed="false">
      <c r="A2077" s="50" t="s">
        <v>651</v>
      </c>
      <c r="B2077" s="57" t="s">
        <v>651</v>
      </c>
      <c r="C2077" s="57" t="s">
        <v>1514</v>
      </c>
      <c r="D2077" s="58" t="n">
        <v>46067.4824652778</v>
      </c>
      <c r="E2077" s="58" t="n">
        <v>46067.4824652778</v>
      </c>
      <c r="F2077" s="58" t="n">
        <v>46067.4832291667</v>
      </c>
      <c r="G2077" s="59" t="n">
        <f aca="false">F2077-E2077</f>
        <v>0.000763888888888889</v>
      </c>
      <c r="H2077" s="57" t="s">
        <v>252</v>
      </c>
      <c r="I2077" s="57"/>
      <c r="J2077" s="57" t="s">
        <v>333</v>
      </c>
      <c r="K2077" s="57" t="s">
        <v>334</v>
      </c>
      <c r="L2077" s="57" t="s">
        <v>2754</v>
      </c>
      <c r="M2077" s="57" t="s">
        <v>336</v>
      </c>
      <c r="N2077" s="57" t="s">
        <v>381</v>
      </c>
      <c r="O2077" s="57" t="s">
        <v>2755</v>
      </c>
      <c r="P2077" s="57"/>
      <c r="Q2077" s="57" t="s">
        <v>698</v>
      </c>
    </row>
    <row r="2078" s="50" customFormat="true" ht="14.25" hidden="false" customHeight="true" outlineLevel="0" collapsed="false">
      <c r="A2078" s="50" t="s">
        <v>651</v>
      </c>
      <c r="B2078" s="57" t="s">
        <v>651</v>
      </c>
      <c r="C2078" s="57" t="s">
        <v>1514</v>
      </c>
      <c r="D2078" s="58" t="n">
        <v>46067.4764814815</v>
      </c>
      <c r="E2078" s="58" t="n">
        <v>46067.4764814815</v>
      </c>
      <c r="F2078" s="58" t="n">
        <v>46067.4772569445</v>
      </c>
      <c r="G2078" s="59" t="n">
        <f aca="false">F2078-E2078</f>
        <v>0.000775462997685185</v>
      </c>
      <c r="H2078" s="57" t="s">
        <v>252</v>
      </c>
      <c r="I2078" s="57"/>
      <c r="J2078" s="57" t="s">
        <v>333</v>
      </c>
      <c r="K2078" s="57" t="s">
        <v>334</v>
      </c>
      <c r="L2078" s="57" t="s">
        <v>2754</v>
      </c>
      <c r="M2078" s="57" t="s">
        <v>336</v>
      </c>
      <c r="N2078" s="57" t="s">
        <v>381</v>
      </c>
      <c r="O2078" s="57" t="s">
        <v>2755</v>
      </c>
      <c r="P2078" s="57"/>
      <c r="Q2078" s="57" t="s">
        <v>698</v>
      </c>
    </row>
    <row r="2079" s="50" customFormat="true" ht="14.25" hidden="false" customHeight="true" outlineLevel="0" collapsed="false">
      <c r="A2079" s="50" t="s">
        <v>651</v>
      </c>
      <c r="B2079" s="57" t="s">
        <v>651</v>
      </c>
      <c r="C2079" s="57" t="s">
        <v>1514</v>
      </c>
      <c r="D2079" s="58" t="n">
        <v>46067.4720949074</v>
      </c>
      <c r="E2079" s="58" t="n">
        <v>46067.4720949074</v>
      </c>
      <c r="F2079" s="58" t="n">
        <v>46067.4728819444</v>
      </c>
      <c r="G2079" s="59" t="n">
        <f aca="false">F2079-E2079</f>
        <v>0.000787036990740741</v>
      </c>
      <c r="H2079" s="57" t="s">
        <v>252</v>
      </c>
      <c r="I2079" s="57"/>
      <c r="J2079" s="57" t="s">
        <v>333</v>
      </c>
      <c r="K2079" s="57" t="s">
        <v>334</v>
      </c>
      <c r="L2079" s="57" t="s">
        <v>2754</v>
      </c>
      <c r="M2079" s="57" t="s">
        <v>336</v>
      </c>
      <c r="N2079" s="57" t="s">
        <v>381</v>
      </c>
      <c r="O2079" s="57" t="s">
        <v>2755</v>
      </c>
      <c r="P2079" s="57"/>
      <c r="Q2079" s="57" t="s">
        <v>698</v>
      </c>
    </row>
    <row r="2080" s="50" customFormat="true" ht="14.25" hidden="false" customHeight="true" outlineLevel="0" collapsed="false">
      <c r="A2080" s="50" t="s">
        <v>651</v>
      </c>
      <c r="B2080" s="57" t="s">
        <v>651</v>
      </c>
      <c r="C2080" s="57" t="s">
        <v>1514</v>
      </c>
      <c r="D2080" s="58" t="n">
        <v>46067.4678472222</v>
      </c>
      <c r="E2080" s="58" t="n">
        <v>46067.4678472222</v>
      </c>
      <c r="F2080" s="58" t="n">
        <v>46067.4687152778</v>
      </c>
      <c r="G2080" s="59" t="n">
        <f aca="false">F2080-E2080</f>
        <v>0.000868055601851852</v>
      </c>
      <c r="H2080" s="57" t="s">
        <v>252</v>
      </c>
      <c r="I2080" s="57"/>
      <c r="J2080" s="57" t="s">
        <v>333</v>
      </c>
      <c r="K2080" s="57" t="s">
        <v>334</v>
      </c>
      <c r="L2080" s="57" t="s">
        <v>2754</v>
      </c>
      <c r="M2080" s="57" t="s">
        <v>336</v>
      </c>
      <c r="N2080" s="57" t="s">
        <v>381</v>
      </c>
      <c r="O2080" s="57" t="s">
        <v>2755</v>
      </c>
      <c r="P2080" s="57"/>
      <c r="Q2080" s="57" t="s">
        <v>698</v>
      </c>
    </row>
    <row r="2081" s="50" customFormat="true" ht="14.25" hidden="false" customHeight="true" outlineLevel="0" collapsed="false">
      <c r="A2081" s="50" t="s">
        <v>651</v>
      </c>
      <c r="B2081" s="57" t="s">
        <v>651</v>
      </c>
      <c r="C2081" s="57" t="s">
        <v>1514</v>
      </c>
      <c r="D2081" s="58" t="n">
        <v>46067.4633333333</v>
      </c>
      <c r="E2081" s="58" t="n">
        <v>46067.4633333333</v>
      </c>
      <c r="F2081" s="58" t="n">
        <v>46067.4641087963</v>
      </c>
      <c r="G2081" s="59" t="n">
        <f aca="false">F2081-E2081</f>
        <v>0.000775463009259259</v>
      </c>
      <c r="H2081" s="57" t="s">
        <v>252</v>
      </c>
      <c r="I2081" s="57"/>
      <c r="J2081" s="57" t="s">
        <v>333</v>
      </c>
      <c r="K2081" s="57" t="s">
        <v>334</v>
      </c>
      <c r="L2081" s="57" t="s">
        <v>2754</v>
      </c>
      <c r="M2081" s="57" t="s">
        <v>336</v>
      </c>
      <c r="N2081" s="57" t="s">
        <v>381</v>
      </c>
      <c r="O2081" s="57" t="s">
        <v>2755</v>
      </c>
      <c r="P2081" s="57"/>
      <c r="Q2081" s="57" t="s">
        <v>698</v>
      </c>
    </row>
    <row r="2082" s="50" customFormat="true" ht="14.25" hidden="false" customHeight="true" outlineLevel="0" collapsed="false">
      <c r="A2082" s="50" t="s">
        <v>651</v>
      </c>
      <c r="B2082" s="57" t="s">
        <v>651</v>
      </c>
      <c r="C2082" s="57" t="s">
        <v>1514</v>
      </c>
      <c r="D2082" s="58" t="n">
        <v>46067.4562268519</v>
      </c>
      <c r="E2082" s="58" t="n">
        <v>46067.4562268519</v>
      </c>
      <c r="F2082" s="58" t="n">
        <v>46067.4569907407</v>
      </c>
      <c r="G2082" s="59" t="n">
        <f aca="false">F2082-E2082</f>
        <v>0.000763888796296296</v>
      </c>
      <c r="H2082" s="57" t="s">
        <v>252</v>
      </c>
      <c r="I2082" s="57"/>
      <c r="J2082" s="57" t="s">
        <v>333</v>
      </c>
      <c r="K2082" s="57" t="s">
        <v>334</v>
      </c>
      <c r="L2082" s="57" t="s">
        <v>2754</v>
      </c>
      <c r="M2082" s="57" t="s">
        <v>336</v>
      </c>
      <c r="N2082" s="57" t="s">
        <v>381</v>
      </c>
      <c r="O2082" s="57" t="s">
        <v>2755</v>
      </c>
      <c r="P2082" s="57"/>
      <c r="Q2082" s="57" t="s">
        <v>698</v>
      </c>
    </row>
    <row r="2083" s="50" customFormat="true" ht="14.25" hidden="false" customHeight="true" outlineLevel="0" collapsed="false">
      <c r="A2083" s="50" t="s">
        <v>651</v>
      </c>
      <c r="B2083" s="57" t="s">
        <v>651</v>
      </c>
      <c r="C2083" s="57" t="s">
        <v>1514</v>
      </c>
      <c r="D2083" s="58" t="n">
        <v>46067.4505555556</v>
      </c>
      <c r="E2083" s="58" t="n">
        <v>46067.4505555556</v>
      </c>
      <c r="F2083" s="58" t="n">
        <v>46067.4513310185</v>
      </c>
      <c r="G2083" s="59" t="n">
        <f aca="false">F2083-E2083</f>
        <v>0.000775462893518519</v>
      </c>
      <c r="H2083" s="57" t="s">
        <v>252</v>
      </c>
      <c r="I2083" s="57"/>
      <c r="J2083" s="57" t="s">
        <v>333</v>
      </c>
      <c r="K2083" s="57" t="s">
        <v>334</v>
      </c>
      <c r="L2083" s="57" t="s">
        <v>2754</v>
      </c>
      <c r="M2083" s="57" t="s">
        <v>336</v>
      </c>
      <c r="N2083" s="57" t="s">
        <v>381</v>
      </c>
      <c r="O2083" s="57" t="s">
        <v>2755</v>
      </c>
      <c r="P2083" s="57"/>
      <c r="Q2083" s="57" t="s">
        <v>698</v>
      </c>
    </row>
    <row r="2084" s="50" customFormat="true" ht="14.25" hidden="false" customHeight="true" outlineLevel="0" collapsed="false">
      <c r="A2084" s="50" t="s">
        <v>651</v>
      </c>
      <c r="B2084" s="57" t="s">
        <v>651</v>
      </c>
      <c r="C2084" s="57" t="s">
        <v>1514</v>
      </c>
      <c r="D2084" s="58" t="n">
        <v>46067.4460185185</v>
      </c>
      <c r="E2084" s="58" t="n">
        <v>46067.4460185185</v>
      </c>
      <c r="F2084" s="58" t="n">
        <v>46067.4467824074</v>
      </c>
      <c r="G2084" s="59" t="n">
        <f aca="false">F2084-E2084</f>
        <v>0.000763888888888889</v>
      </c>
      <c r="H2084" s="57" t="s">
        <v>252</v>
      </c>
      <c r="I2084" s="57"/>
      <c r="J2084" s="57" t="s">
        <v>333</v>
      </c>
      <c r="K2084" s="57" t="s">
        <v>334</v>
      </c>
      <c r="L2084" s="57" t="s">
        <v>2754</v>
      </c>
      <c r="M2084" s="57" t="s">
        <v>336</v>
      </c>
      <c r="N2084" s="57" t="s">
        <v>381</v>
      </c>
      <c r="O2084" s="57" t="s">
        <v>2755</v>
      </c>
      <c r="P2084" s="57"/>
      <c r="Q2084" s="57" t="s">
        <v>698</v>
      </c>
    </row>
    <row r="2085" s="50" customFormat="true" ht="14.25" hidden="false" customHeight="true" outlineLevel="0" collapsed="false">
      <c r="A2085" s="50" t="s">
        <v>651</v>
      </c>
      <c r="B2085" s="57" t="s">
        <v>651</v>
      </c>
      <c r="C2085" s="57" t="s">
        <v>1514</v>
      </c>
      <c r="D2085" s="58" t="n">
        <v>46067.4412962963</v>
      </c>
      <c r="E2085" s="58" t="n">
        <v>46067.4412962963</v>
      </c>
      <c r="F2085" s="58" t="n">
        <v>46067.4420601852</v>
      </c>
      <c r="G2085" s="59" t="n">
        <f aca="false">F2085-E2085</f>
        <v>0.000763888888888889</v>
      </c>
      <c r="H2085" s="57" t="s">
        <v>252</v>
      </c>
      <c r="I2085" s="57"/>
      <c r="J2085" s="57" t="s">
        <v>333</v>
      </c>
      <c r="K2085" s="57" t="s">
        <v>334</v>
      </c>
      <c r="L2085" s="57" t="s">
        <v>2754</v>
      </c>
      <c r="M2085" s="57" t="s">
        <v>336</v>
      </c>
      <c r="N2085" s="57" t="s">
        <v>381</v>
      </c>
      <c r="O2085" s="57" t="s">
        <v>2755</v>
      </c>
      <c r="P2085" s="57"/>
      <c r="Q2085" s="57" t="s">
        <v>698</v>
      </c>
    </row>
    <row r="2086" s="50" customFormat="true" ht="14.25" hidden="false" customHeight="true" outlineLevel="0" collapsed="false">
      <c r="A2086" s="50" t="s">
        <v>651</v>
      </c>
      <c r="B2086" s="57" t="s">
        <v>651</v>
      </c>
      <c r="C2086" s="57" t="s">
        <v>1514</v>
      </c>
      <c r="D2086" s="58" t="n">
        <v>46067.4356134259</v>
      </c>
      <c r="E2086" s="58" t="n">
        <v>46067.4356134259</v>
      </c>
      <c r="F2086" s="58" t="n">
        <v>46067.436400463</v>
      </c>
      <c r="G2086" s="59" t="n">
        <f aca="false">F2086-E2086</f>
        <v>0.000787037094907407</v>
      </c>
      <c r="H2086" s="57" t="s">
        <v>252</v>
      </c>
      <c r="I2086" s="57"/>
      <c r="J2086" s="57" t="s">
        <v>333</v>
      </c>
      <c r="K2086" s="57" t="s">
        <v>334</v>
      </c>
      <c r="L2086" s="57" t="s">
        <v>2754</v>
      </c>
      <c r="M2086" s="57" t="s">
        <v>336</v>
      </c>
      <c r="N2086" s="57" t="s">
        <v>381</v>
      </c>
      <c r="O2086" s="57" t="s">
        <v>2755</v>
      </c>
      <c r="P2086" s="57"/>
      <c r="Q2086" s="57" t="s">
        <v>698</v>
      </c>
    </row>
    <row r="2087" s="50" customFormat="true" ht="14.25" hidden="false" customHeight="true" outlineLevel="0" collapsed="false">
      <c r="A2087" s="50" t="s">
        <v>651</v>
      </c>
      <c r="B2087" s="57" t="s">
        <v>651</v>
      </c>
      <c r="C2087" s="57" t="s">
        <v>1514</v>
      </c>
      <c r="D2087" s="58" t="n">
        <v>46067.4276736111</v>
      </c>
      <c r="E2087" s="58" t="n">
        <v>46067.4276736111</v>
      </c>
      <c r="F2087" s="58" t="n">
        <v>46067.4284490741</v>
      </c>
      <c r="G2087" s="59" t="n">
        <f aca="false">F2087-E2087</f>
        <v>0.000775462997685185</v>
      </c>
      <c r="H2087" s="57" t="s">
        <v>252</v>
      </c>
      <c r="I2087" s="57"/>
      <c r="J2087" s="57" t="s">
        <v>333</v>
      </c>
      <c r="K2087" s="57" t="s">
        <v>334</v>
      </c>
      <c r="L2087" s="57" t="s">
        <v>2754</v>
      </c>
      <c r="M2087" s="57" t="s">
        <v>336</v>
      </c>
      <c r="N2087" s="57" t="s">
        <v>381</v>
      </c>
      <c r="O2087" s="57" t="s">
        <v>2755</v>
      </c>
      <c r="P2087" s="57"/>
      <c r="Q2087" s="57" t="s">
        <v>698</v>
      </c>
    </row>
    <row r="2088" s="50" customFormat="true" ht="14.25" hidden="false" customHeight="true" outlineLevel="0" collapsed="false">
      <c r="A2088" s="50" t="s">
        <v>651</v>
      </c>
      <c r="B2088" s="57" t="s">
        <v>651</v>
      </c>
      <c r="C2088" s="57" t="s">
        <v>1514</v>
      </c>
      <c r="D2088" s="58" t="n">
        <v>46067.4216087963</v>
      </c>
      <c r="E2088" s="58" t="n">
        <v>46067.4216087963</v>
      </c>
      <c r="F2088" s="58" t="n">
        <v>46067.4223726852</v>
      </c>
      <c r="G2088" s="59" t="n">
        <f aca="false">F2088-E2088</f>
        <v>0.000763888888888889</v>
      </c>
      <c r="H2088" s="57" t="s">
        <v>252</v>
      </c>
      <c r="I2088" s="57"/>
      <c r="J2088" s="57" t="s">
        <v>333</v>
      </c>
      <c r="K2088" s="57" t="s">
        <v>334</v>
      </c>
      <c r="L2088" s="57" t="s">
        <v>2754</v>
      </c>
      <c r="M2088" s="57" t="s">
        <v>336</v>
      </c>
      <c r="N2088" s="57" t="s">
        <v>381</v>
      </c>
      <c r="O2088" s="57" t="s">
        <v>2755</v>
      </c>
      <c r="P2088" s="57"/>
      <c r="Q2088" s="57" t="s">
        <v>698</v>
      </c>
    </row>
    <row r="2089" s="50" customFormat="true" ht="14.25" hidden="false" customHeight="true" outlineLevel="0" collapsed="false">
      <c r="A2089" s="50" t="s">
        <v>651</v>
      </c>
      <c r="B2089" s="57" t="s">
        <v>651</v>
      </c>
      <c r="C2089" s="57" t="s">
        <v>1514</v>
      </c>
      <c r="D2089" s="58" t="n">
        <v>46067.4146643519</v>
      </c>
      <c r="E2089" s="58" t="n">
        <v>46067.4146643519</v>
      </c>
      <c r="F2089" s="58" t="n">
        <v>46067.4154282407</v>
      </c>
      <c r="G2089" s="59" t="n">
        <f aca="false">F2089-E2089</f>
        <v>0.00076388880787037</v>
      </c>
      <c r="H2089" s="57" t="s">
        <v>252</v>
      </c>
      <c r="I2089" s="57"/>
      <c r="J2089" s="57" t="s">
        <v>333</v>
      </c>
      <c r="K2089" s="57" t="s">
        <v>334</v>
      </c>
      <c r="L2089" s="57" t="s">
        <v>2754</v>
      </c>
      <c r="M2089" s="57" t="s">
        <v>336</v>
      </c>
      <c r="N2089" s="57" t="s">
        <v>381</v>
      </c>
      <c r="O2089" s="57" t="s">
        <v>2755</v>
      </c>
      <c r="P2089" s="57"/>
      <c r="Q2089" s="57" t="s">
        <v>698</v>
      </c>
    </row>
    <row r="2090" s="50" customFormat="true" ht="14.25" hidden="false" customHeight="true" outlineLevel="0" collapsed="false">
      <c r="A2090" s="50" t="s">
        <v>651</v>
      </c>
      <c r="B2090" s="57" t="s">
        <v>651</v>
      </c>
      <c r="C2090" s="57" t="s">
        <v>1514</v>
      </c>
      <c r="D2090" s="58" t="n">
        <v>46067.4088310185</v>
      </c>
      <c r="E2090" s="58" t="n">
        <v>46067.4088310185</v>
      </c>
      <c r="F2090" s="58" t="n">
        <v>46067.4095717593</v>
      </c>
      <c r="G2090" s="59" t="n">
        <f aca="false">F2090-E2090</f>
        <v>0.000740740798611111</v>
      </c>
      <c r="H2090" s="57" t="s">
        <v>252</v>
      </c>
      <c r="I2090" s="57"/>
      <c r="J2090" s="57" t="s">
        <v>333</v>
      </c>
      <c r="K2090" s="57" t="s">
        <v>334</v>
      </c>
      <c r="L2090" s="57" t="s">
        <v>2754</v>
      </c>
      <c r="M2090" s="57" t="s">
        <v>336</v>
      </c>
      <c r="N2090" s="57" t="s">
        <v>381</v>
      </c>
      <c r="O2090" s="57" t="s">
        <v>2755</v>
      </c>
      <c r="P2090" s="57"/>
      <c r="Q2090" s="57" t="s">
        <v>698</v>
      </c>
    </row>
    <row r="2091" s="50" customFormat="true" ht="14.25" hidden="false" customHeight="true" outlineLevel="0" collapsed="false">
      <c r="A2091" s="50" t="s">
        <v>651</v>
      </c>
      <c r="B2091" s="57" t="s">
        <v>651</v>
      </c>
      <c r="C2091" s="57" t="s">
        <v>1514</v>
      </c>
      <c r="D2091" s="58" t="n">
        <v>46067.4022106482</v>
      </c>
      <c r="E2091" s="58" t="n">
        <v>46067.4022106482</v>
      </c>
      <c r="F2091" s="58" t="n">
        <v>46067.402962963</v>
      </c>
      <c r="G2091" s="59" t="n">
        <f aca="false">F2091-E2091</f>
        <v>0.000752314803240741</v>
      </c>
      <c r="H2091" s="57" t="s">
        <v>252</v>
      </c>
      <c r="I2091" s="57"/>
      <c r="J2091" s="57" t="s">
        <v>333</v>
      </c>
      <c r="K2091" s="57" t="s">
        <v>334</v>
      </c>
      <c r="L2091" s="57" t="s">
        <v>2754</v>
      </c>
      <c r="M2091" s="57" t="s">
        <v>336</v>
      </c>
      <c r="N2091" s="57" t="s">
        <v>381</v>
      </c>
      <c r="O2091" s="57" t="s">
        <v>2755</v>
      </c>
      <c r="P2091" s="57"/>
      <c r="Q2091" s="57" t="s">
        <v>698</v>
      </c>
    </row>
    <row r="2092" s="50" customFormat="true" ht="14.25" hidden="false" customHeight="true" outlineLevel="0" collapsed="false">
      <c r="A2092" s="50" t="s">
        <v>651</v>
      </c>
      <c r="B2092" s="57" t="s">
        <v>651</v>
      </c>
      <c r="C2092" s="57" t="s">
        <v>1514</v>
      </c>
      <c r="D2092" s="58" t="n">
        <v>46067.3933912037</v>
      </c>
      <c r="E2092" s="58" t="n">
        <v>46067.3933912037</v>
      </c>
      <c r="F2092" s="58" t="n">
        <v>46067.3941319444</v>
      </c>
      <c r="G2092" s="59" t="n">
        <f aca="false">F2092-E2092</f>
        <v>0.000740740694444445</v>
      </c>
      <c r="H2092" s="57" t="s">
        <v>252</v>
      </c>
      <c r="I2092" s="57"/>
      <c r="J2092" s="57" t="s">
        <v>333</v>
      </c>
      <c r="K2092" s="57" t="s">
        <v>334</v>
      </c>
      <c r="L2092" s="57" t="s">
        <v>2754</v>
      </c>
      <c r="M2092" s="57" t="s">
        <v>336</v>
      </c>
      <c r="N2092" s="57" t="s">
        <v>381</v>
      </c>
      <c r="O2092" s="57" t="s">
        <v>2755</v>
      </c>
      <c r="P2092" s="57"/>
      <c r="Q2092" s="57" t="s">
        <v>698</v>
      </c>
    </row>
    <row r="2093" s="50" customFormat="true" ht="14.25" hidden="false" customHeight="true" outlineLevel="0" collapsed="false">
      <c r="A2093" s="50" t="s">
        <v>651</v>
      </c>
      <c r="B2093" s="57" t="s">
        <v>651</v>
      </c>
      <c r="C2093" s="57" t="s">
        <v>1514</v>
      </c>
      <c r="D2093" s="58" t="n">
        <v>46067.3864583333</v>
      </c>
      <c r="E2093" s="58" t="n">
        <v>46067.3864583333</v>
      </c>
      <c r="F2093" s="58" t="n">
        <v>46067.3872106482</v>
      </c>
      <c r="G2093" s="59" t="n">
        <f aca="false">F2093-E2093</f>
        <v>0.000752314907407407</v>
      </c>
      <c r="H2093" s="57" t="s">
        <v>252</v>
      </c>
      <c r="I2093" s="57"/>
      <c r="J2093" s="57" t="s">
        <v>333</v>
      </c>
      <c r="K2093" s="57" t="s">
        <v>334</v>
      </c>
      <c r="L2093" s="57" t="s">
        <v>2754</v>
      </c>
      <c r="M2093" s="57" t="s">
        <v>336</v>
      </c>
      <c r="N2093" s="57" t="s">
        <v>381</v>
      </c>
      <c r="O2093" s="57" t="s">
        <v>2755</v>
      </c>
      <c r="P2093" s="57"/>
      <c r="Q2093" s="57" t="s">
        <v>698</v>
      </c>
    </row>
    <row r="2094" s="50" customFormat="true" ht="14.25" hidden="false" customHeight="true" outlineLevel="0" collapsed="false">
      <c r="A2094" s="50" t="s">
        <v>651</v>
      </c>
      <c r="B2094" s="57" t="s">
        <v>651</v>
      </c>
      <c r="C2094" s="57" t="s">
        <v>1514</v>
      </c>
      <c r="D2094" s="58" t="n">
        <v>46067.3803587963</v>
      </c>
      <c r="E2094" s="58" t="n">
        <v>46067.3803587963</v>
      </c>
      <c r="F2094" s="58" t="n">
        <v>46067.3811226852</v>
      </c>
      <c r="G2094" s="59" t="n">
        <f aca="false">F2094-E2094</f>
        <v>0.000763888888888889</v>
      </c>
      <c r="H2094" s="57" t="s">
        <v>252</v>
      </c>
      <c r="I2094" s="57"/>
      <c r="J2094" s="57" t="s">
        <v>333</v>
      </c>
      <c r="K2094" s="57" t="s">
        <v>334</v>
      </c>
      <c r="L2094" s="57" t="s">
        <v>2754</v>
      </c>
      <c r="M2094" s="57" t="s">
        <v>336</v>
      </c>
      <c r="N2094" s="57" t="s">
        <v>381</v>
      </c>
      <c r="O2094" s="57" t="s">
        <v>2755</v>
      </c>
      <c r="P2094" s="57"/>
      <c r="Q2094" s="57" t="s">
        <v>698</v>
      </c>
    </row>
    <row r="2095" s="50" customFormat="true" ht="14.25" hidden="false" customHeight="true" outlineLevel="0" collapsed="false">
      <c r="A2095" s="50" t="s">
        <v>651</v>
      </c>
      <c r="B2095" s="57" t="s">
        <v>651</v>
      </c>
      <c r="C2095" s="57" t="s">
        <v>1514</v>
      </c>
      <c r="D2095" s="58" t="n">
        <v>46067.3731134259</v>
      </c>
      <c r="E2095" s="58" t="n">
        <v>46067.3731134259</v>
      </c>
      <c r="F2095" s="58" t="n">
        <v>46067.3738888889</v>
      </c>
      <c r="G2095" s="59" t="n">
        <f aca="false">F2095-E2095</f>
        <v>0.000775462997685185</v>
      </c>
      <c r="H2095" s="57" t="s">
        <v>252</v>
      </c>
      <c r="I2095" s="57"/>
      <c r="J2095" s="57" t="s">
        <v>333</v>
      </c>
      <c r="K2095" s="57" t="s">
        <v>334</v>
      </c>
      <c r="L2095" s="57" t="s">
        <v>2754</v>
      </c>
      <c r="M2095" s="57" t="s">
        <v>336</v>
      </c>
      <c r="N2095" s="57" t="s">
        <v>381</v>
      </c>
      <c r="O2095" s="57" t="s">
        <v>2755</v>
      </c>
      <c r="P2095" s="57"/>
      <c r="Q2095" s="57" t="s">
        <v>698</v>
      </c>
    </row>
    <row r="2096" s="50" customFormat="true" ht="14.25" hidden="false" customHeight="true" outlineLevel="0" collapsed="false">
      <c r="A2096" s="50" t="s">
        <v>651</v>
      </c>
      <c r="B2096" s="57" t="s">
        <v>651</v>
      </c>
      <c r="C2096" s="57" t="s">
        <v>1514</v>
      </c>
      <c r="D2096" s="58" t="n">
        <v>46066.7081712963</v>
      </c>
      <c r="E2096" s="58" t="n">
        <v>46066.7081712963</v>
      </c>
      <c r="F2096" s="58" t="n">
        <v>46066.7089351852</v>
      </c>
      <c r="G2096" s="59" t="n">
        <f aca="false">F2096-E2096</f>
        <v>0.000763888888888889</v>
      </c>
      <c r="H2096" s="57" t="s">
        <v>252</v>
      </c>
      <c r="I2096" s="57"/>
      <c r="J2096" s="57" t="s">
        <v>333</v>
      </c>
      <c r="K2096" s="57" t="s">
        <v>334</v>
      </c>
      <c r="L2096" s="57" t="s">
        <v>2754</v>
      </c>
      <c r="M2096" s="57" t="s">
        <v>336</v>
      </c>
      <c r="N2096" s="57" t="s">
        <v>381</v>
      </c>
      <c r="O2096" s="57" t="s">
        <v>2755</v>
      </c>
      <c r="P2096" s="57"/>
      <c r="Q2096" s="57" t="s">
        <v>698</v>
      </c>
    </row>
    <row r="2097" s="50" customFormat="true" ht="14.25" hidden="false" customHeight="true" outlineLevel="0" collapsed="false">
      <c r="A2097" s="50" t="s">
        <v>651</v>
      </c>
      <c r="B2097" s="57" t="s">
        <v>651</v>
      </c>
      <c r="C2097" s="57" t="s">
        <v>1514</v>
      </c>
      <c r="D2097" s="58" t="n">
        <v>46066.7001273148</v>
      </c>
      <c r="E2097" s="58" t="n">
        <v>46066.7001273148</v>
      </c>
      <c r="F2097" s="58" t="n">
        <v>46066.7008912037</v>
      </c>
      <c r="G2097" s="59" t="n">
        <f aca="false">F2097-E2097</f>
        <v>0.000763888888888889</v>
      </c>
      <c r="H2097" s="57" t="s">
        <v>252</v>
      </c>
      <c r="I2097" s="57"/>
      <c r="J2097" s="57" t="s">
        <v>333</v>
      </c>
      <c r="K2097" s="57" t="s">
        <v>334</v>
      </c>
      <c r="L2097" s="57" t="s">
        <v>2754</v>
      </c>
      <c r="M2097" s="57" t="s">
        <v>336</v>
      </c>
      <c r="N2097" s="57" t="s">
        <v>381</v>
      </c>
      <c r="O2097" s="57" t="s">
        <v>2755</v>
      </c>
      <c r="P2097" s="57"/>
      <c r="Q2097" s="57" t="s">
        <v>698</v>
      </c>
    </row>
    <row r="2098" s="50" customFormat="true" ht="14.25" hidden="false" customHeight="true" outlineLevel="0" collapsed="false">
      <c r="A2098" s="50" t="s">
        <v>651</v>
      </c>
      <c r="B2098" s="57" t="s">
        <v>651</v>
      </c>
      <c r="C2098" s="57" t="s">
        <v>1514</v>
      </c>
      <c r="D2098" s="58" t="n">
        <v>46066.6940740741</v>
      </c>
      <c r="E2098" s="58" t="n">
        <v>46066.6940740741</v>
      </c>
      <c r="F2098" s="58" t="n">
        <v>46066.6948611111</v>
      </c>
      <c r="G2098" s="59" t="n">
        <f aca="false">F2098-E2098</f>
        <v>0.000787037002314815</v>
      </c>
      <c r="H2098" s="57" t="s">
        <v>252</v>
      </c>
      <c r="I2098" s="57"/>
      <c r="J2098" s="57" t="s">
        <v>333</v>
      </c>
      <c r="K2098" s="57" t="s">
        <v>334</v>
      </c>
      <c r="L2098" s="57" t="s">
        <v>2754</v>
      </c>
      <c r="M2098" s="57" t="s">
        <v>336</v>
      </c>
      <c r="N2098" s="57" t="s">
        <v>381</v>
      </c>
      <c r="O2098" s="57" t="s">
        <v>2755</v>
      </c>
      <c r="P2098" s="57"/>
      <c r="Q2098" s="57" t="s">
        <v>698</v>
      </c>
    </row>
    <row r="2099" s="50" customFormat="true" ht="14.25" hidden="false" customHeight="true" outlineLevel="0" collapsed="false">
      <c r="A2099" s="50" t="s">
        <v>651</v>
      </c>
      <c r="B2099" s="57" t="s">
        <v>651</v>
      </c>
      <c r="C2099" s="57" t="s">
        <v>1514</v>
      </c>
      <c r="D2099" s="58" t="n">
        <v>46066.6883564815</v>
      </c>
      <c r="E2099" s="58" t="n">
        <v>46066.6883564815</v>
      </c>
      <c r="F2099" s="58" t="n">
        <v>46066.6891435185</v>
      </c>
      <c r="G2099" s="59" t="n">
        <f aca="false">F2099-E2099</f>
        <v>0.000787037002314815</v>
      </c>
      <c r="H2099" s="57" t="s">
        <v>252</v>
      </c>
      <c r="I2099" s="57"/>
      <c r="J2099" s="57" t="s">
        <v>333</v>
      </c>
      <c r="K2099" s="57" t="s">
        <v>334</v>
      </c>
      <c r="L2099" s="57" t="s">
        <v>2754</v>
      </c>
      <c r="M2099" s="57" t="s">
        <v>336</v>
      </c>
      <c r="N2099" s="57" t="s">
        <v>381</v>
      </c>
      <c r="O2099" s="57" t="s">
        <v>2755</v>
      </c>
      <c r="P2099" s="57"/>
      <c r="Q2099" s="57" t="s">
        <v>698</v>
      </c>
    </row>
    <row r="2100" s="50" customFormat="true" ht="14.25" hidden="false" customHeight="true" outlineLevel="0" collapsed="false">
      <c r="A2100" s="50" t="s">
        <v>651</v>
      </c>
      <c r="B2100" s="57" t="s">
        <v>651</v>
      </c>
      <c r="C2100" s="57" t="s">
        <v>1514</v>
      </c>
      <c r="D2100" s="58" t="n">
        <v>46066.6822337963</v>
      </c>
      <c r="E2100" s="58" t="n">
        <v>46066.6822337963</v>
      </c>
      <c r="F2100" s="58" t="n">
        <v>46066.6829976852</v>
      </c>
      <c r="G2100" s="59" t="n">
        <f aca="false">F2100-E2100</f>
        <v>0.000763888888888889</v>
      </c>
      <c r="H2100" s="57" t="s">
        <v>252</v>
      </c>
      <c r="I2100" s="57"/>
      <c r="J2100" s="57" t="s">
        <v>333</v>
      </c>
      <c r="K2100" s="57" t="s">
        <v>334</v>
      </c>
      <c r="L2100" s="57" t="s">
        <v>2754</v>
      </c>
      <c r="M2100" s="57" t="s">
        <v>336</v>
      </c>
      <c r="N2100" s="57" t="s">
        <v>381</v>
      </c>
      <c r="O2100" s="57" t="s">
        <v>2755</v>
      </c>
      <c r="P2100" s="57"/>
      <c r="Q2100" s="57" t="s">
        <v>698</v>
      </c>
    </row>
    <row r="2101" s="50" customFormat="true" ht="14.25" hidden="false" customHeight="true" outlineLevel="0" collapsed="false">
      <c r="A2101" s="50" t="s">
        <v>651</v>
      </c>
      <c r="B2101" s="57" t="s">
        <v>651</v>
      </c>
      <c r="C2101" s="57" t="s">
        <v>1514</v>
      </c>
      <c r="D2101" s="58" t="n">
        <v>46066.6784606481</v>
      </c>
      <c r="E2101" s="58" t="n">
        <v>46066.6784606481</v>
      </c>
      <c r="F2101" s="58" t="n">
        <v>46066.6792476852</v>
      </c>
      <c r="G2101" s="59" t="n">
        <f aca="false">F2101-E2101</f>
        <v>0.000787037094907407</v>
      </c>
      <c r="H2101" s="57" t="s">
        <v>252</v>
      </c>
      <c r="I2101" s="57"/>
      <c r="J2101" s="57" t="s">
        <v>333</v>
      </c>
      <c r="K2101" s="57" t="s">
        <v>334</v>
      </c>
      <c r="L2101" s="57" t="s">
        <v>2754</v>
      </c>
      <c r="M2101" s="57" t="s">
        <v>336</v>
      </c>
      <c r="N2101" s="57" t="s">
        <v>381</v>
      </c>
      <c r="O2101" s="57" t="s">
        <v>2755</v>
      </c>
      <c r="P2101" s="57"/>
      <c r="Q2101" s="57" t="s">
        <v>698</v>
      </c>
    </row>
    <row r="2102" s="50" customFormat="true" ht="14.25" hidden="false" customHeight="true" outlineLevel="0" collapsed="false">
      <c r="A2102" s="50" t="s">
        <v>651</v>
      </c>
      <c r="B2102" s="57" t="s">
        <v>651</v>
      </c>
      <c r="C2102" s="57" t="s">
        <v>1514</v>
      </c>
      <c r="D2102" s="58" t="n">
        <v>46066.674375</v>
      </c>
      <c r="E2102" s="58" t="n">
        <v>46066.674375</v>
      </c>
      <c r="F2102" s="58" t="n">
        <v>46066.675150463</v>
      </c>
      <c r="G2102" s="59" t="n">
        <f aca="false">F2102-E2102</f>
        <v>0.000775462997685185</v>
      </c>
      <c r="H2102" s="57" t="s">
        <v>252</v>
      </c>
      <c r="I2102" s="57"/>
      <c r="J2102" s="57" t="s">
        <v>333</v>
      </c>
      <c r="K2102" s="57" t="s">
        <v>334</v>
      </c>
      <c r="L2102" s="57" t="s">
        <v>2754</v>
      </c>
      <c r="M2102" s="57" t="s">
        <v>336</v>
      </c>
      <c r="N2102" s="57" t="s">
        <v>381</v>
      </c>
      <c r="O2102" s="57" t="s">
        <v>2755</v>
      </c>
      <c r="P2102" s="57"/>
      <c r="Q2102" s="57" t="s">
        <v>698</v>
      </c>
    </row>
    <row r="2103" s="50" customFormat="true" ht="14.25" hidden="false" customHeight="true" outlineLevel="0" collapsed="false">
      <c r="A2103" s="50" t="s">
        <v>651</v>
      </c>
      <c r="B2103" s="57" t="s">
        <v>651</v>
      </c>
      <c r="C2103" s="57" t="s">
        <v>1514</v>
      </c>
      <c r="D2103" s="58" t="n">
        <v>46066.6706828704</v>
      </c>
      <c r="E2103" s="58" t="n">
        <v>46066.6706828704</v>
      </c>
      <c r="F2103" s="58" t="n">
        <v>46066.6714467593</v>
      </c>
      <c r="G2103" s="59" t="n">
        <f aca="false">F2103-E2103</f>
        <v>0.000763888888888889</v>
      </c>
      <c r="H2103" s="57" t="s">
        <v>252</v>
      </c>
      <c r="I2103" s="57"/>
      <c r="J2103" s="57" t="s">
        <v>333</v>
      </c>
      <c r="K2103" s="57" t="s">
        <v>334</v>
      </c>
      <c r="L2103" s="57" t="s">
        <v>2754</v>
      </c>
      <c r="M2103" s="57" t="s">
        <v>336</v>
      </c>
      <c r="N2103" s="57" t="s">
        <v>381</v>
      </c>
      <c r="O2103" s="57" t="s">
        <v>2755</v>
      </c>
      <c r="P2103" s="57"/>
      <c r="Q2103" s="57" t="s">
        <v>698</v>
      </c>
    </row>
    <row r="2104" s="50" customFormat="true" ht="14.25" hidden="false" customHeight="true" outlineLevel="0" collapsed="false">
      <c r="A2104" s="50" t="s">
        <v>651</v>
      </c>
      <c r="B2104" s="57" t="s">
        <v>651</v>
      </c>
      <c r="C2104" s="57" t="s">
        <v>1514</v>
      </c>
      <c r="D2104" s="58" t="n">
        <v>46066.6664467593</v>
      </c>
      <c r="E2104" s="58" t="n">
        <v>46066.6664467593</v>
      </c>
      <c r="F2104" s="58" t="n">
        <v>46066.6672222222</v>
      </c>
      <c r="G2104" s="59" t="n">
        <f aca="false">F2104-E2104</f>
        <v>0.000775462893518519</v>
      </c>
      <c r="H2104" s="57" t="s">
        <v>252</v>
      </c>
      <c r="I2104" s="57"/>
      <c r="J2104" s="57" t="s">
        <v>333</v>
      </c>
      <c r="K2104" s="57" t="s">
        <v>334</v>
      </c>
      <c r="L2104" s="57" t="s">
        <v>2754</v>
      </c>
      <c r="M2104" s="57" t="s">
        <v>336</v>
      </c>
      <c r="N2104" s="57" t="s">
        <v>381</v>
      </c>
      <c r="O2104" s="57" t="s">
        <v>2755</v>
      </c>
      <c r="P2104" s="57"/>
      <c r="Q2104" s="57" t="s">
        <v>698</v>
      </c>
    </row>
    <row r="2105" s="50" customFormat="true" ht="14.25" hidden="false" customHeight="true" outlineLevel="0" collapsed="false">
      <c r="A2105" s="50" t="s">
        <v>651</v>
      </c>
      <c r="B2105" s="57" t="s">
        <v>651</v>
      </c>
      <c r="C2105" s="57" t="s">
        <v>1514</v>
      </c>
      <c r="D2105" s="58" t="n">
        <v>46066.6626041667</v>
      </c>
      <c r="E2105" s="58" t="n">
        <v>46066.6626041667</v>
      </c>
      <c r="F2105" s="58" t="n">
        <v>46066.6633680556</v>
      </c>
      <c r="G2105" s="59" t="n">
        <f aca="false">F2105-E2105</f>
        <v>0.000763888888888889</v>
      </c>
      <c r="H2105" s="57" t="s">
        <v>252</v>
      </c>
      <c r="I2105" s="57"/>
      <c r="J2105" s="57" t="s">
        <v>333</v>
      </c>
      <c r="K2105" s="57" t="s">
        <v>334</v>
      </c>
      <c r="L2105" s="57" t="s">
        <v>2754</v>
      </c>
      <c r="M2105" s="57" t="s">
        <v>336</v>
      </c>
      <c r="N2105" s="57" t="s">
        <v>381</v>
      </c>
      <c r="O2105" s="57" t="s">
        <v>2755</v>
      </c>
      <c r="P2105" s="57"/>
      <c r="Q2105" s="57" t="s">
        <v>698</v>
      </c>
    </row>
    <row r="2106" s="50" customFormat="true" ht="14.25" hidden="false" customHeight="true" outlineLevel="0" collapsed="false">
      <c r="A2106" s="50" t="s">
        <v>651</v>
      </c>
      <c r="B2106" s="57" t="s">
        <v>651</v>
      </c>
      <c r="C2106" s="57" t="s">
        <v>1514</v>
      </c>
      <c r="D2106" s="58" t="n">
        <v>46066.6589467593</v>
      </c>
      <c r="E2106" s="58" t="n">
        <v>46066.6589467593</v>
      </c>
      <c r="F2106" s="58" t="n">
        <v>46066.6597337963</v>
      </c>
      <c r="G2106" s="59" t="n">
        <f aca="false">F2106-E2106</f>
        <v>0.000787037002314815</v>
      </c>
      <c r="H2106" s="57" t="s">
        <v>252</v>
      </c>
      <c r="I2106" s="57"/>
      <c r="J2106" s="57" t="s">
        <v>333</v>
      </c>
      <c r="K2106" s="57" t="s">
        <v>334</v>
      </c>
      <c r="L2106" s="57" t="s">
        <v>2754</v>
      </c>
      <c r="M2106" s="57" t="s">
        <v>336</v>
      </c>
      <c r="N2106" s="57" t="s">
        <v>381</v>
      </c>
      <c r="O2106" s="57" t="s">
        <v>2755</v>
      </c>
      <c r="P2106" s="57"/>
      <c r="Q2106" s="57" t="s">
        <v>698</v>
      </c>
    </row>
    <row r="2107" s="50" customFormat="true" ht="14.25" hidden="false" customHeight="true" outlineLevel="0" collapsed="false">
      <c r="A2107" s="50" t="s">
        <v>651</v>
      </c>
      <c r="B2107" s="57" t="s">
        <v>651</v>
      </c>
      <c r="C2107" s="57" t="s">
        <v>1514</v>
      </c>
      <c r="D2107" s="58" t="n">
        <v>46066.655474537</v>
      </c>
      <c r="E2107" s="58" t="n">
        <v>46066.655474537</v>
      </c>
      <c r="F2107" s="58" t="n">
        <v>46066.65625</v>
      </c>
      <c r="G2107" s="59" t="n">
        <f aca="false">F2107-E2107</f>
        <v>0.000775462997685185</v>
      </c>
      <c r="H2107" s="57" t="s">
        <v>252</v>
      </c>
      <c r="I2107" s="57"/>
      <c r="J2107" s="57" t="s">
        <v>333</v>
      </c>
      <c r="K2107" s="57" t="s">
        <v>334</v>
      </c>
      <c r="L2107" s="57" t="s">
        <v>2754</v>
      </c>
      <c r="M2107" s="57" t="s">
        <v>336</v>
      </c>
      <c r="N2107" s="57" t="s">
        <v>381</v>
      </c>
      <c r="O2107" s="57" t="s">
        <v>2755</v>
      </c>
      <c r="P2107" s="57"/>
      <c r="Q2107" s="57" t="s">
        <v>698</v>
      </c>
    </row>
    <row r="2108" s="50" customFormat="true" ht="14.25" hidden="false" customHeight="true" outlineLevel="0" collapsed="false">
      <c r="A2108" s="50" t="s">
        <v>651</v>
      </c>
      <c r="B2108" s="57" t="s">
        <v>651</v>
      </c>
      <c r="C2108" s="57" t="s">
        <v>1514</v>
      </c>
      <c r="D2108" s="58" t="n">
        <v>46066.6521990741</v>
      </c>
      <c r="E2108" s="58" t="n">
        <v>46066.6521990741</v>
      </c>
      <c r="F2108" s="58" t="n">
        <v>46066.652974537</v>
      </c>
      <c r="G2108" s="59" t="n">
        <f aca="false">F2108-E2108</f>
        <v>0.000775462893518519</v>
      </c>
      <c r="H2108" s="57" t="s">
        <v>252</v>
      </c>
      <c r="I2108" s="57"/>
      <c r="J2108" s="57" t="s">
        <v>333</v>
      </c>
      <c r="K2108" s="57" t="s">
        <v>334</v>
      </c>
      <c r="L2108" s="57" t="s">
        <v>2754</v>
      </c>
      <c r="M2108" s="57" t="s">
        <v>336</v>
      </c>
      <c r="N2108" s="57" t="s">
        <v>381</v>
      </c>
      <c r="O2108" s="57" t="s">
        <v>2755</v>
      </c>
      <c r="P2108" s="57"/>
      <c r="Q2108" s="57" t="s">
        <v>698</v>
      </c>
    </row>
    <row r="2109" s="50" customFormat="true" ht="14.25" hidden="false" customHeight="true" outlineLevel="0" collapsed="false">
      <c r="A2109" s="50" t="s">
        <v>651</v>
      </c>
      <c r="B2109" s="57" t="s">
        <v>651</v>
      </c>
      <c r="C2109" s="57" t="s">
        <v>1514</v>
      </c>
      <c r="D2109" s="58" t="n">
        <v>46066.6487731482</v>
      </c>
      <c r="E2109" s="58" t="n">
        <v>46066.6487731482</v>
      </c>
      <c r="F2109" s="58" t="n">
        <v>46066.6495601852</v>
      </c>
      <c r="G2109" s="59" t="n">
        <f aca="false">F2109-E2109</f>
        <v>0.000787037002314815</v>
      </c>
      <c r="H2109" s="57" t="s">
        <v>252</v>
      </c>
      <c r="I2109" s="57"/>
      <c r="J2109" s="57" t="s">
        <v>333</v>
      </c>
      <c r="K2109" s="57" t="s">
        <v>334</v>
      </c>
      <c r="L2109" s="57" t="s">
        <v>2754</v>
      </c>
      <c r="M2109" s="57" t="s">
        <v>336</v>
      </c>
      <c r="N2109" s="57" t="s">
        <v>381</v>
      </c>
      <c r="O2109" s="57" t="s">
        <v>2755</v>
      </c>
      <c r="P2109" s="57"/>
      <c r="Q2109" s="57" t="s">
        <v>698</v>
      </c>
    </row>
    <row r="2110" s="50" customFormat="true" ht="14.25" hidden="false" customHeight="true" outlineLevel="0" collapsed="false">
      <c r="A2110" s="50" t="s">
        <v>651</v>
      </c>
      <c r="B2110" s="57" t="s">
        <v>651</v>
      </c>
      <c r="C2110" s="57" t="s">
        <v>1514</v>
      </c>
      <c r="D2110" s="58" t="n">
        <v>46066.6454282407</v>
      </c>
      <c r="E2110" s="58" t="n">
        <v>46066.6454282407</v>
      </c>
      <c r="F2110" s="58" t="n">
        <v>46066.6461921296</v>
      </c>
      <c r="G2110" s="59" t="n">
        <f aca="false">F2110-E2110</f>
        <v>0.000763888888888889</v>
      </c>
      <c r="H2110" s="57" t="s">
        <v>252</v>
      </c>
      <c r="I2110" s="57"/>
      <c r="J2110" s="57" t="s">
        <v>333</v>
      </c>
      <c r="K2110" s="57" t="s">
        <v>334</v>
      </c>
      <c r="L2110" s="57" t="s">
        <v>2754</v>
      </c>
      <c r="M2110" s="57" t="s">
        <v>336</v>
      </c>
      <c r="N2110" s="57" t="s">
        <v>381</v>
      </c>
      <c r="O2110" s="57" t="s">
        <v>2755</v>
      </c>
      <c r="P2110" s="57"/>
      <c r="Q2110" s="57" t="s">
        <v>698</v>
      </c>
    </row>
    <row r="2111" s="50" customFormat="true" ht="14.25" hidden="false" customHeight="true" outlineLevel="0" collapsed="false">
      <c r="A2111" s="50" t="s">
        <v>651</v>
      </c>
      <c r="B2111" s="57" t="s">
        <v>651</v>
      </c>
      <c r="C2111" s="57" t="s">
        <v>1514</v>
      </c>
      <c r="D2111" s="58" t="n">
        <v>46066.6421643519</v>
      </c>
      <c r="E2111" s="58" t="n">
        <v>46066.6421643519</v>
      </c>
      <c r="F2111" s="58" t="n">
        <v>46066.6429282407</v>
      </c>
      <c r="G2111" s="59" t="n">
        <f aca="false">F2111-E2111</f>
        <v>0.000763888796296296</v>
      </c>
      <c r="H2111" s="57" t="s">
        <v>252</v>
      </c>
      <c r="I2111" s="57"/>
      <c r="J2111" s="57" t="s">
        <v>333</v>
      </c>
      <c r="K2111" s="57" t="s">
        <v>334</v>
      </c>
      <c r="L2111" s="57" t="s">
        <v>2754</v>
      </c>
      <c r="M2111" s="57" t="s">
        <v>336</v>
      </c>
      <c r="N2111" s="57" t="s">
        <v>381</v>
      </c>
      <c r="O2111" s="57" t="s">
        <v>2755</v>
      </c>
      <c r="P2111" s="57"/>
      <c r="Q2111" s="57" t="s">
        <v>698</v>
      </c>
    </row>
    <row r="2112" s="50" customFormat="true" ht="14.25" hidden="false" customHeight="true" outlineLevel="0" collapsed="false">
      <c r="A2112" s="50" t="s">
        <v>651</v>
      </c>
      <c r="B2112" s="57" t="s">
        <v>651</v>
      </c>
      <c r="C2112" s="57" t="s">
        <v>1514</v>
      </c>
      <c r="D2112" s="58" t="n">
        <v>46066.6383680556</v>
      </c>
      <c r="E2112" s="58" t="n">
        <v>46066.6383680556</v>
      </c>
      <c r="F2112" s="58" t="n">
        <v>46066.6391435185</v>
      </c>
      <c r="G2112" s="59" t="n">
        <f aca="false">F2112-E2112</f>
        <v>0.000775462893518519</v>
      </c>
      <c r="H2112" s="57" t="s">
        <v>252</v>
      </c>
      <c r="I2112" s="57"/>
      <c r="J2112" s="57" t="s">
        <v>333</v>
      </c>
      <c r="K2112" s="57" t="s">
        <v>334</v>
      </c>
      <c r="L2112" s="57" t="s">
        <v>2754</v>
      </c>
      <c r="M2112" s="57" t="s">
        <v>336</v>
      </c>
      <c r="N2112" s="57" t="s">
        <v>381</v>
      </c>
      <c r="O2112" s="57" t="s">
        <v>2755</v>
      </c>
      <c r="P2112" s="57"/>
      <c r="Q2112" s="57" t="s">
        <v>698</v>
      </c>
    </row>
    <row r="2113" s="50" customFormat="true" ht="14.25" hidden="false" customHeight="true" outlineLevel="0" collapsed="false">
      <c r="A2113" s="50" t="s">
        <v>651</v>
      </c>
      <c r="B2113" s="57" t="s">
        <v>651</v>
      </c>
      <c r="C2113" s="57" t="s">
        <v>1514</v>
      </c>
      <c r="D2113" s="58" t="n">
        <v>46066.6344907407</v>
      </c>
      <c r="E2113" s="58" t="n">
        <v>46066.6344907407</v>
      </c>
      <c r="F2113" s="58" t="n">
        <v>46066.6352662037</v>
      </c>
      <c r="G2113" s="59" t="n">
        <f aca="false">F2113-E2113</f>
        <v>0.000775463009259259</v>
      </c>
      <c r="H2113" s="57" t="s">
        <v>252</v>
      </c>
      <c r="I2113" s="57"/>
      <c r="J2113" s="57" t="s">
        <v>333</v>
      </c>
      <c r="K2113" s="57" t="s">
        <v>334</v>
      </c>
      <c r="L2113" s="57" t="s">
        <v>2754</v>
      </c>
      <c r="M2113" s="57" t="s">
        <v>336</v>
      </c>
      <c r="N2113" s="57" t="s">
        <v>381</v>
      </c>
      <c r="O2113" s="57" t="s">
        <v>2755</v>
      </c>
      <c r="P2113" s="57"/>
      <c r="Q2113" s="57" t="s">
        <v>698</v>
      </c>
    </row>
    <row r="2114" s="50" customFormat="true" ht="14.25" hidden="false" customHeight="true" outlineLevel="0" collapsed="false">
      <c r="A2114" s="50" t="s">
        <v>651</v>
      </c>
      <c r="B2114" s="57" t="s">
        <v>651</v>
      </c>
      <c r="C2114" s="57" t="s">
        <v>1514</v>
      </c>
      <c r="D2114" s="58" t="n">
        <v>46066.6308912037</v>
      </c>
      <c r="E2114" s="58" t="n">
        <v>46066.6308912037</v>
      </c>
      <c r="F2114" s="58" t="n">
        <v>46066.6317013889</v>
      </c>
      <c r="G2114" s="59" t="n">
        <f aca="false">F2114-E2114</f>
        <v>0.000810185196759259</v>
      </c>
      <c r="H2114" s="57" t="s">
        <v>252</v>
      </c>
      <c r="I2114" s="57"/>
      <c r="J2114" s="57" t="s">
        <v>333</v>
      </c>
      <c r="K2114" s="57" t="s">
        <v>334</v>
      </c>
      <c r="L2114" s="57" t="s">
        <v>2754</v>
      </c>
      <c r="M2114" s="57" t="s">
        <v>336</v>
      </c>
      <c r="N2114" s="57" t="s">
        <v>381</v>
      </c>
      <c r="O2114" s="57" t="s">
        <v>2755</v>
      </c>
      <c r="P2114" s="57"/>
      <c r="Q2114" s="57" t="s">
        <v>698</v>
      </c>
    </row>
    <row r="2115" s="50" customFormat="true" ht="14.25" hidden="false" customHeight="true" outlineLevel="0" collapsed="false">
      <c r="A2115" s="50" t="s">
        <v>651</v>
      </c>
      <c r="B2115" s="57" t="s">
        <v>651</v>
      </c>
      <c r="C2115" s="57" t="s">
        <v>1514</v>
      </c>
      <c r="D2115" s="58" t="n">
        <v>46066.6276851852</v>
      </c>
      <c r="E2115" s="58" t="n">
        <v>46066.6276851852</v>
      </c>
      <c r="F2115" s="58" t="n">
        <v>46066.6284606482</v>
      </c>
      <c r="G2115" s="59" t="n">
        <f aca="false">F2115-E2115</f>
        <v>0.000775462997685185</v>
      </c>
      <c r="H2115" s="57" t="s">
        <v>252</v>
      </c>
      <c r="I2115" s="57"/>
      <c r="J2115" s="57" t="s">
        <v>333</v>
      </c>
      <c r="K2115" s="57" t="s">
        <v>334</v>
      </c>
      <c r="L2115" s="57" t="s">
        <v>2754</v>
      </c>
      <c r="M2115" s="57" t="s">
        <v>336</v>
      </c>
      <c r="N2115" s="57" t="s">
        <v>381</v>
      </c>
      <c r="O2115" s="57" t="s">
        <v>2755</v>
      </c>
      <c r="P2115" s="57"/>
      <c r="Q2115" s="57" t="s">
        <v>698</v>
      </c>
    </row>
    <row r="2116" s="50" customFormat="true" ht="14.25" hidden="false" customHeight="true" outlineLevel="0" collapsed="false">
      <c r="A2116" s="50" t="s">
        <v>651</v>
      </c>
      <c r="B2116" s="57" t="s">
        <v>651</v>
      </c>
      <c r="C2116" s="57" t="s">
        <v>1514</v>
      </c>
      <c r="D2116" s="58" t="n">
        <v>46066.6246990741</v>
      </c>
      <c r="E2116" s="58" t="n">
        <v>46066.6246990741</v>
      </c>
      <c r="F2116" s="58" t="n">
        <v>46066.625474537</v>
      </c>
      <c r="G2116" s="59" t="n">
        <f aca="false">F2116-E2116</f>
        <v>0.000775462905092593</v>
      </c>
      <c r="H2116" s="57" t="s">
        <v>252</v>
      </c>
      <c r="I2116" s="57"/>
      <c r="J2116" s="57" t="s">
        <v>333</v>
      </c>
      <c r="K2116" s="57" t="s">
        <v>334</v>
      </c>
      <c r="L2116" s="57" t="s">
        <v>2754</v>
      </c>
      <c r="M2116" s="57" t="s">
        <v>336</v>
      </c>
      <c r="N2116" s="57" t="s">
        <v>381</v>
      </c>
      <c r="O2116" s="57" t="s">
        <v>2755</v>
      </c>
      <c r="P2116" s="57"/>
      <c r="Q2116" s="57" t="s">
        <v>698</v>
      </c>
    </row>
    <row r="2117" s="50" customFormat="true" ht="14.25" hidden="false" customHeight="true" outlineLevel="0" collapsed="false">
      <c r="A2117" s="50" t="s">
        <v>651</v>
      </c>
      <c r="B2117" s="57" t="s">
        <v>651</v>
      </c>
      <c r="C2117" s="57" t="s">
        <v>1514</v>
      </c>
      <c r="D2117" s="58" t="n">
        <v>46066.6214699074</v>
      </c>
      <c r="E2117" s="58" t="n">
        <v>46066.6214699074</v>
      </c>
      <c r="F2117" s="58" t="n">
        <v>46066.6222337963</v>
      </c>
      <c r="G2117" s="59" t="n">
        <f aca="false">F2117-E2117</f>
        <v>0.000763888888888889</v>
      </c>
      <c r="H2117" s="57" t="s">
        <v>252</v>
      </c>
      <c r="I2117" s="57"/>
      <c r="J2117" s="57" t="s">
        <v>333</v>
      </c>
      <c r="K2117" s="57" t="s">
        <v>334</v>
      </c>
      <c r="L2117" s="57" t="s">
        <v>2754</v>
      </c>
      <c r="M2117" s="57" t="s">
        <v>336</v>
      </c>
      <c r="N2117" s="57" t="s">
        <v>381</v>
      </c>
      <c r="O2117" s="57" t="s">
        <v>2755</v>
      </c>
      <c r="P2117" s="57"/>
      <c r="Q2117" s="57" t="s">
        <v>698</v>
      </c>
    </row>
    <row r="2118" s="50" customFormat="true" ht="14.25" hidden="false" customHeight="true" outlineLevel="0" collapsed="false">
      <c r="A2118" s="50" t="s">
        <v>651</v>
      </c>
      <c r="B2118" s="57" t="s">
        <v>651</v>
      </c>
      <c r="C2118" s="57" t="s">
        <v>1514</v>
      </c>
      <c r="D2118" s="58" t="n">
        <v>46066.6179513889</v>
      </c>
      <c r="E2118" s="58" t="n">
        <v>46066.6179513889</v>
      </c>
      <c r="F2118" s="58" t="n">
        <v>46066.6187268519</v>
      </c>
      <c r="G2118" s="59" t="n">
        <f aca="false">F2118-E2118</f>
        <v>0.000775462997685185</v>
      </c>
      <c r="H2118" s="57" t="s">
        <v>252</v>
      </c>
      <c r="I2118" s="57"/>
      <c r="J2118" s="57" t="s">
        <v>333</v>
      </c>
      <c r="K2118" s="57" t="s">
        <v>334</v>
      </c>
      <c r="L2118" s="57" t="s">
        <v>2754</v>
      </c>
      <c r="M2118" s="57" t="s">
        <v>336</v>
      </c>
      <c r="N2118" s="57" t="s">
        <v>381</v>
      </c>
      <c r="O2118" s="57" t="s">
        <v>2755</v>
      </c>
      <c r="P2118" s="57"/>
      <c r="Q2118" s="57" t="s">
        <v>698</v>
      </c>
    </row>
    <row r="2119" s="50" customFormat="true" ht="14.25" hidden="false" customHeight="true" outlineLevel="0" collapsed="false">
      <c r="A2119" s="50" t="s">
        <v>651</v>
      </c>
      <c r="B2119" s="57" t="s">
        <v>651</v>
      </c>
      <c r="C2119" s="57" t="s">
        <v>1514</v>
      </c>
      <c r="D2119" s="58" t="n">
        <v>46066.6142013889</v>
      </c>
      <c r="E2119" s="58" t="n">
        <v>46066.6142013889</v>
      </c>
      <c r="F2119" s="58" t="n">
        <v>46066.6149768519</v>
      </c>
      <c r="G2119" s="59" t="n">
        <f aca="false">F2119-E2119</f>
        <v>0.000775463009259259</v>
      </c>
      <c r="H2119" s="57" t="s">
        <v>252</v>
      </c>
      <c r="I2119" s="57"/>
      <c r="J2119" s="57" t="s">
        <v>333</v>
      </c>
      <c r="K2119" s="57" t="s">
        <v>334</v>
      </c>
      <c r="L2119" s="57" t="s">
        <v>2754</v>
      </c>
      <c r="M2119" s="57" t="s">
        <v>336</v>
      </c>
      <c r="N2119" s="57" t="s">
        <v>381</v>
      </c>
      <c r="O2119" s="57" t="s">
        <v>2755</v>
      </c>
      <c r="P2119" s="57"/>
      <c r="Q2119" s="57" t="s">
        <v>698</v>
      </c>
    </row>
    <row r="2120" s="50" customFormat="true" ht="14.25" hidden="false" customHeight="true" outlineLevel="0" collapsed="false">
      <c r="A2120" s="50" t="s">
        <v>651</v>
      </c>
      <c r="B2120" s="57" t="s">
        <v>651</v>
      </c>
      <c r="C2120" s="57" t="s">
        <v>1514</v>
      </c>
      <c r="D2120" s="58" t="n">
        <v>46066.6098148148</v>
      </c>
      <c r="E2120" s="58" t="n">
        <v>46066.6098148148</v>
      </c>
      <c r="F2120" s="58" t="n">
        <v>46066.6105902778</v>
      </c>
      <c r="G2120" s="59" t="n">
        <f aca="false">F2120-E2120</f>
        <v>0.000775462997685185</v>
      </c>
      <c r="H2120" s="57" t="s">
        <v>252</v>
      </c>
      <c r="I2120" s="57"/>
      <c r="J2120" s="57" t="s">
        <v>333</v>
      </c>
      <c r="K2120" s="57" t="s">
        <v>334</v>
      </c>
      <c r="L2120" s="57" t="s">
        <v>2754</v>
      </c>
      <c r="M2120" s="57" t="s">
        <v>336</v>
      </c>
      <c r="N2120" s="57" t="s">
        <v>381</v>
      </c>
      <c r="O2120" s="57" t="s">
        <v>2755</v>
      </c>
      <c r="P2120" s="57"/>
      <c r="Q2120" s="57" t="s">
        <v>698</v>
      </c>
    </row>
    <row r="2121" s="50" customFormat="true" ht="14.25" hidden="false" customHeight="true" outlineLevel="0" collapsed="false">
      <c r="A2121" s="50" t="s">
        <v>651</v>
      </c>
      <c r="B2121" s="57" t="s">
        <v>651</v>
      </c>
      <c r="C2121" s="57" t="s">
        <v>1514</v>
      </c>
      <c r="D2121" s="58" t="n">
        <v>46066.6049421296</v>
      </c>
      <c r="E2121" s="58" t="n">
        <v>46066.6049421296</v>
      </c>
      <c r="F2121" s="58" t="n">
        <v>46066.6057175926</v>
      </c>
      <c r="G2121" s="59" t="n">
        <f aca="false">F2121-E2121</f>
        <v>0.000775463009259259</v>
      </c>
      <c r="H2121" s="57" t="s">
        <v>252</v>
      </c>
      <c r="I2121" s="57"/>
      <c r="J2121" s="57" t="s">
        <v>333</v>
      </c>
      <c r="K2121" s="57" t="s">
        <v>334</v>
      </c>
      <c r="L2121" s="57" t="s">
        <v>2754</v>
      </c>
      <c r="M2121" s="57" t="s">
        <v>336</v>
      </c>
      <c r="N2121" s="57" t="s">
        <v>381</v>
      </c>
      <c r="O2121" s="57" t="s">
        <v>2755</v>
      </c>
      <c r="P2121" s="57"/>
      <c r="Q2121" s="57" t="s">
        <v>698</v>
      </c>
    </row>
    <row r="2122" s="50" customFormat="true" ht="14.25" hidden="false" customHeight="true" outlineLevel="0" collapsed="false">
      <c r="A2122" s="50" t="s">
        <v>651</v>
      </c>
      <c r="B2122" s="57" t="s">
        <v>651</v>
      </c>
      <c r="C2122" s="57" t="s">
        <v>1514</v>
      </c>
      <c r="D2122" s="58" t="n">
        <v>46066.6017824074</v>
      </c>
      <c r="E2122" s="58" t="n">
        <v>46066.6017824074</v>
      </c>
      <c r="F2122" s="58" t="n">
        <v>46066.6025694445</v>
      </c>
      <c r="G2122" s="59" t="n">
        <f aca="false">F2122-E2122</f>
        <v>0.000787037094907407</v>
      </c>
      <c r="H2122" s="57" t="s">
        <v>252</v>
      </c>
      <c r="I2122" s="57"/>
      <c r="J2122" s="57" t="s">
        <v>333</v>
      </c>
      <c r="K2122" s="57" t="s">
        <v>334</v>
      </c>
      <c r="L2122" s="57" t="s">
        <v>2754</v>
      </c>
      <c r="M2122" s="57" t="s">
        <v>336</v>
      </c>
      <c r="N2122" s="57" t="s">
        <v>381</v>
      </c>
      <c r="O2122" s="57" t="s">
        <v>2755</v>
      </c>
      <c r="P2122" s="57"/>
      <c r="Q2122" s="57" t="s">
        <v>698</v>
      </c>
    </row>
    <row r="2123" s="50" customFormat="true" ht="14.25" hidden="false" customHeight="true" outlineLevel="0" collapsed="false">
      <c r="A2123" s="50" t="s">
        <v>651</v>
      </c>
      <c r="B2123" s="57" t="s">
        <v>651</v>
      </c>
      <c r="C2123" s="57" t="s">
        <v>1514</v>
      </c>
      <c r="D2123" s="58" t="n">
        <v>46066.5981481482</v>
      </c>
      <c r="E2123" s="58" t="n">
        <v>46066.5981481482</v>
      </c>
      <c r="F2123" s="58" t="n">
        <v>46066.5989467593</v>
      </c>
      <c r="G2123" s="59" t="n">
        <f aca="false">F2123-E2123</f>
        <v>0.000798611111111111</v>
      </c>
      <c r="H2123" s="57" t="s">
        <v>252</v>
      </c>
      <c r="I2123" s="57"/>
      <c r="J2123" s="57" t="s">
        <v>333</v>
      </c>
      <c r="K2123" s="57" t="s">
        <v>334</v>
      </c>
      <c r="L2123" s="57" t="s">
        <v>2754</v>
      </c>
      <c r="M2123" s="57" t="s">
        <v>336</v>
      </c>
      <c r="N2123" s="57" t="s">
        <v>381</v>
      </c>
      <c r="O2123" s="57" t="s">
        <v>2755</v>
      </c>
      <c r="P2123" s="57"/>
      <c r="Q2123" s="57" t="s">
        <v>698</v>
      </c>
    </row>
    <row r="2124" s="50" customFormat="true" ht="14.25" hidden="false" customHeight="true" outlineLevel="0" collapsed="false">
      <c r="A2124" s="50" t="s">
        <v>651</v>
      </c>
      <c r="B2124" s="57" t="s">
        <v>651</v>
      </c>
      <c r="C2124" s="57" t="s">
        <v>1514</v>
      </c>
      <c r="D2124" s="58" t="n">
        <v>46066.5938888889</v>
      </c>
      <c r="E2124" s="58" t="n">
        <v>46066.5938888889</v>
      </c>
      <c r="F2124" s="58" t="n">
        <v>46066.5946643519</v>
      </c>
      <c r="G2124" s="59" t="n">
        <f aca="false">F2124-E2124</f>
        <v>0.000775462997685185</v>
      </c>
      <c r="H2124" s="57" t="s">
        <v>252</v>
      </c>
      <c r="I2124" s="57"/>
      <c r="J2124" s="57" t="s">
        <v>333</v>
      </c>
      <c r="K2124" s="57" t="s">
        <v>334</v>
      </c>
      <c r="L2124" s="57" t="s">
        <v>2754</v>
      </c>
      <c r="M2124" s="57" t="s">
        <v>336</v>
      </c>
      <c r="N2124" s="57" t="s">
        <v>381</v>
      </c>
      <c r="O2124" s="57" t="s">
        <v>2755</v>
      </c>
      <c r="P2124" s="57"/>
      <c r="Q2124" s="57" t="s">
        <v>698</v>
      </c>
    </row>
    <row r="2125" s="50" customFormat="true" ht="14.25" hidden="false" customHeight="true" outlineLevel="0" collapsed="false">
      <c r="A2125" s="50" t="s">
        <v>651</v>
      </c>
      <c r="B2125" s="57" t="s">
        <v>651</v>
      </c>
      <c r="C2125" s="57" t="s">
        <v>1514</v>
      </c>
      <c r="D2125" s="58" t="n">
        <v>46066.5903703704</v>
      </c>
      <c r="E2125" s="58" t="n">
        <v>46066.5903703704</v>
      </c>
      <c r="F2125" s="58" t="n">
        <v>46066.5911574074</v>
      </c>
      <c r="G2125" s="59" t="n">
        <f aca="false">F2125-E2125</f>
        <v>0.000787036990740741</v>
      </c>
      <c r="H2125" s="57" t="s">
        <v>252</v>
      </c>
      <c r="I2125" s="57"/>
      <c r="J2125" s="57" t="s">
        <v>333</v>
      </c>
      <c r="K2125" s="57" t="s">
        <v>334</v>
      </c>
      <c r="L2125" s="57" t="s">
        <v>2754</v>
      </c>
      <c r="M2125" s="57" t="s">
        <v>336</v>
      </c>
      <c r="N2125" s="57" t="s">
        <v>381</v>
      </c>
      <c r="O2125" s="57" t="s">
        <v>2755</v>
      </c>
      <c r="P2125" s="57"/>
      <c r="Q2125" s="57" t="s">
        <v>698</v>
      </c>
    </row>
    <row r="2126" s="50" customFormat="true" ht="14.25" hidden="false" customHeight="true" outlineLevel="0" collapsed="false">
      <c r="A2126" s="50" t="s">
        <v>651</v>
      </c>
      <c r="B2126" s="57" t="s">
        <v>651</v>
      </c>
      <c r="C2126" s="57" t="s">
        <v>1514</v>
      </c>
      <c r="D2126" s="58" t="n">
        <v>46066.5869791667</v>
      </c>
      <c r="E2126" s="58" t="n">
        <v>46066.5869791667</v>
      </c>
      <c r="F2126" s="58" t="n">
        <v>46066.5877430556</v>
      </c>
      <c r="G2126" s="59" t="n">
        <f aca="false">F2126-E2126</f>
        <v>0.000763888888888889</v>
      </c>
      <c r="H2126" s="57" t="s">
        <v>252</v>
      </c>
      <c r="I2126" s="57"/>
      <c r="J2126" s="57" t="s">
        <v>333</v>
      </c>
      <c r="K2126" s="57" t="s">
        <v>334</v>
      </c>
      <c r="L2126" s="57" t="s">
        <v>2754</v>
      </c>
      <c r="M2126" s="57" t="s">
        <v>336</v>
      </c>
      <c r="N2126" s="57" t="s">
        <v>381</v>
      </c>
      <c r="O2126" s="57" t="s">
        <v>2755</v>
      </c>
      <c r="P2126" s="57"/>
      <c r="Q2126" s="57" t="s">
        <v>698</v>
      </c>
    </row>
    <row r="2127" s="50" customFormat="true" ht="14.25" hidden="false" customHeight="true" outlineLevel="0" collapsed="false">
      <c r="A2127" s="50" t="s">
        <v>651</v>
      </c>
      <c r="B2127" s="57" t="s">
        <v>651</v>
      </c>
      <c r="C2127" s="57" t="s">
        <v>1514</v>
      </c>
      <c r="D2127" s="58" t="n">
        <v>46066.5834375</v>
      </c>
      <c r="E2127" s="58" t="n">
        <v>46066.5834375</v>
      </c>
      <c r="F2127" s="58" t="n">
        <v>46066.584212963</v>
      </c>
      <c r="G2127" s="59" t="n">
        <f aca="false">F2127-E2127</f>
        <v>0.000775462997685185</v>
      </c>
      <c r="H2127" s="57" t="s">
        <v>252</v>
      </c>
      <c r="I2127" s="57"/>
      <c r="J2127" s="57" t="s">
        <v>333</v>
      </c>
      <c r="K2127" s="57" t="s">
        <v>334</v>
      </c>
      <c r="L2127" s="57" t="s">
        <v>2754</v>
      </c>
      <c r="M2127" s="57" t="s">
        <v>336</v>
      </c>
      <c r="N2127" s="57" t="s">
        <v>381</v>
      </c>
      <c r="O2127" s="57" t="s">
        <v>2755</v>
      </c>
      <c r="P2127" s="57"/>
      <c r="Q2127" s="57" t="s">
        <v>698</v>
      </c>
    </row>
    <row r="2128" s="50" customFormat="true" ht="14.25" hidden="false" customHeight="true" outlineLevel="0" collapsed="false">
      <c r="A2128" s="50" t="s">
        <v>651</v>
      </c>
      <c r="B2128" s="57" t="s">
        <v>651</v>
      </c>
      <c r="C2128" s="57" t="s">
        <v>1514</v>
      </c>
      <c r="D2128" s="58" t="n">
        <v>46066.5801736111</v>
      </c>
      <c r="E2128" s="58" t="n">
        <v>46066.5801736111</v>
      </c>
      <c r="F2128" s="58" t="n">
        <v>46066.5809606482</v>
      </c>
      <c r="G2128" s="59" t="n">
        <f aca="false">F2128-E2128</f>
        <v>0.000787037094907407</v>
      </c>
      <c r="H2128" s="57" t="s">
        <v>252</v>
      </c>
      <c r="I2128" s="57"/>
      <c r="J2128" s="57" t="s">
        <v>333</v>
      </c>
      <c r="K2128" s="57" t="s">
        <v>334</v>
      </c>
      <c r="L2128" s="57" t="s">
        <v>2754</v>
      </c>
      <c r="M2128" s="57" t="s">
        <v>336</v>
      </c>
      <c r="N2128" s="57" t="s">
        <v>381</v>
      </c>
      <c r="O2128" s="57" t="s">
        <v>2755</v>
      </c>
      <c r="P2128" s="57"/>
      <c r="Q2128" s="57" t="s">
        <v>698</v>
      </c>
    </row>
    <row r="2129" s="50" customFormat="true" ht="14.25" hidden="false" customHeight="true" outlineLevel="0" collapsed="false">
      <c r="A2129" s="50" t="s">
        <v>651</v>
      </c>
      <c r="B2129" s="57" t="s">
        <v>651</v>
      </c>
      <c r="C2129" s="57" t="s">
        <v>1514</v>
      </c>
      <c r="D2129" s="58" t="n">
        <v>46066.5759375</v>
      </c>
      <c r="E2129" s="58" t="n">
        <v>46066.5759375</v>
      </c>
      <c r="F2129" s="58" t="n">
        <v>46066.5767013889</v>
      </c>
      <c r="G2129" s="59" t="n">
        <f aca="false">F2129-E2129</f>
        <v>0.000763888888888889</v>
      </c>
      <c r="H2129" s="57" t="s">
        <v>252</v>
      </c>
      <c r="I2129" s="57"/>
      <c r="J2129" s="57" t="s">
        <v>333</v>
      </c>
      <c r="K2129" s="57" t="s">
        <v>334</v>
      </c>
      <c r="L2129" s="57" t="s">
        <v>2754</v>
      </c>
      <c r="M2129" s="57" t="s">
        <v>336</v>
      </c>
      <c r="N2129" s="57" t="s">
        <v>381</v>
      </c>
      <c r="O2129" s="57" t="s">
        <v>2755</v>
      </c>
      <c r="P2129" s="57"/>
      <c r="Q2129" s="57" t="s">
        <v>698</v>
      </c>
    </row>
    <row r="2130" s="50" customFormat="true" ht="14.25" hidden="false" customHeight="true" outlineLevel="0" collapsed="false">
      <c r="A2130" s="50" t="s">
        <v>651</v>
      </c>
      <c r="B2130" s="57" t="s">
        <v>651</v>
      </c>
      <c r="C2130" s="57" t="s">
        <v>1514</v>
      </c>
      <c r="D2130" s="58" t="n">
        <v>46066.5724074074</v>
      </c>
      <c r="E2130" s="58" t="n">
        <v>46066.5724074074</v>
      </c>
      <c r="F2130" s="58" t="n">
        <v>46066.5731944444</v>
      </c>
      <c r="G2130" s="59" t="n">
        <f aca="false">F2130-E2130</f>
        <v>0.000787036990740741</v>
      </c>
      <c r="H2130" s="57" t="s">
        <v>252</v>
      </c>
      <c r="I2130" s="57"/>
      <c r="J2130" s="57" t="s">
        <v>333</v>
      </c>
      <c r="K2130" s="57" t="s">
        <v>334</v>
      </c>
      <c r="L2130" s="57" t="s">
        <v>2754</v>
      </c>
      <c r="M2130" s="57" t="s">
        <v>336</v>
      </c>
      <c r="N2130" s="57" t="s">
        <v>381</v>
      </c>
      <c r="O2130" s="57" t="s">
        <v>2755</v>
      </c>
      <c r="P2130" s="57"/>
      <c r="Q2130" s="57" t="s">
        <v>698</v>
      </c>
    </row>
    <row r="2131" s="50" customFormat="true" ht="14.25" hidden="false" customHeight="true" outlineLevel="0" collapsed="false">
      <c r="A2131" s="50" t="s">
        <v>651</v>
      </c>
      <c r="B2131" s="57" t="s">
        <v>651</v>
      </c>
      <c r="C2131" s="57" t="s">
        <v>1514</v>
      </c>
      <c r="D2131" s="58" t="n">
        <v>46066.5691782407</v>
      </c>
      <c r="E2131" s="58" t="n">
        <v>46066.5691782407</v>
      </c>
      <c r="F2131" s="58" t="n">
        <v>46066.5699652778</v>
      </c>
      <c r="G2131" s="59" t="n">
        <f aca="false">F2131-E2131</f>
        <v>0.000787037094907407</v>
      </c>
      <c r="H2131" s="57" t="s">
        <v>252</v>
      </c>
      <c r="I2131" s="57"/>
      <c r="J2131" s="57" t="s">
        <v>333</v>
      </c>
      <c r="K2131" s="57" t="s">
        <v>334</v>
      </c>
      <c r="L2131" s="57" t="s">
        <v>2754</v>
      </c>
      <c r="M2131" s="57" t="s">
        <v>336</v>
      </c>
      <c r="N2131" s="57" t="s">
        <v>381</v>
      </c>
      <c r="O2131" s="57" t="s">
        <v>2755</v>
      </c>
      <c r="P2131" s="57"/>
      <c r="Q2131" s="57" t="s">
        <v>698</v>
      </c>
    </row>
    <row r="2132" s="50" customFormat="true" ht="14.25" hidden="false" customHeight="true" outlineLevel="0" collapsed="false">
      <c r="A2132" s="50" t="s">
        <v>651</v>
      </c>
      <c r="B2132" s="57" t="s">
        <v>651</v>
      </c>
      <c r="C2132" s="57" t="s">
        <v>1514</v>
      </c>
      <c r="D2132" s="58" t="n">
        <v>46066.5658680556</v>
      </c>
      <c r="E2132" s="58" t="n">
        <v>46066.5658680556</v>
      </c>
      <c r="F2132" s="58" t="n">
        <v>46066.5666435185</v>
      </c>
      <c r="G2132" s="59" t="n">
        <f aca="false">F2132-E2132</f>
        <v>0.000775462893518519</v>
      </c>
      <c r="H2132" s="57" t="s">
        <v>252</v>
      </c>
      <c r="I2132" s="57"/>
      <c r="J2132" s="57" t="s">
        <v>333</v>
      </c>
      <c r="K2132" s="57" t="s">
        <v>334</v>
      </c>
      <c r="L2132" s="57" t="s">
        <v>2754</v>
      </c>
      <c r="M2132" s="57" t="s">
        <v>336</v>
      </c>
      <c r="N2132" s="57" t="s">
        <v>381</v>
      </c>
      <c r="O2132" s="57" t="s">
        <v>2755</v>
      </c>
      <c r="P2132" s="57"/>
      <c r="Q2132" s="57" t="s">
        <v>698</v>
      </c>
    </row>
    <row r="2133" s="50" customFormat="true" ht="14.25" hidden="false" customHeight="true" outlineLevel="0" collapsed="false">
      <c r="A2133" s="50" t="s">
        <v>651</v>
      </c>
      <c r="B2133" s="57" t="s">
        <v>651</v>
      </c>
      <c r="C2133" s="57" t="s">
        <v>1514</v>
      </c>
      <c r="D2133" s="58" t="n">
        <v>46066.5626736111</v>
      </c>
      <c r="E2133" s="58" t="n">
        <v>46066.5626736111</v>
      </c>
      <c r="F2133" s="58" t="n">
        <v>46066.5634490741</v>
      </c>
      <c r="G2133" s="59" t="n">
        <f aca="false">F2133-E2133</f>
        <v>0.000775462997685185</v>
      </c>
      <c r="H2133" s="57" t="s">
        <v>252</v>
      </c>
      <c r="I2133" s="57"/>
      <c r="J2133" s="57" t="s">
        <v>333</v>
      </c>
      <c r="K2133" s="57" t="s">
        <v>334</v>
      </c>
      <c r="L2133" s="57" t="s">
        <v>2754</v>
      </c>
      <c r="M2133" s="57" t="s">
        <v>336</v>
      </c>
      <c r="N2133" s="57" t="s">
        <v>381</v>
      </c>
      <c r="O2133" s="57" t="s">
        <v>2755</v>
      </c>
      <c r="P2133" s="57"/>
      <c r="Q2133" s="57" t="s">
        <v>698</v>
      </c>
    </row>
    <row r="2134" s="50" customFormat="true" ht="14.25" hidden="false" customHeight="true" outlineLevel="0" collapsed="false">
      <c r="A2134" s="50" t="s">
        <v>651</v>
      </c>
      <c r="B2134" s="57" t="s">
        <v>651</v>
      </c>
      <c r="C2134" s="57" t="s">
        <v>1514</v>
      </c>
      <c r="D2134" s="58" t="n">
        <v>46066.5593287037</v>
      </c>
      <c r="E2134" s="58" t="n">
        <v>46066.5593287037</v>
      </c>
      <c r="F2134" s="58" t="n">
        <v>46066.5601041667</v>
      </c>
      <c r="G2134" s="59" t="n">
        <f aca="false">F2134-E2134</f>
        <v>0.000775463009259259</v>
      </c>
      <c r="H2134" s="57" t="s">
        <v>252</v>
      </c>
      <c r="I2134" s="57"/>
      <c r="J2134" s="57" t="s">
        <v>333</v>
      </c>
      <c r="K2134" s="57" t="s">
        <v>334</v>
      </c>
      <c r="L2134" s="57" t="s">
        <v>2754</v>
      </c>
      <c r="M2134" s="57" t="s">
        <v>336</v>
      </c>
      <c r="N2134" s="57" t="s">
        <v>381</v>
      </c>
      <c r="O2134" s="57" t="s">
        <v>2755</v>
      </c>
      <c r="P2134" s="57"/>
      <c r="Q2134" s="57" t="s">
        <v>698</v>
      </c>
    </row>
    <row r="2135" s="50" customFormat="true" ht="14.25" hidden="false" customHeight="true" outlineLevel="0" collapsed="false">
      <c r="A2135" s="50" t="s">
        <v>651</v>
      </c>
      <c r="B2135" s="57" t="s">
        <v>651</v>
      </c>
      <c r="C2135" s="57" t="s">
        <v>1514</v>
      </c>
      <c r="D2135" s="58" t="n">
        <v>46066.5556712963</v>
      </c>
      <c r="E2135" s="58" t="n">
        <v>46066.5556712963</v>
      </c>
      <c r="F2135" s="58" t="n">
        <v>46066.5564351852</v>
      </c>
      <c r="G2135" s="59" t="n">
        <f aca="false">F2135-E2135</f>
        <v>0.000763888888888889</v>
      </c>
      <c r="H2135" s="57" t="s">
        <v>252</v>
      </c>
      <c r="I2135" s="57"/>
      <c r="J2135" s="57" t="s">
        <v>333</v>
      </c>
      <c r="K2135" s="57" t="s">
        <v>334</v>
      </c>
      <c r="L2135" s="57" t="s">
        <v>2754</v>
      </c>
      <c r="M2135" s="57" t="s">
        <v>336</v>
      </c>
      <c r="N2135" s="57" t="s">
        <v>381</v>
      </c>
      <c r="O2135" s="57" t="s">
        <v>2755</v>
      </c>
      <c r="P2135" s="57"/>
      <c r="Q2135" s="57" t="s">
        <v>698</v>
      </c>
    </row>
    <row r="2136" s="50" customFormat="true" ht="14.25" hidden="false" customHeight="true" outlineLevel="0" collapsed="false">
      <c r="A2136" s="50" t="s">
        <v>651</v>
      </c>
      <c r="B2136" s="57" t="s">
        <v>651</v>
      </c>
      <c r="C2136" s="57" t="s">
        <v>1514</v>
      </c>
      <c r="D2136" s="58" t="n">
        <v>46066.5520717593</v>
      </c>
      <c r="E2136" s="58" t="n">
        <v>46066.5520717593</v>
      </c>
      <c r="F2136" s="58" t="n">
        <v>46066.5528472222</v>
      </c>
      <c r="G2136" s="59" t="n">
        <f aca="false">F2136-E2136</f>
        <v>0.000775462893518519</v>
      </c>
      <c r="H2136" s="57" t="s">
        <v>252</v>
      </c>
      <c r="I2136" s="57"/>
      <c r="J2136" s="57" t="s">
        <v>333</v>
      </c>
      <c r="K2136" s="57" t="s">
        <v>334</v>
      </c>
      <c r="L2136" s="57" t="s">
        <v>2754</v>
      </c>
      <c r="M2136" s="57" t="s">
        <v>336</v>
      </c>
      <c r="N2136" s="57" t="s">
        <v>381</v>
      </c>
      <c r="O2136" s="57" t="s">
        <v>2755</v>
      </c>
      <c r="P2136" s="57"/>
      <c r="Q2136" s="57" t="s">
        <v>698</v>
      </c>
    </row>
    <row r="2137" s="50" customFormat="true" ht="14.25" hidden="false" customHeight="true" outlineLevel="0" collapsed="false">
      <c r="A2137" s="50" t="s">
        <v>651</v>
      </c>
      <c r="B2137" s="57" t="s">
        <v>651</v>
      </c>
      <c r="C2137" s="57" t="s">
        <v>1514</v>
      </c>
      <c r="D2137" s="58" t="n">
        <v>46066.5485763889</v>
      </c>
      <c r="E2137" s="58" t="n">
        <v>46066.5485763889</v>
      </c>
      <c r="F2137" s="58" t="n">
        <v>46066.5493402778</v>
      </c>
      <c r="G2137" s="59" t="n">
        <f aca="false">F2137-E2137</f>
        <v>0.000763888888888889</v>
      </c>
      <c r="H2137" s="57" t="s">
        <v>252</v>
      </c>
      <c r="I2137" s="57"/>
      <c r="J2137" s="57" t="s">
        <v>333</v>
      </c>
      <c r="K2137" s="57" t="s">
        <v>334</v>
      </c>
      <c r="L2137" s="57" t="s">
        <v>2754</v>
      </c>
      <c r="M2137" s="57" t="s">
        <v>336</v>
      </c>
      <c r="N2137" s="57" t="s">
        <v>381</v>
      </c>
      <c r="O2137" s="57" t="s">
        <v>2755</v>
      </c>
      <c r="P2137" s="57"/>
      <c r="Q2137" s="57" t="s">
        <v>698</v>
      </c>
    </row>
    <row r="2138" s="50" customFormat="true" ht="14.25" hidden="false" customHeight="true" outlineLevel="0" collapsed="false">
      <c r="A2138" s="50" t="s">
        <v>651</v>
      </c>
      <c r="B2138" s="57" t="s">
        <v>651</v>
      </c>
      <c r="C2138" s="57" t="s">
        <v>1514</v>
      </c>
      <c r="D2138" s="58" t="n">
        <v>46066.54375</v>
      </c>
      <c r="E2138" s="58" t="n">
        <v>46066.54375</v>
      </c>
      <c r="F2138" s="58" t="n">
        <v>46066.5445138889</v>
      </c>
      <c r="G2138" s="59" t="n">
        <f aca="false">F2138-E2138</f>
        <v>0.000763888888888889</v>
      </c>
      <c r="H2138" s="57" t="s">
        <v>252</v>
      </c>
      <c r="I2138" s="57"/>
      <c r="J2138" s="57" t="s">
        <v>333</v>
      </c>
      <c r="K2138" s="57" t="s">
        <v>334</v>
      </c>
      <c r="L2138" s="57" t="s">
        <v>2754</v>
      </c>
      <c r="M2138" s="57" t="s">
        <v>336</v>
      </c>
      <c r="N2138" s="57" t="s">
        <v>381</v>
      </c>
      <c r="O2138" s="57" t="s">
        <v>2755</v>
      </c>
      <c r="P2138" s="57"/>
      <c r="Q2138" s="57" t="s">
        <v>698</v>
      </c>
    </row>
    <row r="2139" s="50" customFormat="true" ht="14.25" hidden="false" customHeight="true" outlineLevel="0" collapsed="false">
      <c r="A2139" s="50" t="s">
        <v>651</v>
      </c>
      <c r="B2139" s="57" t="s">
        <v>651</v>
      </c>
      <c r="C2139" s="57" t="s">
        <v>1514</v>
      </c>
      <c r="D2139" s="58" t="n">
        <v>46066.5395717593</v>
      </c>
      <c r="E2139" s="58" t="n">
        <v>46066.5395717593</v>
      </c>
      <c r="F2139" s="58" t="n">
        <v>46066.5403472222</v>
      </c>
      <c r="G2139" s="59" t="n">
        <f aca="false">F2139-E2139</f>
        <v>0.000775462905092593</v>
      </c>
      <c r="H2139" s="57" t="s">
        <v>252</v>
      </c>
      <c r="I2139" s="57"/>
      <c r="J2139" s="57" t="s">
        <v>333</v>
      </c>
      <c r="K2139" s="57" t="s">
        <v>334</v>
      </c>
      <c r="L2139" s="57" t="s">
        <v>2754</v>
      </c>
      <c r="M2139" s="57" t="s">
        <v>336</v>
      </c>
      <c r="N2139" s="57" t="s">
        <v>381</v>
      </c>
      <c r="O2139" s="57" t="s">
        <v>2755</v>
      </c>
      <c r="P2139" s="57"/>
      <c r="Q2139" s="57" t="s">
        <v>698</v>
      </c>
    </row>
    <row r="2140" s="50" customFormat="true" ht="14.25" hidden="false" customHeight="true" outlineLevel="0" collapsed="false">
      <c r="A2140" s="50" t="s">
        <v>651</v>
      </c>
      <c r="B2140" s="57" t="s">
        <v>651</v>
      </c>
      <c r="C2140" s="57" t="s">
        <v>1514</v>
      </c>
      <c r="D2140" s="58" t="n">
        <v>46066.5348842593</v>
      </c>
      <c r="E2140" s="58" t="n">
        <v>46066.5348842593</v>
      </c>
      <c r="F2140" s="58" t="n">
        <v>46066.5356481482</v>
      </c>
      <c r="G2140" s="59" t="n">
        <f aca="false">F2140-E2140</f>
        <v>0.000763888888888889</v>
      </c>
      <c r="H2140" s="57" t="s">
        <v>252</v>
      </c>
      <c r="I2140" s="57"/>
      <c r="J2140" s="57" t="s">
        <v>333</v>
      </c>
      <c r="K2140" s="57" t="s">
        <v>334</v>
      </c>
      <c r="L2140" s="57" t="s">
        <v>2754</v>
      </c>
      <c r="M2140" s="57" t="s">
        <v>336</v>
      </c>
      <c r="N2140" s="57" t="s">
        <v>381</v>
      </c>
      <c r="O2140" s="57" t="s">
        <v>2755</v>
      </c>
      <c r="P2140" s="57"/>
      <c r="Q2140" s="57" t="s">
        <v>698</v>
      </c>
    </row>
    <row r="2141" s="50" customFormat="true" ht="14.25" hidden="false" customHeight="true" outlineLevel="0" collapsed="false">
      <c r="A2141" s="50" t="s">
        <v>651</v>
      </c>
      <c r="B2141" s="57" t="s">
        <v>651</v>
      </c>
      <c r="C2141" s="57" t="s">
        <v>1514</v>
      </c>
      <c r="D2141" s="58" t="n">
        <v>46066.5295833333</v>
      </c>
      <c r="E2141" s="58" t="n">
        <v>46066.5295833333</v>
      </c>
      <c r="F2141" s="58" t="n">
        <v>46066.5303587963</v>
      </c>
      <c r="G2141" s="59" t="n">
        <f aca="false">F2141-E2141</f>
        <v>0.000775462997685185</v>
      </c>
      <c r="H2141" s="57" t="s">
        <v>252</v>
      </c>
      <c r="I2141" s="57"/>
      <c r="J2141" s="57" t="s">
        <v>333</v>
      </c>
      <c r="K2141" s="57" t="s">
        <v>334</v>
      </c>
      <c r="L2141" s="57" t="s">
        <v>2754</v>
      </c>
      <c r="M2141" s="57" t="s">
        <v>336</v>
      </c>
      <c r="N2141" s="57" t="s">
        <v>381</v>
      </c>
      <c r="O2141" s="57" t="s">
        <v>2755</v>
      </c>
      <c r="P2141" s="57"/>
      <c r="Q2141" s="57" t="s">
        <v>698</v>
      </c>
    </row>
    <row r="2142" s="50" customFormat="true" ht="14.25" hidden="false" customHeight="true" outlineLevel="0" collapsed="false">
      <c r="A2142" s="50" t="s">
        <v>651</v>
      </c>
      <c r="B2142" s="57" t="s">
        <v>651</v>
      </c>
      <c r="C2142" s="57" t="s">
        <v>1514</v>
      </c>
      <c r="D2142" s="58" t="n">
        <v>46066.5199074074</v>
      </c>
      <c r="E2142" s="58" t="n">
        <v>46066.5199074074</v>
      </c>
      <c r="F2142" s="58" t="n">
        <v>46066.5206944444</v>
      </c>
      <c r="G2142" s="59" t="n">
        <f aca="false">F2142-E2142</f>
        <v>0.000787037002314815</v>
      </c>
      <c r="H2142" s="57" t="s">
        <v>252</v>
      </c>
      <c r="I2142" s="57"/>
      <c r="J2142" s="57" t="s">
        <v>333</v>
      </c>
      <c r="K2142" s="57" t="s">
        <v>334</v>
      </c>
      <c r="L2142" s="57" t="s">
        <v>2754</v>
      </c>
      <c r="M2142" s="57" t="s">
        <v>336</v>
      </c>
      <c r="N2142" s="57" t="s">
        <v>381</v>
      </c>
      <c r="O2142" s="57" t="s">
        <v>2755</v>
      </c>
      <c r="P2142" s="57"/>
      <c r="Q2142" s="57" t="s">
        <v>698</v>
      </c>
    </row>
    <row r="2143" s="50" customFormat="true" ht="14.25" hidden="false" customHeight="true" outlineLevel="0" collapsed="false">
      <c r="A2143" s="50" t="s">
        <v>651</v>
      </c>
      <c r="B2143" s="57" t="s">
        <v>651</v>
      </c>
      <c r="C2143" s="57" t="s">
        <v>1514</v>
      </c>
      <c r="D2143" s="58" t="n">
        <v>46066.4951157407</v>
      </c>
      <c r="E2143" s="58" t="n">
        <v>46066.4951157407</v>
      </c>
      <c r="F2143" s="58" t="n">
        <v>46066.4958796296</v>
      </c>
      <c r="G2143" s="59" t="n">
        <f aca="false">F2143-E2143</f>
        <v>0.000763888888888889</v>
      </c>
      <c r="H2143" s="57" t="s">
        <v>252</v>
      </c>
      <c r="I2143" s="57"/>
      <c r="J2143" s="57" t="s">
        <v>333</v>
      </c>
      <c r="K2143" s="57" t="s">
        <v>334</v>
      </c>
      <c r="L2143" s="57" t="s">
        <v>2754</v>
      </c>
      <c r="M2143" s="57" t="s">
        <v>336</v>
      </c>
      <c r="N2143" s="57" t="s">
        <v>381</v>
      </c>
      <c r="O2143" s="57" t="s">
        <v>2755</v>
      </c>
      <c r="P2143" s="57"/>
      <c r="Q2143" s="57" t="s">
        <v>698</v>
      </c>
    </row>
    <row r="2144" s="50" customFormat="true" ht="14.25" hidden="false" customHeight="true" outlineLevel="0" collapsed="false">
      <c r="A2144" s="50" t="s">
        <v>651</v>
      </c>
      <c r="B2144" s="57" t="s">
        <v>651</v>
      </c>
      <c r="C2144" s="57" t="s">
        <v>1514</v>
      </c>
      <c r="D2144" s="58" t="n">
        <v>46066.4909606481</v>
      </c>
      <c r="E2144" s="58" t="n">
        <v>46066.4909606481</v>
      </c>
      <c r="F2144" s="58" t="n">
        <v>46066.491724537</v>
      </c>
      <c r="G2144" s="59" t="n">
        <f aca="false">F2144-E2144</f>
        <v>0.000763888888888889</v>
      </c>
      <c r="H2144" s="57" t="s">
        <v>252</v>
      </c>
      <c r="I2144" s="57"/>
      <c r="J2144" s="57" t="s">
        <v>333</v>
      </c>
      <c r="K2144" s="57" t="s">
        <v>334</v>
      </c>
      <c r="L2144" s="57" t="s">
        <v>2754</v>
      </c>
      <c r="M2144" s="57" t="s">
        <v>336</v>
      </c>
      <c r="N2144" s="57" t="s">
        <v>381</v>
      </c>
      <c r="O2144" s="57" t="s">
        <v>2755</v>
      </c>
      <c r="P2144" s="57"/>
      <c r="Q2144" s="57" t="s">
        <v>698</v>
      </c>
    </row>
    <row r="2145" s="50" customFormat="true" ht="14.25" hidden="false" customHeight="true" outlineLevel="0" collapsed="false">
      <c r="A2145" s="50" t="s">
        <v>651</v>
      </c>
      <c r="B2145" s="57" t="s">
        <v>651</v>
      </c>
      <c r="C2145" s="57" t="s">
        <v>1514</v>
      </c>
      <c r="D2145" s="58" t="n">
        <v>46066.4869791667</v>
      </c>
      <c r="E2145" s="58" t="n">
        <v>46066.4869791667</v>
      </c>
      <c r="F2145" s="58" t="n">
        <v>46066.4877430556</v>
      </c>
      <c r="G2145" s="59" t="n">
        <f aca="false">F2145-E2145</f>
        <v>0.000763888888888889</v>
      </c>
      <c r="H2145" s="57" t="s">
        <v>252</v>
      </c>
      <c r="I2145" s="57"/>
      <c r="J2145" s="57" t="s">
        <v>333</v>
      </c>
      <c r="K2145" s="57" t="s">
        <v>334</v>
      </c>
      <c r="L2145" s="57" t="s">
        <v>2754</v>
      </c>
      <c r="M2145" s="57" t="s">
        <v>336</v>
      </c>
      <c r="N2145" s="57" t="s">
        <v>381</v>
      </c>
      <c r="O2145" s="57" t="s">
        <v>2755</v>
      </c>
      <c r="P2145" s="57"/>
      <c r="Q2145" s="57" t="s">
        <v>698</v>
      </c>
    </row>
    <row r="2146" s="50" customFormat="true" ht="14.25" hidden="false" customHeight="true" outlineLevel="0" collapsed="false">
      <c r="A2146" s="50" t="s">
        <v>651</v>
      </c>
      <c r="B2146" s="57" t="s">
        <v>651</v>
      </c>
      <c r="C2146" s="57" t="s">
        <v>1514</v>
      </c>
      <c r="D2146" s="58" t="n">
        <v>46066.4765393519</v>
      </c>
      <c r="E2146" s="58" t="n">
        <v>46066.4765393519</v>
      </c>
      <c r="F2146" s="58" t="n">
        <v>46066.4773032407</v>
      </c>
      <c r="G2146" s="59" t="n">
        <f aca="false">F2146-E2146</f>
        <v>0.00076388880787037</v>
      </c>
      <c r="H2146" s="57" t="s">
        <v>252</v>
      </c>
      <c r="I2146" s="57"/>
      <c r="J2146" s="57" t="s">
        <v>333</v>
      </c>
      <c r="K2146" s="57" t="s">
        <v>334</v>
      </c>
      <c r="L2146" s="57" t="s">
        <v>2754</v>
      </c>
      <c r="M2146" s="57" t="s">
        <v>336</v>
      </c>
      <c r="N2146" s="57" t="s">
        <v>381</v>
      </c>
      <c r="O2146" s="57" t="s">
        <v>2755</v>
      </c>
      <c r="P2146" s="57"/>
      <c r="Q2146" s="57" t="s">
        <v>698</v>
      </c>
    </row>
    <row r="2147" s="50" customFormat="true" ht="14.25" hidden="false" customHeight="true" outlineLevel="0" collapsed="false">
      <c r="A2147" s="50" t="s">
        <v>651</v>
      </c>
      <c r="B2147" s="57" t="s">
        <v>651</v>
      </c>
      <c r="C2147" s="57" t="s">
        <v>1514</v>
      </c>
      <c r="D2147" s="58" t="n">
        <v>46066.4705902778</v>
      </c>
      <c r="E2147" s="58" t="n">
        <v>46066.4705902778</v>
      </c>
      <c r="F2147" s="58" t="n">
        <v>46066.4713541667</v>
      </c>
      <c r="G2147" s="59" t="n">
        <f aca="false">F2147-E2147</f>
        <v>0.000763888888888889</v>
      </c>
      <c r="H2147" s="57" t="s">
        <v>252</v>
      </c>
      <c r="I2147" s="57"/>
      <c r="J2147" s="57" t="s">
        <v>333</v>
      </c>
      <c r="K2147" s="57" t="s">
        <v>334</v>
      </c>
      <c r="L2147" s="57" t="s">
        <v>2754</v>
      </c>
      <c r="M2147" s="57" t="s">
        <v>336</v>
      </c>
      <c r="N2147" s="57" t="s">
        <v>381</v>
      </c>
      <c r="O2147" s="57" t="s">
        <v>2755</v>
      </c>
      <c r="P2147" s="57"/>
      <c r="Q2147" s="57" t="s">
        <v>698</v>
      </c>
    </row>
    <row r="2148" s="50" customFormat="true" ht="14.25" hidden="false" customHeight="true" outlineLevel="0" collapsed="false">
      <c r="A2148" s="50" t="s">
        <v>651</v>
      </c>
      <c r="B2148" s="57" t="s">
        <v>651</v>
      </c>
      <c r="C2148" s="57" t="s">
        <v>1514</v>
      </c>
      <c r="D2148" s="58" t="n">
        <v>46066.4618981482</v>
      </c>
      <c r="E2148" s="58" t="n">
        <v>46066.4618981482</v>
      </c>
      <c r="F2148" s="58" t="n">
        <v>46066.4626736111</v>
      </c>
      <c r="G2148" s="59" t="n">
        <f aca="false">F2148-E2148</f>
        <v>0.000775462905092593</v>
      </c>
      <c r="H2148" s="57" t="s">
        <v>252</v>
      </c>
      <c r="I2148" s="57"/>
      <c r="J2148" s="57" t="s">
        <v>333</v>
      </c>
      <c r="K2148" s="57" t="s">
        <v>334</v>
      </c>
      <c r="L2148" s="57" t="s">
        <v>2754</v>
      </c>
      <c r="M2148" s="57" t="s">
        <v>336</v>
      </c>
      <c r="N2148" s="57" t="s">
        <v>381</v>
      </c>
      <c r="O2148" s="57" t="s">
        <v>2755</v>
      </c>
      <c r="P2148" s="57"/>
      <c r="Q2148" s="57" t="s">
        <v>698</v>
      </c>
    </row>
    <row r="2149" s="50" customFormat="true" ht="14.25" hidden="false" customHeight="true" outlineLevel="0" collapsed="false">
      <c r="A2149" s="50" t="s">
        <v>651</v>
      </c>
      <c r="B2149" s="57" t="s">
        <v>651</v>
      </c>
      <c r="C2149" s="57" t="s">
        <v>1514</v>
      </c>
      <c r="D2149" s="58" t="n">
        <v>46066.4574074074</v>
      </c>
      <c r="E2149" s="58" t="n">
        <v>46066.4574074074</v>
      </c>
      <c r="F2149" s="58" t="n">
        <v>46066.4581944444</v>
      </c>
      <c r="G2149" s="59" t="n">
        <f aca="false">F2149-E2149</f>
        <v>0.000787037002314815</v>
      </c>
      <c r="H2149" s="57" t="s">
        <v>252</v>
      </c>
      <c r="I2149" s="57"/>
      <c r="J2149" s="57" t="s">
        <v>333</v>
      </c>
      <c r="K2149" s="57" t="s">
        <v>334</v>
      </c>
      <c r="L2149" s="57" t="s">
        <v>2754</v>
      </c>
      <c r="M2149" s="57" t="s">
        <v>336</v>
      </c>
      <c r="N2149" s="57" t="s">
        <v>381</v>
      </c>
      <c r="O2149" s="57" t="s">
        <v>2755</v>
      </c>
      <c r="P2149" s="57"/>
      <c r="Q2149" s="57" t="s">
        <v>698</v>
      </c>
    </row>
    <row r="2150" s="50" customFormat="true" ht="14.25" hidden="false" customHeight="true" outlineLevel="0" collapsed="false">
      <c r="A2150" s="50" t="s">
        <v>651</v>
      </c>
      <c r="B2150" s="57" t="s">
        <v>651</v>
      </c>
      <c r="C2150" s="57" t="s">
        <v>1514</v>
      </c>
      <c r="D2150" s="58" t="n">
        <v>46066.4526273148</v>
      </c>
      <c r="E2150" s="58" t="n">
        <v>46066.4526273148</v>
      </c>
      <c r="F2150" s="58" t="n">
        <v>46066.4533912037</v>
      </c>
      <c r="G2150" s="59" t="n">
        <f aca="false">F2150-E2150</f>
        <v>0.000763888888888889</v>
      </c>
      <c r="H2150" s="57" t="s">
        <v>252</v>
      </c>
      <c r="I2150" s="57"/>
      <c r="J2150" s="57" t="s">
        <v>333</v>
      </c>
      <c r="K2150" s="57" t="s">
        <v>334</v>
      </c>
      <c r="L2150" s="57" t="s">
        <v>2754</v>
      </c>
      <c r="M2150" s="57" t="s">
        <v>336</v>
      </c>
      <c r="N2150" s="57" t="s">
        <v>381</v>
      </c>
      <c r="O2150" s="57" t="s">
        <v>2755</v>
      </c>
      <c r="P2150" s="57"/>
      <c r="Q2150" s="57" t="s">
        <v>698</v>
      </c>
    </row>
    <row r="2151" s="50" customFormat="true" ht="14.25" hidden="false" customHeight="true" outlineLevel="0" collapsed="false">
      <c r="A2151" s="50" t="s">
        <v>651</v>
      </c>
      <c r="B2151" s="57" t="s">
        <v>651</v>
      </c>
      <c r="C2151" s="57" t="s">
        <v>1514</v>
      </c>
      <c r="D2151" s="58" t="n">
        <v>46066.4479398148</v>
      </c>
      <c r="E2151" s="58" t="n">
        <v>46066.4479398148</v>
      </c>
      <c r="F2151" s="58" t="n">
        <v>46066.4487152778</v>
      </c>
      <c r="G2151" s="59" t="n">
        <f aca="false">F2151-E2151</f>
        <v>0.000775462997685185</v>
      </c>
      <c r="H2151" s="57" t="s">
        <v>252</v>
      </c>
      <c r="I2151" s="57"/>
      <c r="J2151" s="57" t="s">
        <v>333</v>
      </c>
      <c r="K2151" s="57" t="s">
        <v>334</v>
      </c>
      <c r="L2151" s="57" t="s">
        <v>2754</v>
      </c>
      <c r="M2151" s="57" t="s">
        <v>336</v>
      </c>
      <c r="N2151" s="57" t="s">
        <v>381</v>
      </c>
      <c r="O2151" s="57" t="s">
        <v>2755</v>
      </c>
      <c r="P2151" s="57"/>
      <c r="Q2151" s="57" t="s">
        <v>698</v>
      </c>
    </row>
    <row r="2152" s="50" customFormat="true" ht="14.25" hidden="false" customHeight="true" outlineLevel="0" collapsed="false">
      <c r="A2152" s="50" t="s">
        <v>651</v>
      </c>
      <c r="B2152" s="57" t="s">
        <v>651</v>
      </c>
      <c r="C2152" s="57" t="s">
        <v>1514</v>
      </c>
      <c r="D2152" s="58" t="n">
        <v>46066.4428587963</v>
      </c>
      <c r="E2152" s="58" t="n">
        <v>46066.4428587963</v>
      </c>
      <c r="F2152" s="58" t="n">
        <v>46066.4436342593</v>
      </c>
      <c r="G2152" s="59" t="n">
        <f aca="false">F2152-E2152</f>
        <v>0.000775463009259259</v>
      </c>
      <c r="H2152" s="57" t="s">
        <v>252</v>
      </c>
      <c r="I2152" s="57"/>
      <c r="J2152" s="57" t="s">
        <v>333</v>
      </c>
      <c r="K2152" s="57" t="s">
        <v>334</v>
      </c>
      <c r="L2152" s="57" t="s">
        <v>2754</v>
      </c>
      <c r="M2152" s="57" t="s">
        <v>336</v>
      </c>
      <c r="N2152" s="57" t="s">
        <v>381</v>
      </c>
      <c r="O2152" s="57" t="s">
        <v>2755</v>
      </c>
      <c r="P2152" s="57"/>
      <c r="Q2152" s="57" t="s">
        <v>698</v>
      </c>
    </row>
    <row r="2153" s="50" customFormat="true" ht="14.25" hidden="false" customHeight="true" outlineLevel="0" collapsed="false">
      <c r="A2153" s="50" t="s">
        <v>651</v>
      </c>
      <c r="B2153" s="57" t="s">
        <v>651</v>
      </c>
      <c r="C2153" s="57" t="s">
        <v>1514</v>
      </c>
      <c r="D2153" s="58" t="n">
        <v>46066.4383912037</v>
      </c>
      <c r="E2153" s="58" t="n">
        <v>46066.4383912037</v>
      </c>
      <c r="F2153" s="58" t="n">
        <v>46066.4391782407</v>
      </c>
      <c r="G2153" s="59" t="n">
        <f aca="false">F2153-E2153</f>
        <v>0.000787036990740741</v>
      </c>
      <c r="H2153" s="57" t="s">
        <v>252</v>
      </c>
      <c r="I2153" s="57"/>
      <c r="J2153" s="57" t="s">
        <v>333</v>
      </c>
      <c r="K2153" s="57" t="s">
        <v>334</v>
      </c>
      <c r="L2153" s="57" t="s">
        <v>2754</v>
      </c>
      <c r="M2153" s="57" t="s">
        <v>336</v>
      </c>
      <c r="N2153" s="57" t="s">
        <v>381</v>
      </c>
      <c r="O2153" s="57" t="s">
        <v>2755</v>
      </c>
      <c r="P2153" s="57"/>
      <c r="Q2153" s="57" t="s">
        <v>698</v>
      </c>
    </row>
    <row r="2154" s="50" customFormat="true" ht="14.25" hidden="false" customHeight="true" outlineLevel="0" collapsed="false">
      <c r="A2154" s="50" t="s">
        <v>651</v>
      </c>
      <c r="B2154" s="57" t="s">
        <v>651</v>
      </c>
      <c r="C2154" s="57" t="s">
        <v>1514</v>
      </c>
      <c r="D2154" s="58" t="n">
        <v>46066.4337615741</v>
      </c>
      <c r="E2154" s="58" t="n">
        <v>46066.4337615741</v>
      </c>
      <c r="F2154" s="58" t="n">
        <v>46066.4345486111</v>
      </c>
      <c r="G2154" s="59" t="n">
        <f aca="false">F2154-E2154</f>
        <v>0.000787036990740741</v>
      </c>
      <c r="H2154" s="57" t="s">
        <v>252</v>
      </c>
      <c r="I2154" s="57"/>
      <c r="J2154" s="57" t="s">
        <v>333</v>
      </c>
      <c r="K2154" s="57" t="s">
        <v>334</v>
      </c>
      <c r="L2154" s="57" t="s">
        <v>2754</v>
      </c>
      <c r="M2154" s="57" t="s">
        <v>336</v>
      </c>
      <c r="N2154" s="57" t="s">
        <v>381</v>
      </c>
      <c r="O2154" s="57" t="s">
        <v>2755</v>
      </c>
      <c r="P2154" s="57"/>
      <c r="Q2154" s="57" t="s">
        <v>698</v>
      </c>
    </row>
    <row r="2155" s="50" customFormat="true" ht="14.25" hidden="false" customHeight="true" outlineLevel="0" collapsed="false">
      <c r="A2155" s="50" t="s">
        <v>651</v>
      </c>
      <c r="B2155" s="57" t="s">
        <v>651</v>
      </c>
      <c r="C2155" s="57" t="s">
        <v>1514</v>
      </c>
      <c r="D2155" s="58" t="n">
        <v>46066.4289699074</v>
      </c>
      <c r="E2155" s="58" t="n">
        <v>46066.4289699074</v>
      </c>
      <c r="F2155" s="58" t="n">
        <v>46066.4297453704</v>
      </c>
      <c r="G2155" s="59" t="n">
        <f aca="false">F2155-E2155</f>
        <v>0.000775462997685185</v>
      </c>
      <c r="H2155" s="57" t="s">
        <v>252</v>
      </c>
      <c r="I2155" s="57"/>
      <c r="J2155" s="57" t="s">
        <v>333</v>
      </c>
      <c r="K2155" s="57" t="s">
        <v>334</v>
      </c>
      <c r="L2155" s="57" t="s">
        <v>2754</v>
      </c>
      <c r="M2155" s="57" t="s">
        <v>336</v>
      </c>
      <c r="N2155" s="57" t="s">
        <v>381</v>
      </c>
      <c r="O2155" s="57" t="s">
        <v>2755</v>
      </c>
      <c r="P2155" s="57"/>
      <c r="Q2155" s="57" t="s">
        <v>698</v>
      </c>
    </row>
    <row r="2156" s="50" customFormat="true" ht="14.25" hidden="false" customHeight="true" outlineLevel="0" collapsed="false">
      <c r="A2156" s="50" t="s">
        <v>651</v>
      </c>
      <c r="B2156" s="57" t="s">
        <v>651</v>
      </c>
      <c r="C2156" s="57" t="s">
        <v>1514</v>
      </c>
      <c r="D2156" s="58" t="n">
        <v>46066.4237847222</v>
      </c>
      <c r="E2156" s="58" t="n">
        <v>46066.4237847222</v>
      </c>
      <c r="F2156" s="58" t="n">
        <v>46066.4245601852</v>
      </c>
      <c r="G2156" s="59" t="n">
        <f aca="false">F2156-E2156</f>
        <v>0.000775462997685185</v>
      </c>
      <c r="H2156" s="57" t="s">
        <v>252</v>
      </c>
      <c r="I2156" s="57"/>
      <c r="J2156" s="57" t="s">
        <v>333</v>
      </c>
      <c r="K2156" s="57" t="s">
        <v>334</v>
      </c>
      <c r="L2156" s="57" t="s">
        <v>2754</v>
      </c>
      <c r="M2156" s="57" t="s">
        <v>336</v>
      </c>
      <c r="N2156" s="57" t="s">
        <v>381</v>
      </c>
      <c r="O2156" s="57" t="s">
        <v>2755</v>
      </c>
      <c r="P2156" s="57"/>
      <c r="Q2156" s="57" t="s">
        <v>698</v>
      </c>
    </row>
    <row r="2157" s="50" customFormat="true" ht="14.25" hidden="false" customHeight="true" outlineLevel="0" collapsed="false">
      <c r="A2157" s="50" t="s">
        <v>651</v>
      </c>
      <c r="B2157" s="57" t="s">
        <v>651</v>
      </c>
      <c r="C2157" s="57" t="s">
        <v>1514</v>
      </c>
      <c r="D2157" s="58" t="n">
        <v>46066.4181828704</v>
      </c>
      <c r="E2157" s="58" t="n">
        <v>46066.4181828704</v>
      </c>
      <c r="F2157" s="58" t="n">
        <v>46066.4189467593</v>
      </c>
      <c r="G2157" s="59" t="n">
        <f aca="false">F2157-E2157</f>
        <v>0.000763888888888889</v>
      </c>
      <c r="H2157" s="57" t="s">
        <v>252</v>
      </c>
      <c r="I2157" s="57"/>
      <c r="J2157" s="57" t="s">
        <v>333</v>
      </c>
      <c r="K2157" s="57" t="s">
        <v>334</v>
      </c>
      <c r="L2157" s="57" t="s">
        <v>2754</v>
      </c>
      <c r="M2157" s="57" t="s">
        <v>336</v>
      </c>
      <c r="N2157" s="57" t="s">
        <v>381</v>
      </c>
      <c r="O2157" s="57" t="s">
        <v>2755</v>
      </c>
      <c r="P2157" s="57"/>
      <c r="Q2157" s="57" t="s">
        <v>698</v>
      </c>
    </row>
    <row r="2158" s="50" customFormat="true" ht="14.25" hidden="false" customHeight="true" outlineLevel="0" collapsed="false">
      <c r="A2158" s="50" t="s">
        <v>651</v>
      </c>
      <c r="B2158" s="57" t="s">
        <v>651</v>
      </c>
      <c r="C2158" s="57" t="s">
        <v>1514</v>
      </c>
      <c r="D2158" s="58" t="n">
        <v>46066.4120486111</v>
      </c>
      <c r="E2158" s="58" t="n">
        <v>46066.4120486111</v>
      </c>
      <c r="F2158" s="58" t="n">
        <v>46066.4128125</v>
      </c>
      <c r="G2158" s="59" t="n">
        <f aca="false">F2158-E2158</f>
        <v>0.000763888888888889</v>
      </c>
      <c r="H2158" s="57" t="s">
        <v>252</v>
      </c>
      <c r="I2158" s="57"/>
      <c r="J2158" s="57" t="s">
        <v>333</v>
      </c>
      <c r="K2158" s="57" t="s">
        <v>334</v>
      </c>
      <c r="L2158" s="57" t="s">
        <v>2754</v>
      </c>
      <c r="M2158" s="57" t="s">
        <v>336</v>
      </c>
      <c r="N2158" s="57" t="s">
        <v>381</v>
      </c>
      <c r="O2158" s="57" t="s">
        <v>2755</v>
      </c>
      <c r="P2158" s="57"/>
      <c r="Q2158" s="57" t="s">
        <v>698</v>
      </c>
    </row>
    <row r="2159" s="50" customFormat="true" ht="14.25" hidden="false" customHeight="true" outlineLevel="0" collapsed="false">
      <c r="A2159" s="50" t="s">
        <v>651</v>
      </c>
      <c r="B2159" s="57" t="s">
        <v>651</v>
      </c>
      <c r="C2159" s="57" t="s">
        <v>1514</v>
      </c>
      <c r="D2159" s="58" t="n">
        <v>46066.4059375</v>
      </c>
      <c r="E2159" s="58" t="n">
        <v>46066.4059375</v>
      </c>
      <c r="F2159" s="58" t="n">
        <v>46066.4067013889</v>
      </c>
      <c r="G2159" s="59" t="n">
        <f aca="false">F2159-E2159</f>
        <v>0.000763888888888889</v>
      </c>
      <c r="H2159" s="57" t="s">
        <v>252</v>
      </c>
      <c r="I2159" s="57"/>
      <c r="J2159" s="57" t="s">
        <v>333</v>
      </c>
      <c r="K2159" s="57" t="s">
        <v>334</v>
      </c>
      <c r="L2159" s="57" t="s">
        <v>2754</v>
      </c>
      <c r="M2159" s="57" t="s">
        <v>336</v>
      </c>
      <c r="N2159" s="57" t="s">
        <v>381</v>
      </c>
      <c r="O2159" s="57" t="s">
        <v>2755</v>
      </c>
      <c r="P2159" s="57"/>
      <c r="Q2159" s="57" t="s">
        <v>698</v>
      </c>
    </row>
    <row r="2160" s="50" customFormat="true" ht="14.25" hidden="false" customHeight="true" outlineLevel="0" collapsed="false">
      <c r="A2160" s="50" t="s">
        <v>651</v>
      </c>
      <c r="B2160" s="57" t="s">
        <v>651</v>
      </c>
      <c r="C2160" s="57" t="s">
        <v>1514</v>
      </c>
      <c r="D2160" s="58" t="n">
        <v>46066.4006018519</v>
      </c>
      <c r="E2160" s="58" t="n">
        <v>46066.4006018519</v>
      </c>
      <c r="F2160" s="58" t="n">
        <v>46066.4013888889</v>
      </c>
      <c r="G2160" s="59" t="n">
        <f aca="false">F2160-E2160</f>
        <v>0.000787037002314815</v>
      </c>
      <c r="H2160" s="57" t="s">
        <v>252</v>
      </c>
      <c r="I2160" s="57"/>
      <c r="J2160" s="57" t="s">
        <v>333</v>
      </c>
      <c r="K2160" s="57" t="s">
        <v>334</v>
      </c>
      <c r="L2160" s="57" t="s">
        <v>2754</v>
      </c>
      <c r="M2160" s="57" t="s">
        <v>336</v>
      </c>
      <c r="N2160" s="57" t="s">
        <v>381</v>
      </c>
      <c r="O2160" s="57" t="s">
        <v>2755</v>
      </c>
      <c r="P2160" s="57"/>
      <c r="Q2160" s="57" t="s">
        <v>698</v>
      </c>
    </row>
    <row r="2161" s="50" customFormat="true" ht="14.25" hidden="false" customHeight="true" outlineLevel="0" collapsed="false">
      <c r="A2161" s="50" t="s">
        <v>651</v>
      </c>
      <c r="B2161" s="57" t="s">
        <v>651</v>
      </c>
      <c r="C2161" s="57" t="s">
        <v>1514</v>
      </c>
      <c r="D2161" s="58" t="n">
        <v>46066.3949652778</v>
      </c>
      <c r="E2161" s="58" t="n">
        <v>46066.3949652778</v>
      </c>
      <c r="F2161" s="58" t="n">
        <v>46066.3957407407</v>
      </c>
      <c r="G2161" s="59" t="n">
        <f aca="false">F2161-E2161</f>
        <v>0.000775462893518519</v>
      </c>
      <c r="H2161" s="57" t="s">
        <v>252</v>
      </c>
      <c r="I2161" s="57"/>
      <c r="J2161" s="57" t="s">
        <v>333</v>
      </c>
      <c r="K2161" s="57" t="s">
        <v>334</v>
      </c>
      <c r="L2161" s="57" t="s">
        <v>2754</v>
      </c>
      <c r="M2161" s="57" t="s">
        <v>336</v>
      </c>
      <c r="N2161" s="57" t="s">
        <v>381</v>
      </c>
      <c r="O2161" s="57" t="s">
        <v>2755</v>
      </c>
      <c r="P2161" s="57"/>
      <c r="Q2161" s="57" t="s">
        <v>698</v>
      </c>
    </row>
    <row r="2162" s="50" customFormat="true" ht="14.25" hidden="false" customHeight="true" outlineLevel="0" collapsed="false">
      <c r="A2162" s="50" t="s">
        <v>651</v>
      </c>
      <c r="B2162" s="57" t="s">
        <v>651</v>
      </c>
      <c r="C2162" s="57" t="s">
        <v>1514</v>
      </c>
      <c r="D2162" s="58" t="n">
        <v>46066.3882523148</v>
      </c>
      <c r="E2162" s="58" t="n">
        <v>46066.3882523148</v>
      </c>
      <c r="F2162" s="58" t="n">
        <v>46066.3890393519</v>
      </c>
      <c r="G2162" s="59" t="n">
        <f aca="false">F2162-E2162</f>
        <v>0.000787037106481482</v>
      </c>
      <c r="H2162" s="57" t="s">
        <v>252</v>
      </c>
      <c r="I2162" s="57"/>
      <c r="J2162" s="57" t="s">
        <v>333</v>
      </c>
      <c r="K2162" s="57" t="s">
        <v>334</v>
      </c>
      <c r="L2162" s="57" t="s">
        <v>2754</v>
      </c>
      <c r="M2162" s="57" t="s">
        <v>336</v>
      </c>
      <c r="N2162" s="57" t="s">
        <v>381</v>
      </c>
      <c r="O2162" s="57" t="s">
        <v>2755</v>
      </c>
      <c r="P2162" s="57"/>
      <c r="Q2162" s="57" t="s">
        <v>698</v>
      </c>
    </row>
    <row r="2163" s="50" customFormat="true" ht="14.25" hidden="false" customHeight="true" outlineLevel="0" collapsed="false">
      <c r="A2163" s="50" t="s">
        <v>651</v>
      </c>
      <c r="B2163" s="57" t="s">
        <v>651</v>
      </c>
      <c r="C2163" s="57" t="s">
        <v>1514</v>
      </c>
      <c r="D2163" s="58" t="n">
        <v>46066.3825347222</v>
      </c>
      <c r="E2163" s="58" t="n">
        <v>46066.3825347222</v>
      </c>
      <c r="F2163" s="58" t="n">
        <v>46066.383275463</v>
      </c>
      <c r="G2163" s="59" t="n">
        <f aca="false">F2163-E2163</f>
        <v>0.000740740798611111</v>
      </c>
      <c r="H2163" s="57" t="s">
        <v>252</v>
      </c>
      <c r="I2163" s="57"/>
      <c r="J2163" s="57" t="s">
        <v>333</v>
      </c>
      <c r="K2163" s="57" t="s">
        <v>334</v>
      </c>
      <c r="L2163" s="57" t="s">
        <v>2754</v>
      </c>
      <c r="M2163" s="57" t="s">
        <v>336</v>
      </c>
      <c r="N2163" s="57" t="s">
        <v>381</v>
      </c>
      <c r="O2163" s="57" t="s">
        <v>2755</v>
      </c>
      <c r="P2163" s="57"/>
      <c r="Q2163" s="57" t="s">
        <v>698</v>
      </c>
    </row>
    <row r="2164" s="50" customFormat="true" ht="14.25" hidden="false" customHeight="true" outlineLevel="0" collapsed="false">
      <c r="A2164" s="50" t="s">
        <v>651</v>
      </c>
      <c r="B2164" s="57" t="s">
        <v>651</v>
      </c>
      <c r="C2164" s="57" t="s">
        <v>1514</v>
      </c>
      <c r="D2164" s="58" t="n">
        <v>46065.6877777778</v>
      </c>
      <c r="E2164" s="58" t="n">
        <v>46065.6877777778</v>
      </c>
      <c r="F2164" s="58" t="n">
        <v>46065.6885648148</v>
      </c>
      <c r="G2164" s="59" t="n">
        <f aca="false">F2164-E2164</f>
        <v>0.000787037002314815</v>
      </c>
      <c r="H2164" s="57" t="s">
        <v>252</v>
      </c>
      <c r="I2164" s="57"/>
      <c r="J2164" s="57" t="s">
        <v>333</v>
      </c>
      <c r="K2164" s="57" t="s">
        <v>334</v>
      </c>
      <c r="L2164" s="57" t="s">
        <v>2754</v>
      </c>
      <c r="M2164" s="57" t="s">
        <v>336</v>
      </c>
      <c r="N2164" s="57" t="s">
        <v>381</v>
      </c>
      <c r="O2164" s="57" t="s">
        <v>2755</v>
      </c>
      <c r="P2164" s="57"/>
      <c r="Q2164" s="57" t="s">
        <v>698</v>
      </c>
    </row>
    <row r="2165" s="50" customFormat="true" ht="14.25" hidden="false" customHeight="true" outlineLevel="0" collapsed="false">
      <c r="A2165" s="50" t="s">
        <v>651</v>
      </c>
      <c r="B2165" s="57" t="s">
        <v>651</v>
      </c>
      <c r="C2165" s="57" t="s">
        <v>1514</v>
      </c>
      <c r="D2165" s="58" t="n">
        <v>46065.684537037</v>
      </c>
      <c r="E2165" s="58" t="n">
        <v>46065.684537037</v>
      </c>
      <c r="F2165" s="58" t="n">
        <v>46065.6853240741</v>
      </c>
      <c r="G2165" s="59" t="n">
        <f aca="false">F2165-E2165</f>
        <v>0.000787037094907407</v>
      </c>
      <c r="H2165" s="57" t="s">
        <v>252</v>
      </c>
      <c r="I2165" s="57"/>
      <c r="J2165" s="57" t="s">
        <v>333</v>
      </c>
      <c r="K2165" s="57" t="s">
        <v>334</v>
      </c>
      <c r="L2165" s="57" t="s">
        <v>2754</v>
      </c>
      <c r="M2165" s="57" t="s">
        <v>336</v>
      </c>
      <c r="N2165" s="57" t="s">
        <v>381</v>
      </c>
      <c r="O2165" s="57" t="s">
        <v>2755</v>
      </c>
      <c r="P2165" s="57"/>
      <c r="Q2165" s="57" t="s">
        <v>698</v>
      </c>
    </row>
    <row r="2166" s="50" customFormat="true" ht="14.25" hidden="false" customHeight="true" outlineLevel="0" collapsed="false">
      <c r="A2166" s="50" t="s">
        <v>651</v>
      </c>
      <c r="B2166" s="57" t="s">
        <v>651</v>
      </c>
      <c r="C2166" s="57" t="s">
        <v>1514</v>
      </c>
      <c r="D2166" s="58" t="n">
        <v>46065.6811111111</v>
      </c>
      <c r="E2166" s="58" t="n">
        <v>46065.6811111111</v>
      </c>
      <c r="F2166" s="58" t="n">
        <v>46065.6818865741</v>
      </c>
      <c r="G2166" s="59" t="n">
        <f aca="false">F2166-E2166</f>
        <v>0.000775462997685185</v>
      </c>
      <c r="H2166" s="57" t="s">
        <v>252</v>
      </c>
      <c r="I2166" s="57"/>
      <c r="J2166" s="57" t="s">
        <v>333</v>
      </c>
      <c r="K2166" s="57" t="s">
        <v>334</v>
      </c>
      <c r="L2166" s="57" t="s">
        <v>2754</v>
      </c>
      <c r="M2166" s="57" t="s">
        <v>336</v>
      </c>
      <c r="N2166" s="57" t="s">
        <v>381</v>
      </c>
      <c r="O2166" s="57" t="s">
        <v>2755</v>
      </c>
      <c r="P2166" s="57"/>
      <c r="Q2166" s="57" t="s">
        <v>698</v>
      </c>
    </row>
    <row r="2167" s="50" customFormat="true" ht="14.25" hidden="false" customHeight="true" outlineLevel="0" collapsed="false">
      <c r="A2167" s="50" t="s">
        <v>651</v>
      </c>
      <c r="B2167" s="57" t="s">
        <v>651</v>
      </c>
      <c r="C2167" s="57" t="s">
        <v>1514</v>
      </c>
      <c r="D2167" s="58" t="n">
        <v>46065.6776388889</v>
      </c>
      <c r="E2167" s="58" t="n">
        <v>46065.6776388889</v>
      </c>
      <c r="F2167" s="58" t="n">
        <v>46065.6784027778</v>
      </c>
      <c r="G2167" s="59" t="n">
        <f aca="false">F2167-E2167</f>
        <v>0.000763888888888889</v>
      </c>
      <c r="H2167" s="57" t="s">
        <v>252</v>
      </c>
      <c r="I2167" s="57"/>
      <c r="J2167" s="57" t="s">
        <v>333</v>
      </c>
      <c r="K2167" s="57" t="s">
        <v>334</v>
      </c>
      <c r="L2167" s="57" t="s">
        <v>2754</v>
      </c>
      <c r="M2167" s="57" t="s">
        <v>336</v>
      </c>
      <c r="N2167" s="57" t="s">
        <v>381</v>
      </c>
      <c r="O2167" s="57" t="s">
        <v>2755</v>
      </c>
      <c r="P2167" s="57"/>
      <c r="Q2167" s="57" t="s">
        <v>698</v>
      </c>
    </row>
    <row r="2168" s="50" customFormat="true" ht="14.25" hidden="false" customHeight="true" outlineLevel="0" collapsed="false">
      <c r="A2168" s="50" t="s">
        <v>651</v>
      </c>
      <c r="B2168" s="57" t="s">
        <v>651</v>
      </c>
      <c r="C2168" s="57" t="s">
        <v>1514</v>
      </c>
      <c r="D2168" s="58" t="n">
        <v>46065.6740277778</v>
      </c>
      <c r="E2168" s="58" t="n">
        <v>46065.6740277778</v>
      </c>
      <c r="F2168" s="58" t="n">
        <v>46065.6748148148</v>
      </c>
      <c r="G2168" s="59" t="n">
        <f aca="false">F2168-E2168</f>
        <v>0.000787037002314815</v>
      </c>
      <c r="H2168" s="57" t="s">
        <v>252</v>
      </c>
      <c r="I2168" s="57"/>
      <c r="J2168" s="57" t="s">
        <v>333</v>
      </c>
      <c r="K2168" s="57" t="s">
        <v>334</v>
      </c>
      <c r="L2168" s="57" t="s">
        <v>2754</v>
      </c>
      <c r="M2168" s="57" t="s">
        <v>336</v>
      </c>
      <c r="N2168" s="57" t="s">
        <v>381</v>
      </c>
      <c r="O2168" s="57" t="s">
        <v>2755</v>
      </c>
      <c r="P2168" s="57"/>
      <c r="Q2168" s="57" t="s">
        <v>698</v>
      </c>
    </row>
    <row r="2169" s="50" customFormat="true" ht="14.25" hidden="false" customHeight="true" outlineLevel="0" collapsed="false">
      <c r="A2169" s="50" t="s">
        <v>651</v>
      </c>
      <c r="B2169" s="57" t="s">
        <v>651</v>
      </c>
      <c r="C2169" s="57" t="s">
        <v>1514</v>
      </c>
      <c r="D2169" s="58" t="n">
        <v>46065.6703240741</v>
      </c>
      <c r="E2169" s="58" t="n">
        <v>46065.6703240741</v>
      </c>
      <c r="F2169" s="58" t="n">
        <v>46065.671087963</v>
      </c>
      <c r="G2169" s="59" t="n">
        <f aca="false">F2169-E2169</f>
        <v>0.000763888888888889</v>
      </c>
      <c r="H2169" s="57" t="s">
        <v>252</v>
      </c>
      <c r="I2169" s="57"/>
      <c r="J2169" s="57" t="s">
        <v>333</v>
      </c>
      <c r="K2169" s="57" t="s">
        <v>334</v>
      </c>
      <c r="L2169" s="57" t="s">
        <v>2754</v>
      </c>
      <c r="M2169" s="57" t="s">
        <v>336</v>
      </c>
      <c r="N2169" s="57" t="s">
        <v>381</v>
      </c>
      <c r="O2169" s="57" t="s">
        <v>2755</v>
      </c>
      <c r="P2169" s="57"/>
      <c r="Q2169" s="57" t="s">
        <v>698</v>
      </c>
    </row>
    <row r="2170" s="50" customFormat="true" ht="14.25" hidden="false" customHeight="true" outlineLevel="0" collapsed="false">
      <c r="A2170" s="50" t="s">
        <v>651</v>
      </c>
      <c r="B2170" s="57" t="s">
        <v>651</v>
      </c>
      <c r="C2170" s="57" t="s">
        <v>1514</v>
      </c>
      <c r="D2170" s="58" t="n">
        <v>46065.666712963</v>
      </c>
      <c r="E2170" s="58" t="n">
        <v>46065.666712963</v>
      </c>
      <c r="F2170" s="58" t="n">
        <v>46065.6674884259</v>
      </c>
      <c r="G2170" s="59" t="n">
        <f aca="false">F2170-E2170</f>
        <v>0.000775462893518519</v>
      </c>
      <c r="H2170" s="57" t="s">
        <v>252</v>
      </c>
      <c r="I2170" s="57"/>
      <c r="J2170" s="57" t="s">
        <v>333</v>
      </c>
      <c r="K2170" s="57" t="s">
        <v>334</v>
      </c>
      <c r="L2170" s="57" t="s">
        <v>2754</v>
      </c>
      <c r="M2170" s="57" t="s">
        <v>336</v>
      </c>
      <c r="N2170" s="57" t="s">
        <v>381</v>
      </c>
      <c r="O2170" s="57" t="s">
        <v>2755</v>
      </c>
      <c r="P2170" s="57"/>
      <c r="Q2170" s="57" t="s">
        <v>698</v>
      </c>
    </row>
    <row r="2171" s="50" customFormat="true" ht="14.25" hidden="false" customHeight="true" outlineLevel="0" collapsed="false">
      <c r="A2171" s="50" t="s">
        <v>651</v>
      </c>
      <c r="B2171" s="57" t="s">
        <v>651</v>
      </c>
      <c r="C2171" s="57" t="s">
        <v>1514</v>
      </c>
      <c r="D2171" s="58" t="n">
        <v>46065.6626736111</v>
      </c>
      <c r="E2171" s="58" t="n">
        <v>46065.6626736111</v>
      </c>
      <c r="F2171" s="58" t="n">
        <v>46065.6634490741</v>
      </c>
      <c r="G2171" s="59" t="n">
        <f aca="false">F2171-E2171</f>
        <v>0.000775462997685185</v>
      </c>
      <c r="H2171" s="57" t="s">
        <v>252</v>
      </c>
      <c r="I2171" s="57"/>
      <c r="J2171" s="57" t="s">
        <v>333</v>
      </c>
      <c r="K2171" s="57" t="s">
        <v>334</v>
      </c>
      <c r="L2171" s="57" t="s">
        <v>2754</v>
      </c>
      <c r="M2171" s="57" t="s">
        <v>336</v>
      </c>
      <c r="N2171" s="57" t="s">
        <v>381</v>
      </c>
      <c r="O2171" s="57" t="s">
        <v>2755</v>
      </c>
      <c r="P2171" s="57"/>
      <c r="Q2171" s="57" t="s">
        <v>698</v>
      </c>
    </row>
    <row r="2172" s="50" customFormat="true" ht="14.25" hidden="false" customHeight="true" outlineLevel="0" collapsed="false">
      <c r="A2172" s="50" t="s">
        <v>651</v>
      </c>
      <c r="B2172" s="57" t="s">
        <v>651</v>
      </c>
      <c r="C2172" s="57" t="s">
        <v>1514</v>
      </c>
      <c r="D2172" s="58" t="n">
        <v>46065.6588310185</v>
      </c>
      <c r="E2172" s="58" t="n">
        <v>46065.6588310185</v>
      </c>
      <c r="F2172" s="58" t="n">
        <v>46065.6596180556</v>
      </c>
      <c r="G2172" s="59" t="n">
        <f aca="false">F2172-E2172</f>
        <v>0.000787037094907407</v>
      </c>
      <c r="H2172" s="57" t="s">
        <v>252</v>
      </c>
      <c r="I2172" s="57"/>
      <c r="J2172" s="57" t="s">
        <v>333</v>
      </c>
      <c r="K2172" s="57" t="s">
        <v>334</v>
      </c>
      <c r="L2172" s="57" t="s">
        <v>2754</v>
      </c>
      <c r="M2172" s="57" t="s">
        <v>336</v>
      </c>
      <c r="N2172" s="57" t="s">
        <v>381</v>
      </c>
      <c r="O2172" s="57" t="s">
        <v>2755</v>
      </c>
      <c r="P2172" s="57"/>
      <c r="Q2172" s="57" t="s">
        <v>698</v>
      </c>
    </row>
    <row r="2173" s="50" customFormat="true" ht="14.25" hidden="false" customHeight="true" outlineLevel="0" collapsed="false">
      <c r="A2173" s="50" t="s">
        <v>651</v>
      </c>
      <c r="B2173" s="57" t="s">
        <v>651</v>
      </c>
      <c r="C2173" s="57" t="s">
        <v>1514</v>
      </c>
      <c r="D2173" s="58" t="n">
        <v>46065.6548263889</v>
      </c>
      <c r="E2173" s="58" t="n">
        <v>46065.6548263889</v>
      </c>
      <c r="F2173" s="58" t="n">
        <v>46065.6555902778</v>
      </c>
      <c r="G2173" s="59" t="n">
        <f aca="false">F2173-E2173</f>
        <v>0.000763888888888889</v>
      </c>
      <c r="H2173" s="57" t="s">
        <v>252</v>
      </c>
      <c r="I2173" s="57"/>
      <c r="J2173" s="57" t="s">
        <v>333</v>
      </c>
      <c r="K2173" s="57" t="s">
        <v>334</v>
      </c>
      <c r="L2173" s="57" t="s">
        <v>2754</v>
      </c>
      <c r="M2173" s="57" t="s">
        <v>336</v>
      </c>
      <c r="N2173" s="57" t="s">
        <v>381</v>
      </c>
      <c r="O2173" s="57" t="s">
        <v>2755</v>
      </c>
      <c r="P2173" s="57"/>
      <c r="Q2173" s="57" t="s">
        <v>698</v>
      </c>
    </row>
    <row r="2174" s="50" customFormat="true" ht="14.25" hidden="false" customHeight="true" outlineLevel="0" collapsed="false">
      <c r="A2174" s="50" t="s">
        <v>651</v>
      </c>
      <c r="B2174" s="57" t="s">
        <v>651</v>
      </c>
      <c r="C2174" s="57" t="s">
        <v>1514</v>
      </c>
      <c r="D2174" s="58" t="n">
        <v>46065.6506481482</v>
      </c>
      <c r="E2174" s="58" t="n">
        <v>46065.6506481482</v>
      </c>
      <c r="F2174" s="58" t="n">
        <v>46065.6514236111</v>
      </c>
      <c r="G2174" s="59" t="n">
        <f aca="false">F2174-E2174</f>
        <v>0.000775462905092593</v>
      </c>
      <c r="H2174" s="57" t="s">
        <v>252</v>
      </c>
      <c r="I2174" s="57"/>
      <c r="J2174" s="57" t="s">
        <v>333</v>
      </c>
      <c r="K2174" s="57" t="s">
        <v>334</v>
      </c>
      <c r="L2174" s="57" t="s">
        <v>2754</v>
      </c>
      <c r="M2174" s="57" t="s">
        <v>336</v>
      </c>
      <c r="N2174" s="57" t="s">
        <v>381</v>
      </c>
      <c r="O2174" s="57" t="s">
        <v>2755</v>
      </c>
      <c r="P2174" s="57"/>
      <c r="Q2174" s="57" t="s">
        <v>698</v>
      </c>
    </row>
    <row r="2175" s="50" customFormat="true" ht="14.25" hidden="false" customHeight="true" outlineLevel="0" collapsed="false">
      <c r="A2175" s="50" t="s">
        <v>651</v>
      </c>
      <c r="B2175" s="57" t="s">
        <v>651</v>
      </c>
      <c r="C2175" s="57" t="s">
        <v>1514</v>
      </c>
      <c r="D2175" s="58" t="n">
        <v>46065.6463194444</v>
      </c>
      <c r="E2175" s="58" t="n">
        <v>46065.6463194444</v>
      </c>
      <c r="F2175" s="58" t="n">
        <v>46065.6471064815</v>
      </c>
      <c r="G2175" s="59" t="n">
        <f aca="false">F2175-E2175</f>
        <v>0.000787037094907407</v>
      </c>
      <c r="H2175" s="57" t="s">
        <v>252</v>
      </c>
      <c r="I2175" s="57"/>
      <c r="J2175" s="57" t="s">
        <v>333</v>
      </c>
      <c r="K2175" s="57" t="s">
        <v>334</v>
      </c>
      <c r="L2175" s="57" t="s">
        <v>2754</v>
      </c>
      <c r="M2175" s="57" t="s">
        <v>336</v>
      </c>
      <c r="N2175" s="57" t="s">
        <v>381</v>
      </c>
      <c r="O2175" s="57" t="s">
        <v>2755</v>
      </c>
      <c r="P2175" s="57"/>
      <c r="Q2175" s="57" t="s">
        <v>698</v>
      </c>
    </row>
    <row r="2176" s="50" customFormat="true" ht="14.25" hidden="false" customHeight="true" outlineLevel="0" collapsed="false">
      <c r="A2176" s="50" t="s">
        <v>651</v>
      </c>
      <c r="B2176" s="57" t="s">
        <v>651</v>
      </c>
      <c r="C2176" s="57" t="s">
        <v>1514</v>
      </c>
      <c r="D2176" s="58" t="n">
        <v>46065.5928356481</v>
      </c>
      <c r="E2176" s="58" t="n">
        <v>46065.5928356481</v>
      </c>
      <c r="F2176" s="58" t="n">
        <v>46065.5936111111</v>
      </c>
      <c r="G2176" s="59" t="n">
        <f aca="false">F2176-E2176</f>
        <v>0.000775462997685185</v>
      </c>
      <c r="H2176" s="57" t="s">
        <v>252</v>
      </c>
      <c r="I2176" s="57"/>
      <c r="J2176" s="57" t="s">
        <v>333</v>
      </c>
      <c r="K2176" s="57" t="s">
        <v>334</v>
      </c>
      <c r="L2176" s="57" t="s">
        <v>2754</v>
      </c>
      <c r="M2176" s="57" t="s">
        <v>336</v>
      </c>
      <c r="N2176" s="57" t="s">
        <v>381</v>
      </c>
      <c r="O2176" s="57" t="s">
        <v>2755</v>
      </c>
      <c r="P2176" s="57"/>
      <c r="Q2176" s="57" t="s">
        <v>698</v>
      </c>
    </row>
    <row r="2177" s="50" customFormat="true" ht="14.25" hidden="false" customHeight="true" outlineLevel="0" collapsed="false">
      <c r="A2177" s="50" t="s">
        <v>651</v>
      </c>
      <c r="B2177" s="57" t="s">
        <v>651</v>
      </c>
      <c r="C2177" s="57" t="s">
        <v>1514</v>
      </c>
      <c r="D2177" s="58" t="n">
        <v>46065.5890509259</v>
      </c>
      <c r="E2177" s="58" t="n">
        <v>46065.5890509259</v>
      </c>
      <c r="F2177" s="58" t="n">
        <v>46065.5898148148</v>
      </c>
      <c r="G2177" s="59" t="n">
        <f aca="false">F2177-E2177</f>
        <v>0.000763888888888889</v>
      </c>
      <c r="H2177" s="57" t="s">
        <v>252</v>
      </c>
      <c r="I2177" s="57"/>
      <c r="J2177" s="57" t="s">
        <v>333</v>
      </c>
      <c r="K2177" s="57" t="s">
        <v>334</v>
      </c>
      <c r="L2177" s="57" t="s">
        <v>2754</v>
      </c>
      <c r="M2177" s="57" t="s">
        <v>336</v>
      </c>
      <c r="N2177" s="57" t="s">
        <v>381</v>
      </c>
      <c r="O2177" s="57" t="s">
        <v>2755</v>
      </c>
      <c r="P2177" s="57"/>
      <c r="Q2177" s="57" t="s">
        <v>698</v>
      </c>
    </row>
    <row r="2178" s="50" customFormat="true" ht="14.25" hidden="false" customHeight="true" outlineLevel="0" collapsed="false">
      <c r="A2178" s="50" t="s">
        <v>651</v>
      </c>
      <c r="B2178" s="57" t="s">
        <v>651</v>
      </c>
      <c r="C2178" s="57" t="s">
        <v>1514</v>
      </c>
      <c r="D2178" s="58" t="n">
        <v>46065.5704861111</v>
      </c>
      <c r="E2178" s="58" t="n">
        <v>46065.5704861111</v>
      </c>
      <c r="F2178" s="58" t="n">
        <v>46065.5712731482</v>
      </c>
      <c r="G2178" s="59" t="n">
        <f aca="false">F2178-E2178</f>
        <v>0.000787037094907407</v>
      </c>
      <c r="H2178" s="57" t="s">
        <v>252</v>
      </c>
      <c r="I2178" s="57"/>
      <c r="J2178" s="57" t="s">
        <v>333</v>
      </c>
      <c r="K2178" s="57" t="s">
        <v>334</v>
      </c>
      <c r="L2178" s="57" t="s">
        <v>2754</v>
      </c>
      <c r="M2178" s="57" t="s">
        <v>336</v>
      </c>
      <c r="N2178" s="57" t="s">
        <v>381</v>
      </c>
      <c r="O2178" s="57" t="s">
        <v>2755</v>
      </c>
      <c r="P2178" s="57"/>
      <c r="Q2178" s="57" t="s">
        <v>698</v>
      </c>
    </row>
    <row r="2179" s="50" customFormat="true" ht="14.25" hidden="false" customHeight="true" outlineLevel="0" collapsed="false">
      <c r="A2179" s="50" t="s">
        <v>651</v>
      </c>
      <c r="B2179" s="57" t="s">
        <v>651</v>
      </c>
      <c r="C2179" s="57" t="s">
        <v>1514</v>
      </c>
      <c r="D2179" s="58" t="n">
        <v>46065.5664236111</v>
      </c>
      <c r="E2179" s="58" t="n">
        <v>46065.5664236111</v>
      </c>
      <c r="F2179" s="58" t="n">
        <v>46065.5671875</v>
      </c>
      <c r="G2179" s="59" t="n">
        <f aca="false">F2179-E2179</f>
        <v>0.000763888888888889</v>
      </c>
      <c r="H2179" s="57" t="s">
        <v>252</v>
      </c>
      <c r="I2179" s="57"/>
      <c r="J2179" s="57" t="s">
        <v>333</v>
      </c>
      <c r="K2179" s="57" t="s">
        <v>334</v>
      </c>
      <c r="L2179" s="57" t="s">
        <v>2754</v>
      </c>
      <c r="M2179" s="57" t="s">
        <v>336</v>
      </c>
      <c r="N2179" s="57" t="s">
        <v>381</v>
      </c>
      <c r="O2179" s="57" t="s">
        <v>2755</v>
      </c>
      <c r="P2179" s="57"/>
      <c r="Q2179" s="57" t="s">
        <v>698</v>
      </c>
    </row>
    <row r="2180" s="50" customFormat="true" ht="14.25" hidden="false" customHeight="true" outlineLevel="0" collapsed="false">
      <c r="A2180" s="50" t="s">
        <v>651</v>
      </c>
      <c r="B2180" s="57" t="s">
        <v>651</v>
      </c>
      <c r="C2180" s="57" t="s">
        <v>1514</v>
      </c>
      <c r="D2180" s="58" t="n">
        <v>46063.7018287037</v>
      </c>
      <c r="E2180" s="58" t="n">
        <v>46063.7018287037</v>
      </c>
      <c r="F2180" s="58" t="n">
        <v>46063.7232638889</v>
      </c>
      <c r="G2180" s="59" t="n">
        <f aca="false">F2180-E2180</f>
        <v>0.0214351852083333</v>
      </c>
      <c r="H2180" s="57" t="s">
        <v>252</v>
      </c>
      <c r="I2180" s="57"/>
      <c r="J2180" s="57" t="s">
        <v>333</v>
      </c>
      <c r="K2180" s="57" t="s">
        <v>334</v>
      </c>
      <c r="L2180" s="57" t="s">
        <v>2754</v>
      </c>
      <c r="M2180" s="57" t="s">
        <v>336</v>
      </c>
      <c r="N2180" s="57" t="s">
        <v>381</v>
      </c>
      <c r="O2180" s="57" t="s">
        <v>2755</v>
      </c>
      <c r="P2180" s="57"/>
      <c r="Q2180" s="57" t="s">
        <v>698</v>
      </c>
    </row>
    <row r="2181" s="50" customFormat="true" ht="14.25" hidden="false" customHeight="true" outlineLevel="0" collapsed="false">
      <c r="A2181" s="50" t="s">
        <v>651</v>
      </c>
      <c r="B2181" s="57" t="s">
        <v>651</v>
      </c>
      <c r="C2181" s="57" t="s">
        <v>1514</v>
      </c>
      <c r="D2181" s="58" t="n">
        <v>46063.6633217593</v>
      </c>
      <c r="E2181" s="58" t="n">
        <v>46063.6633217593</v>
      </c>
      <c r="F2181" s="58" t="n">
        <v>46063.6640740741</v>
      </c>
      <c r="G2181" s="59" t="n">
        <f aca="false">F2181-E2181</f>
        <v>0.000752314803240741</v>
      </c>
      <c r="H2181" s="57" t="s">
        <v>252</v>
      </c>
      <c r="I2181" s="57"/>
      <c r="J2181" s="57" t="s">
        <v>333</v>
      </c>
      <c r="K2181" s="57" t="s">
        <v>334</v>
      </c>
      <c r="L2181" s="57" t="s">
        <v>2754</v>
      </c>
      <c r="M2181" s="57" t="s">
        <v>336</v>
      </c>
      <c r="N2181" s="57" t="s">
        <v>381</v>
      </c>
      <c r="O2181" s="57" t="s">
        <v>2755</v>
      </c>
      <c r="P2181" s="57"/>
      <c r="Q2181" s="57" t="s">
        <v>698</v>
      </c>
    </row>
    <row r="2182" s="50" customFormat="true" ht="14.25" hidden="false" customHeight="true" outlineLevel="0" collapsed="false">
      <c r="A2182" s="50" t="s">
        <v>651</v>
      </c>
      <c r="B2182" s="57" t="s">
        <v>651</v>
      </c>
      <c r="C2182" s="57" t="s">
        <v>1514</v>
      </c>
      <c r="D2182" s="58" t="n">
        <v>46063.6494097222</v>
      </c>
      <c r="E2182" s="58" t="n">
        <v>46063.6494097222</v>
      </c>
      <c r="F2182" s="58" t="n">
        <v>46063.6501851852</v>
      </c>
      <c r="G2182" s="59" t="n">
        <f aca="false">F2182-E2182</f>
        <v>0.000775462997685185</v>
      </c>
      <c r="H2182" s="57" t="s">
        <v>252</v>
      </c>
      <c r="I2182" s="57"/>
      <c r="J2182" s="57" t="s">
        <v>333</v>
      </c>
      <c r="K2182" s="57" t="s">
        <v>334</v>
      </c>
      <c r="L2182" s="57" t="s">
        <v>2754</v>
      </c>
      <c r="M2182" s="57" t="s">
        <v>336</v>
      </c>
      <c r="N2182" s="57" t="s">
        <v>381</v>
      </c>
      <c r="O2182" s="57" t="s">
        <v>2755</v>
      </c>
      <c r="P2182" s="57"/>
      <c r="Q2182" s="57" t="s">
        <v>698</v>
      </c>
    </row>
    <row r="2183" s="50" customFormat="true" ht="14.25" hidden="false" customHeight="true" outlineLevel="0" collapsed="false">
      <c r="A2183" s="50" t="s">
        <v>651</v>
      </c>
      <c r="B2183" s="57" t="s">
        <v>651</v>
      </c>
      <c r="C2183" s="57" t="s">
        <v>1514</v>
      </c>
      <c r="D2183" s="58" t="n">
        <v>46063.6427546296</v>
      </c>
      <c r="E2183" s="58" t="n">
        <v>46063.6427546296</v>
      </c>
      <c r="F2183" s="58" t="n">
        <v>46063.6435069444</v>
      </c>
      <c r="G2183" s="59" t="n">
        <f aca="false">F2183-E2183</f>
        <v>0.000752314791666667</v>
      </c>
      <c r="H2183" s="57" t="s">
        <v>252</v>
      </c>
      <c r="I2183" s="57"/>
      <c r="J2183" s="57" t="s">
        <v>333</v>
      </c>
      <c r="K2183" s="57" t="s">
        <v>334</v>
      </c>
      <c r="L2183" s="57" t="s">
        <v>2754</v>
      </c>
      <c r="M2183" s="57" t="s">
        <v>336</v>
      </c>
      <c r="N2183" s="57" t="s">
        <v>381</v>
      </c>
      <c r="O2183" s="57" t="s">
        <v>2755</v>
      </c>
      <c r="P2183" s="57"/>
      <c r="Q2183" s="57" t="s">
        <v>698</v>
      </c>
    </row>
    <row r="2184" s="50" customFormat="true" ht="14.25" hidden="false" customHeight="true" outlineLevel="0" collapsed="false">
      <c r="A2184" s="50" t="s">
        <v>651</v>
      </c>
      <c r="B2184" s="57" t="s">
        <v>651</v>
      </c>
      <c r="C2184" s="57" t="s">
        <v>1514</v>
      </c>
      <c r="D2184" s="58" t="n">
        <v>46063.6357986111</v>
      </c>
      <c r="E2184" s="58" t="n">
        <v>46063.6357986111</v>
      </c>
      <c r="F2184" s="58" t="n">
        <v>46063.6365740741</v>
      </c>
      <c r="G2184" s="59" t="n">
        <f aca="false">F2184-E2184</f>
        <v>0.000775462997685185</v>
      </c>
      <c r="H2184" s="57" t="s">
        <v>252</v>
      </c>
      <c r="I2184" s="57"/>
      <c r="J2184" s="57" t="s">
        <v>333</v>
      </c>
      <c r="K2184" s="57" t="s">
        <v>334</v>
      </c>
      <c r="L2184" s="57" t="s">
        <v>2754</v>
      </c>
      <c r="M2184" s="57" t="s">
        <v>336</v>
      </c>
      <c r="N2184" s="57" t="s">
        <v>381</v>
      </c>
      <c r="O2184" s="57" t="s">
        <v>2755</v>
      </c>
      <c r="P2184" s="57"/>
      <c r="Q2184" s="57" t="s">
        <v>698</v>
      </c>
    </row>
    <row r="2185" s="50" customFormat="true" ht="14.25" hidden="false" customHeight="true" outlineLevel="0" collapsed="false">
      <c r="A2185" s="50" t="s">
        <v>651</v>
      </c>
      <c r="B2185" s="57" t="s">
        <v>651</v>
      </c>
      <c r="C2185" s="57" t="s">
        <v>1514</v>
      </c>
      <c r="D2185" s="58" t="n">
        <v>46063.6296643519</v>
      </c>
      <c r="E2185" s="58" t="n">
        <v>46063.6296643519</v>
      </c>
      <c r="F2185" s="58" t="n">
        <v>46063.6304166667</v>
      </c>
      <c r="G2185" s="59" t="n">
        <f aca="false">F2185-E2185</f>
        <v>0.000752314803240741</v>
      </c>
      <c r="H2185" s="57" t="s">
        <v>252</v>
      </c>
      <c r="I2185" s="57"/>
      <c r="J2185" s="57" t="s">
        <v>333</v>
      </c>
      <c r="K2185" s="57" t="s">
        <v>334</v>
      </c>
      <c r="L2185" s="57" t="s">
        <v>2754</v>
      </c>
      <c r="M2185" s="57" t="s">
        <v>336</v>
      </c>
      <c r="N2185" s="57" t="s">
        <v>381</v>
      </c>
      <c r="O2185" s="57" t="s">
        <v>2755</v>
      </c>
      <c r="P2185" s="57"/>
      <c r="Q2185" s="57" t="s">
        <v>698</v>
      </c>
    </row>
    <row r="2186" s="50" customFormat="true" ht="14.25" hidden="false" customHeight="true" outlineLevel="0" collapsed="false">
      <c r="A2186" s="50" t="s">
        <v>651</v>
      </c>
      <c r="B2186" s="57" t="s">
        <v>651</v>
      </c>
      <c r="C2186" s="57" t="s">
        <v>1514</v>
      </c>
      <c r="D2186" s="58" t="n">
        <v>46063.6213194444</v>
      </c>
      <c r="E2186" s="58" t="n">
        <v>46063.6213194444</v>
      </c>
      <c r="F2186" s="58" t="n">
        <v>46063.6220601852</v>
      </c>
      <c r="G2186" s="59" t="n">
        <f aca="false">F2186-E2186</f>
        <v>0.000740740798611111</v>
      </c>
      <c r="H2186" s="57" t="s">
        <v>252</v>
      </c>
      <c r="I2186" s="57"/>
      <c r="J2186" s="57" t="s">
        <v>333</v>
      </c>
      <c r="K2186" s="57" t="s">
        <v>334</v>
      </c>
      <c r="L2186" s="57" t="s">
        <v>2754</v>
      </c>
      <c r="M2186" s="57" t="s">
        <v>336</v>
      </c>
      <c r="N2186" s="57" t="s">
        <v>381</v>
      </c>
      <c r="O2186" s="57" t="s">
        <v>2755</v>
      </c>
      <c r="P2186" s="57"/>
      <c r="Q2186" s="57" t="s">
        <v>698</v>
      </c>
    </row>
    <row r="2187" s="50" customFormat="true" ht="14.25" hidden="false" customHeight="true" outlineLevel="0" collapsed="false">
      <c r="A2187" s="50" t="s">
        <v>651</v>
      </c>
      <c r="B2187" s="57" t="s">
        <v>651</v>
      </c>
      <c r="C2187" s="57" t="s">
        <v>1514</v>
      </c>
      <c r="D2187" s="58" t="n">
        <v>46063.6147916667</v>
      </c>
      <c r="E2187" s="58" t="n">
        <v>46063.6147916667</v>
      </c>
      <c r="F2187" s="58" t="n">
        <v>46063.6155439815</v>
      </c>
      <c r="G2187" s="59" t="n">
        <f aca="false">F2187-E2187</f>
        <v>0.000752314791666667</v>
      </c>
      <c r="H2187" s="57" t="s">
        <v>252</v>
      </c>
      <c r="I2187" s="57"/>
      <c r="J2187" s="57" t="s">
        <v>333</v>
      </c>
      <c r="K2187" s="57" t="s">
        <v>334</v>
      </c>
      <c r="L2187" s="57" t="s">
        <v>2754</v>
      </c>
      <c r="M2187" s="57" t="s">
        <v>336</v>
      </c>
      <c r="N2187" s="57" t="s">
        <v>381</v>
      </c>
      <c r="O2187" s="57" t="s">
        <v>2755</v>
      </c>
      <c r="P2187" s="57"/>
      <c r="Q2187" s="57" t="s">
        <v>698</v>
      </c>
    </row>
    <row r="2188" s="50" customFormat="true" ht="14.25" hidden="false" customHeight="true" outlineLevel="0" collapsed="false">
      <c r="A2188" s="50" t="s">
        <v>651</v>
      </c>
      <c r="B2188" s="57" t="s">
        <v>651</v>
      </c>
      <c r="C2188" s="57" t="s">
        <v>1514</v>
      </c>
      <c r="D2188" s="58" t="n">
        <v>46063.6074537037</v>
      </c>
      <c r="E2188" s="58" t="n">
        <v>46063.6074537037</v>
      </c>
      <c r="F2188" s="58" t="n">
        <v>46063.6082060185</v>
      </c>
      <c r="G2188" s="59" t="n">
        <f aca="false">F2188-E2188</f>
        <v>0.000752314803240741</v>
      </c>
      <c r="H2188" s="57" t="s">
        <v>252</v>
      </c>
      <c r="I2188" s="57"/>
      <c r="J2188" s="57" t="s">
        <v>333</v>
      </c>
      <c r="K2188" s="57" t="s">
        <v>334</v>
      </c>
      <c r="L2188" s="57" t="s">
        <v>2754</v>
      </c>
      <c r="M2188" s="57" t="s">
        <v>336</v>
      </c>
      <c r="N2188" s="57" t="s">
        <v>381</v>
      </c>
      <c r="O2188" s="57" t="s">
        <v>2755</v>
      </c>
      <c r="P2188" s="57"/>
      <c r="Q2188" s="57" t="s">
        <v>698</v>
      </c>
    </row>
    <row r="2189" s="50" customFormat="true" ht="14.25" hidden="false" customHeight="true" outlineLevel="0" collapsed="false">
      <c r="A2189" s="50" t="s">
        <v>651</v>
      </c>
      <c r="B2189" s="57" t="s">
        <v>651</v>
      </c>
      <c r="C2189" s="57" t="s">
        <v>1514</v>
      </c>
      <c r="D2189" s="58" t="n">
        <v>46063.6006018519</v>
      </c>
      <c r="E2189" s="58" t="n">
        <v>46063.6006018519</v>
      </c>
      <c r="F2189" s="58" t="n">
        <v>46063.6013541667</v>
      </c>
      <c r="G2189" s="59" t="n">
        <f aca="false">F2189-E2189</f>
        <v>0.000752314803240741</v>
      </c>
      <c r="H2189" s="57" t="s">
        <v>252</v>
      </c>
      <c r="I2189" s="57"/>
      <c r="J2189" s="57" t="s">
        <v>333</v>
      </c>
      <c r="K2189" s="57" t="s">
        <v>334</v>
      </c>
      <c r="L2189" s="57" t="s">
        <v>2754</v>
      </c>
      <c r="M2189" s="57" t="s">
        <v>336</v>
      </c>
      <c r="N2189" s="57" t="s">
        <v>381</v>
      </c>
      <c r="O2189" s="57" t="s">
        <v>2755</v>
      </c>
      <c r="P2189" s="57"/>
      <c r="Q2189" s="57" t="s">
        <v>698</v>
      </c>
    </row>
    <row r="2190" s="50" customFormat="true" ht="14.25" hidden="false" customHeight="true" outlineLevel="0" collapsed="false">
      <c r="A2190" s="50" t="s">
        <v>651</v>
      </c>
      <c r="B2190" s="57" t="s">
        <v>651</v>
      </c>
      <c r="C2190" s="57" t="s">
        <v>1514</v>
      </c>
      <c r="D2190" s="58" t="n">
        <v>46063.5940162037</v>
      </c>
      <c r="E2190" s="58" t="n">
        <v>46063.5940162037</v>
      </c>
      <c r="F2190" s="58" t="n">
        <v>46063.5947800926</v>
      </c>
      <c r="G2190" s="59" t="n">
        <f aca="false">F2190-E2190</f>
        <v>0.000763888888888889</v>
      </c>
      <c r="H2190" s="57" t="s">
        <v>252</v>
      </c>
      <c r="I2190" s="57"/>
      <c r="J2190" s="57" t="s">
        <v>333</v>
      </c>
      <c r="K2190" s="57" t="s">
        <v>334</v>
      </c>
      <c r="L2190" s="57" t="s">
        <v>2754</v>
      </c>
      <c r="M2190" s="57" t="s">
        <v>336</v>
      </c>
      <c r="N2190" s="57" t="s">
        <v>381</v>
      </c>
      <c r="O2190" s="57" t="s">
        <v>2755</v>
      </c>
      <c r="P2190" s="57"/>
      <c r="Q2190" s="57" t="s">
        <v>698</v>
      </c>
    </row>
    <row r="2191" s="50" customFormat="true" ht="14.25" hidden="false" customHeight="true" outlineLevel="0" collapsed="false">
      <c r="A2191" s="50" t="s">
        <v>651</v>
      </c>
      <c r="B2191" s="57" t="s">
        <v>651</v>
      </c>
      <c r="C2191" s="57" t="s">
        <v>1514</v>
      </c>
      <c r="D2191" s="58" t="n">
        <v>46063.5853125</v>
      </c>
      <c r="E2191" s="58" t="n">
        <v>46063.5853125</v>
      </c>
      <c r="F2191" s="58" t="n">
        <v>46063.5860648148</v>
      </c>
      <c r="G2191" s="59" t="n">
        <f aca="false">F2191-E2191</f>
        <v>0.000752314803240741</v>
      </c>
      <c r="H2191" s="57" t="s">
        <v>252</v>
      </c>
      <c r="I2191" s="57"/>
      <c r="J2191" s="57" t="s">
        <v>333</v>
      </c>
      <c r="K2191" s="57" t="s">
        <v>334</v>
      </c>
      <c r="L2191" s="57" t="s">
        <v>2754</v>
      </c>
      <c r="M2191" s="57" t="s">
        <v>336</v>
      </c>
      <c r="N2191" s="57" t="s">
        <v>381</v>
      </c>
      <c r="O2191" s="57" t="s">
        <v>2755</v>
      </c>
      <c r="P2191" s="57"/>
      <c r="Q2191" s="57" t="s">
        <v>698</v>
      </c>
    </row>
    <row r="2192" s="50" customFormat="true" ht="14.25" hidden="false" customHeight="true" outlineLevel="0" collapsed="false">
      <c r="A2192" s="50" t="s">
        <v>651</v>
      </c>
      <c r="B2192" s="57" t="s">
        <v>651</v>
      </c>
      <c r="C2192" s="57" t="s">
        <v>1514</v>
      </c>
      <c r="D2192" s="58" t="n">
        <v>46063.5438888889</v>
      </c>
      <c r="E2192" s="58" t="n">
        <v>46063.5438888889</v>
      </c>
      <c r="F2192" s="58" t="n">
        <v>46063.5446527778</v>
      </c>
      <c r="G2192" s="59" t="n">
        <f aca="false">F2192-E2192</f>
        <v>0.000763888888888889</v>
      </c>
      <c r="H2192" s="57" t="s">
        <v>252</v>
      </c>
      <c r="I2192" s="57"/>
      <c r="J2192" s="57" t="s">
        <v>333</v>
      </c>
      <c r="K2192" s="57" t="s">
        <v>334</v>
      </c>
      <c r="L2192" s="57" t="s">
        <v>2754</v>
      </c>
      <c r="M2192" s="57" t="s">
        <v>336</v>
      </c>
      <c r="N2192" s="57" t="s">
        <v>381</v>
      </c>
      <c r="O2192" s="57" t="s">
        <v>2755</v>
      </c>
      <c r="P2192" s="57"/>
      <c r="Q2192" s="57" t="s">
        <v>698</v>
      </c>
    </row>
    <row r="2193" s="50" customFormat="true" ht="14.25" hidden="false" customHeight="true" outlineLevel="0" collapsed="false">
      <c r="A2193" s="50" t="s">
        <v>651</v>
      </c>
      <c r="B2193" s="57" t="s">
        <v>651</v>
      </c>
      <c r="C2193" s="57" t="s">
        <v>1514</v>
      </c>
      <c r="D2193" s="58" t="n">
        <v>46061.5346412037</v>
      </c>
      <c r="E2193" s="58" t="n">
        <v>46061.5346412037</v>
      </c>
      <c r="F2193" s="58" t="n">
        <v>46061.5353703704</v>
      </c>
      <c r="G2193" s="59" t="n">
        <f aca="false">F2193-E2193</f>
        <v>0.000729166701388889</v>
      </c>
      <c r="H2193" s="57" t="s">
        <v>252</v>
      </c>
      <c r="I2193" s="57"/>
      <c r="J2193" s="57" t="s">
        <v>333</v>
      </c>
      <c r="K2193" s="57" t="s">
        <v>334</v>
      </c>
      <c r="L2193" s="57" t="s">
        <v>2754</v>
      </c>
      <c r="M2193" s="57" t="s">
        <v>336</v>
      </c>
      <c r="N2193" s="57" t="s">
        <v>381</v>
      </c>
      <c r="O2193" s="57" t="s">
        <v>2755</v>
      </c>
      <c r="P2193" s="57"/>
      <c r="Q2193" s="57" t="s">
        <v>698</v>
      </c>
    </row>
    <row r="2194" s="50" customFormat="true" ht="14.25" hidden="false" customHeight="true" outlineLevel="0" collapsed="false">
      <c r="A2194" s="50" t="s">
        <v>651</v>
      </c>
      <c r="B2194" s="57" t="s">
        <v>651</v>
      </c>
      <c r="C2194" s="57" t="s">
        <v>1514</v>
      </c>
      <c r="D2194" s="58" t="n">
        <v>46061.5290509259</v>
      </c>
      <c r="E2194" s="58" t="n">
        <v>46061.5290509259</v>
      </c>
      <c r="F2194" s="58" t="n">
        <v>46061.5298032407</v>
      </c>
      <c r="G2194" s="59" t="n">
        <f aca="false">F2194-E2194</f>
        <v>0.000752314803240741</v>
      </c>
      <c r="H2194" s="57" t="s">
        <v>252</v>
      </c>
      <c r="I2194" s="57"/>
      <c r="J2194" s="57" t="s">
        <v>333</v>
      </c>
      <c r="K2194" s="57" t="s">
        <v>334</v>
      </c>
      <c r="L2194" s="57" t="s">
        <v>2754</v>
      </c>
      <c r="M2194" s="57" t="s">
        <v>336</v>
      </c>
      <c r="N2194" s="57" t="s">
        <v>381</v>
      </c>
      <c r="O2194" s="57" t="s">
        <v>2755</v>
      </c>
      <c r="P2194" s="57"/>
      <c r="Q2194" s="57" t="s">
        <v>698</v>
      </c>
    </row>
    <row r="2195" s="50" customFormat="true" ht="14.25" hidden="false" customHeight="true" outlineLevel="0" collapsed="false">
      <c r="A2195" s="50" t="s">
        <v>651</v>
      </c>
      <c r="B2195" s="57" t="s">
        <v>651</v>
      </c>
      <c r="C2195" s="57" t="s">
        <v>1514</v>
      </c>
      <c r="D2195" s="58" t="n">
        <v>46061.5244907407</v>
      </c>
      <c r="E2195" s="58" t="n">
        <v>46061.5244907407</v>
      </c>
      <c r="F2195" s="58" t="n">
        <v>46061.5252662037</v>
      </c>
      <c r="G2195" s="59" t="n">
        <f aca="false">F2195-E2195</f>
        <v>0.000775462997685185</v>
      </c>
      <c r="H2195" s="57" t="s">
        <v>252</v>
      </c>
      <c r="I2195" s="57"/>
      <c r="J2195" s="57" t="s">
        <v>333</v>
      </c>
      <c r="K2195" s="57" t="s">
        <v>334</v>
      </c>
      <c r="L2195" s="57" t="s">
        <v>2754</v>
      </c>
      <c r="M2195" s="57" t="s">
        <v>336</v>
      </c>
      <c r="N2195" s="57" t="s">
        <v>381</v>
      </c>
      <c r="O2195" s="57" t="s">
        <v>2755</v>
      </c>
      <c r="P2195" s="57"/>
      <c r="Q2195" s="57" t="s">
        <v>698</v>
      </c>
    </row>
    <row r="2196" s="50" customFormat="true" ht="14.25" hidden="false" customHeight="true" outlineLevel="0" collapsed="false">
      <c r="A2196" s="50" t="s">
        <v>651</v>
      </c>
      <c r="B2196" s="57" t="s">
        <v>651</v>
      </c>
      <c r="C2196" s="57" t="s">
        <v>1514</v>
      </c>
      <c r="D2196" s="58" t="n">
        <v>46061.4920023148</v>
      </c>
      <c r="E2196" s="58" t="n">
        <v>46061.4920023148</v>
      </c>
      <c r="F2196" s="58" t="n">
        <v>46061.4927777778</v>
      </c>
      <c r="G2196" s="59" t="n">
        <f aca="false">F2196-E2196</f>
        <v>0.000775462997685185</v>
      </c>
      <c r="H2196" s="57" t="s">
        <v>252</v>
      </c>
      <c r="I2196" s="57"/>
      <c r="J2196" s="57" t="s">
        <v>333</v>
      </c>
      <c r="K2196" s="57" t="s">
        <v>334</v>
      </c>
      <c r="L2196" s="57" t="s">
        <v>2754</v>
      </c>
      <c r="M2196" s="57" t="s">
        <v>336</v>
      </c>
      <c r="N2196" s="57" t="s">
        <v>381</v>
      </c>
      <c r="O2196" s="57" t="s">
        <v>2755</v>
      </c>
      <c r="P2196" s="57"/>
      <c r="Q2196" s="57" t="s">
        <v>698</v>
      </c>
    </row>
    <row r="2197" s="50" customFormat="true" ht="14.25" hidden="false" customHeight="true" outlineLevel="0" collapsed="false">
      <c r="A2197" s="50" t="s">
        <v>651</v>
      </c>
      <c r="B2197" s="57" t="s">
        <v>651</v>
      </c>
      <c r="C2197" s="57" t="s">
        <v>1514</v>
      </c>
      <c r="D2197" s="58" t="n">
        <v>46061.4705555556</v>
      </c>
      <c r="E2197" s="58" t="n">
        <v>46061.4705555556</v>
      </c>
      <c r="F2197" s="58" t="n">
        <v>46061.4713194444</v>
      </c>
      <c r="G2197" s="59" t="n">
        <f aca="false">F2197-E2197</f>
        <v>0.000763888796296296</v>
      </c>
      <c r="H2197" s="57" t="s">
        <v>252</v>
      </c>
      <c r="I2197" s="57"/>
      <c r="J2197" s="57" t="s">
        <v>333</v>
      </c>
      <c r="K2197" s="57" t="s">
        <v>334</v>
      </c>
      <c r="L2197" s="57" t="s">
        <v>2754</v>
      </c>
      <c r="M2197" s="57" t="s">
        <v>336</v>
      </c>
      <c r="N2197" s="57" t="s">
        <v>381</v>
      </c>
      <c r="O2197" s="57" t="s">
        <v>2755</v>
      </c>
      <c r="P2197" s="57"/>
      <c r="Q2197" s="57" t="s">
        <v>698</v>
      </c>
    </row>
    <row r="2198" s="50" customFormat="true" ht="14.25" hidden="false" customHeight="true" outlineLevel="0" collapsed="false">
      <c r="A2198" s="50" t="s">
        <v>651</v>
      </c>
      <c r="B2198" s="57" t="s">
        <v>651</v>
      </c>
      <c r="C2198" s="57" t="s">
        <v>1514</v>
      </c>
      <c r="D2198" s="58" t="n">
        <v>46061.4666319444</v>
      </c>
      <c r="E2198" s="58" t="n">
        <v>46061.4666319444</v>
      </c>
      <c r="F2198" s="58" t="n">
        <v>46061.4674189815</v>
      </c>
      <c r="G2198" s="59" t="n">
        <f aca="false">F2198-E2198</f>
        <v>0.000787037094907407</v>
      </c>
      <c r="H2198" s="57" t="s">
        <v>252</v>
      </c>
      <c r="I2198" s="57"/>
      <c r="J2198" s="57" t="s">
        <v>333</v>
      </c>
      <c r="K2198" s="57" t="s">
        <v>334</v>
      </c>
      <c r="L2198" s="57" t="s">
        <v>2754</v>
      </c>
      <c r="M2198" s="57" t="s">
        <v>336</v>
      </c>
      <c r="N2198" s="57" t="s">
        <v>381</v>
      </c>
      <c r="O2198" s="57" t="s">
        <v>2755</v>
      </c>
      <c r="P2198" s="57"/>
      <c r="Q2198" s="57" t="s">
        <v>698</v>
      </c>
    </row>
    <row r="2199" s="50" customFormat="true" ht="14.25" hidden="false" customHeight="true" outlineLevel="0" collapsed="false">
      <c r="A2199" s="50" t="s">
        <v>651</v>
      </c>
      <c r="B2199" s="57" t="s">
        <v>651</v>
      </c>
      <c r="C2199" s="57" t="s">
        <v>1514</v>
      </c>
      <c r="D2199" s="58" t="n">
        <v>46061.4622337963</v>
      </c>
      <c r="E2199" s="58" t="n">
        <v>46061.4622337963</v>
      </c>
      <c r="F2199" s="58" t="n">
        <v>46061.4629976852</v>
      </c>
      <c r="G2199" s="59" t="n">
        <f aca="false">F2199-E2199</f>
        <v>0.000763888888888889</v>
      </c>
      <c r="H2199" s="57" t="s">
        <v>252</v>
      </c>
      <c r="I2199" s="57"/>
      <c r="J2199" s="57" t="s">
        <v>333</v>
      </c>
      <c r="K2199" s="57" t="s">
        <v>334</v>
      </c>
      <c r="L2199" s="57" t="s">
        <v>2754</v>
      </c>
      <c r="M2199" s="57" t="s">
        <v>336</v>
      </c>
      <c r="N2199" s="57" t="s">
        <v>381</v>
      </c>
      <c r="O2199" s="57" t="s">
        <v>2755</v>
      </c>
      <c r="P2199" s="57"/>
      <c r="Q2199" s="57" t="s">
        <v>698</v>
      </c>
    </row>
    <row r="2200" s="50" customFormat="true" ht="14.25" hidden="false" customHeight="true" outlineLevel="0" collapsed="false">
      <c r="A2200" s="50" t="s">
        <v>651</v>
      </c>
      <c r="B2200" s="57" t="s">
        <v>651</v>
      </c>
      <c r="C2200" s="57" t="s">
        <v>1514</v>
      </c>
      <c r="D2200" s="58" t="n">
        <v>46060.5814583333</v>
      </c>
      <c r="E2200" s="58" t="n">
        <v>46060.5814583333</v>
      </c>
      <c r="F2200" s="58" t="n">
        <v>46060.5822337963</v>
      </c>
      <c r="G2200" s="59" t="n">
        <f aca="false">F2200-E2200</f>
        <v>0.000775463009259259</v>
      </c>
      <c r="H2200" s="57" t="s">
        <v>252</v>
      </c>
      <c r="I2200" s="57"/>
      <c r="J2200" s="57" t="s">
        <v>333</v>
      </c>
      <c r="K2200" s="57" t="s">
        <v>334</v>
      </c>
      <c r="L2200" s="57" t="s">
        <v>2754</v>
      </c>
      <c r="M2200" s="57" t="s">
        <v>336</v>
      </c>
      <c r="N2200" s="57" t="s">
        <v>381</v>
      </c>
      <c r="O2200" s="57" t="s">
        <v>2755</v>
      </c>
      <c r="P2200" s="57"/>
      <c r="Q2200" s="57" t="s">
        <v>698</v>
      </c>
    </row>
    <row r="2201" s="50" customFormat="true" ht="14.25" hidden="false" customHeight="true" outlineLevel="0" collapsed="false">
      <c r="A2201" s="50" t="s">
        <v>651</v>
      </c>
      <c r="B2201" s="57" t="s">
        <v>651</v>
      </c>
      <c r="C2201" s="57" t="s">
        <v>1514</v>
      </c>
      <c r="D2201" s="58" t="n">
        <v>46060.5196875</v>
      </c>
      <c r="E2201" s="58" t="n">
        <v>46060.5196875</v>
      </c>
      <c r="F2201" s="58" t="n">
        <v>46060.5204513889</v>
      </c>
      <c r="G2201" s="59" t="n">
        <f aca="false">F2201-E2201</f>
        <v>0.000763888888888889</v>
      </c>
      <c r="H2201" s="57" t="s">
        <v>252</v>
      </c>
      <c r="I2201" s="57"/>
      <c r="J2201" s="57" t="s">
        <v>333</v>
      </c>
      <c r="K2201" s="57" t="s">
        <v>334</v>
      </c>
      <c r="L2201" s="57" t="s">
        <v>2754</v>
      </c>
      <c r="M2201" s="57" t="s">
        <v>336</v>
      </c>
      <c r="N2201" s="57" t="s">
        <v>381</v>
      </c>
      <c r="O2201" s="57" t="s">
        <v>2755</v>
      </c>
      <c r="P2201" s="57"/>
      <c r="Q2201" s="57" t="s">
        <v>698</v>
      </c>
    </row>
    <row r="2202" s="50" customFormat="true" ht="14.25" hidden="false" customHeight="true" outlineLevel="0" collapsed="false">
      <c r="A2202" s="50" t="s">
        <v>651</v>
      </c>
      <c r="B2202" s="57" t="s">
        <v>651</v>
      </c>
      <c r="C2202" s="57" t="s">
        <v>1514</v>
      </c>
      <c r="D2202" s="58" t="n">
        <v>46060.5154050926</v>
      </c>
      <c r="E2202" s="58" t="n">
        <v>46060.5154050926</v>
      </c>
      <c r="F2202" s="58" t="n">
        <v>46060.5161805556</v>
      </c>
      <c r="G2202" s="59" t="n">
        <f aca="false">F2202-E2202</f>
        <v>0.000775462997685185</v>
      </c>
      <c r="H2202" s="57" t="s">
        <v>252</v>
      </c>
      <c r="I2202" s="57"/>
      <c r="J2202" s="57" t="s">
        <v>333</v>
      </c>
      <c r="K2202" s="57" t="s">
        <v>334</v>
      </c>
      <c r="L2202" s="57" t="s">
        <v>2754</v>
      </c>
      <c r="M2202" s="57" t="s">
        <v>336</v>
      </c>
      <c r="N2202" s="57" t="s">
        <v>381</v>
      </c>
      <c r="O2202" s="57" t="s">
        <v>2755</v>
      </c>
      <c r="P2202" s="57"/>
      <c r="Q2202" s="57" t="s">
        <v>698</v>
      </c>
    </row>
    <row r="2203" s="50" customFormat="true" ht="14.25" hidden="false" customHeight="true" outlineLevel="0" collapsed="false">
      <c r="A2203" s="50" t="s">
        <v>651</v>
      </c>
      <c r="B2203" s="57" t="s">
        <v>651</v>
      </c>
      <c r="C2203" s="57" t="s">
        <v>1514</v>
      </c>
      <c r="D2203" s="58" t="n">
        <v>46060.5090625</v>
      </c>
      <c r="E2203" s="58" t="n">
        <v>46060.5090625</v>
      </c>
      <c r="F2203" s="58" t="n">
        <v>46060.5098611111</v>
      </c>
      <c r="G2203" s="59" t="n">
        <f aca="false">F2203-E2203</f>
        <v>0.000798611111111111</v>
      </c>
      <c r="H2203" s="57" t="s">
        <v>252</v>
      </c>
      <c r="I2203" s="57"/>
      <c r="J2203" s="57" t="s">
        <v>333</v>
      </c>
      <c r="K2203" s="57" t="s">
        <v>334</v>
      </c>
      <c r="L2203" s="57" t="s">
        <v>2754</v>
      </c>
      <c r="M2203" s="57" t="s">
        <v>336</v>
      </c>
      <c r="N2203" s="57" t="s">
        <v>381</v>
      </c>
      <c r="O2203" s="57" t="s">
        <v>2755</v>
      </c>
      <c r="P2203" s="57"/>
      <c r="Q2203" s="57" t="s">
        <v>698</v>
      </c>
    </row>
    <row r="2204" s="50" customFormat="true" ht="14.25" hidden="false" customHeight="true" outlineLevel="0" collapsed="false">
      <c r="A2204" s="50" t="s">
        <v>651</v>
      </c>
      <c r="B2204" s="57" t="s">
        <v>651</v>
      </c>
      <c r="C2204" s="57" t="s">
        <v>1514</v>
      </c>
      <c r="D2204" s="58" t="n">
        <v>46060.5054282407</v>
      </c>
      <c r="E2204" s="58" t="n">
        <v>46060.5054282407</v>
      </c>
      <c r="F2204" s="58" t="n">
        <v>46060.5061921296</v>
      </c>
      <c r="G2204" s="59" t="n">
        <f aca="false">F2204-E2204</f>
        <v>0.000763888888888889</v>
      </c>
      <c r="H2204" s="57" t="s">
        <v>252</v>
      </c>
      <c r="I2204" s="57"/>
      <c r="J2204" s="57" t="s">
        <v>333</v>
      </c>
      <c r="K2204" s="57" t="s">
        <v>334</v>
      </c>
      <c r="L2204" s="57" t="s">
        <v>2754</v>
      </c>
      <c r="M2204" s="57" t="s">
        <v>336</v>
      </c>
      <c r="N2204" s="57" t="s">
        <v>381</v>
      </c>
      <c r="O2204" s="57" t="s">
        <v>2755</v>
      </c>
      <c r="P2204" s="57"/>
      <c r="Q2204" s="57" t="s">
        <v>698</v>
      </c>
    </row>
    <row r="2205" s="50" customFormat="true" ht="14.25" hidden="false" customHeight="true" outlineLevel="0" collapsed="false">
      <c r="A2205" s="50" t="s">
        <v>651</v>
      </c>
      <c r="B2205" s="57" t="s">
        <v>651</v>
      </c>
      <c r="C2205" s="57" t="s">
        <v>1514</v>
      </c>
      <c r="D2205" s="58" t="n">
        <v>46060.5021643519</v>
      </c>
      <c r="E2205" s="58" t="n">
        <v>46060.5021643519</v>
      </c>
      <c r="F2205" s="58" t="n">
        <v>46060.5029398148</v>
      </c>
      <c r="G2205" s="59" t="n">
        <f aca="false">F2205-E2205</f>
        <v>0.000775462905092593</v>
      </c>
      <c r="H2205" s="57" t="s">
        <v>252</v>
      </c>
      <c r="I2205" s="57"/>
      <c r="J2205" s="57" t="s">
        <v>333</v>
      </c>
      <c r="K2205" s="57" t="s">
        <v>334</v>
      </c>
      <c r="L2205" s="57" t="s">
        <v>2754</v>
      </c>
      <c r="M2205" s="57" t="s">
        <v>336</v>
      </c>
      <c r="N2205" s="57" t="s">
        <v>381</v>
      </c>
      <c r="O2205" s="57" t="s">
        <v>2755</v>
      </c>
      <c r="P2205" s="57"/>
      <c r="Q2205" s="57" t="s">
        <v>698</v>
      </c>
    </row>
    <row r="2206" s="50" customFormat="true" ht="14.25" hidden="false" customHeight="true" outlineLevel="0" collapsed="false">
      <c r="A2206" s="50" t="s">
        <v>651</v>
      </c>
      <c r="B2206" s="57" t="s">
        <v>651</v>
      </c>
      <c r="C2206" s="57" t="s">
        <v>1514</v>
      </c>
      <c r="D2206" s="58" t="n">
        <v>46060.4988310185</v>
      </c>
      <c r="E2206" s="58" t="n">
        <v>46060.4988310185</v>
      </c>
      <c r="F2206" s="58" t="n">
        <v>46060.4996180556</v>
      </c>
      <c r="G2206" s="59" t="n">
        <f aca="false">F2206-E2206</f>
        <v>0.000787037094907407</v>
      </c>
      <c r="H2206" s="57" t="s">
        <v>252</v>
      </c>
      <c r="I2206" s="57"/>
      <c r="J2206" s="57" t="s">
        <v>333</v>
      </c>
      <c r="K2206" s="57" t="s">
        <v>334</v>
      </c>
      <c r="L2206" s="57" t="s">
        <v>2754</v>
      </c>
      <c r="M2206" s="57" t="s">
        <v>336</v>
      </c>
      <c r="N2206" s="57" t="s">
        <v>381</v>
      </c>
      <c r="O2206" s="57" t="s">
        <v>2755</v>
      </c>
      <c r="P2206" s="57"/>
      <c r="Q2206" s="57" t="s">
        <v>698</v>
      </c>
    </row>
    <row r="2207" s="50" customFormat="true" ht="14.25" hidden="false" customHeight="true" outlineLevel="0" collapsed="false">
      <c r="A2207" s="50" t="s">
        <v>651</v>
      </c>
      <c r="B2207" s="57" t="s">
        <v>651</v>
      </c>
      <c r="C2207" s="57" t="s">
        <v>1514</v>
      </c>
      <c r="D2207" s="58" t="n">
        <v>46060.4953587963</v>
      </c>
      <c r="E2207" s="58" t="n">
        <v>46060.4953587963</v>
      </c>
      <c r="F2207" s="58" t="n">
        <v>46060.4961342593</v>
      </c>
      <c r="G2207" s="59" t="n">
        <f aca="false">F2207-E2207</f>
        <v>0.000775462997685185</v>
      </c>
      <c r="H2207" s="57" t="s">
        <v>252</v>
      </c>
      <c r="I2207" s="57"/>
      <c r="J2207" s="57" t="s">
        <v>333</v>
      </c>
      <c r="K2207" s="57" t="s">
        <v>334</v>
      </c>
      <c r="L2207" s="57" t="s">
        <v>2754</v>
      </c>
      <c r="M2207" s="57" t="s">
        <v>336</v>
      </c>
      <c r="N2207" s="57" t="s">
        <v>381</v>
      </c>
      <c r="O2207" s="57" t="s">
        <v>2755</v>
      </c>
      <c r="P2207" s="57"/>
      <c r="Q2207" s="57" t="s">
        <v>698</v>
      </c>
    </row>
    <row r="2208" s="50" customFormat="true" ht="14.25" hidden="false" customHeight="true" outlineLevel="0" collapsed="false">
      <c r="A2208" s="50" t="s">
        <v>651</v>
      </c>
      <c r="B2208" s="57" t="s">
        <v>651</v>
      </c>
      <c r="C2208" s="57" t="s">
        <v>1514</v>
      </c>
      <c r="D2208" s="58" t="n">
        <v>46060.49</v>
      </c>
      <c r="E2208" s="58" t="n">
        <v>46060.49</v>
      </c>
      <c r="F2208" s="58" t="n">
        <v>46060.4908449074</v>
      </c>
      <c r="G2208" s="59" t="n">
        <f aca="false">F2208-E2208</f>
        <v>0.000844907407407407</v>
      </c>
      <c r="H2208" s="57" t="s">
        <v>252</v>
      </c>
      <c r="I2208" s="57"/>
      <c r="J2208" s="57" t="s">
        <v>333</v>
      </c>
      <c r="K2208" s="57" t="s">
        <v>334</v>
      </c>
      <c r="L2208" s="57" t="s">
        <v>2754</v>
      </c>
      <c r="M2208" s="57" t="s">
        <v>336</v>
      </c>
      <c r="N2208" s="57" t="s">
        <v>381</v>
      </c>
      <c r="O2208" s="57" t="s">
        <v>2755</v>
      </c>
      <c r="P2208" s="57"/>
      <c r="Q2208" s="57" t="s">
        <v>698</v>
      </c>
    </row>
    <row r="2209" s="50" customFormat="true" ht="14.25" hidden="false" customHeight="true" outlineLevel="0" collapsed="false">
      <c r="A2209" s="50" t="s">
        <v>651</v>
      </c>
      <c r="B2209" s="57" t="s">
        <v>651</v>
      </c>
      <c r="C2209" s="57" t="s">
        <v>1514</v>
      </c>
      <c r="D2209" s="58" t="n">
        <v>46060.4862037037</v>
      </c>
      <c r="E2209" s="58" t="n">
        <v>46060.4862037037</v>
      </c>
      <c r="F2209" s="58" t="n">
        <v>46060.4869791667</v>
      </c>
      <c r="G2209" s="59" t="n">
        <f aca="false">F2209-E2209</f>
        <v>0.000775462997685185</v>
      </c>
      <c r="H2209" s="57" t="s">
        <v>252</v>
      </c>
      <c r="I2209" s="57"/>
      <c r="J2209" s="57" t="s">
        <v>333</v>
      </c>
      <c r="K2209" s="57" t="s">
        <v>334</v>
      </c>
      <c r="L2209" s="57" t="s">
        <v>2754</v>
      </c>
      <c r="M2209" s="57" t="s">
        <v>336</v>
      </c>
      <c r="N2209" s="57" t="s">
        <v>381</v>
      </c>
      <c r="O2209" s="57" t="s">
        <v>2755</v>
      </c>
      <c r="P2209" s="57"/>
      <c r="Q2209" s="57" t="s">
        <v>698</v>
      </c>
    </row>
    <row r="2210" s="50" customFormat="true" ht="14.25" hidden="false" customHeight="true" outlineLevel="0" collapsed="false">
      <c r="A2210" s="50" t="s">
        <v>651</v>
      </c>
      <c r="B2210" s="57" t="s">
        <v>651</v>
      </c>
      <c r="C2210" s="57" t="s">
        <v>1514</v>
      </c>
      <c r="D2210" s="58" t="n">
        <v>46060.4824537037</v>
      </c>
      <c r="E2210" s="58" t="n">
        <v>46060.4824537037</v>
      </c>
      <c r="F2210" s="58" t="n">
        <v>46060.4832291667</v>
      </c>
      <c r="G2210" s="59" t="n">
        <f aca="false">F2210-E2210</f>
        <v>0.000775462997685185</v>
      </c>
      <c r="H2210" s="57" t="s">
        <v>252</v>
      </c>
      <c r="I2210" s="57"/>
      <c r="J2210" s="57" t="s">
        <v>333</v>
      </c>
      <c r="K2210" s="57" t="s">
        <v>334</v>
      </c>
      <c r="L2210" s="57" t="s">
        <v>2754</v>
      </c>
      <c r="M2210" s="57" t="s">
        <v>336</v>
      </c>
      <c r="N2210" s="57" t="s">
        <v>381</v>
      </c>
      <c r="O2210" s="57" t="s">
        <v>2755</v>
      </c>
      <c r="P2210" s="57"/>
      <c r="Q2210" s="57" t="s">
        <v>698</v>
      </c>
    </row>
    <row r="2211" s="50" customFormat="true" ht="14.25" hidden="false" customHeight="true" outlineLevel="0" collapsed="false">
      <c r="A2211" s="50" t="s">
        <v>651</v>
      </c>
      <c r="B2211" s="57" t="s">
        <v>651</v>
      </c>
      <c r="C2211" s="57" t="s">
        <v>1514</v>
      </c>
      <c r="D2211" s="58" t="n">
        <v>46060.477974537</v>
      </c>
      <c r="E2211" s="58" t="n">
        <v>46060.477974537</v>
      </c>
      <c r="F2211" s="58" t="n">
        <v>46060.4787384259</v>
      </c>
      <c r="G2211" s="59" t="n">
        <f aca="false">F2211-E2211</f>
        <v>0.000763888888888889</v>
      </c>
      <c r="H2211" s="57" t="s">
        <v>252</v>
      </c>
      <c r="I2211" s="57"/>
      <c r="J2211" s="57" t="s">
        <v>333</v>
      </c>
      <c r="K2211" s="57" t="s">
        <v>334</v>
      </c>
      <c r="L2211" s="57" t="s">
        <v>2754</v>
      </c>
      <c r="M2211" s="57" t="s">
        <v>336</v>
      </c>
      <c r="N2211" s="57" t="s">
        <v>381</v>
      </c>
      <c r="O2211" s="57" t="s">
        <v>2755</v>
      </c>
      <c r="P2211" s="57"/>
      <c r="Q2211" s="57" t="s">
        <v>698</v>
      </c>
    </row>
    <row r="2212" s="50" customFormat="true" ht="14.25" hidden="false" customHeight="true" outlineLevel="0" collapsed="false">
      <c r="A2212" s="50" t="s">
        <v>651</v>
      </c>
      <c r="B2212" s="57" t="s">
        <v>651</v>
      </c>
      <c r="C2212" s="57" t="s">
        <v>1514</v>
      </c>
      <c r="D2212" s="58" t="n">
        <v>46060.4735763889</v>
      </c>
      <c r="E2212" s="58" t="n">
        <v>46060.4735763889</v>
      </c>
      <c r="F2212" s="58" t="n">
        <v>46060.4743634259</v>
      </c>
      <c r="G2212" s="59" t="n">
        <f aca="false">F2212-E2212</f>
        <v>0.000787037002314815</v>
      </c>
      <c r="H2212" s="57" t="s">
        <v>252</v>
      </c>
      <c r="I2212" s="57"/>
      <c r="J2212" s="57" t="s">
        <v>333</v>
      </c>
      <c r="K2212" s="57" t="s">
        <v>334</v>
      </c>
      <c r="L2212" s="57" t="s">
        <v>2754</v>
      </c>
      <c r="M2212" s="57" t="s">
        <v>336</v>
      </c>
      <c r="N2212" s="57" t="s">
        <v>381</v>
      </c>
      <c r="O2212" s="57" t="s">
        <v>2755</v>
      </c>
      <c r="P2212" s="57"/>
      <c r="Q2212" s="57" t="s">
        <v>698</v>
      </c>
    </row>
    <row r="2213" s="50" customFormat="true" ht="14.25" hidden="false" customHeight="true" outlineLevel="0" collapsed="false">
      <c r="A2213" s="50" t="s">
        <v>651</v>
      </c>
      <c r="B2213" s="57" t="s">
        <v>651</v>
      </c>
      <c r="C2213" s="57" t="s">
        <v>1514</v>
      </c>
      <c r="D2213" s="58" t="n">
        <v>46060.4419212963</v>
      </c>
      <c r="E2213" s="58" t="n">
        <v>46060.4419212963</v>
      </c>
      <c r="F2213" s="58" t="n">
        <v>46060.4426851852</v>
      </c>
      <c r="G2213" s="59" t="n">
        <f aca="false">F2213-E2213</f>
        <v>0.000763888888888889</v>
      </c>
      <c r="H2213" s="57" t="s">
        <v>252</v>
      </c>
      <c r="I2213" s="57"/>
      <c r="J2213" s="57" t="s">
        <v>333</v>
      </c>
      <c r="K2213" s="57" t="s">
        <v>334</v>
      </c>
      <c r="L2213" s="57" t="s">
        <v>2754</v>
      </c>
      <c r="M2213" s="57" t="s">
        <v>336</v>
      </c>
      <c r="N2213" s="57" t="s">
        <v>381</v>
      </c>
      <c r="O2213" s="57" t="s">
        <v>2755</v>
      </c>
      <c r="P2213" s="57"/>
      <c r="Q2213" s="57" t="s">
        <v>698</v>
      </c>
    </row>
    <row r="2214" s="50" customFormat="true" ht="14.25" hidden="false" customHeight="true" outlineLevel="0" collapsed="false">
      <c r="A2214" s="50" t="s">
        <v>651</v>
      </c>
      <c r="B2214" s="57" t="s">
        <v>651</v>
      </c>
      <c r="C2214" s="57" t="s">
        <v>1514</v>
      </c>
      <c r="D2214" s="58" t="n">
        <v>46060.4348842593</v>
      </c>
      <c r="E2214" s="58" t="n">
        <v>46060.4348842593</v>
      </c>
      <c r="F2214" s="58" t="n">
        <v>46060.4356597222</v>
      </c>
      <c r="G2214" s="59" t="n">
        <f aca="false">F2214-E2214</f>
        <v>0.000775462893518519</v>
      </c>
      <c r="H2214" s="57" t="s">
        <v>252</v>
      </c>
      <c r="I2214" s="57"/>
      <c r="J2214" s="57" t="s">
        <v>333</v>
      </c>
      <c r="K2214" s="57" t="s">
        <v>334</v>
      </c>
      <c r="L2214" s="57" t="s">
        <v>2754</v>
      </c>
      <c r="M2214" s="57" t="s">
        <v>336</v>
      </c>
      <c r="N2214" s="57" t="s">
        <v>381</v>
      </c>
      <c r="O2214" s="57" t="s">
        <v>2755</v>
      </c>
      <c r="P2214" s="57"/>
      <c r="Q2214" s="57" t="s">
        <v>698</v>
      </c>
    </row>
    <row r="2215" s="50" customFormat="true" ht="14.25" hidden="false" customHeight="true" outlineLevel="0" collapsed="false">
      <c r="A2215" s="50" t="s">
        <v>651</v>
      </c>
      <c r="B2215" s="57" t="s">
        <v>651</v>
      </c>
      <c r="C2215" s="57" t="s">
        <v>1514</v>
      </c>
      <c r="D2215" s="58" t="n">
        <v>46060.4310300926</v>
      </c>
      <c r="E2215" s="58" t="n">
        <v>46060.4310300926</v>
      </c>
      <c r="F2215" s="58" t="n">
        <v>46060.4318055556</v>
      </c>
      <c r="G2215" s="59" t="n">
        <f aca="false">F2215-E2215</f>
        <v>0.000775462997685185</v>
      </c>
      <c r="H2215" s="57" t="s">
        <v>252</v>
      </c>
      <c r="I2215" s="57"/>
      <c r="J2215" s="57" t="s">
        <v>333</v>
      </c>
      <c r="K2215" s="57" t="s">
        <v>334</v>
      </c>
      <c r="L2215" s="57" t="s">
        <v>2754</v>
      </c>
      <c r="M2215" s="57" t="s">
        <v>336</v>
      </c>
      <c r="N2215" s="57" t="s">
        <v>381</v>
      </c>
      <c r="O2215" s="57" t="s">
        <v>2755</v>
      </c>
      <c r="P2215" s="57"/>
      <c r="Q2215" s="57" t="s">
        <v>698</v>
      </c>
    </row>
    <row r="2216" s="50" customFormat="true" ht="14.25" hidden="false" customHeight="true" outlineLevel="0" collapsed="false">
      <c r="A2216" s="50" t="s">
        <v>651</v>
      </c>
      <c r="B2216" s="57" t="s">
        <v>651</v>
      </c>
      <c r="C2216" s="57" t="s">
        <v>1514</v>
      </c>
      <c r="D2216" s="58" t="n">
        <v>46060.4270023148</v>
      </c>
      <c r="E2216" s="58" t="n">
        <v>46060.4270023148</v>
      </c>
      <c r="F2216" s="58" t="n">
        <v>46060.4277777778</v>
      </c>
      <c r="G2216" s="59" t="n">
        <f aca="false">F2216-E2216</f>
        <v>0.000775462997685185</v>
      </c>
      <c r="H2216" s="57" t="s">
        <v>252</v>
      </c>
      <c r="I2216" s="57"/>
      <c r="J2216" s="57" t="s">
        <v>333</v>
      </c>
      <c r="K2216" s="57" t="s">
        <v>334</v>
      </c>
      <c r="L2216" s="57" t="s">
        <v>2754</v>
      </c>
      <c r="M2216" s="57" t="s">
        <v>336</v>
      </c>
      <c r="N2216" s="57" t="s">
        <v>381</v>
      </c>
      <c r="O2216" s="57" t="s">
        <v>2755</v>
      </c>
      <c r="P2216" s="57"/>
      <c r="Q2216" s="57" t="s">
        <v>698</v>
      </c>
    </row>
    <row r="2217" s="50" customFormat="true" ht="14.25" hidden="false" customHeight="true" outlineLevel="0" collapsed="false">
      <c r="A2217" s="50" t="s">
        <v>651</v>
      </c>
      <c r="B2217" s="57" t="s">
        <v>651</v>
      </c>
      <c r="C2217" s="57" t="s">
        <v>1514</v>
      </c>
      <c r="D2217" s="58" t="n">
        <v>46060.4057986111</v>
      </c>
      <c r="E2217" s="58" t="n">
        <v>46060.4057986111</v>
      </c>
      <c r="F2217" s="58" t="n">
        <v>46060.4068402778</v>
      </c>
      <c r="G2217" s="59" t="n">
        <f aca="false">F2217-E2217</f>
        <v>0.00104166670138889</v>
      </c>
      <c r="H2217" s="57" t="s">
        <v>252</v>
      </c>
      <c r="I2217" s="57"/>
      <c r="J2217" s="57" t="s">
        <v>333</v>
      </c>
      <c r="K2217" s="57" t="s">
        <v>334</v>
      </c>
      <c r="L2217" s="57" t="s">
        <v>2754</v>
      </c>
      <c r="M2217" s="57" t="s">
        <v>336</v>
      </c>
      <c r="N2217" s="57" t="s">
        <v>381</v>
      </c>
      <c r="O2217" s="57" t="s">
        <v>2755</v>
      </c>
      <c r="P2217" s="57"/>
      <c r="Q2217" s="57" t="s">
        <v>698</v>
      </c>
    </row>
    <row r="2218" s="50" customFormat="true" ht="14.25" hidden="false" customHeight="true" outlineLevel="0" collapsed="false">
      <c r="A2218" s="50" t="s">
        <v>651</v>
      </c>
      <c r="B2218" s="57" t="s">
        <v>651</v>
      </c>
      <c r="C2218" s="57" t="s">
        <v>1514</v>
      </c>
      <c r="D2218" s="58" t="n">
        <v>46060.3940740741</v>
      </c>
      <c r="E2218" s="58" t="n">
        <v>46060.3940740741</v>
      </c>
      <c r="F2218" s="58" t="n">
        <v>46060.394849537</v>
      </c>
      <c r="G2218" s="59" t="n">
        <f aca="false">F2218-E2218</f>
        <v>0.000775462893518519</v>
      </c>
      <c r="H2218" s="57" t="s">
        <v>252</v>
      </c>
      <c r="I2218" s="57"/>
      <c r="J2218" s="57" t="s">
        <v>333</v>
      </c>
      <c r="K2218" s="57" t="s">
        <v>334</v>
      </c>
      <c r="L2218" s="57" t="s">
        <v>2754</v>
      </c>
      <c r="M2218" s="57" t="s">
        <v>336</v>
      </c>
      <c r="N2218" s="57" t="s">
        <v>381</v>
      </c>
      <c r="O2218" s="57" t="s">
        <v>2755</v>
      </c>
      <c r="P2218" s="57"/>
      <c r="Q2218" s="57" t="s">
        <v>698</v>
      </c>
    </row>
    <row r="2219" s="50" customFormat="true" ht="14.25" hidden="false" customHeight="true" outlineLevel="0" collapsed="false">
      <c r="A2219" s="50" t="s">
        <v>651</v>
      </c>
      <c r="B2219" s="57" t="s">
        <v>651</v>
      </c>
      <c r="C2219" s="57" t="s">
        <v>1514</v>
      </c>
      <c r="D2219" s="58" t="n">
        <v>46060.3896064815</v>
      </c>
      <c r="E2219" s="58" t="n">
        <v>46060.3896064815</v>
      </c>
      <c r="F2219" s="58" t="n">
        <v>46060.3903703704</v>
      </c>
      <c r="G2219" s="59" t="n">
        <f aca="false">F2219-E2219</f>
        <v>0.000763888888888889</v>
      </c>
      <c r="H2219" s="57" t="s">
        <v>252</v>
      </c>
      <c r="I2219" s="57"/>
      <c r="J2219" s="57" t="s">
        <v>333</v>
      </c>
      <c r="K2219" s="57" t="s">
        <v>334</v>
      </c>
      <c r="L2219" s="57" t="s">
        <v>2754</v>
      </c>
      <c r="M2219" s="57" t="s">
        <v>336</v>
      </c>
      <c r="N2219" s="57" t="s">
        <v>381</v>
      </c>
      <c r="O2219" s="57" t="s">
        <v>2755</v>
      </c>
      <c r="P2219" s="57"/>
      <c r="Q2219" s="57" t="s">
        <v>698</v>
      </c>
    </row>
    <row r="2220" s="50" customFormat="true" ht="14.25" hidden="false" customHeight="true" outlineLevel="0" collapsed="false">
      <c r="A2220" s="50" t="s">
        <v>651</v>
      </c>
      <c r="B2220" s="57" t="s">
        <v>651</v>
      </c>
      <c r="C2220" s="57" t="s">
        <v>1514</v>
      </c>
      <c r="D2220" s="58" t="n">
        <v>46060.3845023148</v>
      </c>
      <c r="E2220" s="58" t="n">
        <v>46060.3845023148</v>
      </c>
      <c r="F2220" s="58" t="n">
        <v>46060.3852777778</v>
      </c>
      <c r="G2220" s="59" t="n">
        <f aca="false">F2220-E2220</f>
        <v>0.000775462997685185</v>
      </c>
      <c r="H2220" s="57" t="s">
        <v>252</v>
      </c>
      <c r="I2220" s="57"/>
      <c r="J2220" s="57" t="s">
        <v>333</v>
      </c>
      <c r="K2220" s="57" t="s">
        <v>334</v>
      </c>
      <c r="L2220" s="57" t="s">
        <v>2754</v>
      </c>
      <c r="M2220" s="57" t="s">
        <v>336</v>
      </c>
      <c r="N2220" s="57" t="s">
        <v>381</v>
      </c>
      <c r="O2220" s="57" t="s">
        <v>2755</v>
      </c>
      <c r="P2220" s="57"/>
      <c r="Q2220" s="57" t="s">
        <v>698</v>
      </c>
    </row>
    <row r="2221" s="50" customFormat="true" ht="14.25" hidden="false" customHeight="true" outlineLevel="0" collapsed="false">
      <c r="A2221" s="50" t="s">
        <v>651</v>
      </c>
      <c r="B2221" s="57" t="s">
        <v>651</v>
      </c>
      <c r="C2221" s="57" t="s">
        <v>1514</v>
      </c>
      <c r="D2221" s="58" t="n">
        <v>46059.6579166667</v>
      </c>
      <c r="E2221" s="58" t="n">
        <v>46059.6579166667</v>
      </c>
      <c r="F2221" s="58" t="n">
        <v>46059.6586805556</v>
      </c>
      <c r="G2221" s="59" t="n">
        <f aca="false">F2221-E2221</f>
        <v>0.000763888888888889</v>
      </c>
      <c r="H2221" s="57" t="s">
        <v>252</v>
      </c>
      <c r="I2221" s="57"/>
      <c r="J2221" s="57" t="s">
        <v>333</v>
      </c>
      <c r="K2221" s="57" t="s">
        <v>334</v>
      </c>
      <c r="L2221" s="57" t="s">
        <v>2754</v>
      </c>
      <c r="M2221" s="57" t="s">
        <v>336</v>
      </c>
      <c r="N2221" s="57" t="s">
        <v>381</v>
      </c>
      <c r="O2221" s="57" t="s">
        <v>2755</v>
      </c>
      <c r="P2221" s="57"/>
      <c r="Q2221" s="57" t="s">
        <v>698</v>
      </c>
    </row>
    <row r="2222" s="50" customFormat="true" ht="14.25" hidden="false" customHeight="true" outlineLevel="0" collapsed="false">
      <c r="A2222" s="50" t="s">
        <v>651</v>
      </c>
      <c r="B2222" s="57" t="s">
        <v>651</v>
      </c>
      <c r="C2222" s="57" t="s">
        <v>1514</v>
      </c>
      <c r="D2222" s="58" t="n">
        <v>46059.653900463</v>
      </c>
      <c r="E2222" s="58" t="n">
        <v>46059.653900463</v>
      </c>
      <c r="F2222" s="58" t="n">
        <v>46059.6546527778</v>
      </c>
      <c r="G2222" s="59" t="n">
        <f aca="false">F2222-E2222</f>
        <v>0.000752314791666667</v>
      </c>
      <c r="H2222" s="57" t="s">
        <v>252</v>
      </c>
      <c r="I2222" s="57"/>
      <c r="J2222" s="57" t="s">
        <v>333</v>
      </c>
      <c r="K2222" s="57" t="s">
        <v>334</v>
      </c>
      <c r="L2222" s="57" t="s">
        <v>2754</v>
      </c>
      <c r="M2222" s="57" t="s">
        <v>336</v>
      </c>
      <c r="N2222" s="57" t="s">
        <v>381</v>
      </c>
      <c r="O2222" s="57" t="s">
        <v>2755</v>
      </c>
      <c r="P2222" s="57"/>
      <c r="Q2222" s="57" t="s">
        <v>698</v>
      </c>
    </row>
    <row r="2223" s="50" customFormat="true" ht="14.25" hidden="false" customHeight="true" outlineLevel="0" collapsed="false">
      <c r="A2223" s="50" t="s">
        <v>651</v>
      </c>
      <c r="B2223" s="57" t="s">
        <v>651</v>
      </c>
      <c r="C2223" s="57" t="s">
        <v>1514</v>
      </c>
      <c r="D2223" s="58" t="n">
        <v>46059.6498958333</v>
      </c>
      <c r="E2223" s="58" t="n">
        <v>46059.6498958333</v>
      </c>
      <c r="F2223" s="58" t="n">
        <v>46059.6506597222</v>
      </c>
      <c r="G2223" s="59" t="n">
        <f aca="false">F2223-E2223</f>
        <v>0.000763888888888889</v>
      </c>
      <c r="H2223" s="57" t="s">
        <v>252</v>
      </c>
      <c r="I2223" s="57"/>
      <c r="J2223" s="57" t="s">
        <v>333</v>
      </c>
      <c r="K2223" s="57" t="s">
        <v>334</v>
      </c>
      <c r="L2223" s="57" t="s">
        <v>2754</v>
      </c>
      <c r="M2223" s="57" t="s">
        <v>336</v>
      </c>
      <c r="N2223" s="57" t="s">
        <v>381</v>
      </c>
      <c r="O2223" s="57" t="s">
        <v>2755</v>
      </c>
      <c r="P2223" s="57"/>
      <c r="Q2223" s="57" t="s">
        <v>698</v>
      </c>
    </row>
    <row r="2224" s="50" customFormat="true" ht="14.25" hidden="false" customHeight="true" outlineLevel="0" collapsed="false">
      <c r="A2224" s="50" t="s">
        <v>651</v>
      </c>
      <c r="B2224" s="57" t="s">
        <v>651</v>
      </c>
      <c r="C2224" s="57" t="s">
        <v>1514</v>
      </c>
      <c r="D2224" s="58" t="n">
        <v>46059.6454513889</v>
      </c>
      <c r="E2224" s="58" t="n">
        <v>46059.6454513889</v>
      </c>
      <c r="F2224" s="58" t="n">
        <v>46059.6462384259</v>
      </c>
      <c r="G2224" s="59" t="n">
        <f aca="false">F2224-E2224</f>
        <v>0.000787037002314815</v>
      </c>
      <c r="H2224" s="57" t="s">
        <v>252</v>
      </c>
      <c r="I2224" s="57"/>
      <c r="J2224" s="57" t="s">
        <v>333</v>
      </c>
      <c r="K2224" s="57" t="s">
        <v>334</v>
      </c>
      <c r="L2224" s="57" t="s">
        <v>2754</v>
      </c>
      <c r="M2224" s="57" t="s">
        <v>336</v>
      </c>
      <c r="N2224" s="57" t="s">
        <v>381</v>
      </c>
      <c r="O2224" s="57" t="s">
        <v>2755</v>
      </c>
      <c r="P2224" s="57"/>
      <c r="Q2224" s="57" t="s">
        <v>698</v>
      </c>
    </row>
    <row r="2225" s="50" customFormat="true" ht="14.25" hidden="false" customHeight="true" outlineLevel="0" collapsed="false">
      <c r="A2225" s="50" t="s">
        <v>651</v>
      </c>
      <c r="B2225" s="57" t="s">
        <v>651</v>
      </c>
      <c r="C2225" s="57" t="s">
        <v>1514</v>
      </c>
      <c r="D2225" s="58" t="n">
        <v>46059.6412268519</v>
      </c>
      <c r="E2225" s="58" t="n">
        <v>46059.6412268519</v>
      </c>
      <c r="F2225" s="58" t="n">
        <v>46059.6419907407</v>
      </c>
      <c r="G2225" s="59" t="n">
        <f aca="false">F2225-E2225</f>
        <v>0.00076388880787037</v>
      </c>
      <c r="H2225" s="57" t="s">
        <v>252</v>
      </c>
      <c r="I2225" s="57"/>
      <c r="J2225" s="57" t="s">
        <v>333</v>
      </c>
      <c r="K2225" s="57" t="s">
        <v>334</v>
      </c>
      <c r="L2225" s="57" t="s">
        <v>2754</v>
      </c>
      <c r="M2225" s="57" t="s">
        <v>336</v>
      </c>
      <c r="N2225" s="57" t="s">
        <v>381</v>
      </c>
      <c r="O2225" s="57" t="s">
        <v>2755</v>
      </c>
      <c r="P2225" s="57"/>
      <c r="Q2225" s="57" t="s">
        <v>698</v>
      </c>
    </row>
    <row r="2226" s="50" customFormat="true" ht="14.25" hidden="false" customHeight="true" outlineLevel="0" collapsed="false">
      <c r="A2226" s="50" t="s">
        <v>651</v>
      </c>
      <c r="B2226" s="57" t="s">
        <v>651</v>
      </c>
      <c r="C2226" s="57" t="s">
        <v>1514</v>
      </c>
      <c r="D2226" s="58" t="n">
        <v>46059.6306365741</v>
      </c>
      <c r="E2226" s="58" t="n">
        <v>46059.6306365741</v>
      </c>
      <c r="F2226" s="58" t="n">
        <v>46059.631400463</v>
      </c>
      <c r="G2226" s="59" t="n">
        <f aca="false">F2226-E2226</f>
        <v>0.000763888888888889</v>
      </c>
      <c r="H2226" s="57" t="s">
        <v>252</v>
      </c>
      <c r="I2226" s="57"/>
      <c r="J2226" s="57" t="s">
        <v>333</v>
      </c>
      <c r="K2226" s="57" t="s">
        <v>334</v>
      </c>
      <c r="L2226" s="57" t="s">
        <v>2754</v>
      </c>
      <c r="M2226" s="57" t="s">
        <v>336</v>
      </c>
      <c r="N2226" s="57" t="s">
        <v>381</v>
      </c>
      <c r="O2226" s="57" t="s">
        <v>2755</v>
      </c>
      <c r="P2226" s="57"/>
      <c r="Q2226" s="57" t="s">
        <v>698</v>
      </c>
    </row>
    <row r="2227" s="50" customFormat="true" ht="14.25" hidden="false" customHeight="true" outlineLevel="0" collapsed="false">
      <c r="A2227" s="50" t="s">
        <v>651</v>
      </c>
      <c r="B2227" s="57" t="s">
        <v>651</v>
      </c>
      <c r="C2227" s="57" t="s">
        <v>1514</v>
      </c>
      <c r="D2227" s="58" t="n">
        <v>46059.604375</v>
      </c>
      <c r="E2227" s="58" t="n">
        <v>46059.604375</v>
      </c>
      <c r="F2227" s="58" t="n">
        <v>46059.605150463</v>
      </c>
      <c r="G2227" s="59" t="n">
        <f aca="false">F2227-E2227</f>
        <v>0.000775462997685185</v>
      </c>
      <c r="H2227" s="57" t="s">
        <v>252</v>
      </c>
      <c r="I2227" s="57"/>
      <c r="J2227" s="57" t="s">
        <v>333</v>
      </c>
      <c r="K2227" s="57" t="s">
        <v>334</v>
      </c>
      <c r="L2227" s="57" t="s">
        <v>2754</v>
      </c>
      <c r="M2227" s="57" t="s">
        <v>336</v>
      </c>
      <c r="N2227" s="57" t="s">
        <v>381</v>
      </c>
      <c r="O2227" s="57" t="s">
        <v>2755</v>
      </c>
      <c r="P2227" s="57"/>
      <c r="Q2227" s="57" t="s">
        <v>698</v>
      </c>
    </row>
    <row r="2228" s="50" customFormat="true" ht="14.25" hidden="false" customHeight="true" outlineLevel="0" collapsed="false">
      <c r="A2228" s="50" t="s">
        <v>651</v>
      </c>
      <c r="B2228" s="57" t="s">
        <v>651</v>
      </c>
      <c r="C2228" s="57" t="s">
        <v>1514</v>
      </c>
      <c r="D2228" s="58" t="n">
        <v>46058.5880324074</v>
      </c>
      <c r="E2228" s="58" t="n">
        <v>46058.5880324074</v>
      </c>
      <c r="F2228" s="58" t="n">
        <v>46058.5888310185</v>
      </c>
      <c r="G2228" s="59" t="n">
        <f aca="false">F2228-E2228</f>
        <v>0.000798611099537037</v>
      </c>
      <c r="H2228" s="57" t="s">
        <v>252</v>
      </c>
      <c r="I2228" s="57"/>
      <c r="J2228" s="57" t="s">
        <v>333</v>
      </c>
      <c r="K2228" s="57" t="s">
        <v>334</v>
      </c>
      <c r="L2228" s="57" t="s">
        <v>2754</v>
      </c>
      <c r="M2228" s="57" t="s">
        <v>336</v>
      </c>
      <c r="N2228" s="57" t="s">
        <v>381</v>
      </c>
      <c r="O2228" s="57" t="s">
        <v>2755</v>
      </c>
      <c r="P2228" s="57"/>
      <c r="Q2228" s="57" t="s">
        <v>698</v>
      </c>
    </row>
    <row r="2229" s="50" customFormat="true" ht="14.25" hidden="false" customHeight="true" outlineLevel="0" collapsed="false">
      <c r="A2229" s="50" t="s">
        <v>651</v>
      </c>
      <c r="B2229" s="57" t="s">
        <v>651</v>
      </c>
      <c r="C2229" s="57" t="s">
        <v>1514</v>
      </c>
      <c r="D2229" s="58" t="n">
        <v>46058.5841435185</v>
      </c>
      <c r="E2229" s="58" t="n">
        <v>46058.5841435185</v>
      </c>
      <c r="F2229" s="58" t="n">
        <v>46058.5849189815</v>
      </c>
      <c r="G2229" s="59" t="n">
        <f aca="false">F2229-E2229</f>
        <v>0.000775462997685185</v>
      </c>
      <c r="H2229" s="57" t="s">
        <v>252</v>
      </c>
      <c r="I2229" s="57"/>
      <c r="J2229" s="57" t="s">
        <v>333</v>
      </c>
      <c r="K2229" s="57" t="s">
        <v>334</v>
      </c>
      <c r="L2229" s="57" t="s">
        <v>2754</v>
      </c>
      <c r="M2229" s="57" t="s">
        <v>336</v>
      </c>
      <c r="N2229" s="57" t="s">
        <v>381</v>
      </c>
      <c r="O2229" s="57" t="s">
        <v>2755</v>
      </c>
      <c r="P2229" s="57"/>
      <c r="Q2229" s="57" t="s">
        <v>698</v>
      </c>
    </row>
    <row r="2230" s="50" customFormat="true" ht="14.25" hidden="false" customHeight="true" outlineLevel="0" collapsed="false">
      <c r="A2230" s="50" t="s">
        <v>651</v>
      </c>
      <c r="B2230" s="57" t="s">
        <v>651</v>
      </c>
      <c r="C2230" s="57" t="s">
        <v>1514</v>
      </c>
      <c r="D2230" s="58" t="n">
        <v>46058.5789467593</v>
      </c>
      <c r="E2230" s="58" t="n">
        <v>46058.5789467593</v>
      </c>
      <c r="F2230" s="58" t="n">
        <v>46058.5797222222</v>
      </c>
      <c r="G2230" s="59" t="n">
        <f aca="false">F2230-E2230</f>
        <v>0.000775462905092593</v>
      </c>
      <c r="H2230" s="57" t="s">
        <v>252</v>
      </c>
      <c r="I2230" s="57"/>
      <c r="J2230" s="57" t="s">
        <v>333</v>
      </c>
      <c r="K2230" s="57" t="s">
        <v>334</v>
      </c>
      <c r="L2230" s="57" t="s">
        <v>2754</v>
      </c>
      <c r="M2230" s="57" t="s">
        <v>336</v>
      </c>
      <c r="N2230" s="57" t="s">
        <v>381</v>
      </c>
      <c r="O2230" s="57" t="s">
        <v>2755</v>
      </c>
      <c r="P2230" s="57"/>
      <c r="Q2230" s="57" t="s">
        <v>698</v>
      </c>
    </row>
    <row r="2231" s="50" customFormat="true" ht="14.25" hidden="false" customHeight="true" outlineLevel="0" collapsed="false">
      <c r="A2231" s="50" t="s">
        <v>651</v>
      </c>
      <c r="B2231" s="57" t="s">
        <v>651</v>
      </c>
      <c r="C2231" s="57" t="s">
        <v>1514</v>
      </c>
      <c r="D2231" s="58" t="n">
        <v>46058.5743634259</v>
      </c>
      <c r="E2231" s="58" t="n">
        <v>46058.5743634259</v>
      </c>
      <c r="F2231" s="58" t="n">
        <v>46058.575150463</v>
      </c>
      <c r="G2231" s="59" t="n">
        <f aca="false">F2231-E2231</f>
        <v>0.000787037106481482</v>
      </c>
      <c r="H2231" s="57" t="s">
        <v>252</v>
      </c>
      <c r="I2231" s="57"/>
      <c r="J2231" s="57" t="s">
        <v>333</v>
      </c>
      <c r="K2231" s="57" t="s">
        <v>334</v>
      </c>
      <c r="L2231" s="57" t="s">
        <v>2754</v>
      </c>
      <c r="M2231" s="57" t="s">
        <v>336</v>
      </c>
      <c r="N2231" s="57" t="s">
        <v>381</v>
      </c>
      <c r="O2231" s="57" t="s">
        <v>2755</v>
      </c>
      <c r="P2231" s="57"/>
      <c r="Q2231" s="57" t="s">
        <v>698</v>
      </c>
    </row>
    <row r="2232" s="50" customFormat="true" ht="14.25" hidden="false" customHeight="true" outlineLevel="0" collapsed="false">
      <c r="A2232" s="50" t="s">
        <v>651</v>
      </c>
      <c r="B2232" s="57" t="s">
        <v>651</v>
      </c>
      <c r="C2232" s="57" t="s">
        <v>1514</v>
      </c>
      <c r="D2232" s="58" t="n">
        <v>46058.5609837963</v>
      </c>
      <c r="E2232" s="58" t="n">
        <v>46058.5609837963</v>
      </c>
      <c r="F2232" s="58" t="n">
        <v>46058.5617824074</v>
      </c>
      <c r="G2232" s="59" t="n">
        <f aca="false">F2232-E2232</f>
        <v>0.000798611111111111</v>
      </c>
      <c r="H2232" s="57" t="s">
        <v>252</v>
      </c>
      <c r="I2232" s="57"/>
      <c r="J2232" s="57" t="s">
        <v>333</v>
      </c>
      <c r="K2232" s="57" t="s">
        <v>334</v>
      </c>
      <c r="L2232" s="57" t="s">
        <v>2754</v>
      </c>
      <c r="M2232" s="57" t="s">
        <v>336</v>
      </c>
      <c r="N2232" s="57" t="s">
        <v>381</v>
      </c>
      <c r="O2232" s="57" t="s">
        <v>2755</v>
      </c>
      <c r="P2232" s="57"/>
      <c r="Q2232" s="57" t="s">
        <v>698</v>
      </c>
    </row>
    <row r="2233" s="50" customFormat="true" ht="14.25" hidden="false" customHeight="true" outlineLevel="0" collapsed="false">
      <c r="A2233" s="50" t="s">
        <v>651</v>
      </c>
      <c r="B2233" s="57" t="s">
        <v>651</v>
      </c>
      <c r="C2233" s="57" t="s">
        <v>1514</v>
      </c>
      <c r="D2233" s="58" t="n">
        <v>46058.5569907407</v>
      </c>
      <c r="E2233" s="58" t="n">
        <v>46058.5569907407</v>
      </c>
      <c r="F2233" s="58" t="n">
        <v>46058.5577893519</v>
      </c>
      <c r="G2233" s="59" t="n">
        <f aca="false">F2233-E2233</f>
        <v>0.000798611203703704</v>
      </c>
      <c r="H2233" s="57" t="s">
        <v>252</v>
      </c>
      <c r="I2233" s="57"/>
      <c r="J2233" s="57" t="s">
        <v>333</v>
      </c>
      <c r="K2233" s="57" t="s">
        <v>334</v>
      </c>
      <c r="L2233" s="57" t="s">
        <v>2754</v>
      </c>
      <c r="M2233" s="57" t="s">
        <v>336</v>
      </c>
      <c r="N2233" s="57" t="s">
        <v>381</v>
      </c>
      <c r="O2233" s="57" t="s">
        <v>2755</v>
      </c>
      <c r="P2233" s="57"/>
      <c r="Q2233" s="57" t="s">
        <v>698</v>
      </c>
    </row>
    <row r="2234" s="50" customFormat="true" ht="14.25" hidden="false" customHeight="true" outlineLevel="0" collapsed="false">
      <c r="A2234" s="50" t="s">
        <v>651</v>
      </c>
      <c r="B2234" s="57" t="s">
        <v>651</v>
      </c>
      <c r="C2234" s="57" t="s">
        <v>1514</v>
      </c>
      <c r="D2234" s="58" t="n">
        <v>46058.5534490741</v>
      </c>
      <c r="E2234" s="58" t="n">
        <v>46058.5534490741</v>
      </c>
      <c r="F2234" s="58" t="n">
        <v>46058.5542476852</v>
      </c>
      <c r="G2234" s="59" t="n">
        <f aca="false">F2234-E2234</f>
        <v>0.000798611111111111</v>
      </c>
      <c r="H2234" s="57" t="s">
        <v>252</v>
      </c>
      <c r="I2234" s="57"/>
      <c r="J2234" s="57" t="s">
        <v>333</v>
      </c>
      <c r="K2234" s="57" t="s">
        <v>334</v>
      </c>
      <c r="L2234" s="57" t="s">
        <v>2754</v>
      </c>
      <c r="M2234" s="57" t="s">
        <v>336</v>
      </c>
      <c r="N2234" s="57" t="s">
        <v>381</v>
      </c>
      <c r="O2234" s="57" t="s">
        <v>2755</v>
      </c>
      <c r="P2234" s="57"/>
      <c r="Q2234" s="57" t="s">
        <v>698</v>
      </c>
    </row>
    <row r="2235" s="50" customFormat="true" ht="14.25" hidden="false" customHeight="true" outlineLevel="0" collapsed="false">
      <c r="A2235" s="50" t="s">
        <v>651</v>
      </c>
      <c r="B2235" s="57" t="s">
        <v>651</v>
      </c>
      <c r="C2235" s="57" t="s">
        <v>1514</v>
      </c>
      <c r="D2235" s="58" t="n">
        <v>46058.5500347222</v>
      </c>
      <c r="E2235" s="58" t="n">
        <v>46058.5500347222</v>
      </c>
      <c r="F2235" s="58" t="n">
        <v>46058.5508101852</v>
      </c>
      <c r="G2235" s="59" t="n">
        <f aca="false">F2235-E2235</f>
        <v>0.000775463009259259</v>
      </c>
      <c r="H2235" s="57" t="s">
        <v>252</v>
      </c>
      <c r="I2235" s="57"/>
      <c r="J2235" s="57" t="s">
        <v>333</v>
      </c>
      <c r="K2235" s="57" t="s">
        <v>334</v>
      </c>
      <c r="L2235" s="57" t="s">
        <v>2754</v>
      </c>
      <c r="M2235" s="57" t="s">
        <v>336</v>
      </c>
      <c r="N2235" s="57" t="s">
        <v>381</v>
      </c>
      <c r="O2235" s="57" t="s">
        <v>2755</v>
      </c>
      <c r="P2235" s="57"/>
      <c r="Q2235" s="57" t="s">
        <v>698</v>
      </c>
    </row>
    <row r="2236" s="50" customFormat="true" ht="14.25" hidden="false" customHeight="true" outlineLevel="0" collapsed="false">
      <c r="A2236" s="50" t="s">
        <v>651</v>
      </c>
      <c r="B2236" s="57" t="s">
        <v>651</v>
      </c>
      <c r="C2236" s="57" t="s">
        <v>1514</v>
      </c>
      <c r="D2236" s="58" t="n">
        <v>46058.5463310185</v>
      </c>
      <c r="E2236" s="58" t="n">
        <v>46058.5463310185</v>
      </c>
      <c r="F2236" s="58" t="n">
        <v>46058.5471064815</v>
      </c>
      <c r="G2236" s="59" t="n">
        <f aca="false">F2236-E2236</f>
        <v>0.000775462997685185</v>
      </c>
      <c r="H2236" s="57" t="s">
        <v>252</v>
      </c>
      <c r="I2236" s="57"/>
      <c r="J2236" s="57" t="s">
        <v>333</v>
      </c>
      <c r="K2236" s="57" t="s">
        <v>334</v>
      </c>
      <c r="L2236" s="57" t="s">
        <v>2754</v>
      </c>
      <c r="M2236" s="57" t="s">
        <v>336</v>
      </c>
      <c r="N2236" s="57" t="s">
        <v>381</v>
      </c>
      <c r="O2236" s="57" t="s">
        <v>2755</v>
      </c>
      <c r="P2236" s="57"/>
      <c r="Q2236" s="57" t="s">
        <v>698</v>
      </c>
    </row>
    <row r="2237" s="50" customFormat="true" ht="14.25" hidden="false" customHeight="true" outlineLevel="0" collapsed="false">
      <c r="A2237" s="50" t="s">
        <v>651</v>
      </c>
      <c r="B2237" s="57" t="s">
        <v>651</v>
      </c>
      <c r="C2237" s="57" t="s">
        <v>1514</v>
      </c>
      <c r="D2237" s="58" t="n">
        <v>46058.5425810185</v>
      </c>
      <c r="E2237" s="58" t="n">
        <v>46058.5425810185</v>
      </c>
      <c r="F2237" s="58" t="n">
        <v>46058.5433564815</v>
      </c>
      <c r="G2237" s="59" t="n">
        <f aca="false">F2237-E2237</f>
        <v>0.000775463009259259</v>
      </c>
      <c r="H2237" s="57" t="s">
        <v>252</v>
      </c>
      <c r="I2237" s="57"/>
      <c r="J2237" s="57" t="s">
        <v>333</v>
      </c>
      <c r="K2237" s="57" t="s">
        <v>334</v>
      </c>
      <c r="L2237" s="57" t="s">
        <v>2754</v>
      </c>
      <c r="M2237" s="57" t="s">
        <v>336</v>
      </c>
      <c r="N2237" s="57" t="s">
        <v>381</v>
      </c>
      <c r="O2237" s="57" t="s">
        <v>2755</v>
      </c>
      <c r="P2237" s="57"/>
      <c r="Q2237" s="57" t="s">
        <v>698</v>
      </c>
    </row>
    <row r="2238" s="50" customFormat="true" ht="14.25" hidden="false" customHeight="true" outlineLevel="0" collapsed="false">
      <c r="A2238" s="50" t="s">
        <v>651</v>
      </c>
      <c r="B2238" s="57" t="s">
        <v>651</v>
      </c>
      <c r="C2238" s="57" t="s">
        <v>1514</v>
      </c>
      <c r="D2238" s="58" t="n">
        <v>46058.5141087963</v>
      </c>
      <c r="E2238" s="58" t="n">
        <v>46058.5141087963</v>
      </c>
      <c r="F2238" s="58" t="n">
        <v>46058.5148842593</v>
      </c>
      <c r="G2238" s="59" t="n">
        <f aca="false">F2238-E2238</f>
        <v>0.000775462997685185</v>
      </c>
      <c r="H2238" s="57" t="s">
        <v>252</v>
      </c>
      <c r="I2238" s="57"/>
      <c r="J2238" s="57" t="s">
        <v>333</v>
      </c>
      <c r="K2238" s="57" t="s">
        <v>334</v>
      </c>
      <c r="L2238" s="57" t="s">
        <v>2754</v>
      </c>
      <c r="M2238" s="57" t="s">
        <v>336</v>
      </c>
      <c r="N2238" s="57" t="s">
        <v>381</v>
      </c>
      <c r="O2238" s="57" t="s">
        <v>2755</v>
      </c>
      <c r="P2238" s="57"/>
      <c r="Q2238" s="57" t="s">
        <v>698</v>
      </c>
    </row>
    <row r="2239" s="50" customFormat="true" ht="14.25" hidden="false" customHeight="true" outlineLevel="0" collapsed="false">
      <c r="A2239" s="50" t="s">
        <v>651</v>
      </c>
      <c r="B2239" s="57" t="s">
        <v>651</v>
      </c>
      <c r="C2239" s="57" t="s">
        <v>1514</v>
      </c>
      <c r="D2239" s="58" t="n">
        <v>46057.5953240741</v>
      </c>
      <c r="E2239" s="58" t="n">
        <v>46057.5953240741</v>
      </c>
      <c r="F2239" s="58" t="n">
        <v>46057.5961111111</v>
      </c>
      <c r="G2239" s="59" t="n">
        <f aca="false">F2239-E2239</f>
        <v>0.000787037002314815</v>
      </c>
      <c r="H2239" s="57" t="s">
        <v>252</v>
      </c>
      <c r="I2239" s="57"/>
      <c r="J2239" s="57" t="s">
        <v>333</v>
      </c>
      <c r="K2239" s="57" t="s">
        <v>334</v>
      </c>
      <c r="L2239" s="57" t="s">
        <v>2754</v>
      </c>
      <c r="M2239" s="57" t="s">
        <v>336</v>
      </c>
      <c r="N2239" s="57" t="s">
        <v>381</v>
      </c>
      <c r="O2239" s="57" t="s">
        <v>2755</v>
      </c>
      <c r="P2239" s="57"/>
      <c r="Q2239" s="57" t="s">
        <v>698</v>
      </c>
    </row>
    <row r="2240" s="50" customFormat="true" ht="14.25" hidden="false" customHeight="true" outlineLevel="0" collapsed="false">
      <c r="A2240" s="50" t="s">
        <v>651</v>
      </c>
      <c r="B2240" s="57" t="s">
        <v>651</v>
      </c>
      <c r="C2240" s="57" t="s">
        <v>1514</v>
      </c>
      <c r="D2240" s="58" t="n">
        <v>46057.5908796296</v>
      </c>
      <c r="E2240" s="58" t="n">
        <v>46057.5908796296</v>
      </c>
      <c r="F2240" s="58" t="n">
        <v>46057.5916898148</v>
      </c>
      <c r="G2240" s="59" t="n">
        <f aca="false">F2240-E2240</f>
        <v>0.000810185196759259</v>
      </c>
      <c r="H2240" s="57" t="s">
        <v>252</v>
      </c>
      <c r="I2240" s="57"/>
      <c r="J2240" s="57" t="s">
        <v>333</v>
      </c>
      <c r="K2240" s="57" t="s">
        <v>334</v>
      </c>
      <c r="L2240" s="57" t="s">
        <v>2754</v>
      </c>
      <c r="M2240" s="57" t="s">
        <v>336</v>
      </c>
      <c r="N2240" s="57" t="s">
        <v>381</v>
      </c>
      <c r="O2240" s="57" t="s">
        <v>2755</v>
      </c>
      <c r="P2240" s="57"/>
      <c r="Q2240" s="57" t="s">
        <v>698</v>
      </c>
    </row>
    <row r="2241" s="50" customFormat="true" ht="14.25" hidden="false" customHeight="true" outlineLevel="0" collapsed="false">
      <c r="A2241" s="50" t="s">
        <v>651</v>
      </c>
      <c r="B2241" s="57" t="s">
        <v>651</v>
      </c>
      <c r="C2241" s="57" t="s">
        <v>1514</v>
      </c>
      <c r="D2241" s="58" t="n">
        <v>46057.5881712963</v>
      </c>
      <c r="E2241" s="58" t="n">
        <v>46057.5881712963</v>
      </c>
      <c r="F2241" s="58" t="n">
        <v>46057.5889583333</v>
      </c>
      <c r="G2241" s="59" t="n">
        <f aca="false">F2241-E2241</f>
        <v>0.000787036990740741</v>
      </c>
      <c r="H2241" s="57" t="s">
        <v>252</v>
      </c>
      <c r="I2241" s="57"/>
      <c r="J2241" s="57" t="s">
        <v>333</v>
      </c>
      <c r="K2241" s="57" t="s">
        <v>334</v>
      </c>
      <c r="L2241" s="57" t="s">
        <v>2754</v>
      </c>
      <c r="M2241" s="57" t="s">
        <v>336</v>
      </c>
      <c r="N2241" s="57" t="s">
        <v>381</v>
      </c>
      <c r="O2241" s="57" t="s">
        <v>2755</v>
      </c>
      <c r="P2241" s="57"/>
      <c r="Q2241" s="57" t="s">
        <v>698</v>
      </c>
    </row>
    <row r="2242" s="50" customFormat="true" ht="14.25" hidden="false" customHeight="true" outlineLevel="0" collapsed="false">
      <c r="A2242" s="50" t="s">
        <v>651</v>
      </c>
      <c r="B2242" s="57" t="s">
        <v>651</v>
      </c>
      <c r="C2242" s="57" t="s">
        <v>1514</v>
      </c>
      <c r="D2242" s="58" t="n">
        <v>46057.5852662037</v>
      </c>
      <c r="E2242" s="58" t="n">
        <v>46057.5852662037</v>
      </c>
      <c r="F2242" s="58" t="n">
        <v>46057.5860416667</v>
      </c>
      <c r="G2242" s="59" t="n">
        <f aca="false">F2242-E2242</f>
        <v>0.000775462997685185</v>
      </c>
      <c r="H2242" s="57" t="s">
        <v>252</v>
      </c>
      <c r="I2242" s="57"/>
      <c r="J2242" s="57" t="s">
        <v>333</v>
      </c>
      <c r="K2242" s="57" t="s">
        <v>334</v>
      </c>
      <c r="L2242" s="57" t="s">
        <v>2754</v>
      </c>
      <c r="M2242" s="57" t="s">
        <v>336</v>
      </c>
      <c r="N2242" s="57" t="s">
        <v>381</v>
      </c>
      <c r="O2242" s="57" t="s">
        <v>2755</v>
      </c>
      <c r="P2242" s="57"/>
      <c r="Q2242" s="57" t="s">
        <v>698</v>
      </c>
    </row>
    <row r="2243" s="50" customFormat="true" ht="14.25" hidden="false" customHeight="true" outlineLevel="0" collapsed="false">
      <c r="A2243" s="50" t="s">
        <v>651</v>
      </c>
      <c r="B2243" s="57" t="s">
        <v>651</v>
      </c>
      <c r="C2243" s="57" t="s">
        <v>1514</v>
      </c>
      <c r="D2243" s="58" t="n">
        <v>46057.5820601852</v>
      </c>
      <c r="E2243" s="58" t="n">
        <v>46057.5820601852</v>
      </c>
      <c r="F2243" s="58" t="n">
        <v>46057.5828356482</v>
      </c>
      <c r="G2243" s="59" t="n">
        <f aca="false">F2243-E2243</f>
        <v>0.000775462997685185</v>
      </c>
      <c r="H2243" s="57" t="s">
        <v>252</v>
      </c>
      <c r="I2243" s="57"/>
      <c r="J2243" s="57" t="s">
        <v>333</v>
      </c>
      <c r="K2243" s="57" t="s">
        <v>334</v>
      </c>
      <c r="L2243" s="57" t="s">
        <v>2754</v>
      </c>
      <c r="M2243" s="57" t="s">
        <v>336</v>
      </c>
      <c r="N2243" s="57" t="s">
        <v>381</v>
      </c>
      <c r="O2243" s="57" t="s">
        <v>2755</v>
      </c>
      <c r="P2243" s="57"/>
      <c r="Q2243" s="57" t="s">
        <v>698</v>
      </c>
    </row>
    <row r="2244" s="50" customFormat="true" ht="14.25" hidden="false" customHeight="true" outlineLevel="0" collapsed="false">
      <c r="A2244" s="50" t="s">
        <v>651</v>
      </c>
      <c r="B2244" s="57" t="s">
        <v>651</v>
      </c>
      <c r="C2244" s="57" t="s">
        <v>1514</v>
      </c>
      <c r="D2244" s="58" t="n">
        <v>46057.577662037</v>
      </c>
      <c r="E2244" s="58" t="n">
        <v>46057.577662037</v>
      </c>
      <c r="F2244" s="58" t="n">
        <v>46057.5784375</v>
      </c>
      <c r="G2244" s="59" t="n">
        <f aca="false">F2244-E2244</f>
        <v>0.000775462997685185</v>
      </c>
      <c r="H2244" s="57" t="s">
        <v>252</v>
      </c>
      <c r="I2244" s="57"/>
      <c r="J2244" s="57" t="s">
        <v>333</v>
      </c>
      <c r="K2244" s="57" t="s">
        <v>334</v>
      </c>
      <c r="L2244" s="57" t="s">
        <v>2754</v>
      </c>
      <c r="M2244" s="57" t="s">
        <v>336</v>
      </c>
      <c r="N2244" s="57" t="s">
        <v>381</v>
      </c>
      <c r="O2244" s="57" t="s">
        <v>2755</v>
      </c>
      <c r="P2244" s="57"/>
      <c r="Q2244" s="57" t="s">
        <v>698</v>
      </c>
    </row>
    <row r="2245" s="50" customFormat="true" ht="14.25" hidden="false" customHeight="true" outlineLevel="0" collapsed="false">
      <c r="A2245" s="50" t="s">
        <v>651</v>
      </c>
      <c r="B2245" s="57" t="s">
        <v>651</v>
      </c>
      <c r="C2245" s="57" t="s">
        <v>1514</v>
      </c>
      <c r="D2245" s="58" t="n">
        <v>46057.5642361111</v>
      </c>
      <c r="E2245" s="58" t="n">
        <v>46057.5642361111</v>
      </c>
      <c r="F2245" s="58" t="n">
        <v>46057.5650231482</v>
      </c>
      <c r="G2245" s="59" t="n">
        <f aca="false">F2245-E2245</f>
        <v>0.000787037094907407</v>
      </c>
      <c r="H2245" s="57" t="s">
        <v>252</v>
      </c>
      <c r="I2245" s="57"/>
      <c r="J2245" s="57" t="s">
        <v>333</v>
      </c>
      <c r="K2245" s="57" t="s">
        <v>334</v>
      </c>
      <c r="L2245" s="57" t="s">
        <v>2754</v>
      </c>
      <c r="M2245" s="57" t="s">
        <v>336</v>
      </c>
      <c r="N2245" s="57" t="s">
        <v>381</v>
      </c>
      <c r="O2245" s="57" t="s">
        <v>2755</v>
      </c>
      <c r="P2245" s="57"/>
      <c r="Q2245" s="57" t="s">
        <v>698</v>
      </c>
    </row>
    <row r="2246" s="50" customFormat="true" ht="14.25" hidden="false" customHeight="true" outlineLevel="0" collapsed="false">
      <c r="A2246" s="50" t="s">
        <v>651</v>
      </c>
      <c r="B2246" s="57" t="s">
        <v>651</v>
      </c>
      <c r="C2246" s="57" t="s">
        <v>1514</v>
      </c>
      <c r="D2246" s="58" t="n">
        <v>46057.5603125</v>
      </c>
      <c r="E2246" s="58" t="n">
        <v>46057.5603125</v>
      </c>
      <c r="F2246" s="58" t="n">
        <v>46057.5611342593</v>
      </c>
      <c r="G2246" s="59" t="n">
        <f aca="false">F2246-E2246</f>
        <v>0.000821759293981482</v>
      </c>
      <c r="H2246" s="57" t="s">
        <v>252</v>
      </c>
      <c r="I2246" s="57"/>
      <c r="J2246" s="57" t="s">
        <v>333</v>
      </c>
      <c r="K2246" s="57" t="s">
        <v>334</v>
      </c>
      <c r="L2246" s="57" t="s">
        <v>2754</v>
      </c>
      <c r="M2246" s="57" t="s">
        <v>336</v>
      </c>
      <c r="N2246" s="57" t="s">
        <v>381</v>
      </c>
      <c r="O2246" s="57" t="s">
        <v>2755</v>
      </c>
      <c r="P2246" s="57"/>
      <c r="Q2246" s="57" t="s">
        <v>698</v>
      </c>
    </row>
    <row r="2247" s="50" customFormat="true" ht="14.25" hidden="false" customHeight="true" outlineLevel="0" collapsed="false">
      <c r="A2247" s="50" t="s">
        <v>727</v>
      </c>
      <c r="B2247" s="57" t="s">
        <v>727</v>
      </c>
      <c r="C2247" s="57" t="s">
        <v>415</v>
      </c>
      <c r="D2247" s="58" t="n">
        <v>46081.7413773148</v>
      </c>
      <c r="E2247" s="58" t="n">
        <v>46081.7413773148</v>
      </c>
      <c r="F2247" s="58" t="n">
        <v>46081.7654861111</v>
      </c>
      <c r="G2247" s="59" t="n">
        <f aca="false">F2247-E2247</f>
        <v>0.0241087962962963</v>
      </c>
      <c r="H2247" s="57" t="s">
        <v>252</v>
      </c>
      <c r="I2247" s="57"/>
      <c r="J2247" s="57" t="s">
        <v>333</v>
      </c>
      <c r="K2247" s="57" t="s">
        <v>334</v>
      </c>
      <c r="L2247" s="60" t="s">
        <v>2756</v>
      </c>
      <c r="M2247" s="57" t="s">
        <v>336</v>
      </c>
      <c r="N2247" s="57" t="s">
        <v>381</v>
      </c>
      <c r="O2247" s="57" t="s">
        <v>729</v>
      </c>
      <c r="P2247" s="57" t="s">
        <v>2757</v>
      </c>
      <c r="Q2247" s="57" t="s">
        <v>698</v>
      </c>
    </row>
    <row r="2248" s="50" customFormat="true" ht="14.25" hidden="false" customHeight="true" outlineLevel="0" collapsed="false">
      <c r="A2248" s="50" t="s">
        <v>727</v>
      </c>
      <c r="B2248" s="57" t="s">
        <v>727</v>
      </c>
      <c r="C2248" s="57" t="s">
        <v>415</v>
      </c>
      <c r="D2248" s="58" t="n">
        <v>46081.7181134259</v>
      </c>
      <c r="E2248" s="58" t="n">
        <v>46081.7181134259</v>
      </c>
      <c r="F2248" s="58" t="n">
        <v>46081.7186574074</v>
      </c>
      <c r="G2248" s="59" t="n">
        <f aca="false">F2248-E2248</f>
        <v>0.00054398150462963</v>
      </c>
      <c r="H2248" s="57" t="s">
        <v>252</v>
      </c>
      <c r="I2248" s="57"/>
      <c r="J2248" s="57" t="s">
        <v>333</v>
      </c>
      <c r="K2248" s="57" t="s">
        <v>334</v>
      </c>
      <c r="L2248" s="60" t="s">
        <v>2758</v>
      </c>
      <c r="M2248" s="57" t="s">
        <v>336</v>
      </c>
      <c r="N2248" s="57" t="s">
        <v>381</v>
      </c>
      <c r="O2248" s="57" t="s">
        <v>729</v>
      </c>
      <c r="P2248" s="57" t="s">
        <v>2759</v>
      </c>
      <c r="Q2248" s="57" t="s">
        <v>698</v>
      </c>
    </row>
    <row r="2249" s="50" customFormat="true" ht="14.25" hidden="false" customHeight="true" outlineLevel="0" collapsed="false">
      <c r="A2249" s="50" t="s">
        <v>727</v>
      </c>
      <c r="B2249" s="57" t="s">
        <v>727</v>
      </c>
      <c r="C2249" s="57" t="s">
        <v>415</v>
      </c>
      <c r="D2249" s="58" t="n">
        <v>46081.6862037037</v>
      </c>
      <c r="E2249" s="58" t="n">
        <v>46081.6862037037</v>
      </c>
      <c r="F2249" s="58" t="n">
        <v>46081.6914814815</v>
      </c>
      <c r="G2249" s="59" t="n">
        <f aca="false">F2249-E2249</f>
        <v>0.00527777780092593</v>
      </c>
      <c r="H2249" s="57" t="s">
        <v>252</v>
      </c>
      <c r="I2249" s="57"/>
      <c r="J2249" s="57" t="s">
        <v>333</v>
      </c>
      <c r="K2249" s="57" t="s">
        <v>334</v>
      </c>
      <c r="L2249" s="60" t="s">
        <v>2760</v>
      </c>
      <c r="M2249" s="57" t="s">
        <v>336</v>
      </c>
      <c r="N2249" s="57" t="s">
        <v>381</v>
      </c>
      <c r="O2249" s="57" t="s">
        <v>729</v>
      </c>
      <c r="P2249" s="57" t="s">
        <v>2761</v>
      </c>
      <c r="Q2249" s="57" t="s">
        <v>698</v>
      </c>
    </row>
    <row r="2250" s="50" customFormat="true" ht="14.25" hidden="false" customHeight="true" outlineLevel="0" collapsed="false">
      <c r="A2250" s="50" t="s">
        <v>727</v>
      </c>
      <c r="B2250" s="57" t="s">
        <v>727</v>
      </c>
      <c r="C2250" s="57" t="s">
        <v>415</v>
      </c>
      <c r="D2250" s="58" t="n">
        <v>46081.6831712963</v>
      </c>
      <c r="E2250" s="58" t="n">
        <v>46081.6831712963</v>
      </c>
      <c r="F2250" s="58" t="n">
        <v>46081.6838888889</v>
      </c>
      <c r="G2250" s="59" t="n">
        <f aca="false">F2250-E2250</f>
        <v>0.000717592592592593</v>
      </c>
      <c r="H2250" s="57" t="s">
        <v>252</v>
      </c>
      <c r="I2250" s="57"/>
      <c r="J2250" s="57" t="s">
        <v>333</v>
      </c>
      <c r="K2250" s="57" t="s">
        <v>334</v>
      </c>
      <c r="L2250" s="60" t="s">
        <v>2762</v>
      </c>
      <c r="M2250" s="57" t="s">
        <v>336</v>
      </c>
      <c r="N2250" s="57" t="s">
        <v>381</v>
      </c>
      <c r="O2250" s="57" t="s">
        <v>729</v>
      </c>
      <c r="P2250" s="57" t="s">
        <v>2763</v>
      </c>
      <c r="Q2250" s="57" t="s">
        <v>698</v>
      </c>
    </row>
    <row r="2251" s="50" customFormat="true" ht="14.25" hidden="false" customHeight="true" outlineLevel="0" collapsed="false">
      <c r="A2251" s="50" t="s">
        <v>727</v>
      </c>
      <c r="B2251" s="57" t="s">
        <v>727</v>
      </c>
      <c r="C2251" s="57" t="s">
        <v>415</v>
      </c>
      <c r="D2251" s="58" t="n">
        <v>46081.6766666667</v>
      </c>
      <c r="E2251" s="58" t="n">
        <v>46081.6766666667</v>
      </c>
      <c r="F2251" s="58" t="n">
        <v>46081.6779513889</v>
      </c>
      <c r="G2251" s="59" t="n">
        <f aca="false">F2251-E2251</f>
        <v>0.00128472219907407</v>
      </c>
      <c r="H2251" s="57" t="s">
        <v>252</v>
      </c>
      <c r="I2251" s="57"/>
      <c r="J2251" s="57" t="s">
        <v>333</v>
      </c>
      <c r="K2251" s="57" t="s">
        <v>334</v>
      </c>
      <c r="L2251" s="60" t="s">
        <v>2764</v>
      </c>
      <c r="M2251" s="57" t="s">
        <v>336</v>
      </c>
      <c r="N2251" s="57" t="s">
        <v>381</v>
      </c>
      <c r="O2251" s="57" t="s">
        <v>729</v>
      </c>
      <c r="P2251" s="57" t="s">
        <v>2765</v>
      </c>
      <c r="Q2251" s="57" t="s">
        <v>698</v>
      </c>
    </row>
    <row r="2252" s="50" customFormat="true" ht="14.25" hidden="false" customHeight="true" outlineLevel="0" collapsed="false">
      <c r="A2252" s="50" t="s">
        <v>727</v>
      </c>
      <c r="B2252" s="57" t="s">
        <v>727</v>
      </c>
      <c r="C2252" s="57" t="s">
        <v>415</v>
      </c>
      <c r="D2252" s="58" t="n">
        <v>46081.6750347222</v>
      </c>
      <c r="E2252" s="58" t="n">
        <v>46081.6750347222</v>
      </c>
      <c r="F2252" s="58" t="n">
        <v>46081.6756134259</v>
      </c>
      <c r="G2252" s="59" t="n">
        <f aca="false">F2252-E2252</f>
        <v>0.000578703703703704</v>
      </c>
      <c r="H2252" s="57" t="s">
        <v>252</v>
      </c>
      <c r="I2252" s="57"/>
      <c r="J2252" s="57" t="s">
        <v>333</v>
      </c>
      <c r="K2252" s="57" t="s">
        <v>334</v>
      </c>
      <c r="L2252" s="60" t="s">
        <v>2766</v>
      </c>
      <c r="M2252" s="57" t="s">
        <v>336</v>
      </c>
      <c r="N2252" s="57" t="s">
        <v>381</v>
      </c>
      <c r="O2252" s="57" t="s">
        <v>729</v>
      </c>
      <c r="P2252" s="57" t="s">
        <v>2767</v>
      </c>
      <c r="Q2252" s="57" t="s">
        <v>698</v>
      </c>
    </row>
    <row r="2253" s="50" customFormat="true" ht="14.25" hidden="false" customHeight="true" outlineLevel="0" collapsed="false">
      <c r="A2253" s="50" t="s">
        <v>727</v>
      </c>
      <c r="B2253" s="57" t="s">
        <v>727</v>
      </c>
      <c r="C2253" s="57" t="s">
        <v>415</v>
      </c>
      <c r="D2253" s="58" t="n">
        <v>46081.6679513889</v>
      </c>
      <c r="E2253" s="58" t="n">
        <v>46081.6679513889</v>
      </c>
      <c r="F2253" s="58" t="n">
        <v>46081.6707060185</v>
      </c>
      <c r="G2253" s="59" t="n">
        <f aca="false">F2253-E2253</f>
        <v>0.00275462959490741</v>
      </c>
      <c r="H2253" s="57" t="s">
        <v>252</v>
      </c>
      <c r="I2253" s="57"/>
      <c r="J2253" s="57" t="s">
        <v>333</v>
      </c>
      <c r="K2253" s="57" t="s">
        <v>334</v>
      </c>
      <c r="L2253" s="60" t="s">
        <v>2768</v>
      </c>
      <c r="M2253" s="57" t="s">
        <v>336</v>
      </c>
      <c r="N2253" s="57" t="s">
        <v>381</v>
      </c>
      <c r="O2253" s="57" t="s">
        <v>729</v>
      </c>
      <c r="P2253" s="57" t="s">
        <v>2769</v>
      </c>
      <c r="Q2253" s="57" t="s">
        <v>698</v>
      </c>
    </row>
    <row r="2254" s="50" customFormat="true" ht="14.25" hidden="false" customHeight="true" outlineLevel="0" collapsed="false">
      <c r="A2254" s="50" t="s">
        <v>727</v>
      </c>
      <c r="B2254" s="57" t="s">
        <v>727</v>
      </c>
      <c r="C2254" s="57" t="s">
        <v>415</v>
      </c>
      <c r="D2254" s="58" t="n">
        <v>46081.6663194444</v>
      </c>
      <c r="E2254" s="58" t="n">
        <v>46081.6663194444</v>
      </c>
      <c r="F2254" s="58" t="n">
        <v>46081.6673611111</v>
      </c>
      <c r="G2254" s="59" t="n">
        <f aca="false">F2254-E2254</f>
        <v>0.00104166670138889</v>
      </c>
      <c r="H2254" s="57" t="s">
        <v>252</v>
      </c>
      <c r="I2254" s="57"/>
      <c r="J2254" s="57" t="s">
        <v>333</v>
      </c>
      <c r="K2254" s="57" t="s">
        <v>334</v>
      </c>
      <c r="L2254" s="60" t="s">
        <v>2770</v>
      </c>
      <c r="M2254" s="57" t="s">
        <v>336</v>
      </c>
      <c r="N2254" s="57" t="s">
        <v>381</v>
      </c>
      <c r="O2254" s="57" t="s">
        <v>729</v>
      </c>
      <c r="P2254" s="57" t="s">
        <v>2771</v>
      </c>
      <c r="Q2254" s="57" t="s">
        <v>698</v>
      </c>
    </row>
    <row r="2255" s="50" customFormat="true" ht="14.25" hidden="false" customHeight="true" outlineLevel="0" collapsed="false">
      <c r="A2255" s="50" t="s">
        <v>727</v>
      </c>
      <c r="B2255" s="57" t="s">
        <v>727</v>
      </c>
      <c r="C2255" s="57" t="s">
        <v>415</v>
      </c>
      <c r="D2255" s="58" t="n">
        <v>46081.6575</v>
      </c>
      <c r="E2255" s="58" t="n">
        <v>46081.6575</v>
      </c>
      <c r="F2255" s="58" t="n">
        <v>46081.6584953704</v>
      </c>
      <c r="G2255" s="59" t="n">
        <f aca="false">F2255-E2255</f>
        <v>0.000995370405092593</v>
      </c>
      <c r="H2255" s="57" t="s">
        <v>252</v>
      </c>
      <c r="I2255" s="57"/>
      <c r="J2255" s="57" t="s">
        <v>333</v>
      </c>
      <c r="K2255" s="57" t="s">
        <v>334</v>
      </c>
      <c r="L2255" s="60" t="s">
        <v>2772</v>
      </c>
      <c r="M2255" s="57" t="s">
        <v>336</v>
      </c>
      <c r="N2255" s="57" t="s">
        <v>381</v>
      </c>
      <c r="O2255" s="57" t="s">
        <v>729</v>
      </c>
      <c r="P2255" s="57" t="s">
        <v>2773</v>
      </c>
      <c r="Q2255" s="57" t="s">
        <v>698</v>
      </c>
    </row>
    <row r="2256" s="50" customFormat="true" ht="14.25" hidden="false" customHeight="true" outlineLevel="0" collapsed="false">
      <c r="A2256" s="50" t="s">
        <v>727</v>
      </c>
      <c r="B2256" s="57" t="s">
        <v>727</v>
      </c>
      <c r="C2256" s="57" t="s">
        <v>415</v>
      </c>
      <c r="D2256" s="58" t="n">
        <v>46081.6354282407</v>
      </c>
      <c r="E2256" s="58" t="n">
        <v>46081.6354282407</v>
      </c>
      <c r="F2256" s="58" t="n">
        <v>46081.6372916667</v>
      </c>
      <c r="G2256" s="59" t="n">
        <f aca="false">F2256-E2256</f>
        <v>0.00186342600694444</v>
      </c>
      <c r="H2256" s="57" t="s">
        <v>252</v>
      </c>
      <c r="I2256" s="57"/>
      <c r="J2256" s="57" t="s">
        <v>333</v>
      </c>
      <c r="K2256" s="57" t="s">
        <v>334</v>
      </c>
      <c r="L2256" s="60" t="s">
        <v>2774</v>
      </c>
      <c r="M2256" s="57" t="s">
        <v>336</v>
      </c>
      <c r="N2256" s="57" t="s">
        <v>381</v>
      </c>
      <c r="O2256" s="57" t="s">
        <v>729</v>
      </c>
      <c r="P2256" s="57" t="s">
        <v>2775</v>
      </c>
      <c r="Q2256" s="57" t="s">
        <v>698</v>
      </c>
    </row>
    <row r="2257" s="50" customFormat="true" ht="14.25" hidden="false" customHeight="true" outlineLevel="0" collapsed="false">
      <c r="A2257" s="50" t="s">
        <v>727</v>
      </c>
      <c r="B2257" s="57" t="s">
        <v>727</v>
      </c>
      <c r="C2257" s="57" t="s">
        <v>415</v>
      </c>
      <c r="D2257" s="58" t="n">
        <v>46081.6326273148</v>
      </c>
      <c r="E2257" s="58" t="n">
        <v>46081.6326273148</v>
      </c>
      <c r="F2257" s="58" t="n">
        <v>46081.6337615741</v>
      </c>
      <c r="G2257" s="59" t="n">
        <f aca="false">F2257-E2257</f>
        <v>0.00113425929398148</v>
      </c>
      <c r="H2257" s="57" t="s">
        <v>252</v>
      </c>
      <c r="I2257" s="57"/>
      <c r="J2257" s="57" t="s">
        <v>333</v>
      </c>
      <c r="K2257" s="57" t="s">
        <v>334</v>
      </c>
      <c r="L2257" s="60" t="s">
        <v>2776</v>
      </c>
      <c r="M2257" s="57" t="s">
        <v>336</v>
      </c>
      <c r="N2257" s="57" t="s">
        <v>381</v>
      </c>
      <c r="O2257" s="57" t="s">
        <v>729</v>
      </c>
      <c r="P2257" s="57" t="s">
        <v>2777</v>
      </c>
      <c r="Q2257" s="57" t="s">
        <v>698</v>
      </c>
    </row>
    <row r="2258" s="50" customFormat="true" ht="14.25" hidden="false" customHeight="true" outlineLevel="0" collapsed="false">
      <c r="A2258" s="50" t="s">
        <v>727</v>
      </c>
      <c r="B2258" s="57" t="s">
        <v>727</v>
      </c>
      <c r="C2258" s="57" t="s">
        <v>415</v>
      </c>
      <c r="D2258" s="58" t="n">
        <v>46081.6259375</v>
      </c>
      <c r="E2258" s="58" t="n">
        <v>46081.6259375</v>
      </c>
      <c r="F2258" s="58" t="n">
        <v>46081.6277314815</v>
      </c>
      <c r="G2258" s="59" t="n">
        <f aca="false">F2258-E2258</f>
        <v>0.00179398150462963</v>
      </c>
      <c r="H2258" s="57" t="s">
        <v>252</v>
      </c>
      <c r="I2258" s="57"/>
      <c r="J2258" s="57" t="s">
        <v>333</v>
      </c>
      <c r="K2258" s="57" t="s">
        <v>334</v>
      </c>
      <c r="L2258" s="60" t="s">
        <v>2778</v>
      </c>
      <c r="M2258" s="57" t="s">
        <v>336</v>
      </c>
      <c r="N2258" s="57" t="s">
        <v>381</v>
      </c>
      <c r="O2258" s="57" t="s">
        <v>729</v>
      </c>
      <c r="P2258" s="57" t="s">
        <v>2779</v>
      </c>
      <c r="Q2258" s="57" t="s">
        <v>698</v>
      </c>
    </row>
    <row r="2259" s="50" customFormat="true" ht="14.25" hidden="false" customHeight="true" outlineLevel="0" collapsed="false">
      <c r="A2259" s="50" t="s">
        <v>727</v>
      </c>
      <c r="B2259" s="57" t="s">
        <v>727</v>
      </c>
      <c r="C2259" s="57" t="s">
        <v>415</v>
      </c>
      <c r="D2259" s="58" t="n">
        <v>46081.6235416667</v>
      </c>
      <c r="E2259" s="58" t="n">
        <v>46081.6235416667</v>
      </c>
      <c r="F2259" s="58" t="n">
        <v>46081.6256944445</v>
      </c>
      <c r="G2259" s="59" t="n">
        <f aca="false">F2259-E2259</f>
        <v>0.00215277780092593</v>
      </c>
      <c r="H2259" s="57" t="s">
        <v>252</v>
      </c>
      <c r="I2259" s="57"/>
      <c r="J2259" s="57" t="s">
        <v>333</v>
      </c>
      <c r="K2259" s="57" t="s">
        <v>334</v>
      </c>
      <c r="L2259" s="60" t="s">
        <v>2780</v>
      </c>
      <c r="M2259" s="57" t="s">
        <v>336</v>
      </c>
      <c r="N2259" s="57" t="s">
        <v>381</v>
      </c>
      <c r="O2259" s="57" t="s">
        <v>729</v>
      </c>
      <c r="P2259" s="57" t="s">
        <v>2781</v>
      </c>
      <c r="Q2259" s="57" t="s">
        <v>698</v>
      </c>
    </row>
    <row r="2260" s="50" customFormat="true" ht="14.25" hidden="false" customHeight="true" outlineLevel="0" collapsed="false">
      <c r="A2260" s="50" t="s">
        <v>727</v>
      </c>
      <c r="B2260" s="57" t="s">
        <v>727</v>
      </c>
      <c r="C2260" s="57" t="s">
        <v>415</v>
      </c>
      <c r="D2260" s="58" t="n">
        <v>46081.6217708333</v>
      </c>
      <c r="E2260" s="58" t="n">
        <v>46081.6217708333</v>
      </c>
      <c r="F2260" s="58" t="n">
        <v>46081.6223148148</v>
      </c>
      <c r="G2260" s="59" t="n">
        <f aca="false">F2260-E2260</f>
        <v>0.00054398150462963</v>
      </c>
      <c r="H2260" s="57" t="s">
        <v>252</v>
      </c>
      <c r="I2260" s="57"/>
      <c r="J2260" s="57" t="s">
        <v>333</v>
      </c>
      <c r="K2260" s="57" t="s">
        <v>334</v>
      </c>
      <c r="L2260" s="60" t="s">
        <v>2782</v>
      </c>
      <c r="M2260" s="57" t="s">
        <v>336</v>
      </c>
      <c r="N2260" s="57" t="s">
        <v>381</v>
      </c>
      <c r="O2260" s="57" t="s">
        <v>729</v>
      </c>
      <c r="P2260" s="57" t="s">
        <v>2783</v>
      </c>
      <c r="Q2260" s="57" t="s">
        <v>698</v>
      </c>
    </row>
    <row r="2261" s="50" customFormat="true" ht="14.25" hidden="false" customHeight="true" outlineLevel="0" collapsed="false">
      <c r="A2261" s="50" t="s">
        <v>727</v>
      </c>
      <c r="B2261" s="57" t="s">
        <v>727</v>
      </c>
      <c r="C2261" s="57" t="s">
        <v>415</v>
      </c>
      <c r="D2261" s="58" t="n">
        <v>46081.6089236111</v>
      </c>
      <c r="E2261" s="58" t="n">
        <v>46081.6089236111</v>
      </c>
      <c r="F2261" s="58" t="n">
        <v>46081.6110416667</v>
      </c>
      <c r="G2261" s="59" t="n">
        <f aca="false">F2261-E2261</f>
        <v>0.00211805560185185</v>
      </c>
      <c r="H2261" s="57" t="s">
        <v>252</v>
      </c>
      <c r="I2261" s="57"/>
      <c r="J2261" s="57" t="s">
        <v>333</v>
      </c>
      <c r="K2261" s="57" t="s">
        <v>334</v>
      </c>
      <c r="L2261" s="60" t="s">
        <v>2784</v>
      </c>
      <c r="M2261" s="57" t="s">
        <v>336</v>
      </c>
      <c r="N2261" s="57" t="s">
        <v>381</v>
      </c>
      <c r="O2261" s="57" t="s">
        <v>729</v>
      </c>
      <c r="P2261" s="57" t="s">
        <v>2785</v>
      </c>
      <c r="Q2261" s="57" t="s">
        <v>698</v>
      </c>
    </row>
    <row r="2262" s="50" customFormat="true" ht="14.25" hidden="false" customHeight="true" outlineLevel="0" collapsed="false">
      <c r="A2262" s="50" t="s">
        <v>727</v>
      </c>
      <c r="B2262" s="57" t="s">
        <v>727</v>
      </c>
      <c r="C2262" s="57" t="s">
        <v>415</v>
      </c>
      <c r="D2262" s="58" t="n">
        <v>46081.5995601852</v>
      </c>
      <c r="E2262" s="58" t="n">
        <v>46081.5995601852</v>
      </c>
      <c r="F2262" s="58" t="n">
        <v>46081.6001388889</v>
      </c>
      <c r="G2262" s="59" t="n">
        <f aca="false">F2262-E2262</f>
        <v>0.000578703703703704</v>
      </c>
      <c r="H2262" s="57" t="s">
        <v>252</v>
      </c>
      <c r="I2262" s="57"/>
      <c r="J2262" s="57" t="s">
        <v>333</v>
      </c>
      <c r="K2262" s="57" t="s">
        <v>334</v>
      </c>
      <c r="L2262" s="60" t="s">
        <v>2786</v>
      </c>
      <c r="M2262" s="57" t="s">
        <v>336</v>
      </c>
      <c r="N2262" s="57" t="s">
        <v>381</v>
      </c>
      <c r="O2262" s="57" t="s">
        <v>729</v>
      </c>
      <c r="P2262" s="57" t="s">
        <v>2787</v>
      </c>
      <c r="Q2262" s="57" t="s">
        <v>698</v>
      </c>
    </row>
    <row r="2263" s="50" customFormat="true" ht="14.25" hidden="false" customHeight="true" outlineLevel="0" collapsed="false">
      <c r="A2263" s="50" t="s">
        <v>727</v>
      </c>
      <c r="B2263" s="57" t="s">
        <v>727</v>
      </c>
      <c r="C2263" s="57" t="s">
        <v>415</v>
      </c>
      <c r="D2263" s="58" t="n">
        <v>46081.5729166667</v>
      </c>
      <c r="E2263" s="58" t="n">
        <v>46081.5729166667</v>
      </c>
      <c r="F2263" s="58" t="n">
        <v>46081.5774305556</v>
      </c>
      <c r="G2263" s="59" t="n">
        <f aca="false">F2263-E2263</f>
        <v>0.00451388888888889</v>
      </c>
      <c r="H2263" s="57" t="s">
        <v>252</v>
      </c>
      <c r="I2263" s="57"/>
      <c r="J2263" s="57" t="s">
        <v>333</v>
      </c>
      <c r="K2263" s="57" t="s">
        <v>334</v>
      </c>
      <c r="L2263" s="60" t="s">
        <v>2788</v>
      </c>
      <c r="M2263" s="57" t="s">
        <v>336</v>
      </c>
      <c r="N2263" s="57" t="s">
        <v>381</v>
      </c>
      <c r="O2263" s="57" t="s">
        <v>729</v>
      </c>
      <c r="P2263" s="57" t="s">
        <v>2789</v>
      </c>
      <c r="Q2263" s="57" t="s">
        <v>698</v>
      </c>
    </row>
    <row r="2264" s="50" customFormat="true" ht="14.25" hidden="false" customHeight="true" outlineLevel="0" collapsed="false">
      <c r="A2264" s="50" t="s">
        <v>727</v>
      </c>
      <c r="B2264" s="57" t="s">
        <v>727</v>
      </c>
      <c r="C2264" s="57" t="s">
        <v>415</v>
      </c>
      <c r="D2264" s="58" t="n">
        <v>46081.5687037037</v>
      </c>
      <c r="E2264" s="58" t="n">
        <v>46081.5687037037</v>
      </c>
      <c r="F2264" s="58" t="n">
        <v>46081.5697222222</v>
      </c>
      <c r="G2264" s="59" t="n">
        <f aca="false">F2264-E2264</f>
        <v>0.00101851850694444</v>
      </c>
      <c r="H2264" s="57" t="s">
        <v>252</v>
      </c>
      <c r="I2264" s="57"/>
      <c r="J2264" s="57" t="s">
        <v>333</v>
      </c>
      <c r="K2264" s="57" t="s">
        <v>334</v>
      </c>
      <c r="L2264" s="60" t="s">
        <v>2790</v>
      </c>
      <c r="M2264" s="57" t="s">
        <v>336</v>
      </c>
      <c r="N2264" s="57" t="s">
        <v>381</v>
      </c>
      <c r="O2264" s="57" t="s">
        <v>729</v>
      </c>
      <c r="P2264" s="57" t="s">
        <v>2791</v>
      </c>
      <c r="Q2264" s="57" t="s">
        <v>698</v>
      </c>
    </row>
    <row r="2265" s="50" customFormat="true" ht="14.25" hidden="false" customHeight="true" outlineLevel="0" collapsed="false">
      <c r="A2265" s="50" t="s">
        <v>727</v>
      </c>
      <c r="B2265" s="57" t="s">
        <v>727</v>
      </c>
      <c r="C2265" s="57" t="s">
        <v>415</v>
      </c>
      <c r="D2265" s="58" t="n">
        <v>46081.5679861111</v>
      </c>
      <c r="E2265" s="58" t="n">
        <v>46081.5679861111</v>
      </c>
      <c r="F2265" s="58" t="n">
        <v>46081.5685185185</v>
      </c>
      <c r="G2265" s="59" t="n">
        <f aca="false">F2265-E2265</f>
        <v>0.000532407407407407</v>
      </c>
      <c r="H2265" s="57" t="s">
        <v>252</v>
      </c>
      <c r="I2265" s="57"/>
      <c r="J2265" s="57" t="s">
        <v>333</v>
      </c>
      <c r="K2265" s="57" t="s">
        <v>334</v>
      </c>
      <c r="L2265" s="60" t="s">
        <v>2792</v>
      </c>
      <c r="M2265" s="57" t="s">
        <v>336</v>
      </c>
      <c r="N2265" s="57" t="s">
        <v>381</v>
      </c>
      <c r="O2265" s="57" t="s">
        <v>729</v>
      </c>
      <c r="P2265" s="57" t="s">
        <v>2793</v>
      </c>
      <c r="Q2265" s="57" t="s">
        <v>698</v>
      </c>
    </row>
    <row r="2266" s="50" customFormat="true" ht="14.25" hidden="false" customHeight="true" outlineLevel="0" collapsed="false">
      <c r="A2266" s="50" t="s">
        <v>727</v>
      </c>
      <c r="B2266" s="57" t="s">
        <v>727</v>
      </c>
      <c r="C2266" s="57" t="s">
        <v>415</v>
      </c>
      <c r="D2266" s="58" t="n">
        <v>46081.5512731482</v>
      </c>
      <c r="E2266" s="58" t="n">
        <v>46081.5512731482</v>
      </c>
      <c r="F2266" s="58" t="n">
        <v>46081.5518055556</v>
      </c>
      <c r="G2266" s="59" t="n">
        <f aca="false">F2266-E2266</f>
        <v>0.000532407407407407</v>
      </c>
      <c r="H2266" s="57" t="s">
        <v>252</v>
      </c>
      <c r="I2266" s="57"/>
      <c r="J2266" s="57" t="s">
        <v>333</v>
      </c>
      <c r="K2266" s="57" t="s">
        <v>334</v>
      </c>
      <c r="L2266" s="60" t="s">
        <v>2794</v>
      </c>
      <c r="M2266" s="57" t="s">
        <v>336</v>
      </c>
      <c r="N2266" s="57" t="s">
        <v>381</v>
      </c>
      <c r="O2266" s="57" t="s">
        <v>729</v>
      </c>
      <c r="P2266" s="57" t="s">
        <v>2795</v>
      </c>
      <c r="Q2266" s="57" t="s">
        <v>698</v>
      </c>
    </row>
    <row r="2267" s="50" customFormat="true" ht="14.25" hidden="false" customHeight="true" outlineLevel="0" collapsed="false">
      <c r="A2267" s="50" t="s">
        <v>727</v>
      </c>
      <c r="B2267" s="57" t="s">
        <v>727</v>
      </c>
      <c r="C2267" s="57" t="s">
        <v>415</v>
      </c>
      <c r="D2267" s="58" t="n">
        <v>46081.5085648148</v>
      </c>
      <c r="E2267" s="58" t="n">
        <v>46081.5085648148</v>
      </c>
      <c r="F2267" s="58" t="n">
        <v>46081.5091087963</v>
      </c>
      <c r="G2267" s="59" t="n">
        <f aca="false">F2267-E2267</f>
        <v>0.00054398150462963</v>
      </c>
      <c r="H2267" s="57" t="s">
        <v>252</v>
      </c>
      <c r="I2267" s="57"/>
      <c r="J2267" s="57" t="s">
        <v>333</v>
      </c>
      <c r="K2267" s="57" t="s">
        <v>334</v>
      </c>
      <c r="L2267" s="60" t="s">
        <v>2796</v>
      </c>
      <c r="M2267" s="57" t="s">
        <v>336</v>
      </c>
      <c r="N2267" s="57" t="s">
        <v>381</v>
      </c>
      <c r="O2267" s="57" t="s">
        <v>729</v>
      </c>
      <c r="P2267" s="57" t="s">
        <v>2797</v>
      </c>
      <c r="Q2267" s="57" t="s">
        <v>698</v>
      </c>
    </row>
    <row r="2268" s="50" customFormat="true" ht="14.25" hidden="false" customHeight="true" outlineLevel="0" collapsed="false">
      <c r="A2268" s="50" t="s">
        <v>727</v>
      </c>
      <c r="B2268" s="57" t="s">
        <v>727</v>
      </c>
      <c r="C2268" s="57" t="s">
        <v>415</v>
      </c>
      <c r="D2268" s="58" t="n">
        <v>46081.4954282407</v>
      </c>
      <c r="E2268" s="58" t="n">
        <v>46081.4954282407</v>
      </c>
      <c r="F2268" s="58" t="n">
        <v>46081.4959722222</v>
      </c>
      <c r="G2268" s="59" t="n">
        <f aca="false">F2268-E2268</f>
        <v>0.00054398150462963</v>
      </c>
      <c r="H2268" s="57" t="s">
        <v>252</v>
      </c>
      <c r="I2268" s="57"/>
      <c r="J2268" s="57" t="s">
        <v>333</v>
      </c>
      <c r="K2268" s="57" t="s">
        <v>334</v>
      </c>
      <c r="L2268" s="60" t="s">
        <v>2798</v>
      </c>
      <c r="M2268" s="57" t="s">
        <v>336</v>
      </c>
      <c r="N2268" s="57" t="s">
        <v>381</v>
      </c>
      <c r="O2268" s="57" t="s">
        <v>729</v>
      </c>
      <c r="P2268" s="57" t="s">
        <v>2799</v>
      </c>
      <c r="Q2268" s="57" t="s">
        <v>698</v>
      </c>
    </row>
    <row r="2269" s="50" customFormat="true" ht="14.25" hidden="false" customHeight="true" outlineLevel="0" collapsed="false">
      <c r="A2269" s="50" t="s">
        <v>727</v>
      </c>
      <c r="B2269" s="57" t="s">
        <v>727</v>
      </c>
      <c r="C2269" s="57" t="s">
        <v>415</v>
      </c>
      <c r="D2269" s="58" t="n">
        <v>46081.4841435185</v>
      </c>
      <c r="E2269" s="58" t="n">
        <v>46081.4841435185</v>
      </c>
      <c r="F2269" s="58" t="n">
        <v>46081.4846759259</v>
      </c>
      <c r="G2269" s="59" t="n">
        <f aca="false">F2269-E2269</f>
        <v>0.000532407407407407</v>
      </c>
      <c r="H2269" s="57" t="s">
        <v>252</v>
      </c>
      <c r="I2269" s="57"/>
      <c r="J2269" s="57" t="s">
        <v>333</v>
      </c>
      <c r="K2269" s="57" t="s">
        <v>334</v>
      </c>
      <c r="L2269" s="60" t="s">
        <v>2800</v>
      </c>
      <c r="M2269" s="57" t="s">
        <v>336</v>
      </c>
      <c r="N2269" s="57" t="s">
        <v>381</v>
      </c>
      <c r="O2269" s="57" t="s">
        <v>729</v>
      </c>
      <c r="P2269" s="57" t="s">
        <v>2801</v>
      </c>
      <c r="Q2269" s="57" t="s">
        <v>698</v>
      </c>
    </row>
    <row r="2270" s="50" customFormat="true" ht="14.25" hidden="false" customHeight="true" outlineLevel="0" collapsed="false">
      <c r="A2270" s="50" t="s">
        <v>727</v>
      </c>
      <c r="B2270" s="57" t="s">
        <v>727</v>
      </c>
      <c r="C2270" s="57" t="s">
        <v>415</v>
      </c>
      <c r="D2270" s="58" t="n">
        <v>46081.4681944444</v>
      </c>
      <c r="E2270" s="58" t="n">
        <v>46081.4681944444</v>
      </c>
      <c r="F2270" s="58" t="n">
        <v>46081.4687384259</v>
      </c>
      <c r="G2270" s="59" t="n">
        <f aca="false">F2270-E2270</f>
        <v>0.00054398150462963</v>
      </c>
      <c r="H2270" s="57" t="s">
        <v>252</v>
      </c>
      <c r="I2270" s="57"/>
      <c r="J2270" s="57" t="s">
        <v>333</v>
      </c>
      <c r="K2270" s="57" t="s">
        <v>334</v>
      </c>
      <c r="L2270" s="60" t="s">
        <v>2802</v>
      </c>
      <c r="M2270" s="57" t="s">
        <v>336</v>
      </c>
      <c r="N2270" s="57" t="s">
        <v>381</v>
      </c>
      <c r="O2270" s="57" t="s">
        <v>729</v>
      </c>
      <c r="P2270" s="57" t="s">
        <v>2803</v>
      </c>
      <c r="Q2270" s="57" t="s">
        <v>698</v>
      </c>
    </row>
    <row r="2271" s="50" customFormat="true" ht="14.25" hidden="false" customHeight="true" outlineLevel="0" collapsed="false">
      <c r="A2271" s="50" t="s">
        <v>727</v>
      </c>
      <c r="B2271" s="57" t="s">
        <v>727</v>
      </c>
      <c r="C2271" s="57" t="s">
        <v>415</v>
      </c>
      <c r="D2271" s="58" t="n">
        <v>46081.4485185185</v>
      </c>
      <c r="E2271" s="58" t="n">
        <v>46081.4485185185</v>
      </c>
      <c r="F2271" s="58" t="n">
        <v>46081.4490277778</v>
      </c>
      <c r="G2271" s="59" t="n">
        <f aca="false">F2271-E2271</f>
        <v>0.000509259305555556</v>
      </c>
      <c r="H2271" s="57" t="s">
        <v>252</v>
      </c>
      <c r="I2271" s="57"/>
      <c r="J2271" s="57" t="s">
        <v>333</v>
      </c>
      <c r="K2271" s="57" t="s">
        <v>334</v>
      </c>
      <c r="L2271" s="60" t="s">
        <v>2804</v>
      </c>
      <c r="M2271" s="57" t="s">
        <v>336</v>
      </c>
      <c r="N2271" s="57" t="s">
        <v>381</v>
      </c>
      <c r="O2271" s="57" t="s">
        <v>729</v>
      </c>
      <c r="P2271" s="57" t="s">
        <v>2805</v>
      </c>
      <c r="Q2271" s="57" t="s">
        <v>698</v>
      </c>
    </row>
    <row r="2272" s="50" customFormat="true" ht="14.25" hidden="false" customHeight="true" outlineLevel="0" collapsed="false">
      <c r="A2272" s="50" t="s">
        <v>727</v>
      </c>
      <c r="B2272" s="57" t="s">
        <v>727</v>
      </c>
      <c r="C2272" s="57" t="s">
        <v>415</v>
      </c>
      <c r="D2272" s="58" t="n">
        <v>46081.4392824074</v>
      </c>
      <c r="E2272" s="58" t="n">
        <v>46081.4392824074</v>
      </c>
      <c r="F2272" s="58" t="n">
        <v>46081.4398032407</v>
      </c>
      <c r="G2272" s="59" t="n">
        <f aca="false">F2272-E2272</f>
        <v>0.000520833298611111</v>
      </c>
      <c r="H2272" s="57" t="s">
        <v>252</v>
      </c>
      <c r="I2272" s="57"/>
      <c r="J2272" s="57" t="s">
        <v>333</v>
      </c>
      <c r="K2272" s="57" t="s">
        <v>334</v>
      </c>
      <c r="L2272" s="60" t="s">
        <v>2806</v>
      </c>
      <c r="M2272" s="57" t="s">
        <v>336</v>
      </c>
      <c r="N2272" s="57" t="s">
        <v>381</v>
      </c>
      <c r="O2272" s="57" t="s">
        <v>729</v>
      </c>
      <c r="P2272" s="57" t="s">
        <v>2807</v>
      </c>
      <c r="Q2272" s="57" t="s">
        <v>698</v>
      </c>
    </row>
    <row r="2273" s="50" customFormat="true" ht="14.25" hidden="false" customHeight="true" outlineLevel="0" collapsed="false">
      <c r="A2273" s="50" t="s">
        <v>727</v>
      </c>
      <c r="B2273" s="57" t="s">
        <v>727</v>
      </c>
      <c r="C2273" s="57" t="s">
        <v>415</v>
      </c>
      <c r="D2273" s="58" t="n">
        <v>46081.4299768519</v>
      </c>
      <c r="E2273" s="58" t="n">
        <v>46081.4299768519</v>
      </c>
      <c r="F2273" s="58" t="n">
        <v>46081.4305092593</v>
      </c>
      <c r="G2273" s="59" t="n">
        <f aca="false">F2273-E2273</f>
        <v>0.000532407407407407</v>
      </c>
      <c r="H2273" s="57" t="s">
        <v>252</v>
      </c>
      <c r="I2273" s="57"/>
      <c r="J2273" s="57" t="s">
        <v>333</v>
      </c>
      <c r="K2273" s="57" t="s">
        <v>334</v>
      </c>
      <c r="L2273" s="60" t="s">
        <v>2808</v>
      </c>
      <c r="M2273" s="57" t="s">
        <v>336</v>
      </c>
      <c r="N2273" s="57" t="s">
        <v>381</v>
      </c>
      <c r="O2273" s="57" t="s">
        <v>729</v>
      </c>
      <c r="P2273" s="57" t="s">
        <v>2809</v>
      </c>
      <c r="Q2273" s="57" t="s">
        <v>698</v>
      </c>
    </row>
    <row r="2274" s="50" customFormat="true" ht="14.25" hidden="false" customHeight="true" outlineLevel="0" collapsed="false">
      <c r="A2274" s="50" t="s">
        <v>727</v>
      </c>
      <c r="B2274" s="57" t="s">
        <v>727</v>
      </c>
      <c r="C2274" s="57" t="s">
        <v>415</v>
      </c>
      <c r="D2274" s="58" t="n">
        <v>46081.4110185185</v>
      </c>
      <c r="E2274" s="58" t="n">
        <v>46081.4110185185</v>
      </c>
      <c r="F2274" s="58" t="n">
        <v>46081.4115740741</v>
      </c>
      <c r="G2274" s="59" t="n">
        <f aca="false">F2274-E2274</f>
        <v>0.000555555601851852</v>
      </c>
      <c r="H2274" s="57" t="s">
        <v>252</v>
      </c>
      <c r="I2274" s="57"/>
      <c r="J2274" s="57" t="s">
        <v>333</v>
      </c>
      <c r="K2274" s="57" t="s">
        <v>334</v>
      </c>
      <c r="L2274" s="60" t="s">
        <v>2810</v>
      </c>
      <c r="M2274" s="57" t="s">
        <v>336</v>
      </c>
      <c r="N2274" s="57" t="s">
        <v>381</v>
      </c>
      <c r="O2274" s="57" t="s">
        <v>729</v>
      </c>
      <c r="P2274" s="57" t="s">
        <v>2811</v>
      </c>
      <c r="Q2274" s="57" t="s">
        <v>698</v>
      </c>
    </row>
    <row r="2275" s="50" customFormat="true" ht="14.25" hidden="false" customHeight="true" outlineLevel="0" collapsed="false">
      <c r="A2275" s="50" t="s">
        <v>727</v>
      </c>
      <c r="B2275" s="57" t="s">
        <v>727</v>
      </c>
      <c r="C2275" s="57" t="s">
        <v>415</v>
      </c>
      <c r="D2275" s="58" t="n">
        <v>46081.3833217593</v>
      </c>
      <c r="E2275" s="58" t="n">
        <v>46081.3833217593</v>
      </c>
      <c r="F2275" s="58" t="n">
        <v>46081.3838541667</v>
      </c>
      <c r="G2275" s="59" t="n">
        <f aca="false">F2275-E2275</f>
        <v>0.000532407407407407</v>
      </c>
      <c r="H2275" s="57" t="s">
        <v>252</v>
      </c>
      <c r="I2275" s="57"/>
      <c r="J2275" s="57" t="s">
        <v>333</v>
      </c>
      <c r="K2275" s="57" t="s">
        <v>334</v>
      </c>
      <c r="L2275" s="60" t="s">
        <v>2812</v>
      </c>
      <c r="M2275" s="57" t="s">
        <v>336</v>
      </c>
      <c r="N2275" s="57" t="s">
        <v>381</v>
      </c>
      <c r="O2275" s="57" t="s">
        <v>729</v>
      </c>
      <c r="P2275" s="57" t="s">
        <v>2813</v>
      </c>
      <c r="Q2275" s="57" t="s">
        <v>698</v>
      </c>
    </row>
    <row r="2276" s="50" customFormat="true" ht="14.25" hidden="false" customHeight="true" outlineLevel="0" collapsed="false">
      <c r="A2276" s="50" t="s">
        <v>727</v>
      </c>
      <c r="B2276" s="57" t="s">
        <v>727</v>
      </c>
      <c r="C2276" s="57" t="s">
        <v>415</v>
      </c>
      <c r="D2276" s="58" t="n">
        <v>46081.3653125</v>
      </c>
      <c r="E2276" s="58" t="n">
        <v>46081.3653125</v>
      </c>
      <c r="F2276" s="58" t="n">
        <v>46081.3658333333</v>
      </c>
      <c r="G2276" s="59" t="n">
        <f aca="false">F2276-E2276</f>
        <v>0.000520833298611111</v>
      </c>
      <c r="H2276" s="57" t="s">
        <v>252</v>
      </c>
      <c r="I2276" s="57"/>
      <c r="J2276" s="57" t="s">
        <v>333</v>
      </c>
      <c r="K2276" s="57" t="s">
        <v>334</v>
      </c>
      <c r="L2276" s="60" t="s">
        <v>2814</v>
      </c>
      <c r="M2276" s="57" t="s">
        <v>336</v>
      </c>
      <c r="N2276" s="57" t="s">
        <v>381</v>
      </c>
      <c r="O2276" s="57" t="s">
        <v>729</v>
      </c>
      <c r="P2276" s="57" t="s">
        <v>2815</v>
      </c>
      <c r="Q2276" s="57" t="s">
        <v>698</v>
      </c>
    </row>
    <row r="2277" s="50" customFormat="true" ht="14.25" hidden="false" customHeight="true" outlineLevel="0" collapsed="false">
      <c r="A2277" s="50" t="s">
        <v>727</v>
      </c>
      <c r="B2277" s="57" t="s">
        <v>727</v>
      </c>
      <c r="C2277" s="57" t="s">
        <v>415</v>
      </c>
      <c r="D2277" s="58" t="n">
        <v>46081.3577777778</v>
      </c>
      <c r="E2277" s="58" t="n">
        <v>46081.3577777778</v>
      </c>
      <c r="F2277" s="58" t="n">
        <v>46081.3583333333</v>
      </c>
      <c r="G2277" s="59" t="n">
        <f aca="false">F2277-E2277</f>
        <v>0.000555555509259259</v>
      </c>
      <c r="H2277" s="57" t="s">
        <v>252</v>
      </c>
      <c r="I2277" s="57"/>
      <c r="J2277" s="57" t="s">
        <v>333</v>
      </c>
      <c r="K2277" s="57" t="s">
        <v>334</v>
      </c>
      <c r="L2277" s="60" t="s">
        <v>2816</v>
      </c>
      <c r="M2277" s="57" t="s">
        <v>336</v>
      </c>
      <c r="N2277" s="57" t="s">
        <v>381</v>
      </c>
      <c r="O2277" s="57" t="s">
        <v>729</v>
      </c>
      <c r="P2277" s="57" t="s">
        <v>2817</v>
      </c>
      <c r="Q2277" s="57" t="s">
        <v>698</v>
      </c>
    </row>
    <row r="2278" s="50" customFormat="true" ht="14.25" hidden="false" customHeight="true" outlineLevel="0" collapsed="false">
      <c r="A2278" s="50" t="s">
        <v>727</v>
      </c>
      <c r="B2278" s="57" t="s">
        <v>727</v>
      </c>
      <c r="C2278" s="57" t="s">
        <v>415</v>
      </c>
      <c r="D2278" s="58" t="n">
        <v>46081.3484027778</v>
      </c>
      <c r="E2278" s="58" t="n">
        <v>46081.3484027778</v>
      </c>
      <c r="F2278" s="58" t="n">
        <v>46081.3489236111</v>
      </c>
      <c r="G2278" s="59" t="n">
        <f aca="false">F2278-E2278</f>
        <v>0.000520833298611111</v>
      </c>
      <c r="H2278" s="57" t="s">
        <v>252</v>
      </c>
      <c r="I2278" s="57"/>
      <c r="J2278" s="57" t="s">
        <v>333</v>
      </c>
      <c r="K2278" s="57" t="s">
        <v>334</v>
      </c>
      <c r="L2278" s="60" t="s">
        <v>2818</v>
      </c>
      <c r="M2278" s="57" t="s">
        <v>336</v>
      </c>
      <c r="N2278" s="57" t="s">
        <v>381</v>
      </c>
      <c r="O2278" s="57" t="s">
        <v>729</v>
      </c>
      <c r="P2278" s="57" t="s">
        <v>2819</v>
      </c>
      <c r="Q2278" s="57" t="s">
        <v>698</v>
      </c>
    </row>
    <row r="2279" s="50" customFormat="true" ht="14.25" hidden="false" customHeight="true" outlineLevel="0" collapsed="false">
      <c r="A2279" s="50" t="s">
        <v>727</v>
      </c>
      <c r="B2279" s="57" t="s">
        <v>727</v>
      </c>
      <c r="C2279" s="57" t="s">
        <v>415</v>
      </c>
      <c r="D2279" s="58" t="n">
        <v>46081.3374074074</v>
      </c>
      <c r="E2279" s="58" t="n">
        <v>46081.3374074074</v>
      </c>
      <c r="F2279" s="58" t="n">
        <v>46081.3379282407</v>
      </c>
      <c r="G2279" s="59" t="n">
        <f aca="false">F2279-E2279</f>
        <v>0.000520833298611111</v>
      </c>
      <c r="H2279" s="57" t="s">
        <v>252</v>
      </c>
      <c r="I2279" s="57"/>
      <c r="J2279" s="57" t="s">
        <v>333</v>
      </c>
      <c r="K2279" s="57" t="s">
        <v>334</v>
      </c>
      <c r="L2279" s="60" t="s">
        <v>2820</v>
      </c>
      <c r="M2279" s="57" t="s">
        <v>336</v>
      </c>
      <c r="N2279" s="57" t="s">
        <v>381</v>
      </c>
      <c r="O2279" s="57" t="s">
        <v>729</v>
      </c>
      <c r="P2279" s="57" t="s">
        <v>2821</v>
      </c>
      <c r="Q2279" s="57" t="s">
        <v>698</v>
      </c>
    </row>
    <row r="2280" s="50" customFormat="true" ht="14.25" hidden="false" customHeight="true" outlineLevel="0" collapsed="false">
      <c r="A2280" s="50" t="s">
        <v>727</v>
      </c>
      <c r="B2280" s="57" t="s">
        <v>727</v>
      </c>
      <c r="C2280" s="57" t="s">
        <v>415</v>
      </c>
      <c r="D2280" s="58" t="n">
        <v>46081.276712963</v>
      </c>
      <c r="E2280" s="58" t="n">
        <v>46081.276712963</v>
      </c>
      <c r="F2280" s="58" t="n">
        <v>46081.2776273148</v>
      </c>
      <c r="G2280" s="59" t="n">
        <f aca="false">F2280-E2280</f>
        <v>0.000914351793981482</v>
      </c>
      <c r="H2280" s="57" t="s">
        <v>252</v>
      </c>
      <c r="I2280" s="57"/>
      <c r="J2280" s="57" t="s">
        <v>333</v>
      </c>
      <c r="K2280" s="57" t="s">
        <v>334</v>
      </c>
      <c r="L2280" s="60" t="s">
        <v>2822</v>
      </c>
      <c r="M2280" s="57" t="s">
        <v>336</v>
      </c>
      <c r="N2280" s="57" t="s">
        <v>381</v>
      </c>
      <c r="O2280" s="57" t="s">
        <v>729</v>
      </c>
      <c r="P2280" s="57" t="s">
        <v>2823</v>
      </c>
      <c r="Q2280" s="57" t="s">
        <v>698</v>
      </c>
    </row>
    <row r="2281" s="50" customFormat="true" ht="14.25" hidden="false" customHeight="true" outlineLevel="0" collapsed="false">
      <c r="A2281" s="50" t="s">
        <v>727</v>
      </c>
      <c r="B2281" s="57" t="s">
        <v>727</v>
      </c>
      <c r="C2281" s="57" t="s">
        <v>415</v>
      </c>
      <c r="D2281" s="58" t="n">
        <v>46081.2492824074</v>
      </c>
      <c r="E2281" s="58" t="n">
        <v>46081.2492824074</v>
      </c>
      <c r="F2281" s="58" t="n">
        <v>46081.2765393519</v>
      </c>
      <c r="G2281" s="59" t="n">
        <f aca="false">F2281-E2281</f>
        <v>0.0272569445023148</v>
      </c>
      <c r="H2281" s="57" t="s">
        <v>252</v>
      </c>
      <c r="I2281" s="57"/>
      <c r="J2281" s="57" t="s">
        <v>333</v>
      </c>
      <c r="K2281" s="57" t="s">
        <v>334</v>
      </c>
      <c r="L2281" s="60" t="s">
        <v>2824</v>
      </c>
      <c r="M2281" s="57" t="s">
        <v>336</v>
      </c>
      <c r="N2281" s="57" t="s">
        <v>381</v>
      </c>
      <c r="O2281" s="57" t="s">
        <v>729</v>
      </c>
      <c r="P2281" s="57" t="s">
        <v>2825</v>
      </c>
      <c r="Q2281" s="57" t="s">
        <v>698</v>
      </c>
    </row>
    <row r="2282" s="50" customFormat="true" ht="14.25" hidden="false" customHeight="true" outlineLevel="0" collapsed="false">
      <c r="A2282" s="50" t="s">
        <v>727</v>
      </c>
      <c r="B2282" s="57" t="s">
        <v>727</v>
      </c>
      <c r="C2282" s="57" t="s">
        <v>415</v>
      </c>
      <c r="D2282" s="58" t="n">
        <v>46081.2488888889</v>
      </c>
      <c r="E2282" s="58" t="n">
        <v>46081.2488888889</v>
      </c>
      <c r="F2282" s="58" t="n">
        <v>46081.2765393519</v>
      </c>
      <c r="G2282" s="59" t="n">
        <f aca="false">F2282-E2282</f>
        <v>0.0276504629976852</v>
      </c>
      <c r="H2282" s="57" t="s">
        <v>252</v>
      </c>
      <c r="I2282" s="57"/>
      <c r="J2282" s="57" t="s">
        <v>333</v>
      </c>
      <c r="K2282" s="57" t="s">
        <v>334</v>
      </c>
      <c r="L2282" s="60" t="s">
        <v>2826</v>
      </c>
      <c r="M2282" s="57" t="s">
        <v>336</v>
      </c>
      <c r="N2282" s="57" t="s">
        <v>381</v>
      </c>
      <c r="O2282" s="57" t="s">
        <v>729</v>
      </c>
      <c r="P2282" s="57" t="s">
        <v>2827</v>
      </c>
      <c r="Q2282" s="57" t="s">
        <v>698</v>
      </c>
    </row>
    <row r="2283" s="50" customFormat="true" ht="14.25" hidden="false" customHeight="true" outlineLevel="0" collapsed="false">
      <c r="A2283" s="50" t="s">
        <v>727</v>
      </c>
      <c r="B2283" s="57" t="s">
        <v>727</v>
      </c>
      <c r="C2283" s="57" t="s">
        <v>415</v>
      </c>
      <c r="D2283" s="58" t="n">
        <v>46080.774837963</v>
      </c>
      <c r="E2283" s="58" t="n">
        <v>46080.774837963</v>
      </c>
      <c r="F2283" s="58" t="n">
        <v>46080.7775810185</v>
      </c>
      <c r="G2283" s="59" t="n">
        <f aca="false">F2283-E2283</f>
        <v>0.00274305549768519</v>
      </c>
      <c r="H2283" s="57" t="s">
        <v>252</v>
      </c>
      <c r="I2283" s="57"/>
      <c r="J2283" s="57" t="s">
        <v>333</v>
      </c>
      <c r="K2283" s="57" t="s">
        <v>334</v>
      </c>
      <c r="L2283" s="60" t="s">
        <v>2828</v>
      </c>
      <c r="M2283" s="57" t="s">
        <v>336</v>
      </c>
      <c r="N2283" s="57" t="s">
        <v>381</v>
      </c>
      <c r="O2283" s="57" t="s">
        <v>729</v>
      </c>
      <c r="P2283" s="57" t="s">
        <v>2829</v>
      </c>
      <c r="Q2283" s="57" t="s">
        <v>698</v>
      </c>
    </row>
    <row r="2284" s="50" customFormat="true" ht="14.25" hidden="false" customHeight="true" outlineLevel="0" collapsed="false">
      <c r="A2284" s="50" t="s">
        <v>727</v>
      </c>
      <c r="B2284" s="57" t="s">
        <v>727</v>
      </c>
      <c r="C2284" s="57" t="s">
        <v>415</v>
      </c>
      <c r="D2284" s="58" t="n">
        <v>46080.7421759259</v>
      </c>
      <c r="E2284" s="58" t="n">
        <v>46080.7421759259</v>
      </c>
      <c r="F2284" s="58" t="n">
        <v>46080.7775810185</v>
      </c>
      <c r="G2284" s="59" t="n">
        <f aca="false">F2284-E2284</f>
        <v>0.0354050925925926</v>
      </c>
      <c r="H2284" s="57" t="s">
        <v>252</v>
      </c>
      <c r="I2284" s="57"/>
      <c r="J2284" s="57" t="s">
        <v>333</v>
      </c>
      <c r="K2284" s="57" t="s">
        <v>334</v>
      </c>
      <c r="L2284" s="60" t="s">
        <v>2830</v>
      </c>
      <c r="M2284" s="57" t="s">
        <v>336</v>
      </c>
      <c r="N2284" s="57" t="s">
        <v>381</v>
      </c>
      <c r="O2284" s="57" t="s">
        <v>729</v>
      </c>
      <c r="P2284" s="57" t="s">
        <v>2831</v>
      </c>
      <c r="Q2284" s="57" t="s">
        <v>698</v>
      </c>
    </row>
    <row r="2285" s="50" customFormat="true" ht="14.25" hidden="false" customHeight="true" outlineLevel="0" collapsed="false">
      <c r="A2285" s="50" t="s">
        <v>727</v>
      </c>
      <c r="B2285" s="57" t="s">
        <v>727</v>
      </c>
      <c r="C2285" s="57" t="s">
        <v>415</v>
      </c>
      <c r="D2285" s="58" t="n">
        <v>46080.7413194444</v>
      </c>
      <c r="E2285" s="58" t="n">
        <v>46080.7413194444</v>
      </c>
      <c r="F2285" s="58" t="n">
        <v>46080.7420023148</v>
      </c>
      <c r="G2285" s="59" t="n">
        <f aca="false">F2285-E2285</f>
        <v>0.000682870393518519</v>
      </c>
      <c r="H2285" s="57" t="s">
        <v>252</v>
      </c>
      <c r="I2285" s="57"/>
      <c r="J2285" s="57" t="s">
        <v>333</v>
      </c>
      <c r="K2285" s="57" t="s">
        <v>334</v>
      </c>
      <c r="L2285" s="60" t="s">
        <v>2832</v>
      </c>
      <c r="M2285" s="57" t="s">
        <v>336</v>
      </c>
      <c r="N2285" s="57" t="s">
        <v>381</v>
      </c>
      <c r="O2285" s="57" t="s">
        <v>729</v>
      </c>
      <c r="P2285" s="57" t="s">
        <v>2833</v>
      </c>
      <c r="Q2285" s="57" t="s">
        <v>698</v>
      </c>
    </row>
    <row r="2286" s="50" customFormat="true" ht="14.25" hidden="false" customHeight="true" outlineLevel="0" collapsed="false">
      <c r="A2286" s="50" t="s">
        <v>727</v>
      </c>
      <c r="B2286" s="57" t="s">
        <v>727</v>
      </c>
      <c r="C2286" s="57" t="s">
        <v>415</v>
      </c>
      <c r="D2286" s="58" t="n">
        <v>46080.7404513889</v>
      </c>
      <c r="E2286" s="58" t="n">
        <v>46080.7404513889</v>
      </c>
      <c r="F2286" s="58" t="n">
        <v>46080.7411342593</v>
      </c>
      <c r="G2286" s="59" t="n">
        <f aca="false">F2286-E2286</f>
        <v>0.000682870393518519</v>
      </c>
      <c r="H2286" s="57" t="s">
        <v>252</v>
      </c>
      <c r="I2286" s="57"/>
      <c r="J2286" s="57" t="s">
        <v>333</v>
      </c>
      <c r="K2286" s="57" t="s">
        <v>334</v>
      </c>
      <c r="L2286" s="60" t="s">
        <v>2834</v>
      </c>
      <c r="M2286" s="57" t="s">
        <v>336</v>
      </c>
      <c r="N2286" s="57" t="s">
        <v>381</v>
      </c>
      <c r="O2286" s="57" t="s">
        <v>729</v>
      </c>
      <c r="P2286" s="57" t="s">
        <v>2835</v>
      </c>
      <c r="Q2286" s="57" t="s">
        <v>698</v>
      </c>
    </row>
    <row r="2287" s="50" customFormat="true" ht="14.25" hidden="false" customHeight="true" outlineLevel="0" collapsed="false">
      <c r="A2287" s="50" t="s">
        <v>727</v>
      </c>
      <c r="B2287" s="57" t="s">
        <v>727</v>
      </c>
      <c r="C2287" s="57" t="s">
        <v>415</v>
      </c>
      <c r="D2287" s="58" t="n">
        <v>46080.7396180556</v>
      </c>
      <c r="E2287" s="58" t="n">
        <v>46080.7396180556</v>
      </c>
      <c r="F2287" s="58" t="n">
        <v>46080.7402777778</v>
      </c>
      <c r="G2287" s="59" t="n">
        <f aca="false">F2287-E2287</f>
        <v>0.000659722199074074</v>
      </c>
      <c r="H2287" s="57" t="s">
        <v>252</v>
      </c>
      <c r="I2287" s="57"/>
      <c r="J2287" s="57" t="s">
        <v>333</v>
      </c>
      <c r="K2287" s="57" t="s">
        <v>334</v>
      </c>
      <c r="L2287" s="60" t="s">
        <v>2836</v>
      </c>
      <c r="M2287" s="57" t="s">
        <v>336</v>
      </c>
      <c r="N2287" s="57" t="s">
        <v>381</v>
      </c>
      <c r="O2287" s="57" t="s">
        <v>729</v>
      </c>
      <c r="P2287" s="57" t="s">
        <v>2837</v>
      </c>
      <c r="Q2287" s="57" t="s">
        <v>698</v>
      </c>
    </row>
    <row r="2288" s="50" customFormat="true" ht="14.25" hidden="false" customHeight="true" outlineLevel="0" collapsed="false">
      <c r="A2288" s="50" t="s">
        <v>727</v>
      </c>
      <c r="B2288" s="57" t="s">
        <v>727</v>
      </c>
      <c r="C2288" s="57" t="s">
        <v>415</v>
      </c>
      <c r="D2288" s="58" t="n">
        <v>46080.7387731482</v>
      </c>
      <c r="E2288" s="58" t="n">
        <v>46080.7387731482</v>
      </c>
      <c r="F2288" s="58" t="n">
        <v>46080.7394444444</v>
      </c>
      <c r="G2288" s="59" t="n">
        <f aca="false">F2288-E2288</f>
        <v>0.000671296203703704</v>
      </c>
      <c r="H2288" s="57" t="s">
        <v>252</v>
      </c>
      <c r="I2288" s="57"/>
      <c r="J2288" s="57" t="s">
        <v>333</v>
      </c>
      <c r="K2288" s="57" t="s">
        <v>334</v>
      </c>
      <c r="L2288" s="60" t="s">
        <v>2838</v>
      </c>
      <c r="M2288" s="57" t="s">
        <v>336</v>
      </c>
      <c r="N2288" s="57" t="s">
        <v>381</v>
      </c>
      <c r="O2288" s="57" t="s">
        <v>729</v>
      </c>
      <c r="P2288" s="57" t="s">
        <v>2839</v>
      </c>
      <c r="Q2288" s="57" t="s">
        <v>698</v>
      </c>
    </row>
    <row r="2289" s="50" customFormat="true" ht="14.25" hidden="false" customHeight="true" outlineLevel="0" collapsed="false">
      <c r="A2289" s="50" t="s">
        <v>727</v>
      </c>
      <c r="B2289" s="57" t="s">
        <v>727</v>
      </c>
      <c r="C2289" s="57" t="s">
        <v>415</v>
      </c>
      <c r="D2289" s="58" t="n">
        <v>46080.7379513889</v>
      </c>
      <c r="E2289" s="58" t="n">
        <v>46080.7379513889</v>
      </c>
      <c r="F2289" s="58" t="n">
        <v>46080.738587963</v>
      </c>
      <c r="G2289" s="59" t="n">
        <f aca="false">F2289-E2289</f>
        <v>0.000636574097222222</v>
      </c>
      <c r="H2289" s="57" t="s">
        <v>252</v>
      </c>
      <c r="I2289" s="57"/>
      <c r="J2289" s="57" t="s">
        <v>333</v>
      </c>
      <c r="K2289" s="57" t="s">
        <v>334</v>
      </c>
      <c r="L2289" s="60" t="s">
        <v>2840</v>
      </c>
      <c r="M2289" s="57" t="s">
        <v>336</v>
      </c>
      <c r="N2289" s="57" t="s">
        <v>381</v>
      </c>
      <c r="O2289" s="57" t="s">
        <v>729</v>
      </c>
      <c r="P2289" s="57" t="s">
        <v>2841</v>
      </c>
      <c r="Q2289" s="57" t="s">
        <v>698</v>
      </c>
    </row>
    <row r="2290" s="50" customFormat="true" ht="14.25" hidden="false" customHeight="true" outlineLevel="0" collapsed="false">
      <c r="A2290" s="50" t="s">
        <v>727</v>
      </c>
      <c r="B2290" s="57" t="s">
        <v>727</v>
      </c>
      <c r="C2290" s="57" t="s">
        <v>415</v>
      </c>
      <c r="D2290" s="58" t="n">
        <v>46080.7371180556</v>
      </c>
      <c r="E2290" s="58" t="n">
        <v>46080.7371180556</v>
      </c>
      <c r="F2290" s="58" t="n">
        <v>46080.7377777778</v>
      </c>
      <c r="G2290" s="59" t="n">
        <f aca="false">F2290-E2290</f>
        <v>0.000659722199074074</v>
      </c>
      <c r="H2290" s="57" t="s">
        <v>252</v>
      </c>
      <c r="I2290" s="57"/>
      <c r="J2290" s="57" t="s">
        <v>333</v>
      </c>
      <c r="K2290" s="57" t="s">
        <v>334</v>
      </c>
      <c r="L2290" s="60" t="s">
        <v>2842</v>
      </c>
      <c r="M2290" s="57" t="s">
        <v>336</v>
      </c>
      <c r="N2290" s="57" t="s">
        <v>381</v>
      </c>
      <c r="O2290" s="57" t="s">
        <v>729</v>
      </c>
      <c r="P2290" s="57" t="s">
        <v>2843</v>
      </c>
      <c r="Q2290" s="57" t="s">
        <v>698</v>
      </c>
    </row>
    <row r="2291" s="50" customFormat="true" ht="14.25" hidden="false" customHeight="true" outlineLevel="0" collapsed="false">
      <c r="A2291" s="50" t="s">
        <v>727</v>
      </c>
      <c r="B2291" s="57" t="s">
        <v>727</v>
      </c>
      <c r="C2291" s="57" t="s">
        <v>415</v>
      </c>
      <c r="D2291" s="58" t="n">
        <v>46080.7362384259</v>
      </c>
      <c r="E2291" s="58" t="n">
        <v>46080.7362384259</v>
      </c>
      <c r="F2291" s="58" t="n">
        <v>46080.7369212963</v>
      </c>
      <c r="G2291" s="59" t="n">
        <f aca="false">F2291-E2291</f>
        <v>0.000682870393518519</v>
      </c>
      <c r="H2291" s="57" t="s">
        <v>252</v>
      </c>
      <c r="I2291" s="57"/>
      <c r="J2291" s="57" t="s">
        <v>333</v>
      </c>
      <c r="K2291" s="57" t="s">
        <v>334</v>
      </c>
      <c r="L2291" s="60" t="s">
        <v>2844</v>
      </c>
      <c r="M2291" s="57" t="s">
        <v>336</v>
      </c>
      <c r="N2291" s="57" t="s">
        <v>381</v>
      </c>
      <c r="O2291" s="57" t="s">
        <v>729</v>
      </c>
      <c r="P2291" s="57" t="s">
        <v>2845</v>
      </c>
      <c r="Q2291" s="57" t="s">
        <v>698</v>
      </c>
    </row>
    <row r="2292" s="50" customFormat="true" ht="14.25" hidden="false" customHeight="true" outlineLevel="0" collapsed="false">
      <c r="A2292" s="50" t="s">
        <v>727</v>
      </c>
      <c r="B2292" s="57" t="s">
        <v>727</v>
      </c>
      <c r="C2292" s="57" t="s">
        <v>415</v>
      </c>
      <c r="D2292" s="58" t="n">
        <v>46080.7345023148</v>
      </c>
      <c r="E2292" s="58" t="n">
        <v>46080.7345023148</v>
      </c>
      <c r="F2292" s="58" t="n">
        <v>46080.7351967593</v>
      </c>
      <c r="G2292" s="59" t="n">
        <f aca="false">F2292-E2292</f>
        <v>0.000694444502314815</v>
      </c>
      <c r="H2292" s="57" t="s">
        <v>252</v>
      </c>
      <c r="I2292" s="57"/>
      <c r="J2292" s="57" t="s">
        <v>333</v>
      </c>
      <c r="K2292" s="57" t="s">
        <v>334</v>
      </c>
      <c r="L2292" s="60" t="s">
        <v>2846</v>
      </c>
      <c r="M2292" s="57" t="s">
        <v>336</v>
      </c>
      <c r="N2292" s="57" t="s">
        <v>381</v>
      </c>
      <c r="O2292" s="57" t="s">
        <v>729</v>
      </c>
      <c r="P2292" s="57" t="s">
        <v>2847</v>
      </c>
      <c r="Q2292" s="57" t="s">
        <v>698</v>
      </c>
    </row>
    <row r="2293" s="50" customFormat="true" ht="14.25" hidden="false" customHeight="true" outlineLevel="0" collapsed="false">
      <c r="A2293" s="50" t="s">
        <v>727</v>
      </c>
      <c r="B2293" s="57" t="s">
        <v>727</v>
      </c>
      <c r="C2293" s="57" t="s">
        <v>415</v>
      </c>
      <c r="D2293" s="58" t="n">
        <v>46080.7334722222</v>
      </c>
      <c r="E2293" s="58" t="n">
        <v>46080.7334722222</v>
      </c>
      <c r="F2293" s="58" t="n">
        <v>46080.7341550926</v>
      </c>
      <c r="G2293" s="59" t="n">
        <f aca="false">F2293-E2293</f>
        <v>0.000682870393518519</v>
      </c>
      <c r="H2293" s="57" t="s">
        <v>252</v>
      </c>
      <c r="I2293" s="57"/>
      <c r="J2293" s="57" t="s">
        <v>333</v>
      </c>
      <c r="K2293" s="57" t="s">
        <v>334</v>
      </c>
      <c r="L2293" s="60" t="s">
        <v>2848</v>
      </c>
      <c r="M2293" s="57" t="s">
        <v>336</v>
      </c>
      <c r="N2293" s="57" t="s">
        <v>381</v>
      </c>
      <c r="O2293" s="57" t="s">
        <v>729</v>
      </c>
      <c r="P2293" s="57" t="s">
        <v>2849</v>
      </c>
      <c r="Q2293" s="57" t="s">
        <v>698</v>
      </c>
    </row>
    <row r="2294" s="50" customFormat="true" ht="14.25" hidden="false" customHeight="true" outlineLevel="0" collapsed="false">
      <c r="A2294" s="50" t="s">
        <v>727</v>
      </c>
      <c r="B2294" s="57" t="s">
        <v>727</v>
      </c>
      <c r="C2294" s="57" t="s">
        <v>415</v>
      </c>
      <c r="D2294" s="58" t="n">
        <v>46080.7305324074</v>
      </c>
      <c r="E2294" s="58" t="n">
        <v>46080.7305324074</v>
      </c>
      <c r="F2294" s="58" t="n">
        <v>46080.7312152778</v>
      </c>
      <c r="G2294" s="59" t="n">
        <f aca="false">F2294-E2294</f>
        <v>0.000682870405092593</v>
      </c>
      <c r="H2294" s="57" t="s">
        <v>252</v>
      </c>
      <c r="I2294" s="57"/>
      <c r="J2294" s="57" t="s">
        <v>333</v>
      </c>
      <c r="K2294" s="57" t="s">
        <v>334</v>
      </c>
      <c r="L2294" s="60" t="s">
        <v>2850</v>
      </c>
      <c r="M2294" s="57" t="s">
        <v>336</v>
      </c>
      <c r="N2294" s="57" t="s">
        <v>381</v>
      </c>
      <c r="O2294" s="57" t="s">
        <v>729</v>
      </c>
      <c r="P2294" s="57" t="s">
        <v>2851</v>
      </c>
      <c r="Q2294" s="57" t="s">
        <v>698</v>
      </c>
    </row>
    <row r="2295" s="50" customFormat="true" ht="14.25" hidden="false" customHeight="true" outlineLevel="0" collapsed="false">
      <c r="A2295" s="50" t="s">
        <v>727</v>
      </c>
      <c r="B2295" s="57" t="s">
        <v>727</v>
      </c>
      <c r="C2295" s="57" t="s">
        <v>415</v>
      </c>
      <c r="D2295" s="58" t="n">
        <v>46080.7270717593</v>
      </c>
      <c r="E2295" s="58" t="n">
        <v>46080.7270717593</v>
      </c>
      <c r="F2295" s="58" t="n">
        <v>46080.7277546296</v>
      </c>
      <c r="G2295" s="59" t="n">
        <f aca="false">F2295-E2295</f>
        <v>0.000682870300925926</v>
      </c>
      <c r="H2295" s="57" t="s">
        <v>252</v>
      </c>
      <c r="I2295" s="57"/>
      <c r="J2295" s="57" t="s">
        <v>333</v>
      </c>
      <c r="K2295" s="57" t="s">
        <v>334</v>
      </c>
      <c r="L2295" s="60" t="s">
        <v>2852</v>
      </c>
      <c r="M2295" s="57" t="s">
        <v>336</v>
      </c>
      <c r="N2295" s="57" t="s">
        <v>381</v>
      </c>
      <c r="O2295" s="57" t="s">
        <v>729</v>
      </c>
      <c r="P2295" s="57" t="s">
        <v>2853</v>
      </c>
      <c r="Q2295" s="57" t="s">
        <v>698</v>
      </c>
    </row>
    <row r="2296" s="50" customFormat="true" ht="14.25" hidden="false" customHeight="true" outlineLevel="0" collapsed="false">
      <c r="A2296" s="50" t="s">
        <v>727</v>
      </c>
      <c r="B2296" s="57" t="s">
        <v>727</v>
      </c>
      <c r="C2296" s="57" t="s">
        <v>415</v>
      </c>
      <c r="D2296" s="58" t="n">
        <v>46080.725162037</v>
      </c>
      <c r="E2296" s="58" t="n">
        <v>46080.725162037</v>
      </c>
      <c r="F2296" s="58" t="n">
        <v>46080.7258449074</v>
      </c>
      <c r="G2296" s="59" t="n">
        <f aca="false">F2296-E2296</f>
        <v>0.000682870393518519</v>
      </c>
      <c r="H2296" s="57" t="s">
        <v>252</v>
      </c>
      <c r="I2296" s="57"/>
      <c r="J2296" s="57" t="s">
        <v>333</v>
      </c>
      <c r="K2296" s="57" t="s">
        <v>334</v>
      </c>
      <c r="L2296" s="60" t="s">
        <v>2854</v>
      </c>
      <c r="M2296" s="57" t="s">
        <v>336</v>
      </c>
      <c r="N2296" s="57" t="s">
        <v>381</v>
      </c>
      <c r="O2296" s="57" t="s">
        <v>729</v>
      </c>
      <c r="P2296" s="57" t="s">
        <v>2855</v>
      </c>
      <c r="Q2296" s="57" t="s">
        <v>698</v>
      </c>
    </row>
    <row r="2297" s="50" customFormat="true" ht="14.25" hidden="false" customHeight="true" outlineLevel="0" collapsed="false">
      <c r="A2297" s="50" t="s">
        <v>727</v>
      </c>
      <c r="B2297" s="57" t="s">
        <v>727</v>
      </c>
      <c r="C2297" s="57" t="s">
        <v>415</v>
      </c>
      <c r="D2297" s="58" t="n">
        <v>46080.6863541667</v>
      </c>
      <c r="E2297" s="58" t="n">
        <v>46080.6863541667</v>
      </c>
      <c r="F2297" s="58" t="n">
        <v>46080.6909722222</v>
      </c>
      <c r="G2297" s="59" t="n">
        <f aca="false">F2297-E2297</f>
        <v>0.00461805549768519</v>
      </c>
      <c r="H2297" s="57" t="s">
        <v>252</v>
      </c>
      <c r="I2297" s="57"/>
      <c r="J2297" s="57" t="s">
        <v>333</v>
      </c>
      <c r="K2297" s="57" t="s">
        <v>334</v>
      </c>
      <c r="L2297" s="60" t="s">
        <v>2856</v>
      </c>
      <c r="M2297" s="57" t="s">
        <v>336</v>
      </c>
      <c r="N2297" s="57" t="s">
        <v>381</v>
      </c>
      <c r="O2297" s="57" t="s">
        <v>729</v>
      </c>
      <c r="P2297" s="57" t="s">
        <v>2857</v>
      </c>
      <c r="Q2297" s="57" t="s">
        <v>698</v>
      </c>
    </row>
    <row r="2298" s="50" customFormat="true" ht="14.25" hidden="false" customHeight="true" outlineLevel="0" collapsed="false">
      <c r="A2298" s="50" t="s">
        <v>727</v>
      </c>
      <c r="B2298" s="57" t="s">
        <v>727</v>
      </c>
      <c r="C2298" s="57" t="s">
        <v>415</v>
      </c>
      <c r="D2298" s="58" t="n">
        <v>46080.6761342593</v>
      </c>
      <c r="E2298" s="58" t="n">
        <v>46080.6761342593</v>
      </c>
      <c r="F2298" s="58" t="n">
        <v>46080.6807407407</v>
      </c>
      <c r="G2298" s="59" t="n">
        <f aca="false">F2298-E2298</f>
        <v>0.00460648140046296</v>
      </c>
      <c r="H2298" s="57" t="s">
        <v>252</v>
      </c>
      <c r="I2298" s="57"/>
      <c r="J2298" s="57" t="s">
        <v>333</v>
      </c>
      <c r="K2298" s="57" t="s">
        <v>334</v>
      </c>
      <c r="L2298" s="60" t="s">
        <v>2858</v>
      </c>
      <c r="M2298" s="57" t="s">
        <v>336</v>
      </c>
      <c r="N2298" s="57" t="s">
        <v>381</v>
      </c>
      <c r="O2298" s="57" t="s">
        <v>729</v>
      </c>
      <c r="P2298" s="57" t="s">
        <v>2859</v>
      </c>
      <c r="Q2298" s="57" t="s">
        <v>698</v>
      </c>
    </row>
    <row r="2299" s="50" customFormat="true" ht="14.25" hidden="false" customHeight="true" outlineLevel="0" collapsed="false">
      <c r="A2299" s="50" t="s">
        <v>727</v>
      </c>
      <c r="B2299" s="57" t="s">
        <v>727</v>
      </c>
      <c r="C2299" s="57" t="s">
        <v>415</v>
      </c>
      <c r="D2299" s="58" t="n">
        <v>46080.6699305556</v>
      </c>
      <c r="E2299" s="58" t="n">
        <v>46080.6699305556</v>
      </c>
      <c r="F2299" s="58" t="n">
        <v>46080.674537037</v>
      </c>
      <c r="G2299" s="59" t="n">
        <f aca="false">F2299-E2299</f>
        <v>0.00460648138888889</v>
      </c>
      <c r="H2299" s="57" t="s">
        <v>252</v>
      </c>
      <c r="I2299" s="57"/>
      <c r="J2299" s="57" t="s">
        <v>333</v>
      </c>
      <c r="K2299" s="57" t="s">
        <v>334</v>
      </c>
      <c r="L2299" s="60" t="s">
        <v>2860</v>
      </c>
      <c r="M2299" s="57" t="s">
        <v>336</v>
      </c>
      <c r="N2299" s="57" t="s">
        <v>381</v>
      </c>
      <c r="O2299" s="57" t="s">
        <v>729</v>
      </c>
      <c r="P2299" s="57" t="s">
        <v>2861</v>
      </c>
      <c r="Q2299" s="57" t="s">
        <v>698</v>
      </c>
    </row>
    <row r="2300" s="50" customFormat="true" ht="14.25" hidden="false" customHeight="true" outlineLevel="0" collapsed="false">
      <c r="A2300" s="50" t="s">
        <v>727</v>
      </c>
      <c r="B2300" s="57" t="s">
        <v>727</v>
      </c>
      <c r="C2300" s="57" t="s">
        <v>415</v>
      </c>
      <c r="D2300" s="58" t="n">
        <v>46080.6608796296</v>
      </c>
      <c r="E2300" s="58" t="n">
        <v>46080.6608796296</v>
      </c>
      <c r="F2300" s="58" t="n">
        <v>46080.6655671296</v>
      </c>
      <c r="G2300" s="59" t="n">
        <f aca="false">F2300-E2300</f>
        <v>0.0046875</v>
      </c>
      <c r="H2300" s="57" t="s">
        <v>252</v>
      </c>
      <c r="I2300" s="57"/>
      <c r="J2300" s="57" t="s">
        <v>333</v>
      </c>
      <c r="K2300" s="57" t="s">
        <v>334</v>
      </c>
      <c r="L2300" s="60" t="s">
        <v>2862</v>
      </c>
      <c r="M2300" s="57" t="s">
        <v>336</v>
      </c>
      <c r="N2300" s="57" t="s">
        <v>381</v>
      </c>
      <c r="O2300" s="57" t="s">
        <v>729</v>
      </c>
      <c r="P2300" s="57" t="s">
        <v>2863</v>
      </c>
      <c r="Q2300" s="57" t="s">
        <v>698</v>
      </c>
    </row>
    <row r="2301" s="50" customFormat="true" ht="14.25" hidden="false" customHeight="true" outlineLevel="0" collapsed="false">
      <c r="A2301" s="50" t="s">
        <v>727</v>
      </c>
      <c r="B2301" s="57" t="s">
        <v>727</v>
      </c>
      <c r="C2301" s="57" t="s">
        <v>415</v>
      </c>
      <c r="D2301" s="58" t="n">
        <v>46080.6228587963</v>
      </c>
      <c r="E2301" s="58" t="n">
        <v>46080.6228587963</v>
      </c>
      <c r="F2301" s="58" t="n">
        <v>46080.6605208333</v>
      </c>
      <c r="G2301" s="59" t="n">
        <f aca="false">F2301-E2301</f>
        <v>0.0376620370023148</v>
      </c>
      <c r="H2301" s="57" t="s">
        <v>252</v>
      </c>
      <c r="I2301" s="57"/>
      <c r="J2301" s="57" t="s">
        <v>333</v>
      </c>
      <c r="K2301" s="57" t="s">
        <v>334</v>
      </c>
      <c r="L2301" s="60" t="s">
        <v>2864</v>
      </c>
      <c r="M2301" s="57" t="s">
        <v>336</v>
      </c>
      <c r="N2301" s="57" t="s">
        <v>381</v>
      </c>
      <c r="O2301" s="57" t="s">
        <v>729</v>
      </c>
      <c r="P2301" s="57" t="s">
        <v>2865</v>
      </c>
      <c r="Q2301" s="57" t="s">
        <v>698</v>
      </c>
    </row>
    <row r="2302" s="50" customFormat="true" ht="14.25" hidden="false" customHeight="true" outlineLevel="0" collapsed="false">
      <c r="A2302" s="50" t="s">
        <v>727</v>
      </c>
      <c r="B2302" s="57" t="s">
        <v>727</v>
      </c>
      <c r="C2302" s="57" t="s">
        <v>415</v>
      </c>
      <c r="D2302" s="58" t="n">
        <v>46080.604525463</v>
      </c>
      <c r="E2302" s="58" t="n">
        <v>46080.604525463</v>
      </c>
      <c r="F2302" s="58" t="n">
        <v>46080.6050925926</v>
      </c>
      <c r="G2302" s="59" t="n">
        <f aca="false">F2302-E2302</f>
        <v>0.000567129606481481</v>
      </c>
      <c r="H2302" s="57" t="s">
        <v>252</v>
      </c>
      <c r="I2302" s="57"/>
      <c r="J2302" s="57" t="s">
        <v>333</v>
      </c>
      <c r="K2302" s="57" t="s">
        <v>334</v>
      </c>
      <c r="L2302" s="60" t="s">
        <v>2866</v>
      </c>
      <c r="M2302" s="57" t="s">
        <v>336</v>
      </c>
      <c r="N2302" s="57" t="s">
        <v>381</v>
      </c>
      <c r="O2302" s="57" t="s">
        <v>729</v>
      </c>
      <c r="P2302" s="57" t="s">
        <v>2867</v>
      </c>
      <c r="Q2302" s="57" t="s">
        <v>698</v>
      </c>
    </row>
    <row r="2303" s="50" customFormat="true" ht="14.25" hidden="false" customHeight="true" outlineLevel="0" collapsed="false">
      <c r="A2303" s="50" t="s">
        <v>727</v>
      </c>
      <c r="B2303" s="57" t="s">
        <v>727</v>
      </c>
      <c r="C2303" s="57" t="s">
        <v>415</v>
      </c>
      <c r="D2303" s="58" t="n">
        <v>46080.5799421296</v>
      </c>
      <c r="E2303" s="58" t="n">
        <v>46080.5799421296</v>
      </c>
      <c r="F2303" s="58" t="n">
        <v>46080.5804861111</v>
      </c>
      <c r="G2303" s="59" t="n">
        <f aca="false">F2303-E2303</f>
        <v>0.00054398150462963</v>
      </c>
      <c r="H2303" s="57" t="s">
        <v>252</v>
      </c>
      <c r="I2303" s="57"/>
      <c r="J2303" s="57" t="s">
        <v>333</v>
      </c>
      <c r="K2303" s="57" t="s">
        <v>334</v>
      </c>
      <c r="L2303" s="60" t="s">
        <v>2868</v>
      </c>
      <c r="M2303" s="57" t="s">
        <v>336</v>
      </c>
      <c r="N2303" s="57" t="s">
        <v>381</v>
      </c>
      <c r="O2303" s="57" t="s">
        <v>729</v>
      </c>
      <c r="P2303" s="57" t="s">
        <v>2869</v>
      </c>
      <c r="Q2303" s="57" t="s">
        <v>698</v>
      </c>
    </row>
    <row r="2304" s="50" customFormat="true" ht="14.25" hidden="false" customHeight="true" outlineLevel="0" collapsed="false">
      <c r="A2304" s="50" t="s">
        <v>727</v>
      </c>
      <c r="B2304" s="57" t="s">
        <v>727</v>
      </c>
      <c r="C2304" s="57" t="s">
        <v>415</v>
      </c>
      <c r="D2304" s="58" t="n">
        <v>46080.5711805556</v>
      </c>
      <c r="E2304" s="58" t="n">
        <v>46080.5711805556</v>
      </c>
      <c r="F2304" s="58" t="n">
        <v>46080.571724537</v>
      </c>
      <c r="G2304" s="59" t="n">
        <f aca="false">F2304-E2304</f>
        <v>0.000543981400462963</v>
      </c>
      <c r="H2304" s="57" t="s">
        <v>252</v>
      </c>
      <c r="I2304" s="57"/>
      <c r="J2304" s="57" t="s">
        <v>333</v>
      </c>
      <c r="K2304" s="57" t="s">
        <v>334</v>
      </c>
      <c r="L2304" s="60" t="s">
        <v>2870</v>
      </c>
      <c r="M2304" s="57" t="s">
        <v>336</v>
      </c>
      <c r="N2304" s="57" t="s">
        <v>381</v>
      </c>
      <c r="O2304" s="57" t="s">
        <v>729</v>
      </c>
      <c r="P2304" s="57" t="s">
        <v>2871</v>
      </c>
      <c r="Q2304" s="57" t="s">
        <v>698</v>
      </c>
    </row>
    <row r="2305" s="50" customFormat="true" ht="14.25" hidden="false" customHeight="true" outlineLevel="0" collapsed="false">
      <c r="A2305" s="50" t="s">
        <v>727</v>
      </c>
      <c r="B2305" s="57" t="s">
        <v>727</v>
      </c>
      <c r="C2305" s="57" t="s">
        <v>415</v>
      </c>
      <c r="D2305" s="58" t="n">
        <v>46080.5555439815</v>
      </c>
      <c r="E2305" s="58" t="n">
        <v>46080.5555439815</v>
      </c>
      <c r="F2305" s="58" t="n">
        <v>46080.5580787037</v>
      </c>
      <c r="G2305" s="59" t="n">
        <f aca="false">F2305-E2305</f>
        <v>0.00253472219907407</v>
      </c>
      <c r="H2305" s="57" t="s">
        <v>252</v>
      </c>
      <c r="I2305" s="57"/>
      <c r="J2305" s="57" t="s">
        <v>333</v>
      </c>
      <c r="K2305" s="57" t="s">
        <v>334</v>
      </c>
      <c r="L2305" s="60" t="s">
        <v>2872</v>
      </c>
      <c r="M2305" s="57" t="s">
        <v>336</v>
      </c>
      <c r="N2305" s="57" t="s">
        <v>381</v>
      </c>
      <c r="O2305" s="57" t="s">
        <v>729</v>
      </c>
      <c r="P2305" s="57" t="s">
        <v>2873</v>
      </c>
      <c r="Q2305" s="57" t="s">
        <v>698</v>
      </c>
    </row>
    <row r="2306" s="50" customFormat="true" ht="14.25" hidden="false" customHeight="true" outlineLevel="0" collapsed="false">
      <c r="A2306" s="50" t="s">
        <v>727</v>
      </c>
      <c r="B2306" s="57" t="s">
        <v>727</v>
      </c>
      <c r="C2306" s="57" t="s">
        <v>415</v>
      </c>
      <c r="D2306" s="58" t="n">
        <v>46080.5451967593</v>
      </c>
      <c r="E2306" s="58" t="n">
        <v>46080.5451967593</v>
      </c>
      <c r="F2306" s="58" t="n">
        <v>46080.5457523148</v>
      </c>
      <c r="G2306" s="59" t="n">
        <f aca="false">F2306-E2306</f>
        <v>0.000555555497685185</v>
      </c>
      <c r="H2306" s="57" t="s">
        <v>252</v>
      </c>
      <c r="I2306" s="57"/>
      <c r="J2306" s="57" t="s">
        <v>333</v>
      </c>
      <c r="K2306" s="57" t="s">
        <v>334</v>
      </c>
      <c r="L2306" s="60" t="s">
        <v>2874</v>
      </c>
      <c r="M2306" s="57" t="s">
        <v>336</v>
      </c>
      <c r="N2306" s="57" t="s">
        <v>381</v>
      </c>
      <c r="O2306" s="57" t="s">
        <v>729</v>
      </c>
      <c r="P2306" s="57" t="s">
        <v>2875</v>
      </c>
      <c r="Q2306" s="57" t="s">
        <v>698</v>
      </c>
    </row>
    <row r="2307" s="50" customFormat="true" ht="14.25" hidden="false" customHeight="true" outlineLevel="0" collapsed="false">
      <c r="A2307" s="50" t="s">
        <v>727</v>
      </c>
      <c r="B2307" s="57" t="s">
        <v>727</v>
      </c>
      <c r="C2307" s="57" t="s">
        <v>415</v>
      </c>
      <c r="D2307" s="58" t="n">
        <v>46080.54375</v>
      </c>
      <c r="E2307" s="58" t="n">
        <v>46080.54375</v>
      </c>
      <c r="F2307" s="58" t="n">
        <v>46080.5443055556</v>
      </c>
      <c r="G2307" s="59" t="n">
        <f aca="false">F2307-E2307</f>
        <v>0.000555555601851852</v>
      </c>
      <c r="H2307" s="57" t="s">
        <v>252</v>
      </c>
      <c r="I2307" s="57"/>
      <c r="J2307" s="57" t="s">
        <v>333</v>
      </c>
      <c r="K2307" s="57" t="s">
        <v>334</v>
      </c>
      <c r="L2307" s="60" t="s">
        <v>2876</v>
      </c>
      <c r="M2307" s="57" t="s">
        <v>336</v>
      </c>
      <c r="N2307" s="57" t="s">
        <v>381</v>
      </c>
      <c r="O2307" s="57" t="s">
        <v>729</v>
      </c>
      <c r="P2307" s="57" t="s">
        <v>2877</v>
      </c>
      <c r="Q2307" s="57" t="s">
        <v>698</v>
      </c>
    </row>
    <row r="2308" s="50" customFormat="true" ht="14.25" hidden="false" customHeight="true" outlineLevel="0" collapsed="false">
      <c r="A2308" s="50" t="s">
        <v>727</v>
      </c>
      <c r="B2308" s="57" t="s">
        <v>727</v>
      </c>
      <c r="C2308" s="57" t="s">
        <v>415</v>
      </c>
      <c r="D2308" s="58" t="n">
        <v>46080.5335416667</v>
      </c>
      <c r="E2308" s="58" t="n">
        <v>46080.5335416667</v>
      </c>
      <c r="F2308" s="58" t="n">
        <v>46080.5340856482</v>
      </c>
      <c r="G2308" s="59" t="n">
        <f aca="false">F2308-E2308</f>
        <v>0.00054398150462963</v>
      </c>
      <c r="H2308" s="57" t="s">
        <v>252</v>
      </c>
      <c r="I2308" s="57"/>
      <c r="J2308" s="57" t="s">
        <v>333</v>
      </c>
      <c r="K2308" s="57" t="s">
        <v>334</v>
      </c>
      <c r="L2308" s="60" t="s">
        <v>2878</v>
      </c>
      <c r="M2308" s="57" t="s">
        <v>336</v>
      </c>
      <c r="N2308" s="57" t="s">
        <v>381</v>
      </c>
      <c r="O2308" s="57" t="s">
        <v>729</v>
      </c>
      <c r="P2308" s="57" t="s">
        <v>2879</v>
      </c>
      <c r="Q2308" s="57" t="s">
        <v>698</v>
      </c>
    </row>
    <row r="2309" s="50" customFormat="true" ht="14.25" hidden="false" customHeight="true" outlineLevel="0" collapsed="false">
      <c r="A2309" s="50" t="s">
        <v>727</v>
      </c>
      <c r="B2309" s="57" t="s">
        <v>727</v>
      </c>
      <c r="C2309" s="57" t="s">
        <v>415</v>
      </c>
      <c r="D2309" s="58" t="n">
        <v>46080.5194907407</v>
      </c>
      <c r="E2309" s="58" t="n">
        <v>46080.5194907407</v>
      </c>
      <c r="F2309" s="58" t="n">
        <v>46080.5200231482</v>
      </c>
      <c r="G2309" s="59" t="n">
        <f aca="false">F2309-E2309</f>
        <v>0.0005324075</v>
      </c>
      <c r="H2309" s="57" t="s">
        <v>252</v>
      </c>
      <c r="I2309" s="57"/>
      <c r="J2309" s="57" t="s">
        <v>333</v>
      </c>
      <c r="K2309" s="57" t="s">
        <v>334</v>
      </c>
      <c r="L2309" s="60" t="s">
        <v>2880</v>
      </c>
      <c r="M2309" s="57" t="s">
        <v>336</v>
      </c>
      <c r="N2309" s="57" t="s">
        <v>381</v>
      </c>
      <c r="O2309" s="57" t="s">
        <v>729</v>
      </c>
      <c r="P2309" s="57" t="s">
        <v>2881</v>
      </c>
      <c r="Q2309" s="57" t="s">
        <v>698</v>
      </c>
    </row>
    <row r="2310" s="50" customFormat="true" ht="14.25" hidden="false" customHeight="true" outlineLevel="0" collapsed="false">
      <c r="A2310" s="50" t="s">
        <v>727</v>
      </c>
      <c r="B2310" s="57" t="s">
        <v>727</v>
      </c>
      <c r="C2310" s="57" t="s">
        <v>415</v>
      </c>
      <c r="D2310" s="58" t="n">
        <v>46080.5005671296</v>
      </c>
      <c r="E2310" s="58" t="n">
        <v>46080.5005671296</v>
      </c>
      <c r="F2310" s="58" t="n">
        <v>46080.501099537</v>
      </c>
      <c r="G2310" s="59" t="n">
        <f aca="false">F2310-E2310</f>
        <v>0.000532407407407407</v>
      </c>
      <c r="H2310" s="57" t="s">
        <v>252</v>
      </c>
      <c r="I2310" s="57"/>
      <c r="J2310" s="57" t="s">
        <v>333</v>
      </c>
      <c r="K2310" s="57" t="s">
        <v>334</v>
      </c>
      <c r="L2310" s="60" t="s">
        <v>2882</v>
      </c>
      <c r="M2310" s="57" t="s">
        <v>336</v>
      </c>
      <c r="N2310" s="57" t="s">
        <v>381</v>
      </c>
      <c r="O2310" s="57" t="s">
        <v>729</v>
      </c>
      <c r="P2310" s="57" t="s">
        <v>2883</v>
      </c>
      <c r="Q2310" s="57" t="s">
        <v>698</v>
      </c>
    </row>
    <row r="2311" s="50" customFormat="true" ht="14.25" hidden="false" customHeight="true" outlineLevel="0" collapsed="false">
      <c r="A2311" s="50" t="s">
        <v>727</v>
      </c>
      <c r="B2311" s="57" t="s">
        <v>727</v>
      </c>
      <c r="C2311" s="57" t="s">
        <v>415</v>
      </c>
      <c r="D2311" s="58" t="n">
        <v>46080.483599537</v>
      </c>
      <c r="E2311" s="58" t="n">
        <v>46080.483599537</v>
      </c>
      <c r="F2311" s="58" t="n">
        <v>46080.4841435185</v>
      </c>
      <c r="G2311" s="59" t="n">
        <f aca="false">F2311-E2311</f>
        <v>0.00054398150462963</v>
      </c>
      <c r="H2311" s="57" t="s">
        <v>252</v>
      </c>
      <c r="I2311" s="57"/>
      <c r="J2311" s="57" t="s">
        <v>333</v>
      </c>
      <c r="K2311" s="57" t="s">
        <v>334</v>
      </c>
      <c r="L2311" s="60" t="s">
        <v>2884</v>
      </c>
      <c r="M2311" s="57" t="s">
        <v>336</v>
      </c>
      <c r="N2311" s="57" t="s">
        <v>381</v>
      </c>
      <c r="O2311" s="57" t="s">
        <v>729</v>
      </c>
      <c r="P2311" s="57" t="s">
        <v>2885</v>
      </c>
      <c r="Q2311" s="57" t="s">
        <v>698</v>
      </c>
    </row>
    <row r="2312" s="50" customFormat="true" ht="14.25" hidden="false" customHeight="true" outlineLevel="0" collapsed="false">
      <c r="A2312" s="50" t="s">
        <v>727</v>
      </c>
      <c r="B2312" s="57" t="s">
        <v>727</v>
      </c>
      <c r="C2312" s="57" t="s">
        <v>415</v>
      </c>
      <c r="D2312" s="58" t="n">
        <v>46080.475625</v>
      </c>
      <c r="E2312" s="58" t="n">
        <v>46080.475625</v>
      </c>
      <c r="F2312" s="58" t="n">
        <v>46080.4761458333</v>
      </c>
      <c r="G2312" s="59" t="n">
        <f aca="false">F2312-E2312</f>
        <v>0.000520833298611111</v>
      </c>
      <c r="H2312" s="57" t="s">
        <v>252</v>
      </c>
      <c r="I2312" s="57"/>
      <c r="J2312" s="57" t="s">
        <v>333</v>
      </c>
      <c r="K2312" s="57" t="s">
        <v>334</v>
      </c>
      <c r="L2312" s="60" t="s">
        <v>2886</v>
      </c>
      <c r="M2312" s="57" t="s">
        <v>336</v>
      </c>
      <c r="N2312" s="57" t="s">
        <v>381</v>
      </c>
      <c r="O2312" s="57" t="s">
        <v>729</v>
      </c>
      <c r="P2312" s="57" t="s">
        <v>2887</v>
      </c>
      <c r="Q2312" s="57" t="s">
        <v>698</v>
      </c>
    </row>
    <row r="2313" s="50" customFormat="true" ht="14.25" hidden="false" customHeight="true" outlineLevel="0" collapsed="false">
      <c r="A2313" s="50" t="s">
        <v>727</v>
      </c>
      <c r="B2313" s="57" t="s">
        <v>727</v>
      </c>
      <c r="C2313" s="57" t="s">
        <v>415</v>
      </c>
      <c r="D2313" s="58" t="n">
        <v>46080.4411921296</v>
      </c>
      <c r="E2313" s="58" t="n">
        <v>46080.4411921296</v>
      </c>
      <c r="F2313" s="58" t="n">
        <v>46080.4417361111</v>
      </c>
      <c r="G2313" s="59" t="n">
        <f aca="false">F2313-E2313</f>
        <v>0.00054398150462963</v>
      </c>
      <c r="H2313" s="57" t="s">
        <v>252</v>
      </c>
      <c r="I2313" s="57"/>
      <c r="J2313" s="57" t="s">
        <v>333</v>
      </c>
      <c r="K2313" s="57" t="s">
        <v>334</v>
      </c>
      <c r="L2313" s="60" t="s">
        <v>2888</v>
      </c>
      <c r="M2313" s="57" t="s">
        <v>336</v>
      </c>
      <c r="N2313" s="57" t="s">
        <v>381</v>
      </c>
      <c r="O2313" s="57" t="s">
        <v>729</v>
      </c>
      <c r="P2313" s="57" t="s">
        <v>2889</v>
      </c>
      <c r="Q2313" s="57" t="s">
        <v>698</v>
      </c>
    </row>
    <row r="2314" s="50" customFormat="true" ht="14.25" hidden="false" customHeight="true" outlineLevel="0" collapsed="false">
      <c r="A2314" s="50" t="s">
        <v>727</v>
      </c>
      <c r="B2314" s="57" t="s">
        <v>727</v>
      </c>
      <c r="C2314" s="57" t="s">
        <v>415</v>
      </c>
      <c r="D2314" s="58" t="n">
        <v>46080.4286574074</v>
      </c>
      <c r="E2314" s="58" t="n">
        <v>46080.4286574074</v>
      </c>
      <c r="F2314" s="58" t="n">
        <v>46080.4292013889</v>
      </c>
      <c r="G2314" s="59" t="n">
        <f aca="false">F2314-E2314</f>
        <v>0.00054398150462963</v>
      </c>
      <c r="H2314" s="57" t="s">
        <v>252</v>
      </c>
      <c r="I2314" s="57"/>
      <c r="J2314" s="57" t="s">
        <v>333</v>
      </c>
      <c r="K2314" s="57" t="s">
        <v>334</v>
      </c>
      <c r="L2314" s="60" t="s">
        <v>2890</v>
      </c>
      <c r="M2314" s="57" t="s">
        <v>336</v>
      </c>
      <c r="N2314" s="57" t="s">
        <v>381</v>
      </c>
      <c r="O2314" s="57" t="s">
        <v>729</v>
      </c>
      <c r="P2314" s="57" t="s">
        <v>2891</v>
      </c>
      <c r="Q2314" s="57" t="s">
        <v>698</v>
      </c>
    </row>
    <row r="2315" s="50" customFormat="true" ht="14.25" hidden="false" customHeight="true" outlineLevel="0" collapsed="false">
      <c r="A2315" s="50" t="s">
        <v>727</v>
      </c>
      <c r="B2315" s="57" t="s">
        <v>727</v>
      </c>
      <c r="C2315" s="57" t="s">
        <v>415</v>
      </c>
      <c r="D2315" s="58" t="n">
        <v>46080.4087384259</v>
      </c>
      <c r="E2315" s="58" t="n">
        <v>46080.4087384259</v>
      </c>
      <c r="F2315" s="58" t="n">
        <v>46080.4093055556</v>
      </c>
      <c r="G2315" s="59" t="n">
        <f aca="false">F2315-E2315</f>
        <v>0.000567129699074074</v>
      </c>
      <c r="H2315" s="57" t="s">
        <v>252</v>
      </c>
      <c r="I2315" s="57"/>
      <c r="J2315" s="57" t="s">
        <v>333</v>
      </c>
      <c r="K2315" s="57" t="s">
        <v>334</v>
      </c>
      <c r="L2315" s="60" t="s">
        <v>2892</v>
      </c>
      <c r="M2315" s="57" t="s">
        <v>336</v>
      </c>
      <c r="N2315" s="57" t="s">
        <v>381</v>
      </c>
      <c r="O2315" s="57" t="s">
        <v>729</v>
      </c>
      <c r="P2315" s="57" t="s">
        <v>2893</v>
      </c>
      <c r="Q2315" s="57" t="s">
        <v>698</v>
      </c>
    </row>
    <row r="2316" s="50" customFormat="true" ht="14.25" hidden="false" customHeight="true" outlineLevel="0" collapsed="false">
      <c r="A2316" s="50" t="s">
        <v>727</v>
      </c>
      <c r="B2316" s="57" t="s">
        <v>727</v>
      </c>
      <c r="C2316" s="57" t="s">
        <v>415</v>
      </c>
      <c r="D2316" s="58" t="n">
        <v>46080.4080324074</v>
      </c>
      <c r="E2316" s="58" t="n">
        <v>46080.4080324074</v>
      </c>
      <c r="F2316" s="58" t="n">
        <v>46080.4085648148</v>
      </c>
      <c r="G2316" s="59" t="n">
        <f aca="false">F2316-E2316</f>
        <v>0.000532407407407407</v>
      </c>
      <c r="H2316" s="57" t="s">
        <v>252</v>
      </c>
      <c r="I2316" s="57"/>
      <c r="J2316" s="57" t="s">
        <v>333</v>
      </c>
      <c r="K2316" s="57" t="s">
        <v>334</v>
      </c>
      <c r="L2316" s="60" t="s">
        <v>2894</v>
      </c>
      <c r="M2316" s="57" t="s">
        <v>336</v>
      </c>
      <c r="N2316" s="57" t="s">
        <v>381</v>
      </c>
      <c r="O2316" s="57" t="s">
        <v>729</v>
      </c>
      <c r="P2316" s="57" t="s">
        <v>2895</v>
      </c>
      <c r="Q2316" s="57" t="s">
        <v>698</v>
      </c>
    </row>
    <row r="2317" s="50" customFormat="true" ht="14.25" hidden="false" customHeight="true" outlineLevel="0" collapsed="false">
      <c r="A2317" s="50" t="s">
        <v>727</v>
      </c>
      <c r="B2317" s="57" t="s">
        <v>727</v>
      </c>
      <c r="C2317" s="57" t="s">
        <v>415</v>
      </c>
      <c r="D2317" s="58" t="n">
        <v>46080.399375</v>
      </c>
      <c r="E2317" s="58" t="n">
        <v>46080.399375</v>
      </c>
      <c r="F2317" s="58" t="n">
        <v>46080.3999189815</v>
      </c>
      <c r="G2317" s="59" t="n">
        <f aca="false">F2317-E2317</f>
        <v>0.00054398150462963</v>
      </c>
      <c r="H2317" s="57" t="s">
        <v>252</v>
      </c>
      <c r="I2317" s="57"/>
      <c r="J2317" s="57" t="s">
        <v>333</v>
      </c>
      <c r="K2317" s="57" t="s">
        <v>334</v>
      </c>
      <c r="L2317" s="60" t="s">
        <v>2896</v>
      </c>
      <c r="M2317" s="57" t="s">
        <v>336</v>
      </c>
      <c r="N2317" s="57" t="s">
        <v>381</v>
      </c>
      <c r="O2317" s="57" t="s">
        <v>729</v>
      </c>
      <c r="P2317" s="57" t="s">
        <v>2897</v>
      </c>
      <c r="Q2317" s="57" t="s">
        <v>698</v>
      </c>
    </row>
    <row r="2318" s="50" customFormat="true" ht="14.25" hidden="false" customHeight="true" outlineLevel="0" collapsed="false">
      <c r="A2318" s="50" t="s">
        <v>727</v>
      </c>
      <c r="B2318" s="57" t="s">
        <v>727</v>
      </c>
      <c r="C2318" s="57" t="s">
        <v>415</v>
      </c>
      <c r="D2318" s="58" t="n">
        <v>46080.3879282407</v>
      </c>
      <c r="E2318" s="58" t="n">
        <v>46080.3879282407</v>
      </c>
      <c r="F2318" s="58" t="n">
        <v>46080.3884722222</v>
      </c>
      <c r="G2318" s="59" t="n">
        <f aca="false">F2318-E2318</f>
        <v>0.00054398150462963</v>
      </c>
      <c r="H2318" s="57" t="s">
        <v>252</v>
      </c>
      <c r="I2318" s="57"/>
      <c r="J2318" s="57" t="s">
        <v>333</v>
      </c>
      <c r="K2318" s="57" t="s">
        <v>334</v>
      </c>
      <c r="L2318" s="60" t="s">
        <v>2898</v>
      </c>
      <c r="M2318" s="57" t="s">
        <v>336</v>
      </c>
      <c r="N2318" s="57" t="s">
        <v>381</v>
      </c>
      <c r="O2318" s="57" t="s">
        <v>729</v>
      </c>
      <c r="P2318" s="57" t="s">
        <v>2899</v>
      </c>
      <c r="Q2318" s="57" t="s">
        <v>698</v>
      </c>
    </row>
    <row r="2319" s="50" customFormat="true" ht="14.25" hidden="false" customHeight="true" outlineLevel="0" collapsed="false">
      <c r="A2319" s="50" t="s">
        <v>727</v>
      </c>
      <c r="B2319" s="57" t="s">
        <v>727</v>
      </c>
      <c r="C2319" s="57" t="s">
        <v>415</v>
      </c>
      <c r="D2319" s="58" t="n">
        <v>46080.360150463</v>
      </c>
      <c r="E2319" s="58" t="n">
        <v>46080.360150463</v>
      </c>
      <c r="F2319" s="58" t="n">
        <v>46080.3606712963</v>
      </c>
      <c r="G2319" s="59" t="n">
        <f aca="false">F2319-E2319</f>
        <v>0.000520833298611111</v>
      </c>
      <c r="H2319" s="57" t="s">
        <v>252</v>
      </c>
      <c r="I2319" s="57"/>
      <c r="J2319" s="57" t="s">
        <v>333</v>
      </c>
      <c r="K2319" s="57" t="s">
        <v>334</v>
      </c>
      <c r="L2319" s="60" t="s">
        <v>2900</v>
      </c>
      <c r="M2319" s="57" t="s">
        <v>336</v>
      </c>
      <c r="N2319" s="57" t="s">
        <v>381</v>
      </c>
      <c r="O2319" s="57" t="s">
        <v>729</v>
      </c>
      <c r="P2319" s="57" t="s">
        <v>2901</v>
      </c>
      <c r="Q2319" s="57" t="s">
        <v>698</v>
      </c>
    </row>
    <row r="2320" s="50" customFormat="true" ht="14.25" hidden="false" customHeight="true" outlineLevel="0" collapsed="false">
      <c r="A2320" s="50" t="s">
        <v>727</v>
      </c>
      <c r="B2320" s="57" t="s">
        <v>727</v>
      </c>
      <c r="C2320" s="57" t="s">
        <v>415</v>
      </c>
      <c r="D2320" s="58" t="n">
        <v>46080.3197453704</v>
      </c>
      <c r="E2320" s="58" t="n">
        <v>46080.3197453704</v>
      </c>
      <c r="F2320" s="58" t="n">
        <v>46080.3202893519</v>
      </c>
      <c r="G2320" s="59" t="n">
        <f aca="false">F2320-E2320</f>
        <v>0.00054398150462963</v>
      </c>
      <c r="H2320" s="57" t="s">
        <v>252</v>
      </c>
      <c r="I2320" s="57"/>
      <c r="J2320" s="57" t="s">
        <v>333</v>
      </c>
      <c r="K2320" s="57" t="s">
        <v>334</v>
      </c>
      <c r="L2320" s="60" t="s">
        <v>2902</v>
      </c>
      <c r="M2320" s="57" t="s">
        <v>336</v>
      </c>
      <c r="N2320" s="57" t="s">
        <v>381</v>
      </c>
      <c r="O2320" s="57" t="s">
        <v>729</v>
      </c>
      <c r="P2320" s="57" t="s">
        <v>2903</v>
      </c>
      <c r="Q2320" s="57" t="s">
        <v>698</v>
      </c>
    </row>
    <row r="2321" s="50" customFormat="true" ht="14.25" hidden="false" customHeight="true" outlineLevel="0" collapsed="false">
      <c r="A2321" s="50" t="s">
        <v>727</v>
      </c>
      <c r="B2321" s="57" t="s">
        <v>727</v>
      </c>
      <c r="C2321" s="57" t="s">
        <v>415</v>
      </c>
      <c r="D2321" s="58" t="n">
        <v>46080.2882407407</v>
      </c>
      <c r="E2321" s="58" t="n">
        <v>46080.2882407407</v>
      </c>
      <c r="F2321" s="58" t="n">
        <v>46080.2928009259</v>
      </c>
      <c r="G2321" s="59" t="n">
        <f aca="false">F2321-E2321</f>
        <v>0.00456018518518519</v>
      </c>
      <c r="H2321" s="57" t="s">
        <v>252</v>
      </c>
      <c r="I2321" s="57"/>
      <c r="J2321" s="57" t="s">
        <v>333</v>
      </c>
      <c r="K2321" s="57" t="s">
        <v>334</v>
      </c>
      <c r="L2321" s="60" t="s">
        <v>2904</v>
      </c>
      <c r="M2321" s="57" t="s">
        <v>336</v>
      </c>
      <c r="N2321" s="57" t="s">
        <v>381</v>
      </c>
      <c r="O2321" s="57" t="s">
        <v>729</v>
      </c>
      <c r="P2321" s="57" t="s">
        <v>2905</v>
      </c>
      <c r="Q2321" s="57" t="s">
        <v>698</v>
      </c>
    </row>
    <row r="2322" s="50" customFormat="true" ht="14.25" hidden="false" customHeight="true" outlineLevel="0" collapsed="false">
      <c r="A2322" s="50" t="s">
        <v>727</v>
      </c>
      <c r="B2322" s="57" t="s">
        <v>727</v>
      </c>
      <c r="C2322" s="57" t="s">
        <v>415</v>
      </c>
      <c r="D2322" s="58" t="n">
        <v>46080.2873611111</v>
      </c>
      <c r="E2322" s="58" t="n">
        <v>46080.2873611111</v>
      </c>
      <c r="F2322" s="58" t="n">
        <v>46080.2878472222</v>
      </c>
      <c r="G2322" s="59" t="n">
        <f aca="false">F2322-E2322</f>
        <v>0.000486111111111111</v>
      </c>
      <c r="H2322" s="57" t="s">
        <v>252</v>
      </c>
      <c r="I2322" s="57"/>
      <c r="J2322" s="57" t="s">
        <v>333</v>
      </c>
      <c r="K2322" s="57" t="s">
        <v>334</v>
      </c>
      <c r="L2322" s="60" t="s">
        <v>2906</v>
      </c>
      <c r="M2322" s="57" t="s">
        <v>336</v>
      </c>
      <c r="N2322" s="57" t="s">
        <v>381</v>
      </c>
      <c r="O2322" s="57" t="s">
        <v>729</v>
      </c>
      <c r="P2322" s="57" t="s">
        <v>2907</v>
      </c>
      <c r="Q2322" s="57" t="s">
        <v>698</v>
      </c>
    </row>
    <row r="2323" s="50" customFormat="true" ht="14.25" hidden="false" customHeight="true" outlineLevel="0" collapsed="false">
      <c r="A2323" s="50" t="s">
        <v>727</v>
      </c>
      <c r="B2323" s="57" t="s">
        <v>727</v>
      </c>
      <c r="C2323" s="57" t="s">
        <v>415</v>
      </c>
      <c r="D2323" s="58" t="n">
        <v>46080.2813773148</v>
      </c>
      <c r="E2323" s="58" t="n">
        <v>46080.2813773148</v>
      </c>
      <c r="F2323" s="58" t="n">
        <v>46080.2860532407</v>
      </c>
      <c r="G2323" s="59" t="n">
        <f aca="false">F2323-E2323</f>
        <v>0.00467592590277778</v>
      </c>
      <c r="H2323" s="57" t="s">
        <v>252</v>
      </c>
      <c r="I2323" s="57"/>
      <c r="J2323" s="57" t="s">
        <v>333</v>
      </c>
      <c r="K2323" s="57" t="s">
        <v>334</v>
      </c>
      <c r="L2323" s="60" t="s">
        <v>2908</v>
      </c>
      <c r="M2323" s="57" t="s">
        <v>336</v>
      </c>
      <c r="N2323" s="57" t="s">
        <v>381</v>
      </c>
      <c r="O2323" s="57" t="s">
        <v>729</v>
      </c>
      <c r="P2323" s="57" t="s">
        <v>2909</v>
      </c>
      <c r="Q2323" s="57" t="s">
        <v>698</v>
      </c>
    </row>
    <row r="2324" s="50" customFormat="true" ht="14.25" hidden="false" customHeight="true" outlineLevel="0" collapsed="false">
      <c r="A2324" s="50" t="s">
        <v>727</v>
      </c>
      <c r="B2324" s="57" t="s">
        <v>727</v>
      </c>
      <c r="C2324" s="57" t="s">
        <v>415</v>
      </c>
      <c r="D2324" s="58" t="n">
        <v>46080.2765856482</v>
      </c>
      <c r="E2324" s="58" t="n">
        <v>46080.2765856482</v>
      </c>
      <c r="F2324" s="58" t="n">
        <v>46080.277650463</v>
      </c>
      <c r="G2324" s="59" t="n">
        <f aca="false">F2324-E2324</f>
        <v>0.00106481480324074</v>
      </c>
      <c r="H2324" s="57" t="s">
        <v>252</v>
      </c>
      <c r="I2324" s="57"/>
      <c r="J2324" s="57" t="s">
        <v>333</v>
      </c>
      <c r="K2324" s="57" t="s">
        <v>334</v>
      </c>
      <c r="L2324" s="60" t="s">
        <v>2910</v>
      </c>
      <c r="M2324" s="57" t="s">
        <v>336</v>
      </c>
      <c r="N2324" s="57" t="s">
        <v>381</v>
      </c>
      <c r="O2324" s="57" t="s">
        <v>729</v>
      </c>
      <c r="P2324" s="57" t="s">
        <v>2911</v>
      </c>
      <c r="Q2324" s="57" t="s">
        <v>698</v>
      </c>
    </row>
    <row r="2325" s="50" customFormat="true" ht="14.25" hidden="false" customHeight="true" outlineLevel="0" collapsed="false">
      <c r="A2325" s="50" t="s">
        <v>727</v>
      </c>
      <c r="B2325" s="57" t="s">
        <v>727</v>
      </c>
      <c r="C2325" s="57" t="s">
        <v>415</v>
      </c>
      <c r="D2325" s="58" t="n">
        <v>46080.2506597222</v>
      </c>
      <c r="E2325" s="58" t="n">
        <v>46080.2506597222</v>
      </c>
      <c r="F2325" s="58" t="n">
        <v>46080.276412037</v>
      </c>
      <c r="G2325" s="59" t="n">
        <f aca="false">F2325-E2325</f>
        <v>0.0257523147916667</v>
      </c>
      <c r="H2325" s="57" t="s">
        <v>252</v>
      </c>
      <c r="I2325" s="57"/>
      <c r="J2325" s="57" t="s">
        <v>333</v>
      </c>
      <c r="K2325" s="57" t="s">
        <v>334</v>
      </c>
      <c r="L2325" s="60" t="s">
        <v>2912</v>
      </c>
      <c r="M2325" s="57" t="s">
        <v>336</v>
      </c>
      <c r="N2325" s="57" t="s">
        <v>381</v>
      </c>
      <c r="O2325" s="57" t="s">
        <v>729</v>
      </c>
      <c r="P2325" s="57" t="s">
        <v>2913</v>
      </c>
      <c r="Q2325" s="57" t="s">
        <v>698</v>
      </c>
    </row>
    <row r="2326" s="50" customFormat="true" ht="14.25" hidden="false" customHeight="true" outlineLevel="0" collapsed="false">
      <c r="A2326" s="50" t="s">
        <v>727</v>
      </c>
      <c r="B2326" s="57" t="s">
        <v>727</v>
      </c>
      <c r="C2326" s="57" t="s">
        <v>415</v>
      </c>
      <c r="D2326" s="58" t="n">
        <v>46080.2505324074</v>
      </c>
      <c r="E2326" s="58" t="n">
        <v>46080.2505324074</v>
      </c>
      <c r="F2326" s="58" t="n">
        <v>46080.276412037</v>
      </c>
      <c r="G2326" s="59" t="n">
        <f aca="false">F2326-E2326</f>
        <v>0.0258796295949074</v>
      </c>
      <c r="H2326" s="57" t="s">
        <v>252</v>
      </c>
      <c r="I2326" s="57"/>
      <c r="J2326" s="57" t="s">
        <v>333</v>
      </c>
      <c r="K2326" s="57" t="s">
        <v>334</v>
      </c>
      <c r="L2326" s="60" t="s">
        <v>2914</v>
      </c>
      <c r="M2326" s="57" t="s">
        <v>336</v>
      </c>
      <c r="N2326" s="57" t="s">
        <v>381</v>
      </c>
      <c r="O2326" s="57" t="s">
        <v>729</v>
      </c>
      <c r="P2326" s="57" t="s">
        <v>2915</v>
      </c>
      <c r="Q2326" s="57" t="s">
        <v>698</v>
      </c>
    </row>
    <row r="2327" s="50" customFormat="true" ht="14.25" hidden="false" customHeight="true" outlineLevel="0" collapsed="false">
      <c r="A2327" s="50" t="s">
        <v>727</v>
      </c>
      <c r="B2327" s="57" t="s">
        <v>727</v>
      </c>
      <c r="C2327" s="57" t="s">
        <v>415</v>
      </c>
      <c r="D2327" s="58" t="n">
        <v>46079.753275463</v>
      </c>
      <c r="E2327" s="58" t="n">
        <v>46079.753275463</v>
      </c>
      <c r="F2327" s="58" t="n">
        <v>46079.7803009259</v>
      </c>
      <c r="G2327" s="59" t="n">
        <f aca="false">F2327-E2327</f>
        <v>0.0270254629050926</v>
      </c>
      <c r="H2327" s="57" t="s">
        <v>252</v>
      </c>
      <c r="I2327" s="57"/>
      <c r="J2327" s="57" t="s">
        <v>333</v>
      </c>
      <c r="K2327" s="57" t="s">
        <v>334</v>
      </c>
      <c r="L2327" s="60" t="s">
        <v>2916</v>
      </c>
      <c r="M2327" s="57" t="s">
        <v>336</v>
      </c>
      <c r="N2327" s="57" t="s">
        <v>381</v>
      </c>
      <c r="O2327" s="57" t="s">
        <v>729</v>
      </c>
      <c r="P2327" s="57" t="s">
        <v>2917</v>
      </c>
      <c r="Q2327" s="57" t="s">
        <v>698</v>
      </c>
    </row>
    <row r="2328" s="50" customFormat="true" ht="14.25" hidden="false" customHeight="true" outlineLevel="0" collapsed="false">
      <c r="A2328" s="50" t="s">
        <v>727</v>
      </c>
      <c r="B2328" s="57" t="s">
        <v>727</v>
      </c>
      <c r="C2328" s="57" t="s">
        <v>415</v>
      </c>
      <c r="D2328" s="58" t="n">
        <v>46079.7525810185</v>
      </c>
      <c r="E2328" s="58" t="n">
        <v>46079.7525810185</v>
      </c>
      <c r="F2328" s="58" t="n">
        <v>46079.7531018519</v>
      </c>
      <c r="G2328" s="59" t="n">
        <f aca="false">F2328-E2328</f>
        <v>0.000520833391203704</v>
      </c>
      <c r="H2328" s="57" t="s">
        <v>252</v>
      </c>
      <c r="I2328" s="57"/>
      <c r="J2328" s="57" t="s">
        <v>333</v>
      </c>
      <c r="K2328" s="57" t="s">
        <v>334</v>
      </c>
      <c r="L2328" s="60" t="s">
        <v>2918</v>
      </c>
      <c r="M2328" s="57" t="s">
        <v>336</v>
      </c>
      <c r="N2328" s="57" t="s">
        <v>381</v>
      </c>
      <c r="O2328" s="57" t="s">
        <v>729</v>
      </c>
      <c r="P2328" s="57" t="s">
        <v>2919</v>
      </c>
      <c r="Q2328" s="57" t="s">
        <v>698</v>
      </c>
    </row>
    <row r="2329" s="50" customFormat="true" ht="14.25" hidden="false" customHeight="true" outlineLevel="0" collapsed="false">
      <c r="A2329" s="50" t="s">
        <v>727</v>
      </c>
      <c r="B2329" s="57" t="s">
        <v>727</v>
      </c>
      <c r="C2329" s="57" t="s">
        <v>415</v>
      </c>
      <c r="D2329" s="58" t="n">
        <v>46079.7518865741</v>
      </c>
      <c r="E2329" s="58" t="n">
        <v>46079.7518865741</v>
      </c>
      <c r="F2329" s="58" t="n">
        <v>46079.7523958333</v>
      </c>
      <c r="G2329" s="59" t="n">
        <f aca="false">F2329-E2329</f>
        <v>0.000509259201388889</v>
      </c>
      <c r="H2329" s="57" t="s">
        <v>252</v>
      </c>
      <c r="I2329" s="57"/>
      <c r="J2329" s="57" t="s">
        <v>333</v>
      </c>
      <c r="K2329" s="57" t="s">
        <v>334</v>
      </c>
      <c r="L2329" s="60" t="s">
        <v>2920</v>
      </c>
      <c r="M2329" s="57" t="s">
        <v>336</v>
      </c>
      <c r="N2329" s="57" t="s">
        <v>381</v>
      </c>
      <c r="O2329" s="57" t="s">
        <v>729</v>
      </c>
      <c r="P2329" s="57" t="s">
        <v>2921</v>
      </c>
      <c r="Q2329" s="57" t="s">
        <v>698</v>
      </c>
    </row>
    <row r="2330" s="50" customFormat="true" ht="14.25" hidden="false" customHeight="true" outlineLevel="0" collapsed="false">
      <c r="A2330" s="50" t="s">
        <v>727</v>
      </c>
      <c r="B2330" s="57" t="s">
        <v>727</v>
      </c>
      <c r="C2330" s="57" t="s">
        <v>415</v>
      </c>
      <c r="D2330" s="58" t="n">
        <v>46079.7511805556</v>
      </c>
      <c r="E2330" s="58" t="n">
        <v>46079.7511805556</v>
      </c>
      <c r="F2330" s="58" t="n">
        <v>46079.7517013889</v>
      </c>
      <c r="G2330" s="59" t="n">
        <f aca="false">F2330-E2330</f>
        <v>0.000520833298611111</v>
      </c>
      <c r="H2330" s="57" t="s">
        <v>252</v>
      </c>
      <c r="I2330" s="57"/>
      <c r="J2330" s="57" t="s">
        <v>333</v>
      </c>
      <c r="K2330" s="57" t="s">
        <v>334</v>
      </c>
      <c r="L2330" s="60" t="s">
        <v>2922</v>
      </c>
      <c r="M2330" s="57" t="s">
        <v>336</v>
      </c>
      <c r="N2330" s="57" t="s">
        <v>381</v>
      </c>
      <c r="O2330" s="57" t="s">
        <v>729</v>
      </c>
      <c r="P2330" s="57" t="s">
        <v>2923</v>
      </c>
      <c r="Q2330" s="57" t="s">
        <v>698</v>
      </c>
    </row>
    <row r="2331" s="50" customFormat="true" ht="14.25" hidden="false" customHeight="true" outlineLevel="0" collapsed="false">
      <c r="A2331" s="50" t="s">
        <v>727</v>
      </c>
      <c r="B2331" s="57" t="s">
        <v>727</v>
      </c>
      <c r="C2331" s="57" t="s">
        <v>415</v>
      </c>
      <c r="D2331" s="58" t="n">
        <v>46079.7504166667</v>
      </c>
      <c r="E2331" s="58" t="n">
        <v>46079.7504166667</v>
      </c>
      <c r="F2331" s="58" t="n">
        <v>46079.7509375</v>
      </c>
      <c r="G2331" s="59" t="n">
        <f aca="false">F2331-E2331</f>
        <v>0.000520833298611111</v>
      </c>
      <c r="H2331" s="57" t="s">
        <v>252</v>
      </c>
      <c r="I2331" s="57"/>
      <c r="J2331" s="57" t="s">
        <v>333</v>
      </c>
      <c r="K2331" s="57" t="s">
        <v>334</v>
      </c>
      <c r="L2331" s="60" t="s">
        <v>2924</v>
      </c>
      <c r="M2331" s="57" t="s">
        <v>336</v>
      </c>
      <c r="N2331" s="57" t="s">
        <v>381</v>
      </c>
      <c r="O2331" s="57" t="s">
        <v>729</v>
      </c>
      <c r="P2331" s="57" t="s">
        <v>2925</v>
      </c>
      <c r="Q2331" s="57" t="s">
        <v>698</v>
      </c>
    </row>
    <row r="2332" s="50" customFormat="true" ht="14.25" hidden="false" customHeight="true" outlineLevel="0" collapsed="false">
      <c r="A2332" s="50" t="s">
        <v>727</v>
      </c>
      <c r="B2332" s="57" t="s">
        <v>727</v>
      </c>
      <c r="C2332" s="57" t="s">
        <v>415</v>
      </c>
      <c r="D2332" s="58" t="n">
        <v>46079.7492824074</v>
      </c>
      <c r="E2332" s="58" t="n">
        <v>46079.7492824074</v>
      </c>
      <c r="F2332" s="58" t="n">
        <v>46079.7497916667</v>
      </c>
      <c r="G2332" s="59" t="n">
        <f aca="false">F2332-E2332</f>
        <v>0.000509259293981482</v>
      </c>
      <c r="H2332" s="57" t="s">
        <v>252</v>
      </c>
      <c r="I2332" s="57"/>
      <c r="J2332" s="57" t="s">
        <v>333</v>
      </c>
      <c r="K2332" s="57" t="s">
        <v>334</v>
      </c>
      <c r="L2332" s="60" t="s">
        <v>2926</v>
      </c>
      <c r="M2332" s="57" t="s">
        <v>336</v>
      </c>
      <c r="N2332" s="57" t="s">
        <v>381</v>
      </c>
      <c r="O2332" s="57" t="s">
        <v>729</v>
      </c>
      <c r="P2332" s="57" t="s">
        <v>2927</v>
      </c>
      <c r="Q2332" s="57" t="s">
        <v>698</v>
      </c>
    </row>
    <row r="2333" s="50" customFormat="true" ht="14.25" hidden="false" customHeight="true" outlineLevel="0" collapsed="false">
      <c r="A2333" s="50" t="s">
        <v>727</v>
      </c>
      <c r="B2333" s="57" t="s">
        <v>727</v>
      </c>
      <c r="C2333" s="57" t="s">
        <v>415</v>
      </c>
      <c r="D2333" s="58" t="n">
        <v>46079.7481481481</v>
      </c>
      <c r="E2333" s="58" t="n">
        <v>46079.7481481481</v>
      </c>
      <c r="F2333" s="58" t="n">
        <v>46079.7486689815</v>
      </c>
      <c r="G2333" s="59" t="n">
        <f aca="false">F2333-E2333</f>
        <v>0.000520833391203704</v>
      </c>
      <c r="H2333" s="57" t="s">
        <v>252</v>
      </c>
      <c r="I2333" s="57"/>
      <c r="J2333" s="57" t="s">
        <v>333</v>
      </c>
      <c r="K2333" s="57" t="s">
        <v>334</v>
      </c>
      <c r="L2333" s="60" t="s">
        <v>2928</v>
      </c>
      <c r="M2333" s="57" t="s">
        <v>336</v>
      </c>
      <c r="N2333" s="57" t="s">
        <v>381</v>
      </c>
      <c r="O2333" s="57" t="s">
        <v>729</v>
      </c>
      <c r="P2333" s="57" t="s">
        <v>2929</v>
      </c>
      <c r="Q2333" s="57" t="s">
        <v>698</v>
      </c>
    </row>
    <row r="2334" s="50" customFormat="true" ht="14.25" hidden="false" customHeight="true" outlineLevel="0" collapsed="false">
      <c r="A2334" s="50" t="s">
        <v>727</v>
      </c>
      <c r="B2334" s="57" t="s">
        <v>727</v>
      </c>
      <c r="C2334" s="57" t="s">
        <v>415</v>
      </c>
      <c r="D2334" s="58" t="n">
        <v>46079.5908564815</v>
      </c>
      <c r="E2334" s="58" t="n">
        <v>46079.5908564815</v>
      </c>
      <c r="F2334" s="58" t="n">
        <v>46079.5913888889</v>
      </c>
      <c r="G2334" s="59" t="n">
        <f aca="false">F2334-E2334</f>
        <v>0.000532407395833333</v>
      </c>
      <c r="H2334" s="57" t="s">
        <v>252</v>
      </c>
      <c r="I2334" s="57"/>
      <c r="J2334" s="57" t="s">
        <v>333</v>
      </c>
      <c r="K2334" s="57" t="s">
        <v>334</v>
      </c>
      <c r="L2334" s="60" t="s">
        <v>2930</v>
      </c>
      <c r="M2334" s="57" t="s">
        <v>336</v>
      </c>
      <c r="N2334" s="57" t="s">
        <v>381</v>
      </c>
      <c r="O2334" s="57" t="s">
        <v>729</v>
      </c>
      <c r="P2334" s="57" t="s">
        <v>2931</v>
      </c>
      <c r="Q2334" s="57" t="s">
        <v>698</v>
      </c>
    </row>
    <row r="2335" s="50" customFormat="true" ht="14.25" hidden="false" customHeight="true" outlineLevel="0" collapsed="false">
      <c r="A2335" s="50" t="s">
        <v>727</v>
      </c>
      <c r="B2335" s="57" t="s">
        <v>727</v>
      </c>
      <c r="C2335" s="57" t="s">
        <v>415</v>
      </c>
      <c r="D2335" s="58" t="n">
        <v>46079.5746296296</v>
      </c>
      <c r="E2335" s="58" t="n">
        <v>46079.5746296296</v>
      </c>
      <c r="F2335" s="58" t="n">
        <v>46079.575162037</v>
      </c>
      <c r="G2335" s="59" t="n">
        <f aca="false">F2335-E2335</f>
        <v>0.000532407407407407</v>
      </c>
      <c r="H2335" s="57" t="s">
        <v>252</v>
      </c>
      <c r="I2335" s="57"/>
      <c r="J2335" s="57" t="s">
        <v>333</v>
      </c>
      <c r="K2335" s="57" t="s">
        <v>334</v>
      </c>
      <c r="L2335" s="60" t="s">
        <v>2932</v>
      </c>
      <c r="M2335" s="57" t="s">
        <v>336</v>
      </c>
      <c r="N2335" s="57" t="s">
        <v>381</v>
      </c>
      <c r="O2335" s="57" t="s">
        <v>729</v>
      </c>
      <c r="P2335" s="57" t="s">
        <v>2933</v>
      </c>
      <c r="Q2335" s="57" t="s">
        <v>698</v>
      </c>
    </row>
    <row r="2336" s="50" customFormat="true" ht="14.25" hidden="false" customHeight="true" outlineLevel="0" collapsed="false">
      <c r="A2336" s="50" t="s">
        <v>727</v>
      </c>
      <c r="B2336" s="57" t="s">
        <v>727</v>
      </c>
      <c r="C2336" s="57" t="s">
        <v>415</v>
      </c>
      <c r="D2336" s="58" t="n">
        <v>46079.5661111111</v>
      </c>
      <c r="E2336" s="58" t="n">
        <v>46079.5661111111</v>
      </c>
      <c r="F2336" s="58" t="n">
        <v>46079.5666203704</v>
      </c>
      <c r="G2336" s="59" t="n">
        <f aca="false">F2336-E2336</f>
        <v>0.000509259305555556</v>
      </c>
      <c r="H2336" s="57" t="s">
        <v>252</v>
      </c>
      <c r="I2336" s="57"/>
      <c r="J2336" s="57" t="s">
        <v>333</v>
      </c>
      <c r="K2336" s="57" t="s">
        <v>334</v>
      </c>
      <c r="L2336" s="60" t="s">
        <v>2934</v>
      </c>
      <c r="M2336" s="57" t="s">
        <v>336</v>
      </c>
      <c r="N2336" s="57" t="s">
        <v>381</v>
      </c>
      <c r="O2336" s="57" t="s">
        <v>729</v>
      </c>
      <c r="P2336" s="57" t="s">
        <v>2935</v>
      </c>
      <c r="Q2336" s="57" t="s">
        <v>698</v>
      </c>
    </row>
    <row r="2337" s="50" customFormat="true" ht="14.25" hidden="false" customHeight="true" outlineLevel="0" collapsed="false">
      <c r="A2337" s="50" t="s">
        <v>727</v>
      </c>
      <c r="B2337" s="57" t="s">
        <v>727</v>
      </c>
      <c r="C2337" s="57" t="s">
        <v>415</v>
      </c>
      <c r="D2337" s="58" t="n">
        <v>46079.5572916667</v>
      </c>
      <c r="E2337" s="58" t="n">
        <v>46079.5572916667</v>
      </c>
      <c r="F2337" s="58" t="n">
        <v>46079.5578472222</v>
      </c>
      <c r="G2337" s="59" t="n">
        <f aca="false">F2337-E2337</f>
        <v>0.000555555497685185</v>
      </c>
      <c r="H2337" s="57" t="s">
        <v>252</v>
      </c>
      <c r="I2337" s="57"/>
      <c r="J2337" s="57" t="s">
        <v>333</v>
      </c>
      <c r="K2337" s="57" t="s">
        <v>334</v>
      </c>
      <c r="L2337" s="60" t="s">
        <v>2936</v>
      </c>
      <c r="M2337" s="57" t="s">
        <v>336</v>
      </c>
      <c r="N2337" s="57" t="s">
        <v>381</v>
      </c>
      <c r="O2337" s="57" t="s">
        <v>729</v>
      </c>
      <c r="P2337" s="57" t="s">
        <v>2937</v>
      </c>
      <c r="Q2337" s="57" t="s">
        <v>698</v>
      </c>
    </row>
    <row r="2338" s="50" customFormat="true" ht="14.25" hidden="false" customHeight="true" outlineLevel="0" collapsed="false">
      <c r="A2338" s="50" t="s">
        <v>727</v>
      </c>
      <c r="B2338" s="57" t="s">
        <v>727</v>
      </c>
      <c r="C2338" s="57" t="s">
        <v>415</v>
      </c>
      <c r="D2338" s="58" t="n">
        <v>46079.5519560185</v>
      </c>
      <c r="E2338" s="58" t="n">
        <v>46079.5519560185</v>
      </c>
      <c r="F2338" s="58" t="n">
        <v>46079.5525231482</v>
      </c>
      <c r="G2338" s="59" t="n">
        <f aca="false">F2338-E2338</f>
        <v>0.000567129699074074</v>
      </c>
      <c r="H2338" s="57" t="s">
        <v>252</v>
      </c>
      <c r="I2338" s="57"/>
      <c r="J2338" s="57" t="s">
        <v>333</v>
      </c>
      <c r="K2338" s="57" t="s">
        <v>334</v>
      </c>
      <c r="L2338" s="60" t="s">
        <v>2938</v>
      </c>
      <c r="M2338" s="57" t="s">
        <v>336</v>
      </c>
      <c r="N2338" s="57" t="s">
        <v>381</v>
      </c>
      <c r="O2338" s="57" t="s">
        <v>729</v>
      </c>
      <c r="P2338" s="57" t="s">
        <v>2939</v>
      </c>
      <c r="Q2338" s="57" t="s">
        <v>698</v>
      </c>
    </row>
    <row r="2339" s="50" customFormat="true" ht="14.25" hidden="false" customHeight="true" outlineLevel="0" collapsed="false">
      <c r="A2339" s="50" t="s">
        <v>727</v>
      </c>
      <c r="B2339" s="57" t="s">
        <v>727</v>
      </c>
      <c r="C2339" s="57" t="s">
        <v>415</v>
      </c>
      <c r="D2339" s="58" t="n">
        <v>46079.5427777778</v>
      </c>
      <c r="E2339" s="58" t="n">
        <v>46079.5427777778</v>
      </c>
      <c r="F2339" s="58" t="n">
        <v>46079.543287037</v>
      </c>
      <c r="G2339" s="59" t="n">
        <f aca="false">F2339-E2339</f>
        <v>0.000509259201388889</v>
      </c>
      <c r="H2339" s="57" t="s">
        <v>252</v>
      </c>
      <c r="I2339" s="57"/>
      <c r="J2339" s="57" t="s">
        <v>333</v>
      </c>
      <c r="K2339" s="57" t="s">
        <v>334</v>
      </c>
      <c r="L2339" s="60" t="s">
        <v>2940</v>
      </c>
      <c r="M2339" s="57" t="s">
        <v>336</v>
      </c>
      <c r="N2339" s="57" t="s">
        <v>381</v>
      </c>
      <c r="O2339" s="57" t="s">
        <v>729</v>
      </c>
      <c r="P2339" s="57" t="s">
        <v>2941</v>
      </c>
      <c r="Q2339" s="57" t="s">
        <v>698</v>
      </c>
    </row>
    <row r="2340" s="50" customFormat="true" ht="14.25" hidden="false" customHeight="true" outlineLevel="0" collapsed="false">
      <c r="A2340" s="50" t="s">
        <v>727</v>
      </c>
      <c r="B2340" s="57" t="s">
        <v>727</v>
      </c>
      <c r="C2340" s="57" t="s">
        <v>415</v>
      </c>
      <c r="D2340" s="58" t="n">
        <v>46079.5333449074</v>
      </c>
      <c r="E2340" s="58" t="n">
        <v>46079.5333449074</v>
      </c>
      <c r="F2340" s="58" t="n">
        <v>46079.5338425926</v>
      </c>
      <c r="G2340" s="59" t="n">
        <f aca="false">F2340-E2340</f>
        <v>0.000497685196759259</v>
      </c>
      <c r="H2340" s="57" t="s">
        <v>252</v>
      </c>
      <c r="I2340" s="57"/>
      <c r="J2340" s="57" t="s">
        <v>333</v>
      </c>
      <c r="K2340" s="57" t="s">
        <v>334</v>
      </c>
      <c r="L2340" s="60" t="s">
        <v>2942</v>
      </c>
      <c r="M2340" s="57" t="s">
        <v>336</v>
      </c>
      <c r="N2340" s="57" t="s">
        <v>381</v>
      </c>
      <c r="O2340" s="57" t="s">
        <v>729</v>
      </c>
      <c r="P2340" s="57" t="s">
        <v>2943</v>
      </c>
      <c r="Q2340" s="57" t="s">
        <v>698</v>
      </c>
    </row>
    <row r="2341" s="50" customFormat="true" ht="14.25" hidden="false" customHeight="true" outlineLevel="0" collapsed="false">
      <c r="A2341" s="50" t="s">
        <v>727</v>
      </c>
      <c r="B2341" s="57" t="s">
        <v>727</v>
      </c>
      <c r="C2341" s="57" t="s">
        <v>415</v>
      </c>
      <c r="D2341" s="58" t="n">
        <v>46079.5258333333</v>
      </c>
      <c r="E2341" s="58" t="n">
        <v>46079.5258333333</v>
      </c>
      <c r="F2341" s="58" t="n">
        <v>46079.5263541667</v>
      </c>
      <c r="G2341" s="59" t="n">
        <f aca="false">F2341-E2341</f>
        <v>0.000520833402777778</v>
      </c>
      <c r="H2341" s="57" t="s">
        <v>252</v>
      </c>
      <c r="I2341" s="57"/>
      <c r="J2341" s="57" t="s">
        <v>333</v>
      </c>
      <c r="K2341" s="57" t="s">
        <v>334</v>
      </c>
      <c r="L2341" s="60" t="s">
        <v>2944</v>
      </c>
      <c r="M2341" s="57" t="s">
        <v>336</v>
      </c>
      <c r="N2341" s="57" t="s">
        <v>381</v>
      </c>
      <c r="O2341" s="57" t="s">
        <v>729</v>
      </c>
      <c r="P2341" s="57" t="s">
        <v>2945</v>
      </c>
      <c r="Q2341" s="57" t="s">
        <v>698</v>
      </c>
    </row>
    <row r="2342" s="50" customFormat="true" ht="14.25" hidden="false" customHeight="true" outlineLevel="0" collapsed="false">
      <c r="A2342" s="50" t="s">
        <v>727</v>
      </c>
      <c r="B2342" s="57" t="s">
        <v>727</v>
      </c>
      <c r="C2342" s="57" t="s">
        <v>415</v>
      </c>
      <c r="D2342" s="58" t="n">
        <v>46079.5175578704</v>
      </c>
      <c r="E2342" s="58" t="n">
        <v>46079.5175578704</v>
      </c>
      <c r="F2342" s="58" t="n">
        <v>46079.5181134259</v>
      </c>
      <c r="G2342" s="59" t="n">
        <f aca="false">F2342-E2342</f>
        <v>0.000555555497685185</v>
      </c>
      <c r="H2342" s="57" t="s">
        <v>252</v>
      </c>
      <c r="I2342" s="57"/>
      <c r="J2342" s="57" t="s">
        <v>333</v>
      </c>
      <c r="K2342" s="57" t="s">
        <v>334</v>
      </c>
      <c r="L2342" s="60" t="s">
        <v>2946</v>
      </c>
      <c r="M2342" s="57" t="s">
        <v>336</v>
      </c>
      <c r="N2342" s="57" t="s">
        <v>381</v>
      </c>
      <c r="O2342" s="57" t="s">
        <v>729</v>
      </c>
      <c r="P2342" s="57" t="s">
        <v>2947</v>
      </c>
      <c r="Q2342" s="57" t="s">
        <v>698</v>
      </c>
    </row>
    <row r="2343" s="50" customFormat="true" ht="14.25" hidden="false" customHeight="true" outlineLevel="0" collapsed="false">
      <c r="A2343" s="50" t="s">
        <v>727</v>
      </c>
      <c r="B2343" s="57" t="s">
        <v>727</v>
      </c>
      <c r="C2343" s="57" t="s">
        <v>415</v>
      </c>
      <c r="D2343" s="58" t="n">
        <v>46079.5056944444</v>
      </c>
      <c r="E2343" s="58" t="n">
        <v>46079.5056944444</v>
      </c>
      <c r="F2343" s="58" t="n">
        <v>46079.50625</v>
      </c>
      <c r="G2343" s="59" t="n">
        <f aca="false">F2343-E2343</f>
        <v>0.000555555601851852</v>
      </c>
      <c r="H2343" s="57" t="s">
        <v>252</v>
      </c>
      <c r="I2343" s="57"/>
      <c r="J2343" s="57" t="s">
        <v>333</v>
      </c>
      <c r="K2343" s="57" t="s">
        <v>334</v>
      </c>
      <c r="L2343" s="60" t="s">
        <v>2948</v>
      </c>
      <c r="M2343" s="57" t="s">
        <v>336</v>
      </c>
      <c r="N2343" s="57" t="s">
        <v>381</v>
      </c>
      <c r="O2343" s="57" t="s">
        <v>729</v>
      </c>
      <c r="P2343" s="57" t="s">
        <v>2949</v>
      </c>
      <c r="Q2343" s="57" t="s">
        <v>698</v>
      </c>
    </row>
    <row r="2344" s="50" customFormat="true" ht="14.25" hidden="false" customHeight="true" outlineLevel="0" collapsed="false">
      <c r="A2344" s="50" t="s">
        <v>727</v>
      </c>
      <c r="B2344" s="57" t="s">
        <v>727</v>
      </c>
      <c r="C2344" s="57" t="s">
        <v>415</v>
      </c>
      <c r="D2344" s="58" t="n">
        <v>46079.5002662037</v>
      </c>
      <c r="E2344" s="58" t="n">
        <v>46079.5002662037</v>
      </c>
      <c r="F2344" s="58" t="n">
        <v>46079.5009027778</v>
      </c>
      <c r="G2344" s="59" t="n">
        <f aca="false">F2344-E2344</f>
        <v>0.000636574097222222</v>
      </c>
      <c r="H2344" s="57" t="s">
        <v>252</v>
      </c>
      <c r="I2344" s="57"/>
      <c r="J2344" s="57" t="s">
        <v>333</v>
      </c>
      <c r="K2344" s="57" t="s">
        <v>334</v>
      </c>
      <c r="L2344" s="60" t="s">
        <v>2950</v>
      </c>
      <c r="M2344" s="57" t="s">
        <v>336</v>
      </c>
      <c r="N2344" s="57" t="s">
        <v>381</v>
      </c>
      <c r="O2344" s="57" t="s">
        <v>729</v>
      </c>
      <c r="P2344" s="57" t="s">
        <v>2951</v>
      </c>
      <c r="Q2344" s="57" t="s">
        <v>698</v>
      </c>
    </row>
    <row r="2345" s="50" customFormat="true" ht="14.25" hidden="false" customHeight="true" outlineLevel="0" collapsed="false">
      <c r="A2345" s="50" t="s">
        <v>727</v>
      </c>
      <c r="B2345" s="57" t="s">
        <v>727</v>
      </c>
      <c r="C2345" s="57" t="s">
        <v>415</v>
      </c>
      <c r="D2345" s="58" t="n">
        <v>46079.480775463</v>
      </c>
      <c r="E2345" s="58" t="n">
        <v>46079.480775463</v>
      </c>
      <c r="F2345" s="58" t="n">
        <v>46079.4812847222</v>
      </c>
      <c r="G2345" s="59" t="n">
        <f aca="false">F2345-E2345</f>
        <v>0.000509259201388889</v>
      </c>
      <c r="H2345" s="57" t="s">
        <v>252</v>
      </c>
      <c r="I2345" s="57"/>
      <c r="J2345" s="57" t="s">
        <v>333</v>
      </c>
      <c r="K2345" s="57" t="s">
        <v>334</v>
      </c>
      <c r="L2345" s="60" t="s">
        <v>2952</v>
      </c>
      <c r="M2345" s="57" t="s">
        <v>336</v>
      </c>
      <c r="N2345" s="57" t="s">
        <v>381</v>
      </c>
      <c r="O2345" s="57" t="s">
        <v>729</v>
      </c>
      <c r="P2345" s="57" t="s">
        <v>2953</v>
      </c>
      <c r="Q2345" s="57" t="s">
        <v>698</v>
      </c>
    </row>
    <row r="2346" s="50" customFormat="true" ht="14.25" hidden="false" customHeight="true" outlineLevel="0" collapsed="false">
      <c r="A2346" s="50" t="s">
        <v>727</v>
      </c>
      <c r="B2346" s="57" t="s">
        <v>727</v>
      </c>
      <c r="C2346" s="57" t="s">
        <v>415</v>
      </c>
      <c r="D2346" s="58" t="n">
        <v>46079.4699421296</v>
      </c>
      <c r="E2346" s="58" t="n">
        <v>46079.4699421296</v>
      </c>
      <c r="F2346" s="58" t="n">
        <v>46079.470462963</v>
      </c>
      <c r="G2346" s="59" t="n">
        <f aca="false">F2346-E2346</f>
        <v>0.000520833391203704</v>
      </c>
      <c r="H2346" s="57" t="s">
        <v>252</v>
      </c>
      <c r="I2346" s="57"/>
      <c r="J2346" s="57" t="s">
        <v>333</v>
      </c>
      <c r="K2346" s="57" t="s">
        <v>334</v>
      </c>
      <c r="L2346" s="60" t="s">
        <v>2954</v>
      </c>
      <c r="M2346" s="57" t="s">
        <v>336</v>
      </c>
      <c r="N2346" s="57" t="s">
        <v>381</v>
      </c>
      <c r="O2346" s="57" t="s">
        <v>729</v>
      </c>
      <c r="P2346" s="57" t="s">
        <v>2955</v>
      </c>
      <c r="Q2346" s="57" t="s">
        <v>698</v>
      </c>
    </row>
    <row r="2347" s="50" customFormat="true" ht="14.25" hidden="false" customHeight="true" outlineLevel="0" collapsed="false">
      <c r="A2347" s="50" t="s">
        <v>727</v>
      </c>
      <c r="B2347" s="57" t="s">
        <v>727</v>
      </c>
      <c r="C2347" s="57" t="s">
        <v>415</v>
      </c>
      <c r="D2347" s="58" t="n">
        <v>46079.4486458333</v>
      </c>
      <c r="E2347" s="58" t="n">
        <v>46079.4486458333</v>
      </c>
      <c r="F2347" s="58" t="n">
        <v>46079.4491898148</v>
      </c>
      <c r="G2347" s="59" t="n">
        <f aca="false">F2347-E2347</f>
        <v>0.00054398150462963</v>
      </c>
      <c r="H2347" s="57" t="s">
        <v>252</v>
      </c>
      <c r="I2347" s="57"/>
      <c r="J2347" s="57" t="s">
        <v>333</v>
      </c>
      <c r="K2347" s="57" t="s">
        <v>334</v>
      </c>
      <c r="L2347" s="60" t="s">
        <v>2956</v>
      </c>
      <c r="M2347" s="57" t="s">
        <v>336</v>
      </c>
      <c r="N2347" s="57" t="s">
        <v>381</v>
      </c>
      <c r="O2347" s="57" t="s">
        <v>729</v>
      </c>
      <c r="P2347" s="57" t="s">
        <v>2957</v>
      </c>
      <c r="Q2347" s="57" t="s">
        <v>698</v>
      </c>
    </row>
    <row r="2348" s="50" customFormat="true" ht="14.25" hidden="false" customHeight="true" outlineLevel="0" collapsed="false">
      <c r="A2348" s="50" t="s">
        <v>727</v>
      </c>
      <c r="B2348" s="57" t="s">
        <v>727</v>
      </c>
      <c r="C2348" s="57" t="s">
        <v>415</v>
      </c>
      <c r="D2348" s="58" t="n">
        <v>46079.4340740741</v>
      </c>
      <c r="E2348" s="58" t="n">
        <v>46079.4340740741</v>
      </c>
      <c r="F2348" s="58" t="n">
        <v>46079.4346643519</v>
      </c>
      <c r="G2348" s="59" t="n">
        <f aca="false">F2348-E2348</f>
        <v>0.000590277800925926</v>
      </c>
      <c r="H2348" s="57" t="s">
        <v>252</v>
      </c>
      <c r="I2348" s="57"/>
      <c r="J2348" s="57" t="s">
        <v>333</v>
      </c>
      <c r="K2348" s="57" t="s">
        <v>334</v>
      </c>
      <c r="L2348" s="60" t="s">
        <v>2958</v>
      </c>
      <c r="M2348" s="57" t="s">
        <v>336</v>
      </c>
      <c r="N2348" s="57" t="s">
        <v>381</v>
      </c>
      <c r="O2348" s="57" t="s">
        <v>729</v>
      </c>
      <c r="P2348" s="57" t="s">
        <v>2959</v>
      </c>
      <c r="Q2348" s="57" t="s">
        <v>698</v>
      </c>
    </row>
    <row r="2349" s="50" customFormat="true" ht="14.25" hidden="false" customHeight="true" outlineLevel="0" collapsed="false">
      <c r="A2349" s="50" t="s">
        <v>727</v>
      </c>
      <c r="B2349" s="57" t="s">
        <v>727</v>
      </c>
      <c r="C2349" s="57" t="s">
        <v>415</v>
      </c>
      <c r="D2349" s="58" t="n">
        <v>46079.4205092593</v>
      </c>
      <c r="E2349" s="58" t="n">
        <v>46079.4205092593</v>
      </c>
      <c r="F2349" s="58" t="n">
        <v>46079.4211921296</v>
      </c>
      <c r="G2349" s="59" t="n">
        <f aca="false">F2349-E2349</f>
        <v>0.000682870300925926</v>
      </c>
      <c r="H2349" s="57" t="s">
        <v>252</v>
      </c>
      <c r="I2349" s="57"/>
      <c r="J2349" s="57" t="s">
        <v>333</v>
      </c>
      <c r="K2349" s="57" t="s">
        <v>334</v>
      </c>
      <c r="L2349" s="60" t="s">
        <v>2960</v>
      </c>
      <c r="M2349" s="57" t="s">
        <v>336</v>
      </c>
      <c r="N2349" s="57" t="s">
        <v>381</v>
      </c>
      <c r="O2349" s="57" t="s">
        <v>729</v>
      </c>
      <c r="P2349" s="57" t="s">
        <v>2961</v>
      </c>
      <c r="Q2349" s="57" t="s">
        <v>698</v>
      </c>
    </row>
    <row r="2350" s="50" customFormat="true" ht="14.25" hidden="false" customHeight="true" outlineLevel="0" collapsed="false">
      <c r="A2350" s="50" t="s">
        <v>727</v>
      </c>
      <c r="B2350" s="57" t="s">
        <v>727</v>
      </c>
      <c r="C2350" s="57" t="s">
        <v>415</v>
      </c>
      <c r="D2350" s="58" t="n">
        <v>46079.3963888889</v>
      </c>
      <c r="E2350" s="58" t="n">
        <v>46079.3963888889</v>
      </c>
      <c r="F2350" s="58" t="n">
        <v>46079.3969212963</v>
      </c>
      <c r="G2350" s="59" t="n">
        <f aca="false">F2350-E2350</f>
        <v>0.000532407407407407</v>
      </c>
      <c r="H2350" s="57" t="s">
        <v>252</v>
      </c>
      <c r="I2350" s="57"/>
      <c r="J2350" s="57" t="s">
        <v>333</v>
      </c>
      <c r="K2350" s="57" t="s">
        <v>334</v>
      </c>
      <c r="L2350" s="60" t="s">
        <v>2962</v>
      </c>
      <c r="M2350" s="57" t="s">
        <v>336</v>
      </c>
      <c r="N2350" s="57" t="s">
        <v>381</v>
      </c>
      <c r="O2350" s="57" t="s">
        <v>729</v>
      </c>
      <c r="P2350" s="57" t="s">
        <v>2963</v>
      </c>
      <c r="Q2350" s="57" t="s">
        <v>698</v>
      </c>
    </row>
    <row r="2351" s="50" customFormat="true" ht="14.25" hidden="false" customHeight="true" outlineLevel="0" collapsed="false">
      <c r="A2351" s="50" t="s">
        <v>727</v>
      </c>
      <c r="B2351" s="57" t="s">
        <v>727</v>
      </c>
      <c r="C2351" s="57" t="s">
        <v>415</v>
      </c>
      <c r="D2351" s="58" t="n">
        <v>46079.2931481482</v>
      </c>
      <c r="E2351" s="58" t="n">
        <v>46079.2931481482</v>
      </c>
      <c r="F2351" s="58" t="n">
        <v>46079.2978935185</v>
      </c>
      <c r="G2351" s="59" t="n">
        <f aca="false">F2351-E2351</f>
        <v>0.00474537030092593</v>
      </c>
      <c r="H2351" s="57" t="s">
        <v>252</v>
      </c>
      <c r="I2351" s="57"/>
      <c r="J2351" s="57" t="s">
        <v>333</v>
      </c>
      <c r="K2351" s="57" t="s">
        <v>334</v>
      </c>
      <c r="L2351" s="60" t="s">
        <v>2964</v>
      </c>
      <c r="M2351" s="57" t="s">
        <v>336</v>
      </c>
      <c r="N2351" s="57" t="s">
        <v>381</v>
      </c>
      <c r="O2351" s="57" t="s">
        <v>729</v>
      </c>
      <c r="P2351" s="57" t="s">
        <v>2965</v>
      </c>
      <c r="Q2351" s="57" t="s">
        <v>698</v>
      </c>
    </row>
    <row r="2352" s="50" customFormat="true" ht="14.25" hidden="false" customHeight="true" outlineLevel="0" collapsed="false">
      <c r="A2352" s="50" t="s">
        <v>727</v>
      </c>
      <c r="B2352" s="57" t="s">
        <v>727</v>
      </c>
      <c r="C2352" s="57" t="s">
        <v>415</v>
      </c>
      <c r="D2352" s="58" t="n">
        <v>46079.2862152778</v>
      </c>
      <c r="E2352" s="58" t="n">
        <v>46079.2862152778</v>
      </c>
      <c r="F2352" s="58" t="n">
        <v>46079.2872222222</v>
      </c>
      <c r="G2352" s="59" t="n">
        <f aca="false">F2352-E2352</f>
        <v>0.00100694439814815</v>
      </c>
      <c r="H2352" s="57" t="s">
        <v>252</v>
      </c>
      <c r="I2352" s="57"/>
      <c r="J2352" s="57" t="s">
        <v>333</v>
      </c>
      <c r="K2352" s="57" t="s">
        <v>334</v>
      </c>
      <c r="L2352" s="60" t="s">
        <v>2966</v>
      </c>
      <c r="M2352" s="57" t="s">
        <v>336</v>
      </c>
      <c r="N2352" s="57" t="s">
        <v>381</v>
      </c>
      <c r="O2352" s="57" t="s">
        <v>729</v>
      </c>
      <c r="P2352" s="57" t="s">
        <v>2967</v>
      </c>
      <c r="Q2352" s="57" t="s">
        <v>698</v>
      </c>
    </row>
    <row r="2353" s="50" customFormat="true" ht="14.25" hidden="false" customHeight="true" outlineLevel="0" collapsed="false">
      <c r="A2353" s="50" t="s">
        <v>727</v>
      </c>
      <c r="B2353" s="57" t="s">
        <v>727</v>
      </c>
      <c r="C2353" s="57" t="s">
        <v>415</v>
      </c>
      <c r="D2353" s="58" t="n">
        <v>46079.2533101852</v>
      </c>
      <c r="E2353" s="58" t="n">
        <v>46079.2533101852</v>
      </c>
      <c r="F2353" s="58" t="n">
        <v>46079.2860416667</v>
      </c>
      <c r="G2353" s="59" t="n">
        <f aca="false">F2353-E2353</f>
        <v>0.0327314815046296</v>
      </c>
      <c r="H2353" s="57" t="s">
        <v>252</v>
      </c>
      <c r="I2353" s="57"/>
      <c r="J2353" s="57" t="s">
        <v>333</v>
      </c>
      <c r="K2353" s="57" t="s">
        <v>334</v>
      </c>
      <c r="L2353" s="60" t="s">
        <v>2968</v>
      </c>
      <c r="M2353" s="57" t="s">
        <v>336</v>
      </c>
      <c r="N2353" s="57" t="s">
        <v>381</v>
      </c>
      <c r="O2353" s="57" t="s">
        <v>729</v>
      </c>
      <c r="P2353" s="57" t="s">
        <v>2969</v>
      </c>
      <c r="Q2353" s="57" t="s">
        <v>698</v>
      </c>
    </row>
    <row r="2354" s="50" customFormat="true" ht="14.25" hidden="false" customHeight="true" outlineLevel="0" collapsed="false">
      <c r="A2354" s="50" t="s">
        <v>727</v>
      </c>
      <c r="B2354" s="57" t="s">
        <v>727</v>
      </c>
      <c r="C2354" s="57" t="s">
        <v>415</v>
      </c>
      <c r="D2354" s="58" t="n">
        <v>46079.2531828704</v>
      </c>
      <c r="E2354" s="58" t="n">
        <v>46079.2531828704</v>
      </c>
      <c r="F2354" s="58" t="n">
        <v>46079.2860416667</v>
      </c>
      <c r="G2354" s="59" t="n">
        <f aca="false">F2354-E2354</f>
        <v>0.0328587962962963</v>
      </c>
      <c r="H2354" s="57" t="s">
        <v>252</v>
      </c>
      <c r="I2354" s="57"/>
      <c r="J2354" s="57" t="s">
        <v>333</v>
      </c>
      <c r="K2354" s="57" t="s">
        <v>334</v>
      </c>
      <c r="L2354" s="60" t="s">
        <v>2970</v>
      </c>
      <c r="M2354" s="57" t="s">
        <v>336</v>
      </c>
      <c r="N2354" s="57" t="s">
        <v>381</v>
      </c>
      <c r="O2354" s="57" t="s">
        <v>729</v>
      </c>
      <c r="P2354" s="57" t="s">
        <v>2971</v>
      </c>
      <c r="Q2354" s="57" t="s">
        <v>698</v>
      </c>
    </row>
    <row r="2355" s="50" customFormat="true" ht="14.25" hidden="false" customHeight="true" outlineLevel="0" collapsed="false">
      <c r="A2355" s="50" t="s">
        <v>727</v>
      </c>
      <c r="B2355" s="57" t="s">
        <v>727</v>
      </c>
      <c r="C2355" s="57" t="s">
        <v>415</v>
      </c>
      <c r="D2355" s="58" t="n">
        <v>46078.7527893519</v>
      </c>
      <c r="E2355" s="58" t="n">
        <v>46078.7527893519</v>
      </c>
      <c r="F2355" s="58" t="n">
        <v>46079.2474537037</v>
      </c>
      <c r="G2355" s="59" t="n">
        <f aca="false">F2355-E2355</f>
        <v>0.494664351793981</v>
      </c>
      <c r="H2355" s="57" t="s">
        <v>252</v>
      </c>
      <c r="I2355" s="57"/>
      <c r="J2355" s="57" t="s">
        <v>333</v>
      </c>
      <c r="K2355" s="57" t="s">
        <v>334</v>
      </c>
      <c r="L2355" s="60" t="s">
        <v>2972</v>
      </c>
      <c r="M2355" s="57" t="s">
        <v>336</v>
      </c>
      <c r="N2355" s="57" t="s">
        <v>381</v>
      </c>
      <c r="O2355" s="57" t="s">
        <v>729</v>
      </c>
      <c r="P2355" s="57" t="s">
        <v>2973</v>
      </c>
      <c r="Q2355" s="57" t="s">
        <v>698</v>
      </c>
    </row>
    <row r="2356" s="50" customFormat="true" ht="14.25" hidden="false" customHeight="true" outlineLevel="0" collapsed="false">
      <c r="A2356" s="50" t="s">
        <v>727</v>
      </c>
      <c r="B2356" s="57" t="s">
        <v>727</v>
      </c>
      <c r="C2356" s="57" t="s">
        <v>415</v>
      </c>
      <c r="D2356" s="58" t="n">
        <v>46078.7155902778</v>
      </c>
      <c r="E2356" s="58" t="n">
        <v>46078.7155902778</v>
      </c>
      <c r="F2356" s="58" t="n">
        <v>46078.716099537</v>
      </c>
      <c r="G2356" s="59" t="n">
        <f aca="false">F2356-E2356</f>
        <v>0.000509259201388889</v>
      </c>
      <c r="H2356" s="57" t="s">
        <v>252</v>
      </c>
      <c r="I2356" s="57"/>
      <c r="J2356" s="57" t="s">
        <v>333</v>
      </c>
      <c r="K2356" s="57" t="s">
        <v>334</v>
      </c>
      <c r="L2356" s="60" t="s">
        <v>2974</v>
      </c>
      <c r="M2356" s="57" t="s">
        <v>336</v>
      </c>
      <c r="N2356" s="57" t="s">
        <v>381</v>
      </c>
      <c r="O2356" s="57" t="s">
        <v>729</v>
      </c>
      <c r="P2356" s="57" t="s">
        <v>2975</v>
      </c>
      <c r="Q2356" s="57" t="s">
        <v>698</v>
      </c>
    </row>
    <row r="2357" s="50" customFormat="true" ht="14.25" hidden="false" customHeight="true" outlineLevel="0" collapsed="false">
      <c r="A2357" s="50" t="s">
        <v>727</v>
      </c>
      <c r="B2357" s="57" t="s">
        <v>727</v>
      </c>
      <c r="C2357" s="57" t="s">
        <v>415</v>
      </c>
      <c r="D2357" s="58" t="n">
        <v>46078.6489699074</v>
      </c>
      <c r="E2357" s="58" t="n">
        <v>46078.6489699074</v>
      </c>
      <c r="F2357" s="58" t="n">
        <v>46078.6494907407</v>
      </c>
      <c r="G2357" s="59" t="n">
        <f aca="false">F2357-E2357</f>
        <v>0.000520833298611111</v>
      </c>
      <c r="H2357" s="57" t="s">
        <v>252</v>
      </c>
      <c r="I2357" s="57"/>
      <c r="J2357" s="57" t="s">
        <v>333</v>
      </c>
      <c r="K2357" s="57" t="s">
        <v>334</v>
      </c>
      <c r="L2357" s="60" t="s">
        <v>2976</v>
      </c>
      <c r="M2357" s="57" t="s">
        <v>336</v>
      </c>
      <c r="N2357" s="57" t="s">
        <v>381</v>
      </c>
      <c r="O2357" s="57" t="s">
        <v>729</v>
      </c>
      <c r="P2357" s="57" t="s">
        <v>2977</v>
      </c>
      <c r="Q2357" s="57" t="s">
        <v>698</v>
      </c>
    </row>
    <row r="2358" s="50" customFormat="true" ht="14.25" hidden="false" customHeight="true" outlineLevel="0" collapsed="false">
      <c r="A2358" s="50" t="s">
        <v>727</v>
      </c>
      <c r="B2358" s="57" t="s">
        <v>727</v>
      </c>
      <c r="C2358" s="57" t="s">
        <v>415</v>
      </c>
      <c r="D2358" s="58" t="n">
        <v>46078.6244560185</v>
      </c>
      <c r="E2358" s="58" t="n">
        <v>46078.6244560185</v>
      </c>
      <c r="F2358" s="58" t="n">
        <v>46078.6251041667</v>
      </c>
      <c r="G2358" s="59" t="n">
        <f aca="false">F2358-E2358</f>
        <v>0.000648148194444445</v>
      </c>
      <c r="H2358" s="57" t="s">
        <v>252</v>
      </c>
      <c r="I2358" s="57"/>
      <c r="J2358" s="57" t="s">
        <v>333</v>
      </c>
      <c r="K2358" s="57" t="s">
        <v>334</v>
      </c>
      <c r="L2358" s="60" t="s">
        <v>2978</v>
      </c>
      <c r="M2358" s="57" t="s">
        <v>336</v>
      </c>
      <c r="N2358" s="57" t="s">
        <v>381</v>
      </c>
      <c r="O2358" s="57" t="s">
        <v>729</v>
      </c>
      <c r="P2358" s="57" t="s">
        <v>2979</v>
      </c>
      <c r="Q2358" s="57" t="s">
        <v>698</v>
      </c>
    </row>
    <row r="2359" s="50" customFormat="true" ht="14.25" hidden="false" customHeight="true" outlineLevel="0" collapsed="false">
      <c r="A2359" s="50" t="s">
        <v>727</v>
      </c>
      <c r="B2359" s="57" t="s">
        <v>727</v>
      </c>
      <c r="C2359" s="57" t="s">
        <v>415</v>
      </c>
      <c r="D2359" s="58" t="n">
        <v>46078.6018634259</v>
      </c>
      <c r="E2359" s="58" t="n">
        <v>46078.6018634259</v>
      </c>
      <c r="F2359" s="58" t="n">
        <v>46078.6023726852</v>
      </c>
      <c r="G2359" s="59" t="n">
        <f aca="false">F2359-E2359</f>
        <v>0.000509259293981482</v>
      </c>
      <c r="H2359" s="57" t="s">
        <v>252</v>
      </c>
      <c r="I2359" s="57"/>
      <c r="J2359" s="57" t="s">
        <v>333</v>
      </c>
      <c r="K2359" s="57" t="s">
        <v>334</v>
      </c>
      <c r="L2359" s="60" t="s">
        <v>2980</v>
      </c>
      <c r="M2359" s="57" t="s">
        <v>336</v>
      </c>
      <c r="N2359" s="57" t="s">
        <v>381</v>
      </c>
      <c r="O2359" s="57" t="s">
        <v>729</v>
      </c>
      <c r="P2359" s="57" t="s">
        <v>2981</v>
      </c>
      <c r="Q2359" s="57" t="s">
        <v>698</v>
      </c>
    </row>
    <row r="2360" s="50" customFormat="true" ht="14.25" hidden="false" customHeight="true" outlineLevel="0" collapsed="false">
      <c r="A2360" s="50" t="s">
        <v>727</v>
      </c>
      <c r="B2360" s="57" t="s">
        <v>727</v>
      </c>
      <c r="C2360" s="57" t="s">
        <v>415</v>
      </c>
      <c r="D2360" s="58" t="n">
        <v>46078.5897916667</v>
      </c>
      <c r="E2360" s="58" t="n">
        <v>46078.5897916667</v>
      </c>
      <c r="F2360" s="58" t="n">
        <v>46078.5903009259</v>
      </c>
      <c r="G2360" s="59" t="n">
        <f aca="false">F2360-E2360</f>
        <v>0.000509259201388889</v>
      </c>
      <c r="H2360" s="57" t="s">
        <v>252</v>
      </c>
      <c r="I2360" s="57"/>
      <c r="J2360" s="57" t="s">
        <v>333</v>
      </c>
      <c r="K2360" s="57" t="s">
        <v>334</v>
      </c>
      <c r="L2360" s="60" t="s">
        <v>2982</v>
      </c>
      <c r="M2360" s="57" t="s">
        <v>336</v>
      </c>
      <c r="N2360" s="57" t="s">
        <v>381</v>
      </c>
      <c r="O2360" s="57" t="s">
        <v>729</v>
      </c>
      <c r="P2360" s="57" t="s">
        <v>2983</v>
      </c>
      <c r="Q2360" s="57" t="s">
        <v>698</v>
      </c>
    </row>
    <row r="2361" s="50" customFormat="true" ht="14.25" hidden="false" customHeight="true" outlineLevel="0" collapsed="false">
      <c r="A2361" s="50" t="s">
        <v>727</v>
      </c>
      <c r="B2361" s="57" t="s">
        <v>727</v>
      </c>
      <c r="C2361" s="57" t="s">
        <v>415</v>
      </c>
      <c r="D2361" s="58" t="n">
        <v>46078.5820023148</v>
      </c>
      <c r="E2361" s="58" t="n">
        <v>46078.5820023148</v>
      </c>
      <c r="F2361" s="58" t="n">
        <v>46078.5825115741</v>
      </c>
      <c r="G2361" s="59" t="n">
        <f aca="false">F2361-E2361</f>
        <v>0.000509259305555556</v>
      </c>
      <c r="H2361" s="57" t="s">
        <v>252</v>
      </c>
      <c r="I2361" s="57"/>
      <c r="J2361" s="57" t="s">
        <v>333</v>
      </c>
      <c r="K2361" s="57" t="s">
        <v>334</v>
      </c>
      <c r="L2361" s="60" t="s">
        <v>2984</v>
      </c>
      <c r="M2361" s="57" t="s">
        <v>336</v>
      </c>
      <c r="N2361" s="57" t="s">
        <v>381</v>
      </c>
      <c r="O2361" s="57" t="s">
        <v>729</v>
      </c>
      <c r="P2361" s="57" t="s">
        <v>2985</v>
      </c>
      <c r="Q2361" s="57" t="s">
        <v>698</v>
      </c>
    </row>
    <row r="2362" s="50" customFormat="true" ht="14.25" hidden="false" customHeight="true" outlineLevel="0" collapsed="false">
      <c r="A2362" s="50" t="s">
        <v>727</v>
      </c>
      <c r="B2362" s="57" t="s">
        <v>727</v>
      </c>
      <c r="C2362" s="57" t="s">
        <v>415</v>
      </c>
      <c r="D2362" s="58" t="n">
        <v>46078.576400463</v>
      </c>
      <c r="E2362" s="58" t="n">
        <v>46078.576400463</v>
      </c>
      <c r="F2362" s="58" t="n">
        <v>46078.5769444444</v>
      </c>
      <c r="G2362" s="59" t="n">
        <f aca="false">F2362-E2362</f>
        <v>0.000543981400462963</v>
      </c>
      <c r="H2362" s="57" t="s">
        <v>252</v>
      </c>
      <c r="I2362" s="57"/>
      <c r="J2362" s="57" t="s">
        <v>333</v>
      </c>
      <c r="K2362" s="57" t="s">
        <v>334</v>
      </c>
      <c r="L2362" s="60" t="s">
        <v>2986</v>
      </c>
      <c r="M2362" s="57" t="s">
        <v>336</v>
      </c>
      <c r="N2362" s="57" t="s">
        <v>381</v>
      </c>
      <c r="O2362" s="57" t="s">
        <v>729</v>
      </c>
      <c r="P2362" s="57" t="s">
        <v>2987</v>
      </c>
      <c r="Q2362" s="57" t="s">
        <v>698</v>
      </c>
    </row>
    <row r="2363" s="50" customFormat="true" ht="14.25" hidden="false" customHeight="true" outlineLevel="0" collapsed="false">
      <c r="A2363" s="50" t="s">
        <v>727</v>
      </c>
      <c r="B2363" s="57" t="s">
        <v>727</v>
      </c>
      <c r="C2363" s="57" t="s">
        <v>415</v>
      </c>
      <c r="D2363" s="58" t="n">
        <v>46078.5379976852</v>
      </c>
      <c r="E2363" s="58" t="n">
        <v>46078.5379976852</v>
      </c>
      <c r="F2363" s="58" t="n">
        <v>46078.5385185185</v>
      </c>
      <c r="G2363" s="59" t="n">
        <f aca="false">F2363-E2363</f>
        <v>0.000520833298611111</v>
      </c>
      <c r="H2363" s="57" t="s">
        <v>252</v>
      </c>
      <c r="I2363" s="57"/>
      <c r="J2363" s="57" t="s">
        <v>333</v>
      </c>
      <c r="K2363" s="57" t="s">
        <v>334</v>
      </c>
      <c r="L2363" s="60" t="s">
        <v>2988</v>
      </c>
      <c r="M2363" s="57" t="s">
        <v>336</v>
      </c>
      <c r="N2363" s="57" t="s">
        <v>381</v>
      </c>
      <c r="O2363" s="57" t="s">
        <v>729</v>
      </c>
      <c r="P2363" s="57" t="s">
        <v>2989</v>
      </c>
      <c r="Q2363" s="57" t="s">
        <v>698</v>
      </c>
    </row>
    <row r="2364" s="50" customFormat="true" ht="14.25" hidden="false" customHeight="true" outlineLevel="0" collapsed="false">
      <c r="A2364" s="50" t="s">
        <v>727</v>
      </c>
      <c r="B2364" s="57" t="s">
        <v>727</v>
      </c>
      <c r="C2364" s="57" t="s">
        <v>415</v>
      </c>
      <c r="D2364" s="58" t="n">
        <v>46078.5187847222</v>
      </c>
      <c r="E2364" s="58" t="n">
        <v>46078.5187847222</v>
      </c>
      <c r="F2364" s="58" t="n">
        <v>46078.5192939815</v>
      </c>
      <c r="G2364" s="59" t="n">
        <f aca="false">F2364-E2364</f>
        <v>0.000509259305555556</v>
      </c>
      <c r="H2364" s="57" t="s">
        <v>252</v>
      </c>
      <c r="I2364" s="57"/>
      <c r="J2364" s="57" t="s">
        <v>333</v>
      </c>
      <c r="K2364" s="57" t="s">
        <v>334</v>
      </c>
      <c r="L2364" s="60" t="s">
        <v>2990</v>
      </c>
      <c r="M2364" s="57" t="s">
        <v>336</v>
      </c>
      <c r="N2364" s="57" t="s">
        <v>381</v>
      </c>
      <c r="O2364" s="57" t="s">
        <v>729</v>
      </c>
      <c r="P2364" s="57" t="s">
        <v>2991</v>
      </c>
      <c r="Q2364" s="57" t="s">
        <v>698</v>
      </c>
    </row>
    <row r="2365" s="50" customFormat="true" ht="14.25" hidden="false" customHeight="true" outlineLevel="0" collapsed="false">
      <c r="A2365" s="50" t="s">
        <v>727</v>
      </c>
      <c r="B2365" s="57" t="s">
        <v>727</v>
      </c>
      <c r="C2365" s="57" t="s">
        <v>415</v>
      </c>
      <c r="D2365" s="58" t="n">
        <v>46078.5094212963</v>
      </c>
      <c r="E2365" s="58" t="n">
        <v>46078.5094212963</v>
      </c>
      <c r="F2365" s="58" t="n">
        <v>46078.5099305556</v>
      </c>
      <c r="G2365" s="59" t="n">
        <f aca="false">F2365-E2365</f>
        <v>0.000509259293981482</v>
      </c>
      <c r="H2365" s="57" t="s">
        <v>252</v>
      </c>
      <c r="I2365" s="57"/>
      <c r="J2365" s="57" t="s">
        <v>333</v>
      </c>
      <c r="K2365" s="57" t="s">
        <v>334</v>
      </c>
      <c r="L2365" s="60" t="s">
        <v>2992</v>
      </c>
      <c r="M2365" s="57" t="s">
        <v>336</v>
      </c>
      <c r="N2365" s="57" t="s">
        <v>381</v>
      </c>
      <c r="O2365" s="57" t="s">
        <v>729</v>
      </c>
      <c r="P2365" s="57" t="s">
        <v>2993</v>
      </c>
      <c r="Q2365" s="57" t="s">
        <v>698</v>
      </c>
    </row>
    <row r="2366" s="50" customFormat="true" ht="14.25" hidden="false" customHeight="true" outlineLevel="0" collapsed="false">
      <c r="A2366" s="50" t="s">
        <v>727</v>
      </c>
      <c r="B2366" s="57" t="s">
        <v>727</v>
      </c>
      <c r="C2366" s="57" t="s">
        <v>415</v>
      </c>
      <c r="D2366" s="58" t="n">
        <v>46078.5030092593</v>
      </c>
      <c r="E2366" s="58" t="n">
        <v>46078.5030092593</v>
      </c>
      <c r="F2366" s="58" t="n">
        <v>46078.5035185185</v>
      </c>
      <c r="G2366" s="59" t="n">
        <f aca="false">F2366-E2366</f>
        <v>0.000509259201388889</v>
      </c>
      <c r="H2366" s="57" t="s">
        <v>252</v>
      </c>
      <c r="I2366" s="57"/>
      <c r="J2366" s="57" t="s">
        <v>333</v>
      </c>
      <c r="K2366" s="57" t="s">
        <v>334</v>
      </c>
      <c r="L2366" s="60" t="s">
        <v>2994</v>
      </c>
      <c r="M2366" s="57" t="s">
        <v>336</v>
      </c>
      <c r="N2366" s="57" t="s">
        <v>381</v>
      </c>
      <c r="O2366" s="57" t="s">
        <v>729</v>
      </c>
      <c r="P2366" s="57" t="s">
        <v>2995</v>
      </c>
      <c r="Q2366" s="57" t="s">
        <v>698</v>
      </c>
    </row>
    <row r="2367" s="50" customFormat="true" ht="14.25" hidden="false" customHeight="true" outlineLevel="0" collapsed="false">
      <c r="A2367" s="50" t="s">
        <v>727</v>
      </c>
      <c r="B2367" s="57" t="s">
        <v>727</v>
      </c>
      <c r="C2367" s="57" t="s">
        <v>415</v>
      </c>
      <c r="D2367" s="58" t="n">
        <v>46078.4941319445</v>
      </c>
      <c r="E2367" s="58" t="n">
        <v>46078.4941319445</v>
      </c>
      <c r="F2367" s="58" t="n">
        <v>46078.4946412037</v>
      </c>
      <c r="G2367" s="59" t="n">
        <f aca="false">F2367-E2367</f>
        <v>0.000509259201388889</v>
      </c>
      <c r="H2367" s="57" t="s">
        <v>252</v>
      </c>
      <c r="I2367" s="57"/>
      <c r="J2367" s="57" t="s">
        <v>333</v>
      </c>
      <c r="K2367" s="57" t="s">
        <v>334</v>
      </c>
      <c r="L2367" s="60" t="s">
        <v>2996</v>
      </c>
      <c r="M2367" s="57" t="s">
        <v>336</v>
      </c>
      <c r="N2367" s="57" t="s">
        <v>381</v>
      </c>
      <c r="O2367" s="57" t="s">
        <v>729</v>
      </c>
      <c r="P2367" s="57" t="s">
        <v>2997</v>
      </c>
      <c r="Q2367" s="57" t="s">
        <v>698</v>
      </c>
    </row>
    <row r="2368" s="50" customFormat="true" ht="14.25" hidden="false" customHeight="true" outlineLevel="0" collapsed="false">
      <c r="A2368" s="50" t="s">
        <v>727</v>
      </c>
      <c r="B2368" s="57" t="s">
        <v>727</v>
      </c>
      <c r="C2368" s="57" t="s">
        <v>415</v>
      </c>
      <c r="D2368" s="58" t="n">
        <v>46078.4860069445</v>
      </c>
      <c r="E2368" s="58" t="n">
        <v>46078.4860069445</v>
      </c>
      <c r="F2368" s="58" t="n">
        <v>46078.4865046296</v>
      </c>
      <c r="G2368" s="59" t="n">
        <f aca="false">F2368-E2368</f>
        <v>0.000497685104166667</v>
      </c>
      <c r="H2368" s="57" t="s">
        <v>252</v>
      </c>
      <c r="I2368" s="57"/>
      <c r="J2368" s="57" t="s">
        <v>333</v>
      </c>
      <c r="K2368" s="57" t="s">
        <v>334</v>
      </c>
      <c r="L2368" s="60" t="s">
        <v>2998</v>
      </c>
      <c r="M2368" s="57" t="s">
        <v>336</v>
      </c>
      <c r="N2368" s="57" t="s">
        <v>381</v>
      </c>
      <c r="O2368" s="57" t="s">
        <v>729</v>
      </c>
      <c r="P2368" s="57" t="s">
        <v>2999</v>
      </c>
      <c r="Q2368" s="57" t="s">
        <v>698</v>
      </c>
    </row>
    <row r="2369" s="50" customFormat="true" ht="14.25" hidden="false" customHeight="true" outlineLevel="0" collapsed="false">
      <c r="A2369" s="50" t="s">
        <v>727</v>
      </c>
      <c r="B2369" s="57" t="s">
        <v>727</v>
      </c>
      <c r="C2369" s="57" t="s">
        <v>415</v>
      </c>
      <c r="D2369" s="58" t="n">
        <v>46078.4751041667</v>
      </c>
      <c r="E2369" s="58" t="n">
        <v>46078.4751041667</v>
      </c>
      <c r="F2369" s="58" t="n">
        <v>46078.4756134259</v>
      </c>
      <c r="G2369" s="59" t="n">
        <f aca="false">F2369-E2369</f>
        <v>0.000509259201388889</v>
      </c>
      <c r="H2369" s="57" t="s">
        <v>252</v>
      </c>
      <c r="I2369" s="57"/>
      <c r="J2369" s="57" t="s">
        <v>333</v>
      </c>
      <c r="K2369" s="57" t="s">
        <v>334</v>
      </c>
      <c r="L2369" s="60" t="s">
        <v>3000</v>
      </c>
      <c r="M2369" s="57" t="s">
        <v>336</v>
      </c>
      <c r="N2369" s="57" t="s">
        <v>381</v>
      </c>
      <c r="O2369" s="57" t="s">
        <v>729</v>
      </c>
      <c r="P2369" s="57" t="s">
        <v>3001</v>
      </c>
      <c r="Q2369" s="57" t="s">
        <v>698</v>
      </c>
    </row>
    <row r="2370" s="50" customFormat="true" ht="14.25" hidden="false" customHeight="true" outlineLevel="0" collapsed="false">
      <c r="A2370" s="50" t="s">
        <v>727</v>
      </c>
      <c r="B2370" s="57" t="s">
        <v>727</v>
      </c>
      <c r="C2370" s="57" t="s">
        <v>415</v>
      </c>
      <c r="D2370" s="58" t="n">
        <v>46078.4687962963</v>
      </c>
      <c r="E2370" s="58" t="n">
        <v>46078.4687962963</v>
      </c>
      <c r="F2370" s="58" t="n">
        <v>46078.4693171296</v>
      </c>
      <c r="G2370" s="59" t="n">
        <f aca="false">F2370-E2370</f>
        <v>0.000520833298611111</v>
      </c>
      <c r="H2370" s="57" t="s">
        <v>252</v>
      </c>
      <c r="I2370" s="57"/>
      <c r="J2370" s="57" t="s">
        <v>333</v>
      </c>
      <c r="K2370" s="57" t="s">
        <v>334</v>
      </c>
      <c r="L2370" s="60" t="s">
        <v>3002</v>
      </c>
      <c r="M2370" s="57" t="s">
        <v>336</v>
      </c>
      <c r="N2370" s="57" t="s">
        <v>381</v>
      </c>
      <c r="O2370" s="57" t="s">
        <v>729</v>
      </c>
      <c r="P2370" s="57" t="s">
        <v>3003</v>
      </c>
      <c r="Q2370" s="57" t="s">
        <v>698</v>
      </c>
    </row>
    <row r="2371" s="50" customFormat="true" ht="14.25" hidden="false" customHeight="true" outlineLevel="0" collapsed="false">
      <c r="A2371" s="50" t="s">
        <v>727</v>
      </c>
      <c r="B2371" s="57" t="s">
        <v>727</v>
      </c>
      <c r="C2371" s="57" t="s">
        <v>415</v>
      </c>
      <c r="D2371" s="58" t="n">
        <v>46078.4506365741</v>
      </c>
      <c r="E2371" s="58" t="n">
        <v>46078.4506365741</v>
      </c>
      <c r="F2371" s="58" t="n">
        <v>46078.4513194444</v>
      </c>
      <c r="G2371" s="59" t="n">
        <f aca="false">F2371-E2371</f>
        <v>0.000682870300925926</v>
      </c>
      <c r="H2371" s="57" t="s">
        <v>252</v>
      </c>
      <c r="I2371" s="57"/>
      <c r="J2371" s="57" t="s">
        <v>333</v>
      </c>
      <c r="K2371" s="57" t="s">
        <v>334</v>
      </c>
      <c r="L2371" s="60" t="s">
        <v>3004</v>
      </c>
      <c r="M2371" s="57" t="s">
        <v>336</v>
      </c>
      <c r="N2371" s="57" t="s">
        <v>381</v>
      </c>
      <c r="O2371" s="57" t="s">
        <v>729</v>
      </c>
      <c r="P2371" s="57" t="s">
        <v>3005</v>
      </c>
      <c r="Q2371" s="57" t="s">
        <v>698</v>
      </c>
    </row>
    <row r="2372" s="50" customFormat="true" ht="14.25" hidden="false" customHeight="true" outlineLevel="0" collapsed="false">
      <c r="A2372" s="50" t="s">
        <v>727</v>
      </c>
      <c r="B2372" s="57" t="s">
        <v>727</v>
      </c>
      <c r="C2372" s="57" t="s">
        <v>415</v>
      </c>
      <c r="D2372" s="58" t="n">
        <v>46078.4431712963</v>
      </c>
      <c r="E2372" s="58" t="n">
        <v>46078.4431712963</v>
      </c>
      <c r="F2372" s="58" t="n">
        <v>46078.4436921296</v>
      </c>
      <c r="G2372" s="59" t="n">
        <f aca="false">F2372-E2372</f>
        <v>0.000520833298611111</v>
      </c>
      <c r="H2372" s="57" t="s">
        <v>252</v>
      </c>
      <c r="I2372" s="57"/>
      <c r="J2372" s="57" t="s">
        <v>333</v>
      </c>
      <c r="K2372" s="57" t="s">
        <v>334</v>
      </c>
      <c r="L2372" s="60" t="s">
        <v>3006</v>
      </c>
      <c r="M2372" s="57" t="s">
        <v>336</v>
      </c>
      <c r="N2372" s="57" t="s">
        <v>381</v>
      </c>
      <c r="O2372" s="57" t="s">
        <v>729</v>
      </c>
      <c r="P2372" s="57" t="s">
        <v>3007</v>
      </c>
      <c r="Q2372" s="57" t="s">
        <v>698</v>
      </c>
    </row>
    <row r="2373" s="50" customFormat="true" ht="14.25" hidden="false" customHeight="true" outlineLevel="0" collapsed="false">
      <c r="A2373" s="50" t="s">
        <v>727</v>
      </c>
      <c r="B2373" s="57" t="s">
        <v>727</v>
      </c>
      <c r="C2373" s="57" t="s">
        <v>415</v>
      </c>
      <c r="D2373" s="58" t="n">
        <v>46078.432025463</v>
      </c>
      <c r="E2373" s="58" t="n">
        <v>46078.432025463</v>
      </c>
      <c r="F2373" s="58" t="n">
        <v>46078.4325347222</v>
      </c>
      <c r="G2373" s="59" t="n">
        <f aca="false">F2373-E2373</f>
        <v>0.000509259201388889</v>
      </c>
      <c r="H2373" s="57" t="s">
        <v>252</v>
      </c>
      <c r="I2373" s="57"/>
      <c r="J2373" s="57" t="s">
        <v>333</v>
      </c>
      <c r="K2373" s="57" t="s">
        <v>334</v>
      </c>
      <c r="L2373" s="60" t="s">
        <v>3008</v>
      </c>
      <c r="M2373" s="57" t="s">
        <v>336</v>
      </c>
      <c r="N2373" s="57" t="s">
        <v>381</v>
      </c>
      <c r="O2373" s="57" t="s">
        <v>729</v>
      </c>
      <c r="P2373" s="57" t="s">
        <v>3009</v>
      </c>
      <c r="Q2373" s="57" t="s">
        <v>698</v>
      </c>
    </row>
    <row r="2374" s="50" customFormat="true" ht="14.25" hidden="false" customHeight="true" outlineLevel="0" collapsed="false">
      <c r="A2374" s="50" t="s">
        <v>727</v>
      </c>
      <c r="B2374" s="57" t="s">
        <v>727</v>
      </c>
      <c r="C2374" s="57" t="s">
        <v>415</v>
      </c>
      <c r="D2374" s="58" t="n">
        <v>46078.4162731482</v>
      </c>
      <c r="E2374" s="58" t="n">
        <v>46078.4162731482</v>
      </c>
      <c r="F2374" s="58" t="n">
        <v>46078.4167708333</v>
      </c>
      <c r="G2374" s="59" t="n">
        <f aca="false">F2374-E2374</f>
        <v>0.000497685092592593</v>
      </c>
      <c r="H2374" s="57" t="s">
        <v>252</v>
      </c>
      <c r="I2374" s="57"/>
      <c r="J2374" s="57" t="s">
        <v>333</v>
      </c>
      <c r="K2374" s="57" t="s">
        <v>334</v>
      </c>
      <c r="L2374" s="60" t="s">
        <v>3010</v>
      </c>
      <c r="M2374" s="57" t="s">
        <v>336</v>
      </c>
      <c r="N2374" s="57" t="s">
        <v>381</v>
      </c>
      <c r="O2374" s="57" t="s">
        <v>729</v>
      </c>
      <c r="P2374" s="57" t="s">
        <v>3011</v>
      </c>
      <c r="Q2374" s="57" t="s">
        <v>698</v>
      </c>
    </row>
    <row r="2375" s="50" customFormat="true" ht="14.25" hidden="false" customHeight="true" outlineLevel="0" collapsed="false">
      <c r="A2375" s="50" t="s">
        <v>727</v>
      </c>
      <c r="B2375" s="57" t="s">
        <v>727</v>
      </c>
      <c r="C2375" s="57" t="s">
        <v>415</v>
      </c>
      <c r="D2375" s="58" t="n">
        <v>46078.407037037</v>
      </c>
      <c r="E2375" s="58" t="n">
        <v>46078.407037037</v>
      </c>
      <c r="F2375" s="58" t="n">
        <v>46078.4075347222</v>
      </c>
      <c r="G2375" s="59" t="n">
        <f aca="false">F2375-E2375</f>
        <v>0.000497685196759259</v>
      </c>
      <c r="H2375" s="57" t="s">
        <v>252</v>
      </c>
      <c r="I2375" s="57"/>
      <c r="J2375" s="57" t="s">
        <v>333</v>
      </c>
      <c r="K2375" s="57" t="s">
        <v>334</v>
      </c>
      <c r="L2375" s="60" t="s">
        <v>3012</v>
      </c>
      <c r="M2375" s="57" t="s">
        <v>336</v>
      </c>
      <c r="N2375" s="57" t="s">
        <v>381</v>
      </c>
      <c r="O2375" s="57" t="s">
        <v>729</v>
      </c>
      <c r="P2375" s="57" t="s">
        <v>3013</v>
      </c>
      <c r="Q2375" s="57" t="s">
        <v>698</v>
      </c>
    </row>
    <row r="2376" s="50" customFormat="true" ht="14.25" hidden="false" customHeight="true" outlineLevel="0" collapsed="false">
      <c r="A2376" s="50" t="s">
        <v>727</v>
      </c>
      <c r="B2376" s="57" t="s">
        <v>727</v>
      </c>
      <c r="C2376" s="57" t="s">
        <v>415</v>
      </c>
      <c r="D2376" s="58" t="n">
        <v>46078.3950462963</v>
      </c>
      <c r="E2376" s="58" t="n">
        <v>46078.3950462963</v>
      </c>
      <c r="F2376" s="58" t="n">
        <v>46078.3955555556</v>
      </c>
      <c r="G2376" s="59" t="n">
        <f aca="false">F2376-E2376</f>
        <v>0.000509259305555556</v>
      </c>
      <c r="H2376" s="57" t="s">
        <v>252</v>
      </c>
      <c r="I2376" s="57"/>
      <c r="J2376" s="57" t="s">
        <v>333</v>
      </c>
      <c r="K2376" s="57" t="s">
        <v>334</v>
      </c>
      <c r="L2376" s="60" t="s">
        <v>3014</v>
      </c>
      <c r="M2376" s="57" t="s">
        <v>336</v>
      </c>
      <c r="N2376" s="57" t="s">
        <v>381</v>
      </c>
      <c r="O2376" s="57" t="s">
        <v>729</v>
      </c>
      <c r="P2376" s="57" t="s">
        <v>3015</v>
      </c>
      <c r="Q2376" s="57" t="s">
        <v>698</v>
      </c>
    </row>
    <row r="2377" s="50" customFormat="true" ht="14.25" hidden="false" customHeight="true" outlineLevel="0" collapsed="false">
      <c r="A2377" s="50" t="s">
        <v>727</v>
      </c>
      <c r="B2377" s="57" t="s">
        <v>727</v>
      </c>
      <c r="C2377" s="57" t="s">
        <v>415</v>
      </c>
      <c r="D2377" s="58" t="n">
        <v>46078.3654050926</v>
      </c>
      <c r="E2377" s="58" t="n">
        <v>46078.3654050926</v>
      </c>
      <c r="F2377" s="58" t="n">
        <v>46078.3659375</v>
      </c>
      <c r="G2377" s="59" t="n">
        <f aca="false">F2377-E2377</f>
        <v>0.000532407407407407</v>
      </c>
      <c r="H2377" s="57" t="s">
        <v>252</v>
      </c>
      <c r="I2377" s="57"/>
      <c r="J2377" s="57" t="s">
        <v>333</v>
      </c>
      <c r="K2377" s="57" t="s">
        <v>334</v>
      </c>
      <c r="L2377" s="60" t="s">
        <v>3016</v>
      </c>
      <c r="M2377" s="57" t="s">
        <v>336</v>
      </c>
      <c r="N2377" s="57" t="s">
        <v>381</v>
      </c>
      <c r="O2377" s="57" t="s">
        <v>729</v>
      </c>
      <c r="P2377" s="57" t="s">
        <v>3017</v>
      </c>
      <c r="Q2377" s="57" t="s">
        <v>698</v>
      </c>
    </row>
    <row r="2378" s="50" customFormat="true" ht="14.25" hidden="false" customHeight="true" outlineLevel="0" collapsed="false">
      <c r="A2378" s="50" t="s">
        <v>727</v>
      </c>
      <c r="B2378" s="57" t="s">
        <v>727</v>
      </c>
      <c r="C2378" s="57" t="s">
        <v>415</v>
      </c>
      <c r="D2378" s="58" t="n">
        <v>46078.3112268519</v>
      </c>
      <c r="E2378" s="58" t="n">
        <v>46078.3112268519</v>
      </c>
      <c r="F2378" s="58" t="n">
        <v>46078.3118865741</v>
      </c>
      <c r="G2378" s="59" t="n">
        <f aca="false">F2378-E2378</f>
        <v>0.000659722199074074</v>
      </c>
      <c r="H2378" s="57" t="s">
        <v>252</v>
      </c>
      <c r="I2378" s="57"/>
      <c r="J2378" s="57" t="s">
        <v>333</v>
      </c>
      <c r="K2378" s="57" t="s">
        <v>334</v>
      </c>
      <c r="L2378" s="60" t="s">
        <v>3018</v>
      </c>
      <c r="M2378" s="57" t="s">
        <v>336</v>
      </c>
      <c r="N2378" s="57" t="s">
        <v>381</v>
      </c>
      <c r="O2378" s="57" t="s">
        <v>729</v>
      </c>
      <c r="P2378" s="57" t="s">
        <v>3019</v>
      </c>
      <c r="Q2378" s="57" t="s">
        <v>698</v>
      </c>
    </row>
    <row r="2379" s="50" customFormat="true" ht="14.25" hidden="false" customHeight="true" outlineLevel="0" collapsed="false">
      <c r="A2379" s="50" t="s">
        <v>727</v>
      </c>
      <c r="B2379" s="57" t="s">
        <v>727</v>
      </c>
      <c r="C2379" s="57" t="s">
        <v>415</v>
      </c>
      <c r="D2379" s="58" t="n">
        <v>46078.3067939815</v>
      </c>
      <c r="E2379" s="58" t="n">
        <v>46078.3067939815</v>
      </c>
      <c r="F2379" s="58" t="n">
        <v>46078.3074537037</v>
      </c>
      <c r="G2379" s="59" t="n">
        <f aca="false">F2379-E2379</f>
        <v>0.000659722199074074</v>
      </c>
      <c r="H2379" s="57" t="s">
        <v>252</v>
      </c>
      <c r="I2379" s="57"/>
      <c r="J2379" s="57" t="s">
        <v>333</v>
      </c>
      <c r="K2379" s="57" t="s">
        <v>334</v>
      </c>
      <c r="L2379" s="60" t="s">
        <v>3020</v>
      </c>
      <c r="M2379" s="57" t="s">
        <v>336</v>
      </c>
      <c r="N2379" s="57" t="s">
        <v>381</v>
      </c>
      <c r="O2379" s="57" t="s">
        <v>729</v>
      </c>
      <c r="P2379" s="57" t="s">
        <v>3021</v>
      </c>
      <c r="Q2379" s="57" t="s">
        <v>698</v>
      </c>
    </row>
    <row r="2380" s="50" customFormat="true" ht="14.25" hidden="false" customHeight="true" outlineLevel="0" collapsed="false">
      <c r="A2380" s="50" t="s">
        <v>727</v>
      </c>
      <c r="B2380" s="57" t="s">
        <v>727</v>
      </c>
      <c r="C2380" s="57" t="s">
        <v>415</v>
      </c>
      <c r="D2380" s="58" t="n">
        <v>46078.2955439815</v>
      </c>
      <c r="E2380" s="58" t="n">
        <v>46078.2955439815</v>
      </c>
      <c r="F2380" s="58" t="n">
        <v>46078.2961689815</v>
      </c>
      <c r="G2380" s="59" t="n">
        <f aca="false">F2380-E2380</f>
        <v>0.000625</v>
      </c>
      <c r="H2380" s="57" t="s">
        <v>252</v>
      </c>
      <c r="I2380" s="57"/>
      <c r="J2380" s="57" t="s">
        <v>333</v>
      </c>
      <c r="K2380" s="57" t="s">
        <v>334</v>
      </c>
      <c r="L2380" s="60" t="s">
        <v>3022</v>
      </c>
      <c r="M2380" s="57" t="s">
        <v>336</v>
      </c>
      <c r="N2380" s="57" t="s">
        <v>381</v>
      </c>
      <c r="O2380" s="57" t="s">
        <v>729</v>
      </c>
      <c r="P2380" s="57" t="s">
        <v>3023</v>
      </c>
      <c r="Q2380" s="57" t="s">
        <v>698</v>
      </c>
    </row>
    <row r="2381" s="50" customFormat="true" ht="14.25" hidden="false" customHeight="true" outlineLevel="0" collapsed="false">
      <c r="A2381" s="50" t="s">
        <v>727</v>
      </c>
      <c r="B2381" s="57" t="s">
        <v>727</v>
      </c>
      <c r="C2381" s="57" t="s">
        <v>415</v>
      </c>
      <c r="D2381" s="58" t="n">
        <v>46078.2940509259</v>
      </c>
      <c r="E2381" s="58" t="n">
        <v>46078.2940509259</v>
      </c>
      <c r="F2381" s="58" t="n">
        <v>46078.2948842593</v>
      </c>
      <c r="G2381" s="59" t="n">
        <f aca="false">F2381-E2381</f>
        <v>0.000833333402777778</v>
      </c>
      <c r="H2381" s="57" t="s">
        <v>252</v>
      </c>
      <c r="I2381" s="57"/>
      <c r="J2381" s="57" t="s">
        <v>333</v>
      </c>
      <c r="K2381" s="57" t="s">
        <v>334</v>
      </c>
      <c r="L2381" s="60" t="s">
        <v>3024</v>
      </c>
      <c r="M2381" s="57" t="s">
        <v>336</v>
      </c>
      <c r="N2381" s="57" t="s">
        <v>381</v>
      </c>
      <c r="O2381" s="57" t="s">
        <v>729</v>
      </c>
      <c r="P2381" s="57" t="s">
        <v>3025</v>
      </c>
      <c r="Q2381" s="57" t="s">
        <v>698</v>
      </c>
    </row>
    <row r="2382" s="50" customFormat="true" ht="14.25" hidden="false" customHeight="true" outlineLevel="0" collapsed="false">
      <c r="A2382" s="50" t="s">
        <v>727</v>
      </c>
      <c r="B2382" s="57" t="s">
        <v>727</v>
      </c>
      <c r="C2382" s="57" t="s">
        <v>415</v>
      </c>
      <c r="D2382" s="58" t="n">
        <v>46078.2932060185</v>
      </c>
      <c r="E2382" s="58" t="n">
        <v>46078.2932060185</v>
      </c>
      <c r="F2382" s="58" t="n">
        <v>46078.2938888889</v>
      </c>
      <c r="G2382" s="59" t="n">
        <f aca="false">F2382-E2382</f>
        <v>0.000682870393518519</v>
      </c>
      <c r="H2382" s="57" t="s">
        <v>252</v>
      </c>
      <c r="I2382" s="57"/>
      <c r="J2382" s="57" t="s">
        <v>333</v>
      </c>
      <c r="K2382" s="57" t="s">
        <v>334</v>
      </c>
      <c r="L2382" s="60" t="s">
        <v>3026</v>
      </c>
      <c r="M2382" s="57" t="s">
        <v>336</v>
      </c>
      <c r="N2382" s="57" t="s">
        <v>381</v>
      </c>
      <c r="O2382" s="57" t="s">
        <v>729</v>
      </c>
      <c r="P2382" s="57" t="s">
        <v>3027</v>
      </c>
      <c r="Q2382" s="57" t="s">
        <v>698</v>
      </c>
    </row>
    <row r="2383" s="50" customFormat="true" ht="14.25" hidden="false" customHeight="true" outlineLevel="0" collapsed="false">
      <c r="A2383" s="50" t="s">
        <v>727</v>
      </c>
      <c r="B2383" s="57" t="s">
        <v>727</v>
      </c>
      <c r="C2383" s="57" t="s">
        <v>415</v>
      </c>
      <c r="D2383" s="58" t="n">
        <v>46078.2489467593</v>
      </c>
      <c r="E2383" s="58" t="n">
        <v>46078.2489467593</v>
      </c>
      <c r="F2383" s="58" t="n">
        <v>46078.2931597222</v>
      </c>
      <c r="G2383" s="59" t="n">
        <f aca="false">F2383-E2383</f>
        <v>0.0442129629050926</v>
      </c>
      <c r="H2383" s="57" t="s">
        <v>252</v>
      </c>
      <c r="I2383" s="57"/>
      <c r="J2383" s="57" t="s">
        <v>333</v>
      </c>
      <c r="K2383" s="57" t="s">
        <v>334</v>
      </c>
      <c r="L2383" s="60" t="s">
        <v>3028</v>
      </c>
      <c r="M2383" s="57" t="s">
        <v>336</v>
      </c>
      <c r="N2383" s="57" t="s">
        <v>381</v>
      </c>
      <c r="O2383" s="57" t="s">
        <v>729</v>
      </c>
      <c r="P2383" s="57" t="s">
        <v>3029</v>
      </c>
      <c r="Q2383" s="57" t="s">
        <v>698</v>
      </c>
    </row>
    <row r="2384" s="50" customFormat="true" ht="14.25" hidden="false" customHeight="true" outlineLevel="0" collapsed="false">
      <c r="A2384" s="50" t="s">
        <v>727</v>
      </c>
      <c r="B2384" s="57" t="s">
        <v>727</v>
      </c>
      <c r="C2384" s="57" t="s">
        <v>415</v>
      </c>
      <c r="D2384" s="58" t="n">
        <v>46077.7565162037</v>
      </c>
      <c r="E2384" s="58" t="n">
        <v>46077.7565162037</v>
      </c>
      <c r="F2384" s="58" t="n">
        <v>46077.7810069444</v>
      </c>
      <c r="G2384" s="59" t="n">
        <f aca="false">F2384-E2384</f>
        <v>0.0244907407060185</v>
      </c>
      <c r="H2384" s="57" t="s">
        <v>252</v>
      </c>
      <c r="I2384" s="57"/>
      <c r="J2384" s="57" t="s">
        <v>333</v>
      </c>
      <c r="K2384" s="57" t="s">
        <v>334</v>
      </c>
      <c r="L2384" s="60" t="s">
        <v>3030</v>
      </c>
      <c r="M2384" s="57" t="s">
        <v>336</v>
      </c>
      <c r="N2384" s="57" t="s">
        <v>381</v>
      </c>
      <c r="O2384" s="57" t="s">
        <v>729</v>
      </c>
      <c r="P2384" s="57" t="s">
        <v>3031</v>
      </c>
      <c r="Q2384" s="57" t="s">
        <v>698</v>
      </c>
    </row>
    <row r="2385" s="50" customFormat="true" ht="14.25" hidden="false" customHeight="true" outlineLevel="0" collapsed="false">
      <c r="A2385" s="50" t="s">
        <v>727</v>
      </c>
      <c r="B2385" s="57" t="s">
        <v>727</v>
      </c>
      <c r="C2385" s="57" t="s">
        <v>415</v>
      </c>
      <c r="D2385" s="58" t="n">
        <v>46077.7558333333</v>
      </c>
      <c r="E2385" s="58" t="n">
        <v>46077.7558333333</v>
      </c>
      <c r="F2385" s="58" t="n">
        <v>46077.7563310185</v>
      </c>
      <c r="G2385" s="59" t="n">
        <f aca="false">F2385-E2385</f>
        <v>0.000497685196759259</v>
      </c>
      <c r="H2385" s="57" t="s">
        <v>252</v>
      </c>
      <c r="I2385" s="57"/>
      <c r="J2385" s="57" t="s">
        <v>333</v>
      </c>
      <c r="K2385" s="57" t="s">
        <v>334</v>
      </c>
      <c r="L2385" s="60" t="s">
        <v>3032</v>
      </c>
      <c r="M2385" s="57" t="s">
        <v>336</v>
      </c>
      <c r="N2385" s="57" t="s">
        <v>381</v>
      </c>
      <c r="O2385" s="57" t="s">
        <v>729</v>
      </c>
      <c r="P2385" s="57" t="s">
        <v>3033</v>
      </c>
      <c r="Q2385" s="57" t="s">
        <v>698</v>
      </c>
    </row>
    <row r="2386" s="50" customFormat="true" ht="14.25" hidden="false" customHeight="true" outlineLevel="0" collapsed="false">
      <c r="A2386" s="50" t="s">
        <v>727</v>
      </c>
      <c r="B2386" s="57" t="s">
        <v>727</v>
      </c>
      <c r="C2386" s="57" t="s">
        <v>415</v>
      </c>
      <c r="D2386" s="58" t="n">
        <v>46077.7551273148</v>
      </c>
      <c r="E2386" s="58" t="n">
        <v>46077.7551273148</v>
      </c>
      <c r="F2386" s="58" t="n">
        <v>46077.7556597222</v>
      </c>
      <c r="G2386" s="59" t="n">
        <f aca="false">F2386-E2386</f>
        <v>0.000532407407407407</v>
      </c>
      <c r="H2386" s="57" t="s">
        <v>252</v>
      </c>
      <c r="I2386" s="57"/>
      <c r="J2386" s="57" t="s">
        <v>333</v>
      </c>
      <c r="K2386" s="57" t="s">
        <v>334</v>
      </c>
      <c r="L2386" s="60" t="s">
        <v>3034</v>
      </c>
      <c r="M2386" s="57" t="s">
        <v>336</v>
      </c>
      <c r="N2386" s="57" t="s">
        <v>381</v>
      </c>
      <c r="O2386" s="57" t="s">
        <v>729</v>
      </c>
      <c r="P2386" s="57" t="s">
        <v>3035</v>
      </c>
      <c r="Q2386" s="57" t="s">
        <v>698</v>
      </c>
    </row>
    <row r="2387" s="50" customFormat="true" ht="14.25" hidden="false" customHeight="true" outlineLevel="0" collapsed="false">
      <c r="A2387" s="50" t="s">
        <v>727</v>
      </c>
      <c r="B2387" s="57" t="s">
        <v>727</v>
      </c>
      <c r="C2387" s="57" t="s">
        <v>415</v>
      </c>
      <c r="D2387" s="58" t="n">
        <v>46077.7544328704</v>
      </c>
      <c r="E2387" s="58" t="n">
        <v>46077.7544328704</v>
      </c>
      <c r="F2387" s="58" t="n">
        <v>46077.7549421296</v>
      </c>
      <c r="G2387" s="59" t="n">
        <f aca="false">F2387-E2387</f>
        <v>0.000509259201388889</v>
      </c>
      <c r="H2387" s="57" t="s">
        <v>252</v>
      </c>
      <c r="I2387" s="57"/>
      <c r="J2387" s="57" t="s">
        <v>333</v>
      </c>
      <c r="K2387" s="57" t="s">
        <v>334</v>
      </c>
      <c r="L2387" s="60" t="s">
        <v>3036</v>
      </c>
      <c r="M2387" s="57" t="s">
        <v>336</v>
      </c>
      <c r="N2387" s="57" t="s">
        <v>381</v>
      </c>
      <c r="O2387" s="57" t="s">
        <v>729</v>
      </c>
      <c r="P2387" s="57" t="s">
        <v>3037</v>
      </c>
      <c r="Q2387" s="57" t="s">
        <v>698</v>
      </c>
    </row>
    <row r="2388" s="50" customFormat="true" ht="14.25" hidden="false" customHeight="true" outlineLevel="0" collapsed="false">
      <c r="A2388" s="50" t="s">
        <v>727</v>
      </c>
      <c r="B2388" s="57" t="s">
        <v>727</v>
      </c>
      <c r="C2388" s="57" t="s">
        <v>415</v>
      </c>
      <c r="D2388" s="58" t="n">
        <v>46077.7536805556</v>
      </c>
      <c r="E2388" s="58" t="n">
        <v>46077.7536805556</v>
      </c>
      <c r="F2388" s="58" t="n">
        <v>46077.7542013889</v>
      </c>
      <c r="G2388" s="59" t="n">
        <f aca="false">F2388-E2388</f>
        <v>0.000520833298611111</v>
      </c>
      <c r="H2388" s="57" t="s">
        <v>252</v>
      </c>
      <c r="I2388" s="57"/>
      <c r="J2388" s="57" t="s">
        <v>333</v>
      </c>
      <c r="K2388" s="57" t="s">
        <v>334</v>
      </c>
      <c r="L2388" s="60" t="s">
        <v>3038</v>
      </c>
      <c r="M2388" s="57" t="s">
        <v>336</v>
      </c>
      <c r="N2388" s="57" t="s">
        <v>381</v>
      </c>
      <c r="O2388" s="57" t="s">
        <v>729</v>
      </c>
      <c r="P2388" s="57" t="s">
        <v>3039</v>
      </c>
      <c r="Q2388" s="57" t="s">
        <v>698</v>
      </c>
    </row>
    <row r="2389" s="50" customFormat="true" ht="14.25" hidden="false" customHeight="true" outlineLevel="0" collapsed="false">
      <c r="A2389" s="50" t="s">
        <v>727</v>
      </c>
      <c r="B2389" s="57" t="s">
        <v>727</v>
      </c>
      <c r="C2389" s="57" t="s">
        <v>415</v>
      </c>
      <c r="D2389" s="58" t="n">
        <v>46077.7515625</v>
      </c>
      <c r="E2389" s="58" t="n">
        <v>46077.7515625</v>
      </c>
      <c r="F2389" s="58" t="n">
        <v>46077.7520833333</v>
      </c>
      <c r="G2389" s="59" t="n">
        <f aca="false">F2389-E2389</f>
        <v>0.000520833298611111</v>
      </c>
      <c r="H2389" s="57" t="s">
        <v>252</v>
      </c>
      <c r="I2389" s="57"/>
      <c r="J2389" s="57" t="s">
        <v>333</v>
      </c>
      <c r="K2389" s="57" t="s">
        <v>334</v>
      </c>
      <c r="L2389" s="60" t="s">
        <v>3040</v>
      </c>
      <c r="M2389" s="57" t="s">
        <v>336</v>
      </c>
      <c r="N2389" s="57" t="s">
        <v>381</v>
      </c>
      <c r="O2389" s="57" t="s">
        <v>729</v>
      </c>
      <c r="P2389" s="57" t="s">
        <v>3041</v>
      </c>
      <c r="Q2389" s="57" t="s">
        <v>698</v>
      </c>
    </row>
    <row r="2390" s="50" customFormat="true" ht="14.25" hidden="false" customHeight="true" outlineLevel="0" collapsed="false">
      <c r="A2390" s="50" t="s">
        <v>727</v>
      </c>
      <c r="B2390" s="57" t="s">
        <v>727</v>
      </c>
      <c r="C2390" s="57" t="s">
        <v>415</v>
      </c>
      <c r="D2390" s="58" t="n">
        <v>46077.731400463</v>
      </c>
      <c r="E2390" s="58" t="n">
        <v>46077.731400463</v>
      </c>
      <c r="F2390" s="58" t="n">
        <v>46077.7319328704</v>
      </c>
      <c r="G2390" s="59" t="n">
        <f aca="false">F2390-E2390</f>
        <v>0.000532407407407407</v>
      </c>
      <c r="H2390" s="57" t="s">
        <v>252</v>
      </c>
      <c r="I2390" s="57"/>
      <c r="J2390" s="57" t="s">
        <v>333</v>
      </c>
      <c r="K2390" s="57" t="s">
        <v>334</v>
      </c>
      <c r="L2390" s="60" t="s">
        <v>3042</v>
      </c>
      <c r="M2390" s="57" t="s">
        <v>336</v>
      </c>
      <c r="N2390" s="57" t="s">
        <v>381</v>
      </c>
      <c r="O2390" s="57" t="s">
        <v>729</v>
      </c>
      <c r="P2390" s="57" t="s">
        <v>3043</v>
      </c>
      <c r="Q2390" s="57" t="s">
        <v>698</v>
      </c>
    </row>
    <row r="2391" s="50" customFormat="true" ht="14.25" hidden="false" customHeight="true" outlineLevel="0" collapsed="false">
      <c r="A2391" s="50" t="s">
        <v>727</v>
      </c>
      <c r="B2391" s="57" t="s">
        <v>727</v>
      </c>
      <c r="C2391" s="57" t="s">
        <v>415</v>
      </c>
      <c r="D2391" s="58" t="n">
        <v>46077.7135416667</v>
      </c>
      <c r="E2391" s="58" t="n">
        <v>46077.7135416667</v>
      </c>
      <c r="F2391" s="58" t="n">
        <v>46077.7140509259</v>
      </c>
      <c r="G2391" s="59" t="n">
        <f aca="false">F2391-E2391</f>
        <v>0.000509259201388889</v>
      </c>
      <c r="H2391" s="57" t="s">
        <v>252</v>
      </c>
      <c r="I2391" s="57"/>
      <c r="J2391" s="57" t="s">
        <v>333</v>
      </c>
      <c r="K2391" s="57" t="s">
        <v>334</v>
      </c>
      <c r="L2391" s="60" t="s">
        <v>3044</v>
      </c>
      <c r="M2391" s="57" t="s">
        <v>336</v>
      </c>
      <c r="N2391" s="57" t="s">
        <v>381</v>
      </c>
      <c r="O2391" s="57" t="s">
        <v>729</v>
      </c>
      <c r="P2391" s="57" t="s">
        <v>3045</v>
      </c>
      <c r="Q2391" s="57" t="s">
        <v>698</v>
      </c>
    </row>
    <row r="2392" s="50" customFormat="true" ht="14.25" hidden="false" customHeight="true" outlineLevel="0" collapsed="false">
      <c r="A2392" s="50" t="s">
        <v>727</v>
      </c>
      <c r="B2392" s="57" t="s">
        <v>727</v>
      </c>
      <c r="C2392" s="57" t="s">
        <v>415</v>
      </c>
      <c r="D2392" s="58" t="n">
        <v>46077.7063194444</v>
      </c>
      <c r="E2392" s="58" t="n">
        <v>46077.7063194444</v>
      </c>
      <c r="F2392" s="58" t="n">
        <v>46077.7071990741</v>
      </c>
      <c r="G2392" s="59" t="n">
        <f aca="false">F2392-E2392</f>
        <v>0.000879629699074074</v>
      </c>
      <c r="H2392" s="57" t="s">
        <v>252</v>
      </c>
      <c r="I2392" s="57"/>
      <c r="J2392" s="57" t="s">
        <v>333</v>
      </c>
      <c r="K2392" s="57" t="s">
        <v>334</v>
      </c>
      <c r="L2392" s="60" t="s">
        <v>3046</v>
      </c>
      <c r="M2392" s="57" t="s">
        <v>336</v>
      </c>
      <c r="N2392" s="57" t="s">
        <v>381</v>
      </c>
      <c r="O2392" s="57" t="s">
        <v>729</v>
      </c>
      <c r="P2392" s="57" t="s">
        <v>3047</v>
      </c>
      <c r="Q2392" s="57" t="s">
        <v>698</v>
      </c>
    </row>
    <row r="2393" s="50" customFormat="true" ht="14.25" hidden="false" customHeight="true" outlineLevel="0" collapsed="false">
      <c r="A2393" s="50" t="s">
        <v>727</v>
      </c>
      <c r="B2393" s="57" t="s">
        <v>727</v>
      </c>
      <c r="C2393" s="57" t="s">
        <v>415</v>
      </c>
      <c r="D2393" s="58" t="n">
        <v>46077.7023842593</v>
      </c>
      <c r="E2393" s="58" t="n">
        <v>46077.7023842593</v>
      </c>
      <c r="F2393" s="58" t="n">
        <v>46077.7029166667</v>
      </c>
      <c r="G2393" s="59" t="n">
        <f aca="false">F2393-E2393</f>
        <v>0.000532407407407407</v>
      </c>
      <c r="H2393" s="57" t="s">
        <v>252</v>
      </c>
      <c r="I2393" s="57"/>
      <c r="J2393" s="57" t="s">
        <v>333</v>
      </c>
      <c r="K2393" s="57" t="s">
        <v>334</v>
      </c>
      <c r="L2393" s="60" t="s">
        <v>3048</v>
      </c>
      <c r="M2393" s="57" t="s">
        <v>336</v>
      </c>
      <c r="N2393" s="57" t="s">
        <v>381</v>
      </c>
      <c r="O2393" s="57" t="s">
        <v>729</v>
      </c>
      <c r="P2393" s="57" t="s">
        <v>3049</v>
      </c>
      <c r="Q2393" s="57" t="s">
        <v>698</v>
      </c>
    </row>
    <row r="2394" s="50" customFormat="true" ht="14.25" hidden="false" customHeight="true" outlineLevel="0" collapsed="false">
      <c r="A2394" s="50" t="s">
        <v>727</v>
      </c>
      <c r="B2394" s="57" t="s">
        <v>727</v>
      </c>
      <c r="C2394" s="57" t="s">
        <v>415</v>
      </c>
      <c r="D2394" s="58" t="n">
        <v>46077.6739236111</v>
      </c>
      <c r="E2394" s="58" t="n">
        <v>46077.6739236111</v>
      </c>
      <c r="F2394" s="58" t="n">
        <v>46077.6744444444</v>
      </c>
      <c r="G2394" s="59" t="n">
        <f aca="false">F2394-E2394</f>
        <v>0.000520833298611111</v>
      </c>
      <c r="H2394" s="57" t="s">
        <v>252</v>
      </c>
      <c r="I2394" s="57"/>
      <c r="J2394" s="57" t="s">
        <v>333</v>
      </c>
      <c r="K2394" s="57" t="s">
        <v>334</v>
      </c>
      <c r="L2394" s="60" t="s">
        <v>3050</v>
      </c>
      <c r="M2394" s="57" t="s">
        <v>336</v>
      </c>
      <c r="N2394" s="57" t="s">
        <v>381</v>
      </c>
      <c r="O2394" s="57" t="s">
        <v>729</v>
      </c>
      <c r="P2394" s="57" t="s">
        <v>3051</v>
      </c>
      <c r="Q2394" s="57" t="s">
        <v>698</v>
      </c>
    </row>
    <row r="2395" s="50" customFormat="true" ht="14.25" hidden="false" customHeight="true" outlineLevel="0" collapsed="false">
      <c r="A2395" s="50" t="s">
        <v>727</v>
      </c>
      <c r="B2395" s="57" t="s">
        <v>727</v>
      </c>
      <c r="C2395" s="57" t="s">
        <v>415</v>
      </c>
      <c r="D2395" s="58" t="n">
        <v>46077.6228240741</v>
      </c>
      <c r="E2395" s="58" t="n">
        <v>46077.6228240741</v>
      </c>
      <c r="F2395" s="58" t="n">
        <v>46077.6233564815</v>
      </c>
      <c r="G2395" s="59" t="n">
        <f aca="false">F2395-E2395</f>
        <v>0.000532407407407407</v>
      </c>
      <c r="H2395" s="57" t="s">
        <v>252</v>
      </c>
      <c r="I2395" s="57"/>
      <c r="J2395" s="57" t="s">
        <v>333</v>
      </c>
      <c r="K2395" s="57" t="s">
        <v>334</v>
      </c>
      <c r="L2395" s="60" t="s">
        <v>3052</v>
      </c>
      <c r="M2395" s="57" t="s">
        <v>336</v>
      </c>
      <c r="N2395" s="57" t="s">
        <v>381</v>
      </c>
      <c r="O2395" s="57" t="s">
        <v>729</v>
      </c>
      <c r="P2395" s="57" t="s">
        <v>3053</v>
      </c>
      <c r="Q2395" s="57" t="s">
        <v>698</v>
      </c>
    </row>
    <row r="2396" s="50" customFormat="true" ht="14.25" hidden="false" customHeight="true" outlineLevel="0" collapsed="false">
      <c r="A2396" s="50" t="s">
        <v>727</v>
      </c>
      <c r="B2396" s="57" t="s">
        <v>727</v>
      </c>
      <c r="C2396" s="57" t="s">
        <v>415</v>
      </c>
      <c r="D2396" s="58" t="n">
        <v>46077.6038773148</v>
      </c>
      <c r="E2396" s="58" t="n">
        <v>46077.6038773148</v>
      </c>
      <c r="F2396" s="58" t="n">
        <v>46077.6043865741</v>
      </c>
      <c r="G2396" s="59" t="n">
        <f aca="false">F2396-E2396</f>
        <v>0.000509259293981482</v>
      </c>
      <c r="H2396" s="57" t="s">
        <v>252</v>
      </c>
      <c r="I2396" s="57"/>
      <c r="J2396" s="57" t="s">
        <v>333</v>
      </c>
      <c r="K2396" s="57" t="s">
        <v>334</v>
      </c>
      <c r="L2396" s="60" t="s">
        <v>3054</v>
      </c>
      <c r="M2396" s="57" t="s">
        <v>336</v>
      </c>
      <c r="N2396" s="57" t="s">
        <v>381</v>
      </c>
      <c r="O2396" s="57" t="s">
        <v>729</v>
      </c>
      <c r="P2396" s="57" t="s">
        <v>3055</v>
      </c>
      <c r="Q2396" s="57" t="s">
        <v>698</v>
      </c>
    </row>
    <row r="2397" s="50" customFormat="true" ht="14.25" hidden="false" customHeight="true" outlineLevel="0" collapsed="false">
      <c r="A2397" s="50" t="s">
        <v>727</v>
      </c>
      <c r="B2397" s="57" t="s">
        <v>727</v>
      </c>
      <c r="C2397" s="57" t="s">
        <v>415</v>
      </c>
      <c r="D2397" s="58" t="n">
        <v>46077.5320023148</v>
      </c>
      <c r="E2397" s="58" t="n">
        <v>46077.5320023148</v>
      </c>
      <c r="F2397" s="58" t="n">
        <v>46077.5325231482</v>
      </c>
      <c r="G2397" s="59" t="n">
        <f aca="false">F2397-E2397</f>
        <v>0.000520833391203704</v>
      </c>
      <c r="H2397" s="57" t="s">
        <v>252</v>
      </c>
      <c r="I2397" s="57"/>
      <c r="J2397" s="57" t="s">
        <v>333</v>
      </c>
      <c r="K2397" s="57" t="s">
        <v>334</v>
      </c>
      <c r="L2397" s="60" t="s">
        <v>3056</v>
      </c>
      <c r="M2397" s="57" t="s">
        <v>336</v>
      </c>
      <c r="N2397" s="57" t="s">
        <v>381</v>
      </c>
      <c r="O2397" s="57" t="s">
        <v>729</v>
      </c>
      <c r="P2397" s="57" t="s">
        <v>3057</v>
      </c>
      <c r="Q2397" s="57" t="s">
        <v>698</v>
      </c>
    </row>
    <row r="2398" s="50" customFormat="true" ht="14.25" hidden="false" customHeight="true" outlineLevel="0" collapsed="false">
      <c r="A2398" s="50" t="s">
        <v>727</v>
      </c>
      <c r="B2398" s="57" t="s">
        <v>727</v>
      </c>
      <c r="C2398" s="57" t="s">
        <v>415</v>
      </c>
      <c r="D2398" s="58" t="n">
        <v>46077.5221180556</v>
      </c>
      <c r="E2398" s="58" t="n">
        <v>46077.5221180556</v>
      </c>
      <c r="F2398" s="58" t="n">
        <v>46077.5226388889</v>
      </c>
      <c r="G2398" s="59" t="n">
        <f aca="false">F2398-E2398</f>
        <v>0.000520833298611111</v>
      </c>
      <c r="H2398" s="57" t="s">
        <v>252</v>
      </c>
      <c r="I2398" s="57"/>
      <c r="J2398" s="57" t="s">
        <v>333</v>
      </c>
      <c r="K2398" s="57" t="s">
        <v>334</v>
      </c>
      <c r="L2398" s="60" t="s">
        <v>3058</v>
      </c>
      <c r="M2398" s="57" t="s">
        <v>336</v>
      </c>
      <c r="N2398" s="57" t="s">
        <v>381</v>
      </c>
      <c r="O2398" s="57" t="s">
        <v>729</v>
      </c>
      <c r="P2398" s="57" t="s">
        <v>3059</v>
      </c>
      <c r="Q2398" s="57" t="s">
        <v>698</v>
      </c>
    </row>
    <row r="2399" s="50" customFormat="true" ht="14.25" hidden="false" customHeight="true" outlineLevel="0" collapsed="false">
      <c r="A2399" s="50" t="s">
        <v>727</v>
      </c>
      <c r="B2399" s="57" t="s">
        <v>727</v>
      </c>
      <c r="C2399" s="57" t="s">
        <v>415</v>
      </c>
      <c r="D2399" s="58" t="n">
        <v>46077.5101273148</v>
      </c>
      <c r="E2399" s="58" t="n">
        <v>46077.5101273148</v>
      </c>
      <c r="F2399" s="58" t="n">
        <v>46077.5106481482</v>
      </c>
      <c r="G2399" s="59" t="n">
        <f aca="false">F2399-E2399</f>
        <v>0.000520833391203704</v>
      </c>
      <c r="H2399" s="57" t="s">
        <v>252</v>
      </c>
      <c r="I2399" s="57"/>
      <c r="J2399" s="57" t="s">
        <v>333</v>
      </c>
      <c r="K2399" s="57" t="s">
        <v>334</v>
      </c>
      <c r="L2399" s="60" t="s">
        <v>3060</v>
      </c>
      <c r="M2399" s="57" t="s">
        <v>336</v>
      </c>
      <c r="N2399" s="57" t="s">
        <v>381</v>
      </c>
      <c r="O2399" s="57" t="s">
        <v>729</v>
      </c>
      <c r="P2399" s="57" t="s">
        <v>3061</v>
      </c>
      <c r="Q2399" s="57" t="s">
        <v>698</v>
      </c>
    </row>
    <row r="2400" s="50" customFormat="true" ht="14.25" hidden="false" customHeight="true" outlineLevel="0" collapsed="false">
      <c r="A2400" s="50" t="s">
        <v>727</v>
      </c>
      <c r="B2400" s="57" t="s">
        <v>727</v>
      </c>
      <c r="C2400" s="57" t="s">
        <v>415</v>
      </c>
      <c r="D2400" s="58" t="n">
        <v>46077.5025231482</v>
      </c>
      <c r="E2400" s="58" t="n">
        <v>46077.5025231482</v>
      </c>
      <c r="F2400" s="58" t="n">
        <v>46077.5030555556</v>
      </c>
      <c r="G2400" s="59" t="n">
        <f aca="false">F2400-E2400</f>
        <v>0.000532407407407407</v>
      </c>
      <c r="H2400" s="57" t="s">
        <v>252</v>
      </c>
      <c r="I2400" s="57"/>
      <c r="J2400" s="57" t="s">
        <v>333</v>
      </c>
      <c r="K2400" s="57" t="s">
        <v>334</v>
      </c>
      <c r="L2400" s="60" t="s">
        <v>3062</v>
      </c>
      <c r="M2400" s="57" t="s">
        <v>336</v>
      </c>
      <c r="N2400" s="57" t="s">
        <v>381</v>
      </c>
      <c r="O2400" s="57" t="s">
        <v>729</v>
      </c>
      <c r="P2400" s="57" t="s">
        <v>3063</v>
      </c>
      <c r="Q2400" s="57" t="s">
        <v>698</v>
      </c>
    </row>
    <row r="2401" s="50" customFormat="true" ht="14.25" hidden="false" customHeight="true" outlineLevel="0" collapsed="false">
      <c r="A2401" s="50" t="s">
        <v>727</v>
      </c>
      <c r="B2401" s="57" t="s">
        <v>727</v>
      </c>
      <c r="C2401" s="57" t="s">
        <v>415</v>
      </c>
      <c r="D2401" s="58" t="n">
        <v>46077.4900115741</v>
      </c>
      <c r="E2401" s="58" t="n">
        <v>46077.4900115741</v>
      </c>
      <c r="F2401" s="58" t="n">
        <v>46077.4905324074</v>
      </c>
      <c r="G2401" s="59" t="n">
        <f aca="false">F2401-E2401</f>
        <v>0.000520833298611111</v>
      </c>
      <c r="H2401" s="57" t="s">
        <v>252</v>
      </c>
      <c r="I2401" s="57"/>
      <c r="J2401" s="57" t="s">
        <v>333</v>
      </c>
      <c r="K2401" s="57" t="s">
        <v>334</v>
      </c>
      <c r="L2401" s="60" t="s">
        <v>3064</v>
      </c>
      <c r="M2401" s="57" t="s">
        <v>336</v>
      </c>
      <c r="N2401" s="57" t="s">
        <v>381</v>
      </c>
      <c r="O2401" s="57" t="s">
        <v>729</v>
      </c>
      <c r="P2401" s="57" t="s">
        <v>3065</v>
      </c>
      <c r="Q2401" s="57" t="s">
        <v>698</v>
      </c>
    </row>
    <row r="2402" s="50" customFormat="true" ht="14.25" hidden="false" customHeight="true" outlineLevel="0" collapsed="false">
      <c r="A2402" s="50" t="s">
        <v>727</v>
      </c>
      <c r="B2402" s="57" t="s">
        <v>727</v>
      </c>
      <c r="C2402" s="57" t="s">
        <v>415</v>
      </c>
      <c r="D2402" s="58" t="n">
        <v>46077.4769328704</v>
      </c>
      <c r="E2402" s="58" t="n">
        <v>46077.4769328704</v>
      </c>
      <c r="F2402" s="58" t="n">
        <v>46077.4774537037</v>
      </c>
      <c r="G2402" s="59" t="n">
        <f aca="false">F2402-E2402</f>
        <v>0.000520833298611111</v>
      </c>
      <c r="H2402" s="57" t="s">
        <v>252</v>
      </c>
      <c r="I2402" s="57"/>
      <c r="J2402" s="57" t="s">
        <v>333</v>
      </c>
      <c r="K2402" s="57" t="s">
        <v>334</v>
      </c>
      <c r="L2402" s="60" t="s">
        <v>3066</v>
      </c>
      <c r="M2402" s="57" t="s">
        <v>336</v>
      </c>
      <c r="N2402" s="57" t="s">
        <v>381</v>
      </c>
      <c r="O2402" s="57" t="s">
        <v>729</v>
      </c>
      <c r="P2402" s="57" t="s">
        <v>3067</v>
      </c>
      <c r="Q2402" s="57" t="s">
        <v>698</v>
      </c>
    </row>
    <row r="2403" s="50" customFormat="true" ht="14.25" hidden="false" customHeight="true" outlineLevel="0" collapsed="false">
      <c r="A2403" s="50" t="s">
        <v>727</v>
      </c>
      <c r="B2403" s="57" t="s">
        <v>727</v>
      </c>
      <c r="C2403" s="57" t="s">
        <v>415</v>
      </c>
      <c r="D2403" s="58" t="n">
        <v>46077.463912037</v>
      </c>
      <c r="E2403" s="58" t="n">
        <v>46077.463912037</v>
      </c>
      <c r="F2403" s="58" t="n">
        <v>46077.4644212963</v>
      </c>
      <c r="G2403" s="59" t="n">
        <f aca="false">F2403-E2403</f>
        <v>0.000509259305555556</v>
      </c>
      <c r="H2403" s="57" t="s">
        <v>252</v>
      </c>
      <c r="I2403" s="57"/>
      <c r="J2403" s="57" t="s">
        <v>333</v>
      </c>
      <c r="K2403" s="57" t="s">
        <v>334</v>
      </c>
      <c r="L2403" s="60" t="s">
        <v>3068</v>
      </c>
      <c r="M2403" s="57" t="s">
        <v>336</v>
      </c>
      <c r="N2403" s="57" t="s">
        <v>381</v>
      </c>
      <c r="O2403" s="57" t="s">
        <v>729</v>
      </c>
      <c r="P2403" s="57" t="s">
        <v>3069</v>
      </c>
      <c r="Q2403" s="57" t="s">
        <v>698</v>
      </c>
    </row>
    <row r="2404" s="50" customFormat="true" ht="14.25" hidden="false" customHeight="true" outlineLevel="0" collapsed="false">
      <c r="A2404" s="50" t="s">
        <v>727</v>
      </c>
      <c r="B2404" s="57" t="s">
        <v>727</v>
      </c>
      <c r="C2404" s="57" t="s">
        <v>415</v>
      </c>
      <c r="D2404" s="58" t="n">
        <v>46077.4545486111</v>
      </c>
      <c r="E2404" s="58" t="n">
        <v>46077.4545486111</v>
      </c>
      <c r="F2404" s="58" t="n">
        <v>46077.4550810185</v>
      </c>
      <c r="G2404" s="59" t="n">
        <f aca="false">F2404-E2404</f>
        <v>0.000532407407407407</v>
      </c>
      <c r="H2404" s="57" t="s">
        <v>252</v>
      </c>
      <c r="I2404" s="57"/>
      <c r="J2404" s="57" t="s">
        <v>333</v>
      </c>
      <c r="K2404" s="57" t="s">
        <v>334</v>
      </c>
      <c r="L2404" s="60" t="s">
        <v>3070</v>
      </c>
      <c r="M2404" s="57" t="s">
        <v>336</v>
      </c>
      <c r="N2404" s="57" t="s">
        <v>381</v>
      </c>
      <c r="O2404" s="57" t="s">
        <v>729</v>
      </c>
      <c r="P2404" s="57" t="s">
        <v>3071</v>
      </c>
      <c r="Q2404" s="57" t="s">
        <v>698</v>
      </c>
    </row>
    <row r="2405" s="50" customFormat="true" ht="14.25" hidden="false" customHeight="true" outlineLevel="0" collapsed="false">
      <c r="A2405" s="50" t="s">
        <v>727</v>
      </c>
      <c r="B2405" s="57" t="s">
        <v>727</v>
      </c>
      <c r="C2405" s="57" t="s">
        <v>415</v>
      </c>
      <c r="D2405" s="58" t="n">
        <v>46077.4348958333</v>
      </c>
      <c r="E2405" s="58" t="n">
        <v>46077.4348958333</v>
      </c>
      <c r="F2405" s="58" t="n">
        <v>46077.4354050926</v>
      </c>
      <c r="G2405" s="59" t="n">
        <f aca="false">F2405-E2405</f>
        <v>0.000509259293981482</v>
      </c>
      <c r="H2405" s="57" t="s">
        <v>252</v>
      </c>
      <c r="I2405" s="57"/>
      <c r="J2405" s="57" t="s">
        <v>333</v>
      </c>
      <c r="K2405" s="57" t="s">
        <v>334</v>
      </c>
      <c r="L2405" s="60" t="s">
        <v>3072</v>
      </c>
      <c r="M2405" s="57" t="s">
        <v>336</v>
      </c>
      <c r="N2405" s="57" t="s">
        <v>381</v>
      </c>
      <c r="O2405" s="57" t="s">
        <v>729</v>
      </c>
      <c r="P2405" s="57" t="s">
        <v>3073</v>
      </c>
      <c r="Q2405" s="57" t="s">
        <v>698</v>
      </c>
    </row>
    <row r="2406" s="50" customFormat="true" ht="14.25" hidden="false" customHeight="true" outlineLevel="0" collapsed="false">
      <c r="A2406" s="50" t="s">
        <v>727</v>
      </c>
      <c r="B2406" s="57" t="s">
        <v>727</v>
      </c>
      <c r="C2406" s="57" t="s">
        <v>415</v>
      </c>
      <c r="D2406" s="58" t="n">
        <v>46077.4296296296</v>
      </c>
      <c r="E2406" s="58" t="n">
        <v>46077.4296296296</v>
      </c>
      <c r="F2406" s="58" t="n">
        <v>46077.4301851852</v>
      </c>
      <c r="G2406" s="59" t="n">
        <f aca="false">F2406-E2406</f>
        <v>0.000555555601851852</v>
      </c>
      <c r="H2406" s="57" t="s">
        <v>252</v>
      </c>
      <c r="I2406" s="57"/>
      <c r="J2406" s="57" t="s">
        <v>333</v>
      </c>
      <c r="K2406" s="57" t="s">
        <v>334</v>
      </c>
      <c r="L2406" s="60" t="s">
        <v>3074</v>
      </c>
      <c r="M2406" s="57" t="s">
        <v>336</v>
      </c>
      <c r="N2406" s="57" t="s">
        <v>381</v>
      </c>
      <c r="O2406" s="57" t="s">
        <v>729</v>
      </c>
      <c r="P2406" s="57" t="s">
        <v>3075</v>
      </c>
      <c r="Q2406" s="57" t="s">
        <v>698</v>
      </c>
    </row>
    <row r="2407" s="50" customFormat="true" ht="14.25" hidden="false" customHeight="true" outlineLevel="0" collapsed="false">
      <c r="A2407" s="50" t="s">
        <v>727</v>
      </c>
      <c r="B2407" s="57" t="s">
        <v>727</v>
      </c>
      <c r="C2407" s="57" t="s">
        <v>415</v>
      </c>
      <c r="D2407" s="58" t="n">
        <v>46077.3818055556</v>
      </c>
      <c r="E2407" s="58" t="n">
        <v>46077.3818055556</v>
      </c>
      <c r="F2407" s="58" t="n">
        <v>46077.382337963</v>
      </c>
      <c r="G2407" s="59" t="n">
        <f aca="false">F2407-E2407</f>
        <v>0.000532407407407407</v>
      </c>
      <c r="H2407" s="57" t="s">
        <v>252</v>
      </c>
      <c r="I2407" s="57"/>
      <c r="J2407" s="57" t="s">
        <v>333</v>
      </c>
      <c r="K2407" s="57" t="s">
        <v>334</v>
      </c>
      <c r="L2407" s="60" t="s">
        <v>3076</v>
      </c>
      <c r="M2407" s="57" t="s">
        <v>336</v>
      </c>
      <c r="N2407" s="57" t="s">
        <v>381</v>
      </c>
      <c r="O2407" s="57" t="s">
        <v>729</v>
      </c>
      <c r="P2407" s="57" t="s">
        <v>3077</v>
      </c>
      <c r="Q2407" s="57" t="s">
        <v>698</v>
      </c>
    </row>
    <row r="2408" s="50" customFormat="true" ht="14.25" hidden="false" customHeight="true" outlineLevel="0" collapsed="false">
      <c r="A2408" s="50" t="s">
        <v>727</v>
      </c>
      <c r="B2408" s="57" t="s">
        <v>727</v>
      </c>
      <c r="C2408" s="57" t="s">
        <v>415</v>
      </c>
      <c r="D2408" s="58" t="n">
        <v>46077.3574305556</v>
      </c>
      <c r="E2408" s="58" t="n">
        <v>46077.3574305556</v>
      </c>
      <c r="F2408" s="58" t="n">
        <v>46077.357974537</v>
      </c>
      <c r="G2408" s="59" t="n">
        <f aca="false">F2408-E2408</f>
        <v>0.000543981400462963</v>
      </c>
      <c r="H2408" s="57" t="s">
        <v>252</v>
      </c>
      <c r="I2408" s="57"/>
      <c r="J2408" s="57" t="s">
        <v>333</v>
      </c>
      <c r="K2408" s="57" t="s">
        <v>334</v>
      </c>
      <c r="L2408" s="60" t="s">
        <v>3078</v>
      </c>
      <c r="M2408" s="57" t="s">
        <v>336</v>
      </c>
      <c r="N2408" s="57" t="s">
        <v>381</v>
      </c>
      <c r="O2408" s="57" t="s">
        <v>729</v>
      </c>
      <c r="P2408" s="57" t="s">
        <v>3079</v>
      </c>
      <c r="Q2408" s="57" t="s">
        <v>698</v>
      </c>
    </row>
    <row r="2409" s="50" customFormat="true" ht="14.25" hidden="false" customHeight="true" outlineLevel="0" collapsed="false">
      <c r="A2409" s="50" t="s">
        <v>727</v>
      </c>
      <c r="B2409" s="57" t="s">
        <v>727</v>
      </c>
      <c r="C2409" s="57" t="s">
        <v>415</v>
      </c>
      <c r="D2409" s="58" t="n">
        <v>46077.2964930556</v>
      </c>
      <c r="E2409" s="58" t="n">
        <v>46077.2964930556</v>
      </c>
      <c r="F2409" s="58" t="n">
        <v>46077.2980324074</v>
      </c>
      <c r="G2409" s="59" t="n">
        <f aca="false">F2409-E2409</f>
        <v>0.00153935180555556</v>
      </c>
      <c r="H2409" s="57" t="s">
        <v>252</v>
      </c>
      <c r="I2409" s="57"/>
      <c r="J2409" s="57" t="s">
        <v>333</v>
      </c>
      <c r="K2409" s="57" t="s">
        <v>334</v>
      </c>
      <c r="L2409" s="60" t="s">
        <v>3080</v>
      </c>
      <c r="M2409" s="57" t="s">
        <v>336</v>
      </c>
      <c r="N2409" s="57" t="s">
        <v>381</v>
      </c>
      <c r="O2409" s="57" t="s">
        <v>729</v>
      </c>
      <c r="P2409" s="57" t="s">
        <v>3081</v>
      </c>
      <c r="Q2409" s="57" t="s">
        <v>698</v>
      </c>
    </row>
    <row r="2410" s="50" customFormat="true" ht="14.25" hidden="false" customHeight="true" outlineLevel="0" collapsed="false">
      <c r="A2410" s="50" t="s">
        <v>727</v>
      </c>
      <c r="B2410" s="57" t="s">
        <v>727</v>
      </c>
      <c r="C2410" s="57" t="s">
        <v>415</v>
      </c>
      <c r="D2410" s="58" t="n">
        <v>46077.2935532407</v>
      </c>
      <c r="E2410" s="58" t="n">
        <v>46077.2935532407</v>
      </c>
      <c r="F2410" s="58" t="n">
        <v>46077.2941782407</v>
      </c>
      <c r="G2410" s="59" t="n">
        <f aca="false">F2410-E2410</f>
        <v>0.000625</v>
      </c>
      <c r="H2410" s="57" t="s">
        <v>252</v>
      </c>
      <c r="I2410" s="57"/>
      <c r="J2410" s="57" t="s">
        <v>333</v>
      </c>
      <c r="K2410" s="57" t="s">
        <v>334</v>
      </c>
      <c r="L2410" s="60" t="s">
        <v>3082</v>
      </c>
      <c r="M2410" s="57" t="s">
        <v>336</v>
      </c>
      <c r="N2410" s="57" t="s">
        <v>381</v>
      </c>
      <c r="O2410" s="57" t="s">
        <v>729</v>
      </c>
      <c r="P2410" s="57" t="s">
        <v>3083</v>
      </c>
      <c r="Q2410" s="57" t="s">
        <v>698</v>
      </c>
    </row>
    <row r="2411" s="50" customFormat="true" ht="14.25" hidden="false" customHeight="true" outlineLevel="0" collapsed="false">
      <c r="A2411" s="50" t="s">
        <v>727</v>
      </c>
      <c r="B2411" s="57" t="s">
        <v>727</v>
      </c>
      <c r="C2411" s="57" t="s">
        <v>415</v>
      </c>
      <c r="D2411" s="58" t="n">
        <v>46077.2927430556</v>
      </c>
      <c r="E2411" s="58" t="n">
        <v>46077.2927430556</v>
      </c>
      <c r="F2411" s="58" t="n">
        <v>46077.2933680556</v>
      </c>
      <c r="G2411" s="59" t="n">
        <f aca="false">F2411-E2411</f>
        <v>0.000625</v>
      </c>
      <c r="H2411" s="57" t="s">
        <v>252</v>
      </c>
      <c r="I2411" s="57"/>
      <c r="J2411" s="57" t="s">
        <v>333</v>
      </c>
      <c r="K2411" s="57" t="s">
        <v>334</v>
      </c>
      <c r="L2411" s="60" t="s">
        <v>3084</v>
      </c>
      <c r="M2411" s="57" t="s">
        <v>336</v>
      </c>
      <c r="N2411" s="57" t="s">
        <v>381</v>
      </c>
      <c r="O2411" s="57" t="s">
        <v>729</v>
      </c>
      <c r="P2411" s="57" t="s">
        <v>3085</v>
      </c>
      <c r="Q2411" s="57" t="s">
        <v>698</v>
      </c>
    </row>
    <row r="2412" s="50" customFormat="true" ht="14.25" hidden="false" customHeight="true" outlineLevel="0" collapsed="false">
      <c r="A2412" s="50" t="s">
        <v>727</v>
      </c>
      <c r="B2412" s="57" t="s">
        <v>727</v>
      </c>
      <c r="C2412" s="57" t="s">
        <v>415</v>
      </c>
      <c r="D2412" s="58" t="n">
        <v>46077.2918865741</v>
      </c>
      <c r="E2412" s="58" t="n">
        <v>46077.2918865741</v>
      </c>
      <c r="F2412" s="58" t="n">
        <v>46077.2925578704</v>
      </c>
      <c r="G2412" s="59" t="n">
        <f aca="false">F2412-E2412</f>
        <v>0.000671296296296296</v>
      </c>
      <c r="H2412" s="57" t="s">
        <v>252</v>
      </c>
      <c r="I2412" s="57"/>
      <c r="J2412" s="57" t="s">
        <v>333</v>
      </c>
      <c r="K2412" s="57" t="s">
        <v>334</v>
      </c>
      <c r="L2412" s="60" t="s">
        <v>3086</v>
      </c>
      <c r="M2412" s="57" t="s">
        <v>336</v>
      </c>
      <c r="N2412" s="57" t="s">
        <v>381</v>
      </c>
      <c r="O2412" s="57" t="s">
        <v>729</v>
      </c>
      <c r="P2412" s="57" t="s">
        <v>3087</v>
      </c>
      <c r="Q2412" s="57" t="s">
        <v>698</v>
      </c>
    </row>
    <row r="2413" s="50" customFormat="true" ht="14.25" hidden="false" customHeight="true" outlineLevel="0" collapsed="false">
      <c r="A2413" s="50" t="s">
        <v>727</v>
      </c>
      <c r="B2413" s="57" t="s">
        <v>727</v>
      </c>
      <c r="C2413" s="57" t="s">
        <v>415</v>
      </c>
      <c r="D2413" s="58" t="n">
        <v>46077.2910532407</v>
      </c>
      <c r="E2413" s="58" t="n">
        <v>46077.2910532407</v>
      </c>
      <c r="F2413" s="58" t="n">
        <v>46077.2916782407</v>
      </c>
      <c r="G2413" s="59" t="n">
        <f aca="false">F2413-E2413</f>
        <v>0.000625</v>
      </c>
      <c r="H2413" s="57" t="s">
        <v>252</v>
      </c>
      <c r="I2413" s="57"/>
      <c r="J2413" s="57" t="s">
        <v>333</v>
      </c>
      <c r="K2413" s="57" t="s">
        <v>334</v>
      </c>
      <c r="L2413" s="60" t="s">
        <v>3088</v>
      </c>
      <c r="M2413" s="57" t="s">
        <v>336</v>
      </c>
      <c r="N2413" s="57" t="s">
        <v>381</v>
      </c>
      <c r="O2413" s="57" t="s">
        <v>729</v>
      </c>
      <c r="P2413" s="57" t="s">
        <v>3089</v>
      </c>
      <c r="Q2413" s="57" t="s">
        <v>698</v>
      </c>
    </row>
    <row r="2414" s="50" customFormat="true" ht="14.25" hidden="false" customHeight="true" outlineLevel="0" collapsed="false">
      <c r="A2414" s="50" t="s">
        <v>727</v>
      </c>
      <c r="B2414" s="57" t="s">
        <v>727</v>
      </c>
      <c r="C2414" s="57" t="s">
        <v>415</v>
      </c>
      <c r="D2414" s="58" t="n">
        <v>46077.2902314815</v>
      </c>
      <c r="E2414" s="58" t="n">
        <v>46077.2902314815</v>
      </c>
      <c r="F2414" s="58" t="n">
        <v>46077.2908680556</v>
      </c>
      <c r="G2414" s="59" t="n">
        <f aca="false">F2414-E2414</f>
        <v>0.000636574097222222</v>
      </c>
      <c r="H2414" s="57" t="s">
        <v>252</v>
      </c>
      <c r="I2414" s="57"/>
      <c r="J2414" s="57" t="s">
        <v>333</v>
      </c>
      <c r="K2414" s="57" t="s">
        <v>334</v>
      </c>
      <c r="L2414" s="60" t="s">
        <v>3090</v>
      </c>
      <c r="M2414" s="57" t="s">
        <v>336</v>
      </c>
      <c r="N2414" s="57" t="s">
        <v>381</v>
      </c>
      <c r="O2414" s="57" t="s">
        <v>729</v>
      </c>
      <c r="P2414" s="57" t="s">
        <v>3091</v>
      </c>
      <c r="Q2414" s="57" t="s">
        <v>698</v>
      </c>
    </row>
    <row r="2415" s="50" customFormat="true" ht="14.25" hidden="false" customHeight="true" outlineLevel="0" collapsed="false">
      <c r="A2415" s="50" t="s">
        <v>727</v>
      </c>
      <c r="B2415" s="57" t="s">
        <v>727</v>
      </c>
      <c r="C2415" s="57" t="s">
        <v>415</v>
      </c>
      <c r="D2415" s="58" t="n">
        <v>46077.286724537</v>
      </c>
      <c r="E2415" s="58" t="n">
        <v>46077.286724537</v>
      </c>
      <c r="F2415" s="58" t="n">
        <v>46077.2873842593</v>
      </c>
      <c r="G2415" s="59" t="n">
        <f aca="false">F2415-E2415</f>
        <v>0.000659722303240741</v>
      </c>
      <c r="H2415" s="57" t="s">
        <v>252</v>
      </c>
      <c r="I2415" s="57"/>
      <c r="J2415" s="57" t="s">
        <v>333</v>
      </c>
      <c r="K2415" s="57" t="s">
        <v>334</v>
      </c>
      <c r="L2415" s="60" t="s">
        <v>3092</v>
      </c>
      <c r="M2415" s="57" t="s">
        <v>336</v>
      </c>
      <c r="N2415" s="57" t="s">
        <v>381</v>
      </c>
      <c r="O2415" s="57" t="s">
        <v>729</v>
      </c>
      <c r="P2415" s="57" t="s">
        <v>3093</v>
      </c>
      <c r="Q2415" s="57" t="s">
        <v>698</v>
      </c>
    </row>
    <row r="2416" s="50" customFormat="true" ht="14.25" hidden="false" customHeight="true" outlineLevel="0" collapsed="false">
      <c r="A2416" s="50" t="s">
        <v>727</v>
      </c>
      <c r="B2416" s="57" t="s">
        <v>727</v>
      </c>
      <c r="C2416" s="57" t="s">
        <v>415</v>
      </c>
      <c r="D2416" s="58" t="n">
        <v>46077.2851157407</v>
      </c>
      <c r="E2416" s="58" t="n">
        <v>46077.2851157407</v>
      </c>
      <c r="F2416" s="58" t="n">
        <v>46077.285775463</v>
      </c>
      <c r="G2416" s="59" t="n">
        <f aca="false">F2416-E2416</f>
        <v>0.000659722303240741</v>
      </c>
      <c r="H2416" s="57" t="s">
        <v>252</v>
      </c>
      <c r="I2416" s="57"/>
      <c r="J2416" s="57" t="s">
        <v>333</v>
      </c>
      <c r="K2416" s="57" t="s">
        <v>334</v>
      </c>
      <c r="L2416" s="60" t="s">
        <v>3094</v>
      </c>
      <c r="M2416" s="57" t="s">
        <v>336</v>
      </c>
      <c r="N2416" s="57" t="s">
        <v>381</v>
      </c>
      <c r="O2416" s="57" t="s">
        <v>729</v>
      </c>
      <c r="P2416" s="57" t="s">
        <v>3095</v>
      </c>
      <c r="Q2416" s="57" t="s">
        <v>698</v>
      </c>
    </row>
    <row r="2417" s="50" customFormat="true" ht="14.25" hidden="false" customHeight="true" outlineLevel="0" collapsed="false">
      <c r="A2417" s="50" t="s">
        <v>727</v>
      </c>
      <c r="B2417" s="57" t="s">
        <v>727</v>
      </c>
      <c r="C2417" s="57" t="s">
        <v>415</v>
      </c>
      <c r="D2417" s="58" t="n">
        <v>46077.2842824074</v>
      </c>
      <c r="E2417" s="58" t="n">
        <v>46077.2842824074</v>
      </c>
      <c r="F2417" s="58" t="n">
        <v>46077.2848842593</v>
      </c>
      <c r="G2417" s="59" t="n">
        <f aca="false">F2417-E2417</f>
        <v>0.000601851898148148</v>
      </c>
      <c r="H2417" s="57" t="s">
        <v>252</v>
      </c>
      <c r="I2417" s="57"/>
      <c r="J2417" s="57" t="s">
        <v>333</v>
      </c>
      <c r="K2417" s="57" t="s">
        <v>334</v>
      </c>
      <c r="L2417" s="60" t="s">
        <v>3096</v>
      </c>
      <c r="M2417" s="57" t="s">
        <v>336</v>
      </c>
      <c r="N2417" s="57" t="s">
        <v>381</v>
      </c>
      <c r="O2417" s="57" t="s">
        <v>729</v>
      </c>
      <c r="P2417" s="57" t="s">
        <v>3097</v>
      </c>
      <c r="Q2417" s="57" t="s">
        <v>698</v>
      </c>
    </row>
    <row r="2418" s="50" customFormat="true" ht="14.25" hidden="false" customHeight="true" outlineLevel="0" collapsed="false">
      <c r="A2418" s="50" t="s">
        <v>727</v>
      </c>
      <c r="B2418" s="57" t="s">
        <v>727</v>
      </c>
      <c r="C2418" s="57" t="s">
        <v>415</v>
      </c>
      <c r="D2418" s="58" t="n">
        <v>46077.2835069444</v>
      </c>
      <c r="E2418" s="58" t="n">
        <v>46077.2835069444</v>
      </c>
      <c r="F2418" s="58" t="n">
        <v>46077.2841087963</v>
      </c>
      <c r="G2418" s="59" t="n">
        <f aca="false">F2418-E2418</f>
        <v>0.000601851909722222</v>
      </c>
      <c r="H2418" s="57" t="s">
        <v>252</v>
      </c>
      <c r="I2418" s="57"/>
      <c r="J2418" s="57" t="s">
        <v>333</v>
      </c>
      <c r="K2418" s="57" t="s">
        <v>334</v>
      </c>
      <c r="L2418" s="60" t="s">
        <v>3098</v>
      </c>
      <c r="M2418" s="57" t="s">
        <v>336</v>
      </c>
      <c r="N2418" s="57" t="s">
        <v>381</v>
      </c>
      <c r="O2418" s="57" t="s">
        <v>729</v>
      </c>
      <c r="P2418" s="57" t="s">
        <v>3099</v>
      </c>
      <c r="Q2418" s="57" t="s">
        <v>698</v>
      </c>
    </row>
    <row r="2419" s="50" customFormat="true" ht="14.25" hidden="false" customHeight="true" outlineLevel="0" collapsed="false">
      <c r="A2419" s="50" t="s">
        <v>727</v>
      </c>
      <c r="B2419" s="57" t="s">
        <v>727</v>
      </c>
      <c r="C2419" s="57" t="s">
        <v>415</v>
      </c>
      <c r="D2419" s="58" t="n">
        <v>46077.2826851852</v>
      </c>
      <c r="E2419" s="58" t="n">
        <v>46077.2826851852</v>
      </c>
      <c r="F2419" s="58" t="n">
        <v>46077.2833101852</v>
      </c>
      <c r="G2419" s="59" t="n">
        <f aca="false">F2419-E2419</f>
        <v>0.000625</v>
      </c>
      <c r="H2419" s="57" t="s">
        <v>252</v>
      </c>
      <c r="I2419" s="57"/>
      <c r="J2419" s="57" t="s">
        <v>333</v>
      </c>
      <c r="K2419" s="57" t="s">
        <v>334</v>
      </c>
      <c r="L2419" s="60" t="s">
        <v>3100</v>
      </c>
      <c r="M2419" s="57" t="s">
        <v>336</v>
      </c>
      <c r="N2419" s="57" t="s">
        <v>381</v>
      </c>
      <c r="O2419" s="57" t="s">
        <v>729</v>
      </c>
      <c r="P2419" s="57" t="s">
        <v>3101</v>
      </c>
      <c r="Q2419" s="57" t="s">
        <v>698</v>
      </c>
    </row>
    <row r="2420" s="50" customFormat="true" ht="14.25" hidden="false" customHeight="true" outlineLevel="0" collapsed="false">
      <c r="A2420" s="50" t="s">
        <v>727</v>
      </c>
      <c r="B2420" s="57" t="s">
        <v>727</v>
      </c>
      <c r="C2420" s="57" t="s">
        <v>415</v>
      </c>
      <c r="D2420" s="58" t="n">
        <v>46077.2818865741</v>
      </c>
      <c r="E2420" s="58" t="n">
        <v>46077.2818865741</v>
      </c>
      <c r="F2420" s="58" t="n">
        <v>46077.2825</v>
      </c>
      <c r="G2420" s="59" t="n">
        <f aca="false">F2420-E2420</f>
        <v>0.000613425902777778</v>
      </c>
      <c r="H2420" s="57" t="s">
        <v>252</v>
      </c>
      <c r="I2420" s="57"/>
      <c r="J2420" s="57" t="s">
        <v>333</v>
      </c>
      <c r="K2420" s="57" t="s">
        <v>334</v>
      </c>
      <c r="L2420" s="60" t="s">
        <v>3102</v>
      </c>
      <c r="M2420" s="57" t="s">
        <v>336</v>
      </c>
      <c r="N2420" s="57" t="s">
        <v>381</v>
      </c>
      <c r="O2420" s="57" t="s">
        <v>729</v>
      </c>
      <c r="P2420" s="57" t="s">
        <v>3103</v>
      </c>
      <c r="Q2420" s="57" t="s">
        <v>698</v>
      </c>
    </row>
    <row r="2421" s="50" customFormat="true" ht="14.25" hidden="false" customHeight="true" outlineLevel="0" collapsed="false">
      <c r="A2421" s="50" t="s">
        <v>727</v>
      </c>
      <c r="B2421" s="57" t="s">
        <v>727</v>
      </c>
      <c r="C2421" s="57" t="s">
        <v>415</v>
      </c>
      <c r="D2421" s="58" t="n">
        <v>46077.2801273148</v>
      </c>
      <c r="E2421" s="58" t="n">
        <v>46077.2801273148</v>
      </c>
      <c r="F2421" s="58" t="n">
        <v>46077.2809143519</v>
      </c>
      <c r="G2421" s="59" t="n">
        <f aca="false">F2421-E2421</f>
        <v>0.000787037094907407</v>
      </c>
      <c r="H2421" s="57" t="s">
        <v>252</v>
      </c>
      <c r="I2421" s="57"/>
      <c r="J2421" s="57" t="s">
        <v>333</v>
      </c>
      <c r="K2421" s="57" t="s">
        <v>334</v>
      </c>
      <c r="L2421" s="60" t="s">
        <v>3104</v>
      </c>
      <c r="M2421" s="57" t="s">
        <v>336</v>
      </c>
      <c r="N2421" s="57" t="s">
        <v>381</v>
      </c>
      <c r="O2421" s="57" t="s">
        <v>729</v>
      </c>
      <c r="P2421" s="57" t="s">
        <v>3105</v>
      </c>
      <c r="Q2421" s="57" t="s">
        <v>698</v>
      </c>
    </row>
    <row r="2422" s="50" customFormat="true" ht="14.25" hidden="false" customHeight="true" outlineLevel="0" collapsed="false">
      <c r="A2422" s="50" t="s">
        <v>727</v>
      </c>
      <c r="B2422" s="57" t="s">
        <v>727</v>
      </c>
      <c r="C2422" s="57" t="s">
        <v>415</v>
      </c>
      <c r="D2422" s="58" t="n">
        <v>46077.2506018519</v>
      </c>
      <c r="E2422" s="58" t="n">
        <v>46077.2506018519</v>
      </c>
      <c r="F2422" s="58" t="n">
        <v>46077.2799652778</v>
      </c>
      <c r="G2422" s="59" t="n">
        <f aca="false">F2422-E2422</f>
        <v>0.0293634259027778</v>
      </c>
      <c r="H2422" s="57" t="s">
        <v>252</v>
      </c>
      <c r="I2422" s="57"/>
      <c r="J2422" s="57" t="s">
        <v>333</v>
      </c>
      <c r="K2422" s="57" t="s">
        <v>334</v>
      </c>
      <c r="L2422" s="60" t="s">
        <v>3106</v>
      </c>
      <c r="M2422" s="57" t="s">
        <v>336</v>
      </c>
      <c r="N2422" s="57" t="s">
        <v>381</v>
      </c>
      <c r="O2422" s="57" t="s">
        <v>729</v>
      </c>
      <c r="P2422" s="57" t="s">
        <v>3107</v>
      </c>
      <c r="Q2422" s="57" t="s">
        <v>698</v>
      </c>
    </row>
    <row r="2423" s="50" customFormat="true" ht="14.25" hidden="false" customHeight="true" outlineLevel="0" collapsed="false">
      <c r="A2423" s="50" t="s">
        <v>727</v>
      </c>
      <c r="B2423" s="57" t="s">
        <v>727</v>
      </c>
      <c r="C2423" s="57" t="s">
        <v>415</v>
      </c>
      <c r="D2423" s="58" t="n">
        <v>46076.7564814815</v>
      </c>
      <c r="E2423" s="58" t="n">
        <v>46076.7564814815</v>
      </c>
      <c r="F2423" s="58" t="n">
        <v>46076.7824189815</v>
      </c>
      <c r="G2423" s="59" t="n">
        <f aca="false">F2423-E2423</f>
        <v>0.0259375</v>
      </c>
      <c r="H2423" s="57" t="s">
        <v>252</v>
      </c>
      <c r="I2423" s="57"/>
      <c r="J2423" s="57" t="s">
        <v>333</v>
      </c>
      <c r="K2423" s="57" t="s">
        <v>334</v>
      </c>
      <c r="L2423" s="60" t="s">
        <v>3108</v>
      </c>
      <c r="M2423" s="57" t="s">
        <v>336</v>
      </c>
      <c r="N2423" s="57" t="s">
        <v>381</v>
      </c>
      <c r="O2423" s="57" t="s">
        <v>729</v>
      </c>
      <c r="P2423" s="57" t="s">
        <v>3109</v>
      </c>
      <c r="Q2423" s="57" t="s">
        <v>698</v>
      </c>
    </row>
    <row r="2424" s="50" customFormat="true" ht="14.25" hidden="false" customHeight="true" outlineLevel="0" collapsed="false">
      <c r="A2424" s="50" t="s">
        <v>727</v>
      </c>
      <c r="B2424" s="57" t="s">
        <v>727</v>
      </c>
      <c r="C2424" s="57" t="s">
        <v>415</v>
      </c>
      <c r="D2424" s="58" t="n">
        <v>46076.6839467593</v>
      </c>
      <c r="E2424" s="58" t="n">
        <v>46076.6839467593</v>
      </c>
      <c r="F2424" s="58" t="n">
        <v>46076.6844675926</v>
      </c>
      <c r="G2424" s="59" t="n">
        <f aca="false">F2424-E2424</f>
        <v>0.000520833298611111</v>
      </c>
      <c r="H2424" s="57" t="s">
        <v>252</v>
      </c>
      <c r="I2424" s="57"/>
      <c r="J2424" s="57" t="s">
        <v>333</v>
      </c>
      <c r="K2424" s="57" t="s">
        <v>334</v>
      </c>
      <c r="L2424" s="60" t="s">
        <v>3110</v>
      </c>
      <c r="M2424" s="57" t="s">
        <v>336</v>
      </c>
      <c r="N2424" s="57" t="s">
        <v>381</v>
      </c>
      <c r="O2424" s="57" t="s">
        <v>729</v>
      </c>
      <c r="P2424" s="57" t="s">
        <v>3111</v>
      </c>
      <c r="Q2424" s="57" t="s">
        <v>698</v>
      </c>
    </row>
    <row r="2425" s="50" customFormat="true" ht="14.25" hidden="false" customHeight="true" outlineLevel="0" collapsed="false">
      <c r="A2425" s="50" t="s">
        <v>727</v>
      </c>
      <c r="B2425" s="57" t="s">
        <v>727</v>
      </c>
      <c r="C2425" s="57" t="s">
        <v>415</v>
      </c>
      <c r="D2425" s="58" t="n">
        <v>46076.6413888889</v>
      </c>
      <c r="E2425" s="58" t="n">
        <v>46076.6413888889</v>
      </c>
      <c r="F2425" s="58" t="n">
        <v>46076.6418981482</v>
      </c>
      <c r="G2425" s="59" t="n">
        <f aca="false">F2425-E2425</f>
        <v>0.000509259293981482</v>
      </c>
      <c r="H2425" s="57" t="s">
        <v>252</v>
      </c>
      <c r="I2425" s="57"/>
      <c r="J2425" s="57" t="s">
        <v>333</v>
      </c>
      <c r="K2425" s="57" t="s">
        <v>334</v>
      </c>
      <c r="L2425" s="60" t="s">
        <v>3112</v>
      </c>
      <c r="M2425" s="57" t="s">
        <v>336</v>
      </c>
      <c r="N2425" s="57" t="s">
        <v>381</v>
      </c>
      <c r="O2425" s="57" t="s">
        <v>729</v>
      </c>
      <c r="P2425" s="57" t="s">
        <v>3113</v>
      </c>
      <c r="Q2425" s="57" t="s">
        <v>698</v>
      </c>
    </row>
    <row r="2426" s="50" customFormat="true" ht="14.25" hidden="false" customHeight="true" outlineLevel="0" collapsed="false">
      <c r="A2426" s="50" t="s">
        <v>727</v>
      </c>
      <c r="B2426" s="57" t="s">
        <v>727</v>
      </c>
      <c r="C2426" s="57" t="s">
        <v>415</v>
      </c>
      <c r="D2426" s="58" t="n">
        <v>46076.6238773148</v>
      </c>
      <c r="E2426" s="58" t="n">
        <v>46076.6238773148</v>
      </c>
      <c r="F2426" s="58" t="n">
        <v>46076.624375</v>
      </c>
      <c r="G2426" s="59" t="n">
        <f aca="false">F2426-E2426</f>
        <v>0.000497685196759259</v>
      </c>
      <c r="H2426" s="57" t="s">
        <v>252</v>
      </c>
      <c r="I2426" s="57"/>
      <c r="J2426" s="57" t="s">
        <v>333</v>
      </c>
      <c r="K2426" s="57" t="s">
        <v>334</v>
      </c>
      <c r="L2426" s="60" t="s">
        <v>3114</v>
      </c>
      <c r="M2426" s="57" t="s">
        <v>336</v>
      </c>
      <c r="N2426" s="57" t="s">
        <v>381</v>
      </c>
      <c r="O2426" s="57" t="s">
        <v>729</v>
      </c>
      <c r="P2426" s="57" t="s">
        <v>3115</v>
      </c>
      <c r="Q2426" s="57" t="s">
        <v>698</v>
      </c>
    </row>
    <row r="2427" s="50" customFormat="true" ht="14.25" hidden="false" customHeight="true" outlineLevel="0" collapsed="false">
      <c r="A2427" s="50" t="s">
        <v>727</v>
      </c>
      <c r="B2427" s="57" t="s">
        <v>727</v>
      </c>
      <c r="C2427" s="57" t="s">
        <v>415</v>
      </c>
      <c r="D2427" s="58" t="n">
        <v>46076.6150578704</v>
      </c>
      <c r="E2427" s="58" t="n">
        <v>46076.6150578704</v>
      </c>
      <c r="F2427" s="58" t="n">
        <v>46076.6155787037</v>
      </c>
      <c r="G2427" s="59" t="n">
        <f aca="false">F2427-E2427</f>
        <v>0.000520833298611111</v>
      </c>
      <c r="H2427" s="57" t="s">
        <v>252</v>
      </c>
      <c r="I2427" s="57"/>
      <c r="J2427" s="57" t="s">
        <v>333</v>
      </c>
      <c r="K2427" s="57" t="s">
        <v>334</v>
      </c>
      <c r="L2427" s="60" t="s">
        <v>3116</v>
      </c>
      <c r="M2427" s="57" t="s">
        <v>336</v>
      </c>
      <c r="N2427" s="57" t="s">
        <v>381</v>
      </c>
      <c r="O2427" s="57" t="s">
        <v>729</v>
      </c>
      <c r="P2427" s="57" t="s">
        <v>3117</v>
      </c>
      <c r="Q2427" s="57" t="s">
        <v>698</v>
      </c>
    </row>
    <row r="2428" s="50" customFormat="true" ht="14.25" hidden="false" customHeight="true" outlineLevel="0" collapsed="false">
      <c r="A2428" s="50" t="s">
        <v>727</v>
      </c>
      <c r="B2428" s="57" t="s">
        <v>727</v>
      </c>
      <c r="C2428" s="57" t="s">
        <v>415</v>
      </c>
      <c r="D2428" s="58" t="n">
        <v>46076.5960763889</v>
      </c>
      <c r="E2428" s="58" t="n">
        <v>46076.5960763889</v>
      </c>
      <c r="F2428" s="58" t="n">
        <v>46076.5965856482</v>
      </c>
      <c r="G2428" s="59" t="n">
        <f aca="false">F2428-E2428</f>
        <v>0.000509259293981482</v>
      </c>
      <c r="H2428" s="57" t="s">
        <v>252</v>
      </c>
      <c r="I2428" s="57"/>
      <c r="J2428" s="57" t="s">
        <v>333</v>
      </c>
      <c r="K2428" s="57" t="s">
        <v>334</v>
      </c>
      <c r="L2428" s="60" t="s">
        <v>3118</v>
      </c>
      <c r="M2428" s="57" t="s">
        <v>336</v>
      </c>
      <c r="N2428" s="57" t="s">
        <v>381</v>
      </c>
      <c r="O2428" s="57" t="s">
        <v>729</v>
      </c>
      <c r="P2428" s="57" t="s">
        <v>3119</v>
      </c>
      <c r="Q2428" s="57" t="s">
        <v>698</v>
      </c>
    </row>
    <row r="2429" s="50" customFormat="true" ht="14.25" hidden="false" customHeight="true" outlineLevel="0" collapsed="false">
      <c r="A2429" s="50" t="s">
        <v>727</v>
      </c>
      <c r="B2429" s="57" t="s">
        <v>727</v>
      </c>
      <c r="C2429" s="57" t="s">
        <v>415</v>
      </c>
      <c r="D2429" s="58" t="n">
        <v>46076.5824537037</v>
      </c>
      <c r="E2429" s="58" t="n">
        <v>46076.5824537037</v>
      </c>
      <c r="F2429" s="58" t="n">
        <v>46076.582974537</v>
      </c>
      <c r="G2429" s="59" t="n">
        <f aca="false">F2429-E2429</f>
        <v>0.000520833298611111</v>
      </c>
      <c r="H2429" s="57" t="s">
        <v>252</v>
      </c>
      <c r="I2429" s="57"/>
      <c r="J2429" s="57" t="s">
        <v>333</v>
      </c>
      <c r="K2429" s="57" t="s">
        <v>334</v>
      </c>
      <c r="L2429" s="60" t="s">
        <v>3120</v>
      </c>
      <c r="M2429" s="57" t="s">
        <v>336</v>
      </c>
      <c r="N2429" s="57" t="s">
        <v>381</v>
      </c>
      <c r="O2429" s="57" t="s">
        <v>729</v>
      </c>
      <c r="P2429" s="57" t="s">
        <v>3121</v>
      </c>
      <c r="Q2429" s="57" t="s">
        <v>698</v>
      </c>
    </row>
    <row r="2430" s="50" customFormat="true" ht="14.25" hidden="false" customHeight="true" outlineLevel="0" collapsed="false">
      <c r="A2430" s="50" t="s">
        <v>727</v>
      </c>
      <c r="B2430" s="57" t="s">
        <v>727</v>
      </c>
      <c r="C2430" s="57" t="s">
        <v>415</v>
      </c>
      <c r="D2430" s="58" t="n">
        <v>46076.5691087963</v>
      </c>
      <c r="E2430" s="58" t="n">
        <v>46076.5691087963</v>
      </c>
      <c r="F2430" s="58" t="n">
        <v>46076.5696180556</v>
      </c>
      <c r="G2430" s="59" t="n">
        <f aca="false">F2430-E2430</f>
        <v>0.000509259293981482</v>
      </c>
      <c r="H2430" s="57" t="s">
        <v>252</v>
      </c>
      <c r="I2430" s="57"/>
      <c r="J2430" s="57" t="s">
        <v>333</v>
      </c>
      <c r="K2430" s="57" t="s">
        <v>334</v>
      </c>
      <c r="L2430" s="60" t="s">
        <v>3122</v>
      </c>
      <c r="M2430" s="57" t="s">
        <v>336</v>
      </c>
      <c r="N2430" s="57" t="s">
        <v>381</v>
      </c>
      <c r="O2430" s="57" t="s">
        <v>729</v>
      </c>
      <c r="P2430" s="57" t="s">
        <v>3123</v>
      </c>
      <c r="Q2430" s="57" t="s">
        <v>698</v>
      </c>
    </row>
    <row r="2431" s="50" customFormat="true" ht="14.25" hidden="false" customHeight="true" outlineLevel="0" collapsed="false">
      <c r="A2431" s="50" t="s">
        <v>727</v>
      </c>
      <c r="B2431" s="57" t="s">
        <v>727</v>
      </c>
      <c r="C2431" s="57" t="s">
        <v>415</v>
      </c>
      <c r="D2431" s="58" t="n">
        <v>46076.5558449074</v>
      </c>
      <c r="E2431" s="58" t="n">
        <v>46076.5558449074</v>
      </c>
      <c r="F2431" s="58" t="n">
        <v>46076.5563541667</v>
      </c>
      <c r="G2431" s="59" t="n">
        <f aca="false">F2431-E2431</f>
        <v>0.000509259293981482</v>
      </c>
      <c r="H2431" s="57" t="s">
        <v>252</v>
      </c>
      <c r="I2431" s="57"/>
      <c r="J2431" s="57" t="s">
        <v>333</v>
      </c>
      <c r="K2431" s="57" t="s">
        <v>334</v>
      </c>
      <c r="L2431" s="60" t="s">
        <v>3124</v>
      </c>
      <c r="M2431" s="57" t="s">
        <v>336</v>
      </c>
      <c r="N2431" s="57" t="s">
        <v>381</v>
      </c>
      <c r="O2431" s="57" t="s">
        <v>729</v>
      </c>
      <c r="P2431" s="57" t="s">
        <v>3125</v>
      </c>
      <c r="Q2431" s="57" t="s">
        <v>698</v>
      </c>
    </row>
    <row r="2432" s="50" customFormat="true" ht="14.25" hidden="false" customHeight="true" outlineLevel="0" collapsed="false">
      <c r="A2432" s="50" t="s">
        <v>727</v>
      </c>
      <c r="B2432" s="57" t="s">
        <v>727</v>
      </c>
      <c r="C2432" s="57" t="s">
        <v>415</v>
      </c>
      <c r="D2432" s="58" t="n">
        <v>46076.5385763889</v>
      </c>
      <c r="E2432" s="58" t="n">
        <v>46076.5385763889</v>
      </c>
      <c r="F2432" s="58" t="n">
        <v>46076.5390856481</v>
      </c>
      <c r="G2432" s="59" t="n">
        <f aca="false">F2432-E2432</f>
        <v>0.000509259201388889</v>
      </c>
      <c r="H2432" s="57" t="s">
        <v>252</v>
      </c>
      <c r="I2432" s="57"/>
      <c r="J2432" s="57" t="s">
        <v>333</v>
      </c>
      <c r="K2432" s="57" t="s">
        <v>334</v>
      </c>
      <c r="L2432" s="60" t="s">
        <v>3126</v>
      </c>
      <c r="M2432" s="57" t="s">
        <v>336</v>
      </c>
      <c r="N2432" s="57" t="s">
        <v>381</v>
      </c>
      <c r="O2432" s="57" t="s">
        <v>729</v>
      </c>
      <c r="P2432" s="57" t="s">
        <v>3127</v>
      </c>
      <c r="Q2432" s="57" t="s">
        <v>698</v>
      </c>
    </row>
    <row r="2433" s="50" customFormat="true" ht="14.25" hidden="false" customHeight="true" outlineLevel="0" collapsed="false">
      <c r="A2433" s="50" t="s">
        <v>727</v>
      </c>
      <c r="B2433" s="57" t="s">
        <v>727</v>
      </c>
      <c r="C2433" s="57" t="s">
        <v>415</v>
      </c>
      <c r="D2433" s="58" t="n">
        <v>46076.5282523148</v>
      </c>
      <c r="E2433" s="58" t="n">
        <v>46076.5282523148</v>
      </c>
      <c r="F2433" s="58" t="n">
        <v>46076.5287731482</v>
      </c>
      <c r="G2433" s="59" t="n">
        <f aca="false">F2433-E2433</f>
        <v>0.000520833402777778</v>
      </c>
      <c r="H2433" s="57" t="s">
        <v>252</v>
      </c>
      <c r="I2433" s="57"/>
      <c r="J2433" s="57" t="s">
        <v>333</v>
      </c>
      <c r="K2433" s="57" t="s">
        <v>334</v>
      </c>
      <c r="L2433" s="60" t="s">
        <v>3128</v>
      </c>
      <c r="M2433" s="57" t="s">
        <v>336</v>
      </c>
      <c r="N2433" s="57" t="s">
        <v>381</v>
      </c>
      <c r="O2433" s="57" t="s">
        <v>729</v>
      </c>
      <c r="P2433" s="57" t="s">
        <v>3129</v>
      </c>
      <c r="Q2433" s="57" t="s">
        <v>698</v>
      </c>
    </row>
    <row r="2434" s="50" customFormat="true" ht="14.25" hidden="false" customHeight="true" outlineLevel="0" collapsed="false">
      <c r="A2434" s="50" t="s">
        <v>727</v>
      </c>
      <c r="B2434" s="57" t="s">
        <v>727</v>
      </c>
      <c r="C2434" s="57" t="s">
        <v>415</v>
      </c>
      <c r="D2434" s="58" t="n">
        <v>46076.5208912037</v>
      </c>
      <c r="E2434" s="58" t="n">
        <v>46076.5208912037</v>
      </c>
      <c r="F2434" s="58" t="n">
        <v>46076.521400463</v>
      </c>
      <c r="G2434" s="59" t="n">
        <f aca="false">F2434-E2434</f>
        <v>0.000509259305555556</v>
      </c>
      <c r="H2434" s="57" t="s">
        <v>252</v>
      </c>
      <c r="I2434" s="57"/>
      <c r="J2434" s="57" t="s">
        <v>333</v>
      </c>
      <c r="K2434" s="57" t="s">
        <v>334</v>
      </c>
      <c r="L2434" s="60" t="s">
        <v>3130</v>
      </c>
      <c r="M2434" s="57" t="s">
        <v>336</v>
      </c>
      <c r="N2434" s="57" t="s">
        <v>381</v>
      </c>
      <c r="O2434" s="57" t="s">
        <v>729</v>
      </c>
      <c r="P2434" s="57" t="s">
        <v>3131</v>
      </c>
      <c r="Q2434" s="57" t="s">
        <v>698</v>
      </c>
    </row>
    <row r="2435" s="50" customFormat="true" ht="14.25" hidden="false" customHeight="true" outlineLevel="0" collapsed="false">
      <c r="A2435" s="50" t="s">
        <v>727</v>
      </c>
      <c r="B2435" s="57" t="s">
        <v>727</v>
      </c>
      <c r="C2435" s="57" t="s">
        <v>415</v>
      </c>
      <c r="D2435" s="58" t="n">
        <v>46076.5025</v>
      </c>
      <c r="E2435" s="58" t="n">
        <v>46076.5025</v>
      </c>
      <c r="F2435" s="58" t="n">
        <v>46076.5030324074</v>
      </c>
      <c r="G2435" s="59" t="n">
        <f aca="false">F2435-E2435</f>
        <v>0.000532407407407407</v>
      </c>
      <c r="H2435" s="57" t="s">
        <v>252</v>
      </c>
      <c r="I2435" s="57"/>
      <c r="J2435" s="57" t="s">
        <v>333</v>
      </c>
      <c r="K2435" s="57" t="s">
        <v>334</v>
      </c>
      <c r="L2435" s="60" t="s">
        <v>3132</v>
      </c>
      <c r="M2435" s="57" t="s">
        <v>336</v>
      </c>
      <c r="N2435" s="57" t="s">
        <v>381</v>
      </c>
      <c r="O2435" s="57" t="s">
        <v>729</v>
      </c>
      <c r="P2435" s="57" t="s">
        <v>3133</v>
      </c>
      <c r="Q2435" s="57" t="s">
        <v>698</v>
      </c>
    </row>
    <row r="2436" s="50" customFormat="true" ht="14.25" hidden="false" customHeight="true" outlineLevel="0" collapsed="false">
      <c r="A2436" s="50" t="s">
        <v>727</v>
      </c>
      <c r="B2436" s="57" t="s">
        <v>727</v>
      </c>
      <c r="C2436" s="57" t="s">
        <v>415</v>
      </c>
      <c r="D2436" s="58" t="n">
        <v>46076.4889583333</v>
      </c>
      <c r="E2436" s="58" t="n">
        <v>46076.4889583333</v>
      </c>
      <c r="F2436" s="58" t="n">
        <v>46076.4894791667</v>
      </c>
      <c r="G2436" s="59" t="n">
        <f aca="false">F2436-E2436</f>
        <v>0.000520833402777778</v>
      </c>
      <c r="H2436" s="57" t="s">
        <v>252</v>
      </c>
      <c r="I2436" s="57"/>
      <c r="J2436" s="57" t="s">
        <v>333</v>
      </c>
      <c r="K2436" s="57" t="s">
        <v>334</v>
      </c>
      <c r="L2436" s="60" t="s">
        <v>3134</v>
      </c>
      <c r="M2436" s="57" t="s">
        <v>336</v>
      </c>
      <c r="N2436" s="57" t="s">
        <v>381</v>
      </c>
      <c r="O2436" s="57" t="s">
        <v>729</v>
      </c>
      <c r="P2436" s="57" t="s">
        <v>3135</v>
      </c>
      <c r="Q2436" s="57" t="s">
        <v>698</v>
      </c>
    </row>
    <row r="2437" s="50" customFormat="true" ht="14.25" hidden="false" customHeight="true" outlineLevel="0" collapsed="false">
      <c r="A2437" s="50" t="s">
        <v>727</v>
      </c>
      <c r="B2437" s="57" t="s">
        <v>727</v>
      </c>
      <c r="C2437" s="57" t="s">
        <v>415</v>
      </c>
      <c r="D2437" s="58" t="n">
        <v>46076.4877893519</v>
      </c>
      <c r="E2437" s="58" t="n">
        <v>46076.4877893519</v>
      </c>
      <c r="F2437" s="58" t="n">
        <v>46076.9453703704</v>
      </c>
      <c r="G2437" s="59" t="n">
        <f aca="false">F2437-E2437</f>
        <v>0.45758101849537</v>
      </c>
      <c r="H2437" s="57" t="s">
        <v>252</v>
      </c>
      <c r="I2437" s="57"/>
      <c r="J2437" s="57" t="s">
        <v>333</v>
      </c>
      <c r="K2437" s="57" t="s">
        <v>334</v>
      </c>
      <c r="L2437" s="60" t="s">
        <v>3136</v>
      </c>
      <c r="M2437" s="57" t="s">
        <v>336</v>
      </c>
      <c r="N2437" s="57" t="s">
        <v>381</v>
      </c>
      <c r="O2437" s="57" t="s">
        <v>729</v>
      </c>
      <c r="P2437" s="57" t="s">
        <v>3137</v>
      </c>
      <c r="Q2437" s="57" t="s">
        <v>698</v>
      </c>
    </row>
    <row r="2438" s="50" customFormat="true" ht="14.25" hidden="false" customHeight="true" outlineLevel="0" collapsed="false">
      <c r="A2438" s="50" t="s">
        <v>727</v>
      </c>
      <c r="B2438" s="57" t="s">
        <v>727</v>
      </c>
      <c r="C2438" s="57" t="s">
        <v>415</v>
      </c>
      <c r="D2438" s="58" t="n">
        <v>46076.4696759259</v>
      </c>
      <c r="E2438" s="58" t="n">
        <v>46076.4696759259</v>
      </c>
      <c r="F2438" s="58" t="n">
        <v>46076.4701851852</v>
      </c>
      <c r="G2438" s="59" t="n">
        <f aca="false">F2438-E2438</f>
        <v>0.000509259293981482</v>
      </c>
      <c r="H2438" s="57" t="s">
        <v>252</v>
      </c>
      <c r="I2438" s="57"/>
      <c r="J2438" s="57" t="s">
        <v>333</v>
      </c>
      <c r="K2438" s="57" t="s">
        <v>334</v>
      </c>
      <c r="L2438" s="60" t="s">
        <v>3138</v>
      </c>
      <c r="M2438" s="57" t="s">
        <v>336</v>
      </c>
      <c r="N2438" s="57" t="s">
        <v>381</v>
      </c>
      <c r="O2438" s="57" t="s">
        <v>729</v>
      </c>
      <c r="P2438" s="57" t="s">
        <v>3139</v>
      </c>
      <c r="Q2438" s="57" t="s">
        <v>698</v>
      </c>
    </row>
    <row r="2439" s="50" customFormat="true" ht="14.25" hidden="false" customHeight="true" outlineLevel="0" collapsed="false">
      <c r="A2439" s="50" t="s">
        <v>727</v>
      </c>
      <c r="B2439" s="57" t="s">
        <v>727</v>
      </c>
      <c r="C2439" s="57" t="s">
        <v>415</v>
      </c>
      <c r="D2439" s="58" t="n">
        <v>46076.4640393519</v>
      </c>
      <c r="E2439" s="58" t="n">
        <v>46076.4640393519</v>
      </c>
      <c r="F2439" s="58" t="n">
        <v>46076.4689236111</v>
      </c>
      <c r="G2439" s="59" t="n">
        <f aca="false">F2439-E2439</f>
        <v>0.00488425920138889</v>
      </c>
      <c r="H2439" s="57" t="s">
        <v>252</v>
      </c>
      <c r="I2439" s="57"/>
      <c r="J2439" s="57" t="s">
        <v>333</v>
      </c>
      <c r="K2439" s="57" t="s">
        <v>334</v>
      </c>
      <c r="L2439" s="60" t="s">
        <v>3140</v>
      </c>
      <c r="M2439" s="57" t="s">
        <v>336</v>
      </c>
      <c r="N2439" s="57" t="s">
        <v>381</v>
      </c>
      <c r="O2439" s="57" t="s">
        <v>729</v>
      </c>
      <c r="P2439" s="57" t="s">
        <v>3141</v>
      </c>
      <c r="Q2439" s="57" t="s">
        <v>698</v>
      </c>
    </row>
    <row r="2440" s="50" customFormat="true" ht="14.25" hidden="false" customHeight="true" outlineLevel="0" collapsed="false">
      <c r="A2440" s="50" t="s">
        <v>727</v>
      </c>
      <c r="B2440" s="57" t="s">
        <v>727</v>
      </c>
      <c r="C2440" s="57" t="s">
        <v>415</v>
      </c>
      <c r="D2440" s="58" t="n">
        <v>46076.4580324074</v>
      </c>
      <c r="E2440" s="58" t="n">
        <v>46076.4580324074</v>
      </c>
      <c r="F2440" s="58" t="n">
        <v>46076.4621643519</v>
      </c>
      <c r="G2440" s="59" t="n">
        <f aca="false">F2440-E2440</f>
        <v>0.00413194450231482</v>
      </c>
      <c r="H2440" s="57" t="s">
        <v>252</v>
      </c>
      <c r="I2440" s="57"/>
      <c r="J2440" s="57" t="s">
        <v>333</v>
      </c>
      <c r="K2440" s="57" t="s">
        <v>334</v>
      </c>
      <c r="L2440" s="60" t="s">
        <v>3142</v>
      </c>
      <c r="M2440" s="57" t="s">
        <v>336</v>
      </c>
      <c r="N2440" s="57" t="s">
        <v>381</v>
      </c>
      <c r="O2440" s="57" t="s">
        <v>729</v>
      </c>
      <c r="P2440" s="57" t="s">
        <v>3143</v>
      </c>
      <c r="Q2440" s="57" t="s">
        <v>698</v>
      </c>
    </row>
    <row r="2441" s="50" customFormat="true" ht="14.25" hidden="false" customHeight="true" outlineLevel="0" collapsed="false">
      <c r="A2441" s="50" t="s">
        <v>727</v>
      </c>
      <c r="B2441" s="57" t="s">
        <v>727</v>
      </c>
      <c r="C2441" s="57" t="s">
        <v>415</v>
      </c>
      <c r="D2441" s="58" t="n">
        <v>46076.4565625</v>
      </c>
      <c r="E2441" s="58" t="n">
        <v>46076.4565625</v>
      </c>
      <c r="F2441" s="58" t="n">
        <v>46076.4578472222</v>
      </c>
      <c r="G2441" s="59" t="n">
        <f aca="false">F2441-E2441</f>
        <v>0.00128472219907407</v>
      </c>
      <c r="H2441" s="57" t="s">
        <v>252</v>
      </c>
      <c r="I2441" s="57"/>
      <c r="J2441" s="57" t="s">
        <v>333</v>
      </c>
      <c r="K2441" s="57" t="s">
        <v>334</v>
      </c>
      <c r="L2441" s="60" t="s">
        <v>3144</v>
      </c>
      <c r="M2441" s="57" t="s">
        <v>336</v>
      </c>
      <c r="N2441" s="57" t="s">
        <v>381</v>
      </c>
      <c r="O2441" s="57" t="s">
        <v>729</v>
      </c>
      <c r="P2441" s="57" t="s">
        <v>3145</v>
      </c>
      <c r="Q2441" s="57" t="s">
        <v>698</v>
      </c>
    </row>
    <row r="2442" s="50" customFormat="true" ht="14.25" hidden="false" customHeight="true" outlineLevel="0" collapsed="false">
      <c r="A2442" s="50" t="s">
        <v>727</v>
      </c>
      <c r="B2442" s="57" t="s">
        <v>727</v>
      </c>
      <c r="C2442" s="57" t="s">
        <v>415</v>
      </c>
      <c r="D2442" s="58" t="n">
        <v>46076.4495949074</v>
      </c>
      <c r="E2442" s="58" t="n">
        <v>46076.4495949074</v>
      </c>
      <c r="F2442" s="58" t="n">
        <v>46076.455462963</v>
      </c>
      <c r="G2442" s="59" t="n">
        <f aca="false">F2442-E2442</f>
        <v>0.00586805560185185</v>
      </c>
      <c r="H2442" s="57" t="s">
        <v>252</v>
      </c>
      <c r="I2442" s="57"/>
      <c r="J2442" s="57" t="s">
        <v>333</v>
      </c>
      <c r="K2442" s="57" t="s">
        <v>334</v>
      </c>
      <c r="L2442" s="60" t="s">
        <v>3146</v>
      </c>
      <c r="M2442" s="57" t="s">
        <v>336</v>
      </c>
      <c r="N2442" s="57" t="s">
        <v>381</v>
      </c>
      <c r="O2442" s="57" t="s">
        <v>729</v>
      </c>
      <c r="P2442" s="57" t="s">
        <v>3147</v>
      </c>
      <c r="Q2442" s="57" t="s">
        <v>698</v>
      </c>
    </row>
    <row r="2443" s="50" customFormat="true" ht="14.25" hidden="false" customHeight="true" outlineLevel="0" collapsed="false">
      <c r="A2443" s="50" t="s">
        <v>727</v>
      </c>
      <c r="B2443" s="57" t="s">
        <v>727</v>
      </c>
      <c r="C2443" s="57" t="s">
        <v>415</v>
      </c>
      <c r="D2443" s="58" t="n">
        <v>46076.4470138889</v>
      </c>
      <c r="E2443" s="58" t="n">
        <v>46076.4470138889</v>
      </c>
      <c r="F2443" s="58" t="n">
        <v>46076.4501736111</v>
      </c>
      <c r="G2443" s="59" t="n">
        <f aca="false">F2443-E2443</f>
        <v>0.00315972219907407</v>
      </c>
      <c r="H2443" s="57" t="s">
        <v>252</v>
      </c>
      <c r="I2443" s="57"/>
      <c r="J2443" s="57" t="s">
        <v>333</v>
      </c>
      <c r="K2443" s="57" t="s">
        <v>334</v>
      </c>
      <c r="L2443" s="60" t="s">
        <v>3148</v>
      </c>
      <c r="M2443" s="57" t="s">
        <v>336</v>
      </c>
      <c r="N2443" s="57" t="s">
        <v>381</v>
      </c>
      <c r="O2443" s="57" t="s">
        <v>729</v>
      </c>
      <c r="P2443" s="57" t="s">
        <v>3149</v>
      </c>
      <c r="Q2443" s="57" t="s">
        <v>698</v>
      </c>
    </row>
    <row r="2444" s="50" customFormat="true" ht="14.25" hidden="false" customHeight="true" outlineLevel="0" collapsed="false">
      <c r="A2444" s="50" t="s">
        <v>727</v>
      </c>
      <c r="B2444" s="57" t="s">
        <v>727</v>
      </c>
      <c r="C2444" s="57" t="s">
        <v>415</v>
      </c>
      <c r="D2444" s="58" t="n">
        <v>46076.4458449074</v>
      </c>
      <c r="E2444" s="58" t="n">
        <v>46076.4458449074</v>
      </c>
      <c r="F2444" s="58" t="n">
        <v>46076.4470138889</v>
      </c>
      <c r="G2444" s="59" t="n">
        <f aca="false">F2444-E2444</f>
        <v>0.00116898150462963</v>
      </c>
      <c r="H2444" s="57" t="s">
        <v>252</v>
      </c>
      <c r="I2444" s="57"/>
      <c r="J2444" s="57" t="s">
        <v>333</v>
      </c>
      <c r="K2444" s="57" t="s">
        <v>334</v>
      </c>
      <c r="L2444" s="60" t="s">
        <v>3150</v>
      </c>
      <c r="M2444" s="57" t="s">
        <v>336</v>
      </c>
      <c r="N2444" s="57" t="s">
        <v>381</v>
      </c>
      <c r="O2444" s="57" t="s">
        <v>729</v>
      </c>
      <c r="P2444" s="57" t="s">
        <v>3151</v>
      </c>
      <c r="Q2444" s="57" t="s">
        <v>698</v>
      </c>
    </row>
    <row r="2445" s="50" customFormat="true" ht="14.25" hidden="false" customHeight="true" outlineLevel="0" collapsed="false">
      <c r="A2445" s="50" t="s">
        <v>727</v>
      </c>
      <c r="B2445" s="57" t="s">
        <v>727</v>
      </c>
      <c r="C2445" s="57" t="s">
        <v>415</v>
      </c>
      <c r="D2445" s="58" t="n">
        <v>46076.4423726852</v>
      </c>
      <c r="E2445" s="58" t="n">
        <v>46076.4423726852</v>
      </c>
      <c r="F2445" s="58" t="n">
        <v>46076.9003009259</v>
      </c>
      <c r="G2445" s="59" t="n">
        <f aca="false">F2445-E2445</f>
        <v>0.457928240706019</v>
      </c>
      <c r="H2445" s="57" t="s">
        <v>252</v>
      </c>
      <c r="I2445" s="57"/>
      <c r="J2445" s="57" t="s">
        <v>333</v>
      </c>
      <c r="K2445" s="57" t="s">
        <v>334</v>
      </c>
      <c r="L2445" s="60" t="s">
        <v>3152</v>
      </c>
      <c r="M2445" s="57" t="s">
        <v>336</v>
      </c>
      <c r="N2445" s="57" t="s">
        <v>381</v>
      </c>
      <c r="O2445" s="57" t="s">
        <v>729</v>
      </c>
      <c r="P2445" s="57" t="s">
        <v>3153</v>
      </c>
      <c r="Q2445" s="57" t="s">
        <v>698</v>
      </c>
    </row>
    <row r="2446" s="50" customFormat="true" ht="14.25" hidden="false" customHeight="true" outlineLevel="0" collapsed="false">
      <c r="A2446" s="50" t="s">
        <v>727</v>
      </c>
      <c r="B2446" s="57" t="s">
        <v>727</v>
      </c>
      <c r="C2446" s="57" t="s">
        <v>415</v>
      </c>
      <c r="D2446" s="58" t="n">
        <v>46076.4343865741</v>
      </c>
      <c r="E2446" s="58" t="n">
        <v>46076.4343865741</v>
      </c>
      <c r="F2446" s="58" t="n">
        <v>46076.4349074074</v>
      </c>
      <c r="G2446" s="59" t="n">
        <f aca="false">F2446-E2446</f>
        <v>0.000520833298611111</v>
      </c>
      <c r="H2446" s="57" t="s">
        <v>252</v>
      </c>
      <c r="I2446" s="57"/>
      <c r="J2446" s="57" t="s">
        <v>333</v>
      </c>
      <c r="K2446" s="57" t="s">
        <v>334</v>
      </c>
      <c r="L2446" s="60" t="s">
        <v>3154</v>
      </c>
      <c r="M2446" s="57" t="s">
        <v>336</v>
      </c>
      <c r="N2446" s="57" t="s">
        <v>381</v>
      </c>
      <c r="O2446" s="57" t="s">
        <v>729</v>
      </c>
      <c r="P2446" s="57" t="s">
        <v>3155</v>
      </c>
      <c r="Q2446" s="57" t="s">
        <v>698</v>
      </c>
    </row>
    <row r="2447" s="50" customFormat="true" ht="14.25" hidden="false" customHeight="true" outlineLevel="0" collapsed="false">
      <c r="A2447" s="50" t="s">
        <v>727</v>
      </c>
      <c r="B2447" s="57" t="s">
        <v>727</v>
      </c>
      <c r="C2447" s="57" t="s">
        <v>415</v>
      </c>
      <c r="D2447" s="58" t="n">
        <v>46076.4181134259</v>
      </c>
      <c r="E2447" s="58" t="n">
        <v>46076.4181134259</v>
      </c>
      <c r="F2447" s="58" t="n">
        <v>46076.4186342593</v>
      </c>
      <c r="G2447" s="59" t="n">
        <f aca="false">F2447-E2447</f>
        <v>0.000520833402777778</v>
      </c>
      <c r="H2447" s="57" t="s">
        <v>252</v>
      </c>
      <c r="I2447" s="57"/>
      <c r="J2447" s="57" t="s">
        <v>333</v>
      </c>
      <c r="K2447" s="57" t="s">
        <v>334</v>
      </c>
      <c r="L2447" s="60" t="s">
        <v>3156</v>
      </c>
      <c r="M2447" s="57" t="s">
        <v>336</v>
      </c>
      <c r="N2447" s="57" t="s">
        <v>381</v>
      </c>
      <c r="O2447" s="57" t="s">
        <v>729</v>
      </c>
      <c r="P2447" s="57" t="s">
        <v>3157</v>
      </c>
      <c r="Q2447" s="57" t="s">
        <v>698</v>
      </c>
    </row>
    <row r="2448" s="50" customFormat="true" ht="14.25" hidden="false" customHeight="true" outlineLevel="0" collapsed="false">
      <c r="A2448" s="50" t="s">
        <v>727</v>
      </c>
      <c r="B2448" s="57" t="s">
        <v>727</v>
      </c>
      <c r="C2448" s="57" t="s">
        <v>415</v>
      </c>
      <c r="D2448" s="58" t="n">
        <v>46076.4106481482</v>
      </c>
      <c r="E2448" s="58" t="n">
        <v>46076.4106481482</v>
      </c>
      <c r="F2448" s="58" t="n">
        <v>46076.4111574074</v>
      </c>
      <c r="G2448" s="59" t="n">
        <f aca="false">F2448-E2448</f>
        <v>0.000509259201388889</v>
      </c>
      <c r="H2448" s="57" t="s">
        <v>252</v>
      </c>
      <c r="I2448" s="57"/>
      <c r="J2448" s="57" t="s">
        <v>333</v>
      </c>
      <c r="K2448" s="57" t="s">
        <v>334</v>
      </c>
      <c r="L2448" s="60" t="s">
        <v>3158</v>
      </c>
      <c r="M2448" s="57" t="s">
        <v>336</v>
      </c>
      <c r="N2448" s="57" t="s">
        <v>381</v>
      </c>
      <c r="O2448" s="57" t="s">
        <v>729</v>
      </c>
      <c r="P2448" s="57" t="s">
        <v>3159</v>
      </c>
      <c r="Q2448" s="57" t="s">
        <v>698</v>
      </c>
    </row>
    <row r="2449" s="50" customFormat="true" ht="14.25" hidden="false" customHeight="true" outlineLevel="0" collapsed="false">
      <c r="A2449" s="50" t="s">
        <v>727</v>
      </c>
      <c r="B2449" s="57" t="s">
        <v>727</v>
      </c>
      <c r="C2449" s="57" t="s">
        <v>415</v>
      </c>
      <c r="D2449" s="58" t="n">
        <v>46076.404525463</v>
      </c>
      <c r="E2449" s="58" t="n">
        <v>46076.404525463</v>
      </c>
      <c r="F2449" s="58" t="n">
        <v>46076.4050694444</v>
      </c>
      <c r="G2449" s="59" t="n">
        <f aca="false">F2449-E2449</f>
        <v>0.000543981400462963</v>
      </c>
      <c r="H2449" s="57" t="s">
        <v>252</v>
      </c>
      <c r="I2449" s="57"/>
      <c r="J2449" s="57" t="s">
        <v>333</v>
      </c>
      <c r="K2449" s="57" t="s">
        <v>334</v>
      </c>
      <c r="L2449" s="60" t="s">
        <v>3160</v>
      </c>
      <c r="M2449" s="57" t="s">
        <v>336</v>
      </c>
      <c r="N2449" s="57" t="s">
        <v>381</v>
      </c>
      <c r="O2449" s="57" t="s">
        <v>729</v>
      </c>
      <c r="P2449" s="57" t="s">
        <v>3161</v>
      </c>
      <c r="Q2449" s="57" t="s">
        <v>698</v>
      </c>
    </row>
    <row r="2450" s="50" customFormat="true" ht="14.25" hidden="false" customHeight="true" outlineLevel="0" collapsed="false">
      <c r="A2450" s="50" t="s">
        <v>727</v>
      </c>
      <c r="B2450" s="57" t="s">
        <v>727</v>
      </c>
      <c r="C2450" s="57" t="s">
        <v>415</v>
      </c>
      <c r="D2450" s="58" t="n">
        <v>46076.3720138889</v>
      </c>
      <c r="E2450" s="58" t="n">
        <v>46076.3720138889</v>
      </c>
      <c r="F2450" s="58" t="n">
        <v>46076.3725462963</v>
      </c>
      <c r="G2450" s="59" t="n">
        <f aca="false">F2450-E2450</f>
        <v>0.000532407407407407</v>
      </c>
      <c r="H2450" s="57" t="s">
        <v>252</v>
      </c>
      <c r="I2450" s="57"/>
      <c r="J2450" s="57" t="s">
        <v>333</v>
      </c>
      <c r="K2450" s="57" t="s">
        <v>334</v>
      </c>
      <c r="L2450" s="60" t="s">
        <v>3162</v>
      </c>
      <c r="M2450" s="57" t="s">
        <v>336</v>
      </c>
      <c r="N2450" s="57" t="s">
        <v>381</v>
      </c>
      <c r="O2450" s="57" t="s">
        <v>729</v>
      </c>
      <c r="P2450" s="57" t="s">
        <v>3163</v>
      </c>
      <c r="Q2450" s="57" t="s">
        <v>698</v>
      </c>
    </row>
    <row r="2451" s="50" customFormat="true" ht="14.25" hidden="false" customHeight="true" outlineLevel="0" collapsed="false">
      <c r="A2451" s="50" t="s">
        <v>727</v>
      </c>
      <c r="B2451" s="57" t="s">
        <v>727</v>
      </c>
      <c r="C2451" s="57" t="s">
        <v>415</v>
      </c>
      <c r="D2451" s="58" t="n">
        <v>46076.3651157407</v>
      </c>
      <c r="E2451" s="58" t="n">
        <v>46076.3651157407</v>
      </c>
      <c r="F2451" s="58" t="n">
        <v>46076.3657175926</v>
      </c>
      <c r="G2451" s="59" t="n">
        <f aca="false">F2451-E2451</f>
        <v>0.000601851898148148</v>
      </c>
      <c r="H2451" s="57" t="s">
        <v>252</v>
      </c>
      <c r="I2451" s="57"/>
      <c r="J2451" s="57" t="s">
        <v>333</v>
      </c>
      <c r="K2451" s="57" t="s">
        <v>334</v>
      </c>
      <c r="L2451" s="60" t="s">
        <v>3164</v>
      </c>
      <c r="M2451" s="57" t="s">
        <v>336</v>
      </c>
      <c r="N2451" s="57" t="s">
        <v>381</v>
      </c>
      <c r="O2451" s="57" t="s">
        <v>729</v>
      </c>
      <c r="P2451" s="57" t="s">
        <v>3165</v>
      </c>
      <c r="Q2451" s="57" t="s">
        <v>698</v>
      </c>
    </row>
    <row r="2452" s="50" customFormat="true" ht="14.25" hidden="false" customHeight="true" outlineLevel="0" collapsed="false">
      <c r="A2452" s="50" t="s">
        <v>727</v>
      </c>
      <c r="B2452" s="57" t="s">
        <v>727</v>
      </c>
      <c r="C2452" s="57" t="s">
        <v>415</v>
      </c>
      <c r="D2452" s="58" t="n">
        <v>46076.2842013889</v>
      </c>
      <c r="E2452" s="58" t="n">
        <v>46076.2842013889</v>
      </c>
      <c r="F2452" s="58" t="n">
        <v>46076.285150463</v>
      </c>
      <c r="G2452" s="59" t="n">
        <f aca="false">F2452-E2452</f>
        <v>0.000949074097222222</v>
      </c>
      <c r="H2452" s="57" t="s">
        <v>252</v>
      </c>
      <c r="I2452" s="57"/>
      <c r="J2452" s="57" t="s">
        <v>333</v>
      </c>
      <c r="K2452" s="57" t="s">
        <v>334</v>
      </c>
      <c r="L2452" s="60" t="s">
        <v>3166</v>
      </c>
      <c r="M2452" s="57" t="s">
        <v>336</v>
      </c>
      <c r="N2452" s="57" t="s">
        <v>381</v>
      </c>
      <c r="O2452" s="57" t="s">
        <v>729</v>
      </c>
      <c r="P2452" s="57" t="s">
        <v>3167</v>
      </c>
      <c r="Q2452" s="57" t="s">
        <v>698</v>
      </c>
    </row>
    <row r="2453" s="50" customFormat="true" ht="14.25" hidden="false" customHeight="true" outlineLevel="0" collapsed="false">
      <c r="A2453" s="50" t="s">
        <v>727</v>
      </c>
      <c r="B2453" s="57" t="s">
        <v>727</v>
      </c>
      <c r="C2453" s="57" t="s">
        <v>415</v>
      </c>
      <c r="D2453" s="58" t="n">
        <v>46076.2523611111</v>
      </c>
      <c r="E2453" s="58" t="n">
        <v>46076.2523611111</v>
      </c>
      <c r="F2453" s="58" t="n">
        <v>46076.2840393519</v>
      </c>
      <c r="G2453" s="59" t="n">
        <f aca="false">F2453-E2453</f>
        <v>0.0316782407986111</v>
      </c>
      <c r="H2453" s="57" t="s">
        <v>252</v>
      </c>
      <c r="I2453" s="57"/>
      <c r="J2453" s="57" t="s">
        <v>333</v>
      </c>
      <c r="K2453" s="57" t="s">
        <v>334</v>
      </c>
      <c r="L2453" s="60" t="s">
        <v>3168</v>
      </c>
      <c r="M2453" s="57" t="s">
        <v>336</v>
      </c>
      <c r="N2453" s="57" t="s">
        <v>381</v>
      </c>
      <c r="O2453" s="57" t="s">
        <v>729</v>
      </c>
      <c r="P2453" s="57" t="s">
        <v>3169</v>
      </c>
      <c r="Q2453" s="57" t="s">
        <v>698</v>
      </c>
    </row>
    <row r="2454" s="50" customFormat="true" ht="14.25" hidden="false" customHeight="true" outlineLevel="0" collapsed="false">
      <c r="A2454" s="50" t="s">
        <v>727</v>
      </c>
      <c r="B2454" s="57" t="s">
        <v>727</v>
      </c>
      <c r="C2454" s="57" t="s">
        <v>415</v>
      </c>
      <c r="D2454" s="58" t="n">
        <v>46076.2519444445</v>
      </c>
      <c r="E2454" s="58" t="n">
        <v>46076.2519444445</v>
      </c>
      <c r="F2454" s="58" t="n">
        <v>46076.2840393519</v>
      </c>
      <c r="G2454" s="59" t="n">
        <f aca="false">F2454-E2454</f>
        <v>0.0320949074074074</v>
      </c>
      <c r="H2454" s="57" t="s">
        <v>252</v>
      </c>
      <c r="I2454" s="57"/>
      <c r="J2454" s="57" t="s">
        <v>333</v>
      </c>
      <c r="K2454" s="57" t="s">
        <v>334</v>
      </c>
      <c r="L2454" s="60" t="s">
        <v>3170</v>
      </c>
      <c r="M2454" s="57" t="s">
        <v>336</v>
      </c>
      <c r="N2454" s="57" t="s">
        <v>381</v>
      </c>
      <c r="O2454" s="57" t="s">
        <v>729</v>
      </c>
      <c r="P2454" s="57" t="s">
        <v>3171</v>
      </c>
      <c r="Q2454" s="57" t="s">
        <v>698</v>
      </c>
    </row>
    <row r="2455" s="50" customFormat="true" ht="14.25" hidden="false" customHeight="true" outlineLevel="0" collapsed="false">
      <c r="A2455" s="50" t="s">
        <v>727</v>
      </c>
      <c r="B2455" s="57" t="s">
        <v>727</v>
      </c>
      <c r="C2455" s="57" t="s">
        <v>415</v>
      </c>
      <c r="D2455" s="58" t="n">
        <v>46075.7790277778</v>
      </c>
      <c r="E2455" s="58" t="n">
        <v>46075.7790277778</v>
      </c>
      <c r="F2455" s="58" t="n">
        <v>46075.7813425926</v>
      </c>
      <c r="G2455" s="59" t="n">
        <f aca="false">F2455-E2455</f>
        <v>0.00231481480324074</v>
      </c>
      <c r="H2455" s="57" t="s">
        <v>252</v>
      </c>
      <c r="I2455" s="57"/>
      <c r="J2455" s="57" t="s">
        <v>333</v>
      </c>
      <c r="K2455" s="57" t="s">
        <v>334</v>
      </c>
      <c r="L2455" s="60" t="s">
        <v>3172</v>
      </c>
      <c r="M2455" s="57" t="s">
        <v>336</v>
      </c>
      <c r="N2455" s="57" t="s">
        <v>381</v>
      </c>
      <c r="O2455" s="57" t="s">
        <v>729</v>
      </c>
      <c r="P2455" s="57" t="s">
        <v>3173</v>
      </c>
      <c r="Q2455" s="57" t="s">
        <v>698</v>
      </c>
    </row>
    <row r="2456" s="50" customFormat="true" ht="14.25" hidden="false" customHeight="true" outlineLevel="0" collapsed="false">
      <c r="A2456" s="50" t="s">
        <v>727</v>
      </c>
      <c r="B2456" s="57" t="s">
        <v>727</v>
      </c>
      <c r="C2456" s="57" t="s">
        <v>415</v>
      </c>
      <c r="D2456" s="58" t="n">
        <v>46075.751875</v>
      </c>
      <c r="E2456" s="58" t="n">
        <v>46075.751875</v>
      </c>
      <c r="F2456" s="58" t="n">
        <v>46075.7813425926</v>
      </c>
      <c r="G2456" s="59" t="n">
        <f aca="false">F2456-E2456</f>
        <v>0.0294675925925926</v>
      </c>
      <c r="H2456" s="57" t="s">
        <v>252</v>
      </c>
      <c r="I2456" s="57"/>
      <c r="J2456" s="57" t="s">
        <v>333</v>
      </c>
      <c r="K2456" s="57" t="s">
        <v>334</v>
      </c>
      <c r="L2456" s="60" t="s">
        <v>3174</v>
      </c>
      <c r="M2456" s="57" t="s">
        <v>336</v>
      </c>
      <c r="N2456" s="57" t="s">
        <v>381</v>
      </c>
      <c r="O2456" s="57" t="s">
        <v>729</v>
      </c>
      <c r="P2456" s="57" t="s">
        <v>3175</v>
      </c>
      <c r="Q2456" s="57" t="s">
        <v>698</v>
      </c>
    </row>
    <row r="2457" s="50" customFormat="true" ht="14.25" hidden="false" customHeight="true" outlineLevel="0" collapsed="false">
      <c r="A2457" s="50" t="s">
        <v>727</v>
      </c>
      <c r="B2457" s="57" t="s">
        <v>727</v>
      </c>
      <c r="C2457" s="57" t="s">
        <v>415</v>
      </c>
      <c r="D2457" s="58" t="n">
        <v>46075.751875</v>
      </c>
      <c r="E2457" s="58" t="n">
        <v>46075.751875</v>
      </c>
      <c r="F2457" s="58" t="n">
        <v>46075.7748148148</v>
      </c>
      <c r="G2457" s="59" t="n">
        <f aca="false">F2457-E2457</f>
        <v>0.0229398148032407</v>
      </c>
      <c r="H2457" s="57" t="s">
        <v>252</v>
      </c>
      <c r="I2457" s="57"/>
      <c r="J2457" s="57" t="s">
        <v>333</v>
      </c>
      <c r="K2457" s="57" t="s">
        <v>334</v>
      </c>
      <c r="L2457" s="60" t="s">
        <v>3176</v>
      </c>
      <c r="M2457" s="57" t="s">
        <v>336</v>
      </c>
      <c r="N2457" s="57" t="s">
        <v>381</v>
      </c>
      <c r="O2457" s="57" t="s">
        <v>729</v>
      </c>
      <c r="P2457" s="57" t="s">
        <v>3177</v>
      </c>
      <c r="Q2457" s="57" t="s">
        <v>698</v>
      </c>
    </row>
    <row r="2458" s="50" customFormat="true" ht="14.25" hidden="false" customHeight="true" outlineLevel="0" collapsed="false">
      <c r="A2458" s="50" t="s">
        <v>727</v>
      </c>
      <c r="B2458" s="57" t="s">
        <v>727</v>
      </c>
      <c r="C2458" s="57" t="s">
        <v>415</v>
      </c>
      <c r="D2458" s="58" t="n">
        <v>46075.7512152778</v>
      </c>
      <c r="E2458" s="58" t="n">
        <v>46075.7512152778</v>
      </c>
      <c r="F2458" s="58" t="n">
        <v>46075.7517013889</v>
      </c>
      <c r="G2458" s="59" t="n">
        <f aca="false">F2458-E2458</f>
        <v>0.000486111111111111</v>
      </c>
      <c r="H2458" s="57" t="s">
        <v>252</v>
      </c>
      <c r="I2458" s="57"/>
      <c r="J2458" s="57" t="s">
        <v>333</v>
      </c>
      <c r="K2458" s="57" t="s">
        <v>334</v>
      </c>
      <c r="L2458" s="60" t="s">
        <v>3178</v>
      </c>
      <c r="M2458" s="57" t="s">
        <v>336</v>
      </c>
      <c r="N2458" s="57" t="s">
        <v>381</v>
      </c>
      <c r="O2458" s="57" t="s">
        <v>729</v>
      </c>
      <c r="P2458" s="57" t="s">
        <v>3179</v>
      </c>
      <c r="Q2458" s="57" t="s">
        <v>698</v>
      </c>
    </row>
    <row r="2459" s="50" customFormat="true" ht="14.25" hidden="false" customHeight="true" outlineLevel="0" collapsed="false">
      <c r="A2459" s="50" t="s">
        <v>727</v>
      </c>
      <c r="B2459" s="57" t="s">
        <v>727</v>
      </c>
      <c r="C2459" s="57" t="s">
        <v>415</v>
      </c>
      <c r="D2459" s="58" t="n">
        <v>46075.7464351852</v>
      </c>
      <c r="E2459" s="58" t="n">
        <v>46075.7464351852</v>
      </c>
      <c r="F2459" s="58" t="n">
        <v>46075.7510300926</v>
      </c>
      <c r="G2459" s="59" t="n">
        <f aca="false">F2459-E2459</f>
        <v>0.00459490740740741</v>
      </c>
      <c r="H2459" s="57" t="s">
        <v>252</v>
      </c>
      <c r="I2459" s="57"/>
      <c r="J2459" s="57" t="s">
        <v>333</v>
      </c>
      <c r="K2459" s="57" t="s">
        <v>334</v>
      </c>
      <c r="L2459" s="60" t="s">
        <v>3180</v>
      </c>
      <c r="M2459" s="57" t="s">
        <v>336</v>
      </c>
      <c r="N2459" s="57" t="s">
        <v>381</v>
      </c>
      <c r="O2459" s="57" t="s">
        <v>729</v>
      </c>
      <c r="P2459" s="57" t="s">
        <v>3181</v>
      </c>
      <c r="Q2459" s="57" t="s">
        <v>698</v>
      </c>
    </row>
    <row r="2460" s="50" customFormat="true" ht="14.25" hidden="false" customHeight="true" outlineLevel="0" collapsed="false">
      <c r="A2460" s="50" t="s">
        <v>727</v>
      </c>
      <c r="B2460" s="57" t="s">
        <v>727</v>
      </c>
      <c r="C2460" s="57" t="s">
        <v>415</v>
      </c>
      <c r="D2460" s="58" t="n">
        <v>46075.7416087963</v>
      </c>
      <c r="E2460" s="58" t="n">
        <v>46075.7416087963</v>
      </c>
      <c r="F2460" s="58" t="n">
        <v>46075.74625</v>
      </c>
      <c r="G2460" s="59" t="n">
        <f aca="false">F2460-E2460</f>
        <v>0.0046412037037037</v>
      </c>
      <c r="H2460" s="57" t="s">
        <v>252</v>
      </c>
      <c r="I2460" s="57"/>
      <c r="J2460" s="57" t="s">
        <v>333</v>
      </c>
      <c r="K2460" s="57" t="s">
        <v>334</v>
      </c>
      <c r="L2460" s="60" t="s">
        <v>3182</v>
      </c>
      <c r="M2460" s="57" t="s">
        <v>336</v>
      </c>
      <c r="N2460" s="57" t="s">
        <v>381</v>
      </c>
      <c r="O2460" s="57" t="s">
        <v>729</v>
      </c>
      <c r="P2460" s="57" t="s">
        <v>3183</v>
      </c>
      <c r="Q2460" s="57" t="s">
        <v>698</v>
      </c>
    </row>
    <row r="2461" s="50" customFormat="true" ht="14.25" hidden="false" customHeight="true" outlineLevel="0" collapsed="false">
      <c r="A2461" s="50" t="s">
        <v>727</v>
      </c>
      <c r="B2461" s="57" t="s">
        <v>727</v>
      </c>
      <c r="C2461" s="57" t="s">
        <v>415</v>
      </c>
      <c r="D2461" s="58" t="n">
        <v>46075.7367361111</v>
      </c>
      <c r="E2461" s="58" t="n">
        <v>46075.7367361111</v>
      </c>
      <c r="F2461" s="58" t="n">
        <v>46075.7413773148</v>
      </c>
      <c r="G2461" s="59" t="n">
        <f aca="false">F2461-E2461</f>
        <v>0.0046412037037037</v>
      </c>
      <c r="H2461" s="57" t="s">
        <v>252</v>
      </c>
      <c r="I2461" s="57"/>
      <c r="J2461" s="57" t="s">
        <v>333</v>
      </c>
      <c r="K2461" s="57" t="s">
        <v>334</v>
      </c>
      <c r="L2461" s="60" t="s">
        <v>3184</v>
      </c>
      <c r="M2461" s="57" t="s">
        <v>336</v>
      </c>
      <c r="N2461" s="57" t="s">
        <v>381</v>
      </c>
      <c r="O2461" s="57" t="s">
        <v>729</v>
      </c>
      <c r="P2461" s="57" t="s">
        <v>3185</v>
      </c>
      <c r="Q2461" s="57" t="s">
        <v>698</v>
      </c>
    </row>
    <row r="2462" s="50" customFormat="true" ht="14.25" hidden="false" customHeight="true" outlineLevel="0" collapsed="false">
      <c r="A2462" s="50" t="s">
        <v>727</v>
      </c>
      <c r="B2462" s="57" t="s">
        <v>727</v>
      </c>
      <c r="C2462" s="57" t="s">
        <v>415</v>
      </c>
      <c r="D2462" s="58" t="n">
        <v>46075.7351157407</v>
      </c>
      <c r="E2462" s="58" t="n">
        <v>46075.7351157407</v>
      </c>
      <c r="F2462" s="58" t="n">
        <v>46075.735625</v>
      </c>
      <c r="G2462" s="59" t="n">
        <f aca="false">F2462-E2462</f>
        <v>0.000509259293981482</v>
      </c>
      <c r="H2462" s="57" t="s">
        <v>252</v>
      </c>
      <c r="I2462" s="57"/>
      <c r="J2462" s="57" t="s">
        <v>333</v>
      </c>
      <c r="K2462" s="57" t="s">
        <v>334</v>
      </c>
      <c r="L2462" s="60" t="s">
        <v>3186</v>
      </c>
      <c r="M2462" s="57" t="s">
        <v>336</v>
      </c>
      <c r="N2462" s="57" t="s">
        <v>381</v>
      </c>
      <c r="O2462" s="57" t="s">
        <v>729</v>
      </c>
      <c r="P2462" s="57" t="s">
        <v>3187</v>
      </c>
      <c r="Q2462" s="57" t="s">
        <v>698</v>
      </c>
    </row>
    <row r="2463" s="50" customFormat="true" ht="14.25" hidden="false" customHeight="true" outlineLevel="0" collapsed="false">
      <c r="A2463" s="50" t="s">
        <v>727</v>
      </c>
      <c r="B2463" s="57" t="s">
        <v>727</v>
      </c>
      <c r="C2463" s="57" t="s">
        <v>415</v>
      </c>
      <c r="D2463" s="58" t="n">
        <v>46075.7307175926</v>
      </c>
      <c r="E2463" s="58" t="n">
        <v>46075.7307175926</v>
      </c>
      <c r="F2463" s="58" t="n">
        <v>46075.7312384259</v>
      </c>
      <c r="G2463" s="59" t="n">
        <f aca="false">F2463-E2463</f>
        <v>0.000520833298611111</v>
      </c>
      <c r="H2463" s="57" t="s">
        <v>252</v>
      </c>
      <c r="I2463" s="57"/>
      <c r="J2463" s="57" t="s">
        <v>333</v>
      </c>
      <c r="K2463" s="57" t="s">
        <v>334</v>
      </c>
      <c r="L2463" s="60" t="s">
        <v>3188</v>
      </c>
      <c r="M2463" s="57" t="s">
        <v>336</v>
      </c>
      <c r="N2463" s="57" t="s">
        <v>381</v>
      </c>
      <c r="O2463" s="57" t="s">
        <v>729</v>
      </c>
      <c r="P2463" s="57" t="s">
        <v>3189</v>
      </c>
      <c r="Q2463" s="57" t="s">
        <v>698</v>
      </c>
    </row>
    <row r="2464" s="50" customFormat="true" ht="14.25" hidden="false" customHeight="true" outlineLevel="0" collapsed="false">
      <c r="A2464" s="50" t="s">
        <v>727</v>
      </c>
      <c r="B2464" s="57" t="s">
        <v>727</v>
      </c>
      <c r="C2464" s="57" t="s">
        <v>415</v>
      </c>
      <c r="D2464" s="58" t="n">
        <v>46075.7296296296</v>
      </c>
      <c r="E2464" s="58" t="n">
        <v>46075.7296296296</v>
      </c>
      <c r="F2464" s="58" t="n">
        <v>46075.730150463</v>
      </c>
      <c r="G2464" s="59" t="n">
        <f aca="false">F2464-E2464</f>
        <v>0.000520833402777778</v>
      </c>
      <c r="H2464" s="57" t="s">
        <v>252</v>
      </c>
      <c r="I2464" s="57"/>
      <c r="J2464" s="57" t="s">
        <v>333</v>
      </c>
      <c r="K2464" s="57" t="s">
        <v>334</v>
      </c>
      <c r="L2464" s="60" t="s">
        <v>3190</v>
      </c>
      <c r="M2464" s="57" t="s">
        <v>336</v>
      </c>
      <c r="N2464" s="57" t="s">
        <v>381</v>
      </c>
      <c r="O2464" s="57" t="s">
        <v>729</v>
      </c>
      <c r="P2464" s="57" t="s">
        <v>3191</v>
      </c>
      <c r="Q2464" s="57" t="s">
        <v>698</v>
      </c>
    </row>
    <row r="2465" s="50" customFormat="true" ht="14.25" hidden="false" customHeight="true" outlineLevel="0" collapsed="false">
      <c r="A2465" s="50" t="s">
        <v>727</v>
      </c>
      <c r="B2465" s="57" t="s">
        <v>727</v>
      </c>
      <c r="C2465" s="57" t="s">
        <v>415</v>
      </c>
      <c r="D2465" s="58" t="n">
        <v>46075.7280324074</v>
      </c>
      <c r="E2465" s="58" t="n">
        <v>46075.7280324074</v>
      </c>
      <c r="F2465" s="58" t="n">
        <v>46075.7285416667</v>
      </c>
      <c r="G2465" s="59" t="n">
        <f aca="false">F2465-E2465</f>
        <v>0.000509259293981482</v>
      </c>
      <c r="H2465" s="57" t="s">
        <v>252</v>
      </c>
      <c r="I2465" s="57"/>
      <c r="J2465" s="57" t="s">
        <v>333</v>
      </c>
      <c r="K2465" s="57" t="s">
        <v>334</v>
      </c>
      <c r="L2465" s="60" t="s">
        <v>3192</v>
      </c>
      <c r="M2465" s="57" t="s">
        <v>336</v>
      </c>
      <c r="N2465" s="57" t="s">
        <v>381</v>
      </c>
      <c r="O2465" s="57" t="s">
        <v>729</v>
      </c>
      <c r="P2465" s="57" t="s">
        <v>3193</v>
      </c>
      <c r="Q2465" s="57" t="s">
        <v>698</v>
      </c>
    </row>
    <row r="2466" s="50" customFormat="true" ht="14.25" hidden="false" customHeight="true" outlineLevel="0" collapsed="false">
      <c r="A2466" s="50" t="s">
        <v>727</v>
      </c>
      <c r="B2466" s="57" t="s">
        <v>727</v>
      </c>
      <c r="C2466" s="57" t="s">
        <v>415</v>
      </c>
      <c r="D2466" s="58" t="n">
        <v>46075.7254166667</v>
      </c>
      <c r="E2466" s="58" t="n">
        <v>46075.7254166667</v>
      </c>
      <c r="F2466" s="58" t="n">
        <v>46075.7259490741</v>
      </c>
      <c r="G2466" s="59" t="n">
        <f aca="false">F2466-E2466</f>
        <v>0.000532407407407407</v>
      </c>
      <c r="H2466" s="57" t="s">
        <v>252</v>
      </c>
      <c r="I2466" s="57"/>
      <c r="J2466" s="57" t="s">
        <v>333</v>
      </c>
      <c r="K2466" s="57" t="s">
        <v>334</v>
      </c>
      <c r="L2466" s="60" t="s">
        <v>3194</v>
      </c>
      <c r="M2466" s="57" t="s">
        <v>336</v>
      </c>
      <c r="N2466" s="57" t="s">
        <v>381</v>
      </c>
      <c r="O2466" s="57" t="s">
        <v>729</v>
      </c>
      <c r="P2466" s="57" t="s">
        <v>3195</v>
      </c>
      <c r="Q2466" s="57" t="s">
        <v>698</v>
      </c>
    </row>
    <row r="2467" s="50" customFormat="true" ht="14.25" hidden="false" customHeight="true" outlineLevel="0" collapsed="false">
      <c r="A2467" s="50" t="s">
        <v>727</v>
      </c>
      <c r="B2467" s="57" t="s">
        <v>727</v>
      </c>
      <c r="C2467" s="57" t="s">
        <v>415</v>
      </c>
      <c r="D2467" s="58" t="n">
        <v>46075.7233333333</v>
      </c>
      <c r="E2467" s="58" t="n">
        <v>46075.7233333333</v>
      </c>
      <c r="F2467" s="58" t="n">
        <v>46075.7238541667</v>
      </c>
      <c r="G2467" s="59" t="n">
        <f aca="false">F2467-E2467</f>
        <v>0.000520833402777778</v>
      </c>
      <c r="H2467" s="57" t="s">
        <v>252</v>
      </c>
      <c r="I2467" s="57"/>
      <c r="J2467" s="57" t="s">
        <v>333</v>
      </c>
      <c r="K2467" s="57" t="s">
        <v>334</v>
      </c>
      <c r="L2467" s="60" t="s">
        <v>3196</v>
      </c>
      <c r="M2467" s="57" t="s">
        <v>336</v>
      </c>
      <c r="N2467" s="57" t="s">
        <v>381</v>
      </c>
      <c r="O2467" s="57" t="s">
        <v>729</v>
      </c>
      <c r="P2467" s="57" t="s">
        <v>3197</v>
      </c>
      <c r="Q2467" s="57" t="s">
        <v>698</v>
      </c>
    </row>
    <row r="2468" s="50" customFormat="true" ht="14.25" hidden="false" customHeight="true" outlineLevel="0" collapsed="false">
      <c r="A2468" s="50" t="s">
        <v>727</v>
      </c>
      <c r="B2468" s="57" t="s">
        <v>727</v>
      </c>
      <c r="C2468" s="57" t="s">
        <v>415</v>
      </c>
      <c r="D2468" s="58" t="n">
        <v>46075.6493055556</v>
      </c>
      <c r="E2468" s="58" t="n">
        <v>46075.6493055556</v>
      </c>
      <c r="F2468" s="58" t="n">
        <v>46075.6781712963</v>
      </c>
      <c r="G2468" s="59" t="n">
        <f aca="false">F2468-E2468</f>
        <v>0.0288657406944444</v>
      </c>
      <c r="H2468" s="57" t="s">
        <v>252</v>
      </c>
      <c r="I2468" s="57"/>
      <c r="J2468" s="57" t="s">
        <v>333</v>
      </c>
      <c r="K2468" s="57" t="s">
        <v>334</v>
      </c>
      <c r="L2468" s="60" t="s">
        <v>3198</v>
      </c>
      <c r="M2468" s="57" t="s">
        <v>336</v>
      </c>
      <c r="N2468" s="57" t="s">
        <v>381</v>
      </c>
      <c r="O2468" s="57" t="s">
        <v>729</v>
      </c>
      <c r="P2468" s="57" t="s">
        <v>3199</v>
      </c>
      <c r="Q2468" s="57" t="s">
        <v>698</v>
      </c>
    </row>
    <row r="2469" s="50" customFormat="true" ht="14.25" hidden="false" customHeight="true" outlineLevel="0" collapsed="false">
      <c r="A2469" s="50" t="s">
        <v>727</v>
      </c>
      <c r="B2469" s="57" t="s">
        <v>727</v>
      </c>
      <c r="C2469" s="57" t="s">
        <v>415</v>
      </c>
      <c r="D2469" s="58" t="n">
        <v>46075.6486574074</v>
      </c>
      <c r="E2469" s="58" t="n">
        <v>46075.6486574074</v>
      </c>
      <c r="F2469" s="58" t="n">
        <v>46075.6491319445</v>
      </c>
      <c r="G2469" s="59" t="n">
        <f aca="false">F2469-E2469</f>
        <v>0.000474537094907407</v>
      </c>
      <c r="H2469" s="57" t="s">
        <v>252</v>
      </c>
      <c r="I2469" s="57"/>
      <c r="J2469" s="57" t="s">
        <v>333</v>
      </c>
      <c r="K2469" s="57" t="s">
        <v>334</v>
      </c>
      <c r="L2469" s="60" t="s">
        <v>3200</v>
      </c>
      <c r="M2469" s="57" t="s">
        <v>336</v>
      </c>
      <c r="N2469" s="57" t="s">
        <v>381</v>
      </c>
      <c r="O2469" s="57" t="s">
        <v>729</v>
      </c>
      <c r="P2469" s="57" t="s">
        <v>3201</v>
      </c>
      <c r="Q2469" s="57" t="s">
        <v>698</v>
      </c>
    </row>
    <row r="2470" s="50" customFormat="true" ht="14.25" hidden="false" customHeight="true" outlineLevel="0" collapsed="false">
      <c r="A2470" s="50" t="s">
        <v>727</v>
      </c>
      <c r="B2470" s="57" t="s">
        <v>727</v>
      </c>
      <c r="C2470" s="57" t="s">
        <v>415</v>
      </c>
      <c r="D2470" s="58" t="n">
        <v>46075.6479861111</v>
      </c>
      <c r="E2470" s="58" t="n">
        <v>46075.6479861111</v>
      </c>
      <c r="F2470" s="58" t="n">
        <v>46075.6484722222</v>
      </c>
      <c r="G2470" s="59" t="n">
        <f aca="false">F2470-E2470</f>
        <v>0.000486111111111111</v>
      </c>
      <c r="H2470" s="57" t="s">
        <v>252</v>
      </c>
      <c r="I2470" s="57"/>
      <c r="J2470" s="57" t="s">
        <v>333</v>
      </c>
      <c r="K2470" s="57" t="s">
        <v>334</v>
      </c>
      <c r="L2470" s="60" t="s">
        <v>3202</v>
      </c>
      <c r="M2470" s="57" t="s">
        <v>336</v>
      </c>
      <c r="N2470" s="57" t="s">
        <v>381</v>
      </c>
      <c r="O2470" s="57" t="s">
        <v>729</v>
      </c>
      <c r="P2470" s="57" t="s">
        <v>3203</v>
      </c>
      <c r="Q2470" s="57" t="s">
        <v>698</v>
      </c>
    </row>
    <row r="2471" s="50" customFormat="true" ht="14.25" hidden="false" customHeight="true" outlineLevel="0" collapsed="false">
      <c r="A2471" s="50" t="s">
        <v>727</v>
      </c>
      <c r="B2471" s="57" t="s">
        <v>727</v>
      </c>
      <c r="C2471" s="57" t="s">
        <v>415</v>
      </c>
      <c r="D2471" s="58" t="n">
        <v>46075.6473148148</v>
      </c>
      <c r="E2471" s="58" t="n">
        <v>46075.6473148148</v>
      </c>
      <c r="F2471" s="58" t="n">
        <v>46075.6478125</v>
      </c>
      <c r="G2471" s="59" t="n">
        <f aca="false">F2471-E2471</f>
        <v>0.000497685196759259</v>
      </c>
      <c r="H2471" s="57" t="s">
        <v>252</v>
      </c>
      <c r="I2471" s="57"/>
      <c r="J2471" s="57" t="s">
        <v>333</v>
      </c>
      <c r="K2471" s="57" t="s">
        <v>334</v>
      </c>
      <c r="L2471" s="60" t="s">
        <v>3204</v>
      </c>
      <c r="M2471" s="57" t="s">
        <v>336</v>
      </c>
      <c r="N2471" s="57" t="s">
        <v>381</v>
      </c>
      <c r="O2471" s="57" t="s">
        <v>729</v>
      </c>
      <c r="P2471" s="57" t="s">
        <v>3205</v>
      </c>
      <c r="Q2471" s="57" t="s">
        <v>698</v>
      </c>
    </row>
    <row r="2472" s="50" customFormat="true" ht="14.25" hidden="false" customHeight="true" outlineLevel="0" collapsed="false">
      <c r="A2472" s="50" t="s">
        <v>727</v>
      </c>
      <c r="B2472" s="57" t="s">
        <v>727</v>
      </c>
      <c r="C2472" s="57" t="s">
        <v>415</v>
      </c>
      <c r="D2472" s="58" t="n">
        <v>46075.6466435185</v>
      </c>
      <c r="E2472" s="58" t="n">
        <v>46075.6466435185</v>
      </c>
      <c r="F2472" s="58" t="n">
        <v>46075.6471412037</v>
      </c>
      <c r="G2472" s="59" t="n">
        <f aca="false">F2472-E2472</f>
        <v>0.000497685196759259</v>
      </c>
      <c r="H2472" s="57" t="s">
        <v>252</v>
      </c>
      <c r="I2472" s="57"/>
      <c r="J2472" s="57" t="s">
        <v>333</v>
      </c>
      <c r="K2472" s="57" t="s">
        <v>334</v>
      </c>
      <c r="L2472" s="60" t="s">
        <v>3206</v>
      </c>
      <c r="M2472" s="57" t="s">
        <v>336</v>
      </c>
      <c r="N2472" s="57" t="s">
        <v>381</v>
      </c>
      <c r="O2472" s="57" t="s">
        <v>729</v>
      </c>
      <c r="P2472" s="57" t="s">
        <v>3207</v>
      </c>
      <c r="Q2472" s="57" t="s">
        <v>698</v>
      </c>
    </row>
    <row r="2473" s="50" customFormat="true" ht="14.25" hidden="false" customHeight="true" outlineLevel="0" collapsed="false">
      <c r="A2473" s="50" t="s">
        <v>727</v>
      </c>
      <c r="B2473" s="57" t="s">
        <v>727</v>
      </c>
      <c r="C2473" s="57" t="s">
        <v>415</v>
      </c>
      <c r="D2473" s="58" t="n">
        <v>46075.6418402778</v>
      </c>
      <c r="E2473" s="58" t="n">
        <v>46075.6418402778</v>
      </c>
      <c r="F2473" s="58" t="n">
        <v>46075.6464583333</v>
      </c>
      <c r="G2473" s="59" t="n">
        <f aca="false">F2473-E2473</f>
        <v>0.00461805549768519</v>
      </c>
      <c r="H2473" s="57" t="s">
        <v>252</v>
      </c>
      <c r="I2473" s="57"/>
      <c r="J2473" s="57" t="s">
        <v>333</v>
      </c>
      <c r="K2473" s="57" t="s">
        <v>334</v>
      </c>
      <c r="L2473" s="60" t="s">
        <v>3208</v>
      </c>
      <c r="M2473" s="57" t="s">
        <v>336</v>
      </c>
      <c r="N2473" s="57" t="s">
        <v>381</v>
      </c>
      <c r="O2473" s="57" t="s">
        <v>729</v>
      </c>
      <c r="P2473" s="57" t="s">
        <v>3209</v>
      </c>
      <c r="Q2473" s="57" t="s">
        <v>698</v>
      </c>
    </row>
    <row r="2474" s="50" customFormat="true" ht="14.25" hidden="false" customHeight="true" outlineLevel="0" collapsed="false">
      <c r="A2474" s="50" t="s">
        <v>727</v>
      </c>
      <c r="B2474" s="57" t="s">
        <v>727</v>
      </c>
      <c r="C2474" s="57" t="s">
        <v>415</v>
      </c>
      <c r="D2474" s="58" t="n">
        <v>46075.636875</v>
      </c>
      <c r="E2474" s="58" t="n">
        <v>46075.636875</v>
      </c>
      <c r="F2474" s="58" t="n">
        <v>46075.6415046296</v>
      </c>
      <c r="G2474" s="59" t="n">
        <f aca="false">F2474-E2474</f>
        <v>0.00462962960648148</v>
      </c>
      <c r="H2474" s="57" t="s">
        <v>252</v>
      </c>
      <c r="I2474" s="57"/>
      <c r="J2474" s="57" t="s">
        <v>333</v>
      </c>
      <c r="K2474" s="57" t="s">
        <v>334</v>
      </c>
      <c r="L2474" s="60" t="s">
        <v>3210</v>
      </c>
      <c r="M2474" s="57" t="s">
        <v>336</v>
      </c>
      <c r="N2474" s="57" t="s">
        <v>381</v>
      </c>
      <c r="O2474" s="57" t="s">
        <v>729</v>
      </c>
      <c r="P2474" s="57" t="s">
        <v>3211</v>
      </c>
      <c r="Q2474" s="57" t="s">
        <v>698</v>
      </c>
    </row>
    <row r="2475" s="50" customFormat="true" ht="14.25" hidden="false" customHeight="true" outlineLevel="0" collapsed="false">
      <c r="A2475" s="50" t="s">
        <v>727</v>
      </c>
      <c r="B2475" s="57" t="s">
        <v>727</v>
      </c>
      <c r="C2475" s="57" t="s">
        <v>415</v>
      </c>
      <c r="D2475" s="58" t="n">
        <v>46075.5392013889</v>
      </c>
      <c r="E2475" s="58" t="n">
        <v>46075.5392013889</v>
      </c>
      <c r="F2475" s="58" t="n">
        <v>46075.5465509259</v>
      </c>
      <c r="G2475" s="59" t="n">
        <f aca="false">F2475-E2475</f>
        <v>0.00734953700231482</v>
      </c>
      <c r="H2475" s="57" t="s">
        <v>252</v>
      </c>
      <c r="I2475" s="57"/>
      <c r="J2475" s="57" t="s">
        <v>333</v>
      </c>
      <c r="K2475" s="57" t="s">
        <v>334</v>
      </c>
      <c r="L2475" s="60" t="s">
        <v>3212</v>
      </c>
      <c r="M2475" s="57" t="s">
        <v>336</v>
      </c>
      <c r="N2475" s="57" t="s">
        <v>381</v>
      </c>
      <c r="O2475" s="57" t="s">
        <v>729</v>
      </c>
      <c r="P2475" s="57" t="s">
        <v>3213</v>
      </c>
      <c r="Q2475" s="57" t="s">
        <v>698</v>
      </c>
    </row>
    <row r="2476" s="50" customFormat="true" ht="14.25" hidden="false" customHeight="true" outlineLevel="0" collapsed="false">
      <c r="A2476" s="50" t="s">
        <v>727</v>
      </c>
      <c r="B2476" s="57" t="s">
        <v>727</v>
      </c>
      <c r="C2476" s="57" t="s">
        <v>415</v>
      </c>
      <c r="D2476" s="58" t="n">
        <v>46075.5348726852</v>
      </c>
      <c r="E2476" s="58" t="n">
        <v>46075.5348726852</v>
      </c>
      <c r="F2476" s="58" t="n">
        <v>46075.536099537</v>
      </c>
      <c r="G2476" s="59" t="n">
        <f aca="false">F2476-E2476</f>
        <v>0.00122685179398148</v>
      </c>
      <c r="H2476" s="57" t="s">
        <v>252</v>
      </c>
      <c r="I2476" s="57"/>
      <c r="J2476" s="57" t="s">
        <v>333</v>
      </c>
      <c r="K2476" s="57" t="s">
        <v>334</v>
      </c>
      <c r="L2476" s="60" t="s">
        <v>3214</v>
      </c>
      <c r="M2476" s="57" t="s">
        <v>336</v>
      </c>
      <c r="N2476" s="57" t="s">
        <v>381</v>
      </c>
      <c r="O2476" s="57" t="s">
        <v>729</v>
      </c>
      <c r="P2476" s="57" t="s">
        <v>3215</v>
      </c>
      <c r="Q2476" s="57" t="s">
        <v>698</v>
      </c>
    </row>
    <row r="2477" s="50" customFormat="true" ht="14.25" hidden="false" customHeight="true" outlineLevel="0" collapsed="false">
      <c r="A2477" s="50" t="s">
        <v>727</v>
      </c>
      <c r="B2477" s="57" t="s">
        <v>727</v>
      </c>
      <c r="C2477" s="57" t="s">
        <v>415</v>
      </c>
      <c r="D2477" s="58" t="n">
        <v>46075.5193402778</v>
      </c>
      <c r="E2477" s="58" t="n">
        <v>46075.5193402778</v>
      </c>
      <c r="F2477" s="58" t="n">
        <v>46075.5198958333</v>
      </c>
      <c r="G2477" s="59" t="n">
        <f aca="false">F2477-E2477</f>
        <v>0.000555555497685185</v>
      </c>
      <c r="H2477" s="57" t="s">
        <v>252</v>
      </c>
      <c r="I2477" s="57"/>
      <c r="J2477" s="57" t="s">
        <v>333</v>
      </c>
      <c r="K2477" s="57" t="s">
        <v>334</v>
      </c>
      <c r="L2477" s="60" t="s">
        <v>3216</v>
      </c>
      <c r="M2477" s="57" t="s">
        <v>336</v>
      </c>
      <c r="N2477" s="57" t="s">
        <v>381</v>
      </c>
      <c r="O2477" s="57" t="s">
        <v>729</v>
      </c>
      <c r="P2477" s="57" t="s">
        <v>3217</v>
      </c>
      <c r="Q2477" s="57" t="s">
        <v>698</v>
      </c>
    </row>
    <row r="2478" s="50" customFormat="true" ht="14.25" hidden="false" customHeight="true" outlineLevel="0" collapsed="false">
      <c r="A2478" s="50" t="s">
        <v>727</v>
      </c>
      <c r="B2478" s="57" t="s">
        <v>727</v>
      </c>
      <c r="C2478" s="57" t="s">
        <v>415</v>
      </c>
      <c r="D2478" s="58" t="n">
        <v>46075.4947453704</v>
      </c>
      <c r="E2478" s="58" t="n">
        <v>46075.4947453704</v>
      </c>
      <c r="F2478" s="58" t="n">
        <v>46075.4952893519</v>
      </c>
      <c r="G2478" s="59" t="n">
        <f aca="false">F2478-E2478</f>
        <v>0.00054398150462963</v>
      </c>
      <c r="H2478" s="57" t="s">
        <v>252</v>
      </c>
      <c r="I2478" s="57"/>
      <c r="J2478" s="57" t="s">
        <v>333</v>
      </c>
      <c r="K2478" s="57" t="s">
        <v>334</v>
      </c>
      <c r="L2478" s="60" t="s">
        <v>3218</v>
      </c>
      <c r="M2478" s="57" t="s">
        <v>336</v>
      </c>
      <c r="N2478" s="57" t="s">
        <v>381</v>
      </c>
      <c r="O2478" s="57" t="s">
        <v>729</v>
      </c>
      <c r="P2478" s="57" t="s">
        <v>3219</v>
      </c>
      <c r="Q2478" s="57" t="s">
        <v>698</v>
      </c>
    </row>
    <row r="2479" s="50" customFormat="true" ht="14.25" hidden="false" customHeight="true" outlineLevel="0" collapsed="false">
      <c r="A2479" s="50" t="s">
        <v>727</v>
      </c>
      <c r="B2479" s="57" t="s">
        <v>727</v>
      </c>
      <c r="C2479" s="57" t="s">
        <v>415</v>
      </c>
      <c r="D2479" s="58" t="n">
        <v>46075.4820023148</v>
      </c>
      <c r="E2479" s="58" t="n">
        <v>46075.4820023148</v>
      </c>
      <c r="F2479" s="58" t="n">
        <v>46075.4831365741</v>
      </c>
      <c r="G2479" s="59" t="n">
        <f aca="false">F2479-E2479</f>
        <v>0.00113425929398148</v>
      </c>
      <c r="H2479" s="57" t="s">
        <v>252</v>
      </c>
      <c r="I2479" s="57"/>
      <c r="J2479" s="57" t="s">
        <v>333</v>
      </c>
      <c r="K2479" s="57" t="s">
        <v>334</v>
      </c>
      <c r="L2479" s="60" t="s">
        <v>3220</v>
      </c>
      <c r="M2479" s="57" t="s">
        <v>336</v>
      </c>
      <c r="N2479" s="57" t="s">
        <v>381</v>
      </c>
      <c r="O2479" s="57" t="s">
        <v>729</v>
      </c>
      <c r="P2479" s="57" t="s">
        <v>3221</v>
      </c>
      <c r="Q2479" s="57" t="s">
        <v>698</v>
      </c>
    </row>
    <row r="2480" s="50" customFormat="true" ht="14.25" hidden="false" customHeight="true" outlineLevel="0" collapsed="false">
      <c r="A2480" s="50" t="s">
        <v>727</v>
      </c>
      <c r="B2480" s="57" t="s">
        <v>727</v>
      </c>
      <c r="C2480" s="57" t="s">
        <v>415</v>
      </c>
      <c r="D2480" s="58" t="n">
        <v>46075.4513657407</v>
      </c>
      <c r="E2480" s="58" t="n">
        <v>46075.4513657407</v>
      </c>
      <c r="F2480" s="58" t="n">
        <v>46075.4519097222</v>
      </c>
      <c r="G2480" s="59" t="n">
        <f aca="false">F2480-E2480</f>
        <v>0.00054398150462963</v>
      </c>
      <c r="H2480" s="57" t="s">
        <v>252</v>
      </c>
      <c r="I2480" s="57"/>
      <c r="J2480" s="57" t="s">
        <v>333</v>
      </c>
      <c r="K2480" s="57" t="s">
        <v>334</v>
      </c>
      <c r="L2480" s="60" t="s">
        <v>3222</v>
      </c>
      <c r="M2480" s="57" t="s">
        <v>336</v>
      </c>
      <c r="N2480" s="57" t="s">
        <v>381</v>
      </c>
      <c r="O2480" s="57" t="s">
        <v>729</v>
      </c>
      <c r="P2480" s="57" t="s">
        <v>3223</v>
      </c>
      <c r="Q2480" s="57" t="s">
        <v>698</v>
      </c>
    </row>
    <row r="2481" s="50" customFormat="true" ht="14.25" hidden="false" customHeight="true" outlineLevel="0" collapsed="false">
      <c r="A2481" s="50" t="s">
        <v>727</v>
      </c>
      <c r="B2481" s="57" t="s">
        <v>727</v>
      </c>
      <c r="C2481" s="57" t="s">
        <v>415</v>
      </c>
      <c r="D2481" s="58" t="n">
        <v>46075.4241203704</v>
      </c>
      <c r="E2481" s="58" t="n">
        <v>46075.4241203704</v>
      </c>
      <c r="F2481" s="58" t="n">
        <v>46075.4246296296</v>
      </c>
      <c r="G2481" s="59" t="n">
        <f aca="false">F2481-E2481</f>
        <v>0.000509259201388889</v>
      </c>
      <c r="H2481" s="57" t="s">
        <v>252</v>
      </c>
      <c r="I2481" s="57"/>
      <c r="J2481" s="57" t="s">
        <v>333</v>
      </c>
      <c r="K2481" s="57" t="s">
        <v>334</v>
      </c>
      <c r="L2481" s="60" t="s">
        <v>3224</v>
      </c>
      <c r="M2481" s="57" t="s">
        <v>336</v>
      </c>
      <c r="N2481" s="57" t="s">
        <v>381</v>
      </c>
      <c r="O2481" s="57" t="s">
        <v>729</v>
      </c>
      <c r="P2481" s="57" t="s">
        <v>3225</v>
      </c>
      <c r="Q2481" s="57" t="s">
        <v>698</v>
      </c>
    </row>
    <row r="2482" s="50" customFormat="true" ht="14.25" hidden="false" customHeight="true" outlineLevel="0" collapsed="false">
      <c r="A2482" s="50" t="s">
        <v>727</v>
      </c>
      <c r="B2482" s="57" t="s">
        <v>727</v>
      </c>
      <c r="C2482" s="57" t="s">
        <v>415</v>
      </c>
      <c r="D2482" s="58" t="n">
        <v>46075.3964814815</v>
      </c>
      <c r="E2482" s="58" t="n">
        <v>46075.3964814815</v>
      </c>
      <c r="F2482" s="58" t="n">
        <v>46075.3969907407</v>
      </c>
      <c r="G2482" s="59" t="n">
        <f aca="false">F2482-E2482</f>
        <v>0.000509259201388889</v>
      </c>
      <c r="H2482" s="57" t="s">
        <v>252</v>
      </c>
      <c r="I2482" s="57"/>
      <c r="J2482" s="57" t="s">
        <v>333</v>
      </c>
      <c r="K2482" s="57" t="s">
        <v>334</v>
      </c>
      <c r="L2482" s="60" t="s">
        <v>3226</v>
      </c>
      <c r="M2482" s="57" t="s">
        <v>336</v>
      </c>
      <c r="N2482" s="57" t="s">
        <v>381</v>
      </c>
      <c r="O2482" s="57" t="s">
        <v>729</v>
      </c>
      <c r="P2482" s="57" t="s">
        <v>3227</v>
      </c>
      <c r="Q2482" s="57" t="s">
        <v>698</v>
      </c>
    </row>
    <row r="2483" s="50" customFormat="true" ht="14.25" hidden="false" customHeight="true" outlineLevel="0" collapsed="false">
      <c r="A2483" s="50" t="s">
        <v>727</v>
      </c>
      <c r="B2483" s="57" t="s">
        <v>727</v>
      </c>
      <c r="C2483" s="57" t="s">
        <v>415</v>
      </c>
      <c r="D2483" s="58" t="n">
        <v>46075.2776851852</v>
      </c>
      <c r="E2483" s="58" t="n">
        <v>46075.2776851852</v>
      </c>
      <c r="F2483" s="58" t="n">
        <v>46075.2822453704</v>
      </c>
      <c r="G2483" s="59" t="n">
        <f aca="false">F2483-E2483</f>
        <v>0.00456018518518519</v>
      </c>
      <c r="H2483" s="57" t="s">
        <v>252</v>
      </c>
      <c r="I2483" s="57"/>
      <c r="J2483" s="57" t="s">
        <v>333</v>
      </c>
      <c r="K2483" s="57" t="s">
        <v>334</v>
      </c>
      <c r="L2483" s="60" t="s">
        <v>3228</v>
      </c>
      <c r="M2483" s="57" t="s">
        <v>336</v>
      </c>
      <c r="N2483" s="57" t="s">
        <v>381</v>
      </c>
      <c r="O2483" s="57" t="s">
        <v>729</v>
      </c>
      <c r="P2483" s="57" t="s">
        <v>3229</v>
      </c>
      <c r="Q2483" s="57" t="s">
        <v>698</v>
      </c>
    </row>
    <row r="2484" s="50" customFormat="true" ht="14.25" hidden="false" customHeight="true" outlineLevel="0" collapsed="false">
      <c r="A2484" s="50" t="s">
        <v>727</v>
      </c>
      <c r="B2484" s="57" t="s">
        <v>727</v>
      </c>
      <c r="C2484" s="57" t="s">
        <v>415</v>
      </c>
      <c r="D2484" s="58" t="n">
        <v>46075.2741319445</v>
      </c>
      <c r="E2484" s="58" t="n">
        <v>46075.2741319445</v>
      </c>
      <c r="F2484" s="58" t="n">
        <v>46075.2752199074</v>
      </c>
      <c r="G2484" s="59" t="n">
        <f aca="false">F2484-E2484</f>
        <v>0.00108796290509259</v>
      </c>
      <c r="H2484" s="57" t="s">
        <v>252</v>
      </c>
      <c r="I2484" s="57"/>
      <c r="J2484" s="57" t="s">
        <v>333</v>
      </c>
      <c r="K2484" s="57" t="s">
        <v>334</v>
      </c>
      <c r="L2484" s="60" t="s">
        <v>3230</v>
      </c>
      <c r="M2484" s="57" t="s">
        <v>336</v>
      </c>
      <c r="N2484" s="57" t="s">
        <v>381</v>
      </c>
      <c r="O2484" s="57" t="s">
        <v>729</v>
      </c>
      <c r="P2484" s="57" t="s">
        <v>3231</v>
      </c>
      <c r="Q2484" s="57" t="s">
        <v>698</v>
      </c>
    </row>
    <row r="2485" s="50" customFormat="true" ht="14.25" hidden="false" customHeight="true" outlineLevel="0" collapsed="false">
      <c r="A2485" s="50" t="s">
        <v>727</v>
      </c>
      <c r="B2485" s="57" t="s">
        <v>727</v>
      </c>
      <c r="C2485" s="57" t="s">
        <v>415</v>
      </c>
      <c r="D2485" s="58" t="n">
        <v>46075.2459722222</v>
      </c>
      <c r="E2485" s="58" t="n">
        <v>46075.2459722222</v>
      </c>
      <c r="F2485" s="58" t="n">
        <v>46075.2739583333</v>
      </c>
      <c r="G2485" s="59" t="n">
        <f aca="false">F2485-E2485</f>
        <v>0.0279861111111111</v>
      </c>
      <c r="H2485" s="57" t="s">
        <v>252</v>
      </c>
      <c r="I2485" s="57"/>
      <c r="J2485" s="57" t="s">
        <v>333</v>
      </c>
      <c r="K2485" s="57" t="s">
        <v>334</v>
      </c>
      <c r="L2485" s="60" t="s">
        <v>3232</v>
      </c>
      <c r="M2485" s="57" t="s">
        <v>336</v>
      </c>
      <c r="N2485" s="57" t="s">
        <v>381</v>
      </c>
      <c r="O2485" s="57" t="s">
        <v>729</v>
      </c>
      <c r="P2485" s="57" t="s">
        <v>3233</v>
      </c>
      <c r="Q2485" s="57" t="s">
        <v>698</v>
      </c>
    </row>
    <row r="2486" s="50" customFormat="true" ht="14.25" hidden="false" customHeight="true" outlineLevel="0" collapsed="false">
      <c r="A2486" s="50" t="s">
        <v>727</v>
      </c>
      <c r="B2486" s="57" t="s">
        <v>727</v>
      </c>
      <c r="C2486" s="57" t="s">
        <v>415</v>
      </c>
      <c r="D2486" s="58" t="n">
        <v>46075.2455671296</v>
      </c>
      <c r="E2486" s="58" t="n">
        <v>46075.2455671296</v>
      </c>
      <c r="F2486" s="58" t="n">
        <v>46075.2739583333</v>
      </c>
      <c r="G2486" s="59" t="n">
        <f aca="false">F2486-E2486</f>
        <v>0.0283912037037037</v>
      </c>
      <c r="H2486" s="57" t="s">
        <v>252</v>
      </c>
      <c r="I2486" s="57"/>
      <c r="J2486" s="57" t="s">
        <v>333</v>
      </c>
      <c r="K2486" s="57" t="s">
        <v>334</v>
      </c>
      <c r="L2486" s="60" t="s">
        <v>3234</v>
      </c>
      <c r="M2486" s="57" t="s">
        <v>336</v>
      </c>
      <c r="N2486" s="57" t="s">
        <v>381</v>
      </c>
      <c r="O2486" s="57" t="s">
        <v>729</v>
      </c>
      <c r="P2486" s="57" t="s">
        <v>3235</v>
      </c>
      <c r="Q2486" s="57" t="s">
        <v>698</v>
      </c>
    </row>
    <row r="2487" s="50" customFormat="true" ht="14.25" hidden="false" customHeight="true" outlineLevel="0" collapsed="false">
      <c r="A2487" s="50" t="s">
        <v>727</v>
      </c>
      <c r="B2487" s="57" t="s">
        <v>727</v>
      </c>
      <c r="C2487" s="57" t="s">
        <v>415</v>
      </c>
      <c r="D2487" s="58" t="n">
        <v>46074.7820833333</v>
      </c>
      <c r="E2487" s="58" t="n">
        <v>46074.7820833333</v>
      </c>
      <c r="F2487" s="58" t="n">
        <v>46074.7839351852</v>
      </c>
      <c r="G2487" s="59" t="n">
        <f aca="false">F2487-E2487</f>
        <v>0.00185185189814815</v>
      </c>
      <c r="H2487" s="57" t="s">
        <v>252</v>
      </c>
      <c r="I2487" s="57"/>
      <c r="J2487" s="57" t="s">
        <v>333</v>
      </c>
      <c r="K2487" s="57" t="s">
        <v>334</v>
      </c>
      <c r="L2487" s="60" t="s">
        <v>3236</v>
      </c>
      <c r="M2487" s="57" t="s">
        <v>336</v>
      </c>
      <c r="N2487" s="57" t="s">
        <v>381</v>
      </c>
      <c r="O2487" s="57" t="s">
        <v>729</v>
      </c>
      <c r="P2487" s="57" t="s">
        <v>3237</v>
      </c>
      <c r="Q2487" s="57" t="s">
        <v>698</v>
      </c>
    </row>
    <row r="2488" s="50" customFormat="true" ht="14.25" hidden="false" customHeight="true" outlineLevel="0" collapsed="false">
      <c r="A2488" s="50" t="s">
        <v>727</v>
      </c>
      <c r="B2488" s="57" t="s">
        <v>727</v>
      </c>
      <c r="C2488" s="57" t="s">
        <v>415</v>
      </c>
      <c r="D2488" s="58" t="n">
        <v>46074.7581828704</v>
      </c>
      <c r="E2488" s="58" t="n">
        <v>46074.7581828704</v>
      </c>
      <c r="F2488" s="58" t="n">
        <v>46074.7839351852</v>
      </c>
      <c r="G2488" s="59" t="n">
        <f aca="false">F2488-E2488</f>
        <v>0.0257523148032407</v>
      </c>
      <c r="H2488" s="57" t="s">
        <v>252</v>
      </c>
      <c r="I2488" s="57"/>
      <c r="J2488" s="57" t="s">
        <v>333</v>
      </c>
      <c r="K2488" s="57" t="s">
        <v>334</v>
      </c>
      <c r="L2488" s="60" t="s">
        <v>3238</v>
      </c>
      <c r="M2488" s="57" t="s">
        <v>336</v>
      </c>
      <c r="N2488" s="57" t="s">
        <v>381</v>
      </c>
      <c r="O2488" s="57" t="s">
        <v>729</v>
      </c>
      <c r="P2488" s="57" t="s">
        <v>3239</v>
      </c>
      <c r="Q2488" s="57" t="s">
        <v>698</v>
      </c>
    </row>
    <row r="2489" s="50" customFormat="true" ht="14.25" hidden="false" customHeight="true" outlineLevel="0" collapsed="false">
      <c r="A2489" s="50" t="s">
        <v>727</v>
      </c>
      <c r="B2489" s="57" t="s">
        <v>727</v>
      </c>
      <c r="C2489" s="57" t="s">
        <v>415</v>
      </c>
      <c r="D2489" s="58" t="n">
        <v>46074.7571875</v>
      </c>
      <c r="E2489" s="58" t="n">
        <v>46074.7571875</v>
      </c>
      <c r="F2489" s="58" t="n">
        <v>46074.7577083333</v>
      </c>
      <c r="G2489" s="59" t="n">
        <f aca="false">F2489-E2489</f>
        <v>0.000520833298611111</v>
      </c>
      <c r="H2489" s="57" t="s">
        <v>252</v>
      </c>
      <c r="I2489" s="57"/>
      <c r="J2489" s="57" t="s">
        <v>333</v>
      </c>
      <c r="K2489" s="57" t="s">
        <v>334</v>
      </c>
      <c r="L2489" s="60" t="s">
        <v>3240</v>
      </c>
      <c r="M2489" s="57" t="s">
        <v>336</v>
      </c>
      <c r="N2489" s="57" t="s">
        <v>381</v>
      </c>
      <c r="O2489" s="57" t="s">
        <v>729</v>
      </c>
      <c r="P2489" s="57" t="s">
        <v>3241</v>
      </c>
      <c r="Q2489" s="57" t="s">
        <v>698</v>
      </c>
    </row>
    <row r="2490" s="50" customFormat="true" ht="14.25" hidden="false" customHeight="true" outlineLevel="0" collapsed="false">
      <c r="A2490" s="50" t="s">
        <v>727</v>
      </c>
      <c r="B2490" s="57" t="s">
        <v>727</v>
      </c>
      <c r="C2490" s="57" t="s">
        <v>415</v>
      </c>
      <c r="D2490" s="58" t="n">
        <v>46074.7034953704</v>
      </c>
      <c r="E2490" s="58" t="n">
        <v>46074.7034953704</v>
      </c>
      <c r="F2490" s="58" t="n">
        <v>46074.7040393519</v>
      </c>
      <c r="G2490" s="59" t="n">
        <f aca="false">F2490-E2490</f>
        <v>0.00054398150462963</v>
      </c>
      <c r="H2490" s="57" t="s">
        <v>252</v>
      </c>
      <c r="I2490" s="57"/>
      <c r="J2490" s="57" t="s">
        <v>333</v>
      </c>
      <c r="K2490" s="57" t="s">
        <v>334</v>
      </c>
      <c r="L2490" s="60" t="s">
        <v>3242</v>
      </c>
      <c r="M2490" s="57" t="s">
        <v>336</v>
      </c>
      <c r="N2490" s="57" t="s">
        <v>381</v>
      </c>
      <c r="O2490" s="57" t="s">
        <v>729</v>
      </c>
      <c r="P2490" s="57" t="s">
        <v>3243</v>
      </c>
      <c r="Q2490" s="57" t="s">
        <v>698</v>
      </c>
    </row>
    <row r="2491" s="50" customFormat="true" ht="14.25" hidden="false" customHeight="true" outlineLevel="0" collapsed="false">
      <c r="A2491" s="50" t="s">
        <v>727</v>
      </c>
      <c r="B2491" s="57" t="s">
        <v>727</v>
      </c>
      <c r="C2491" s="57" t="s">
        <v>415</v>
      </c>
      <c r="D2491" s="58" t="n">
        <v>46074.6697916667</v>
      </c>
      <c r="E2491" s="58" t="n">
        <v>46074.6697916667</v>
      </c>
      <c r="F2491" s="58" t="n">
        <v>46074.6703472222</v>
      </c>
      <c r="G2491" s="59" t="n">
        <f aca="false">F2491-E2491</f>
        <v>0.000555555497685185</v>
      </c>
      <c r="H2491" s="57" t="s">
        <v>252</v>
      </c>
      <c r="I2491" s="57"/>
      <c r="J2491" s="57" t="s">
        <v>333</v>
      </c>
      <c r="K2491" s="57" t="s">
        <v>334</v>
      </c>
      <c r="L2491" s="60" t="s">
        <v>3244</v>
      </c>
      <c r="M2491" s="57" t="s">
        <v>336</v>
      </c>
      <c r="N2491" s="57" t="s">
        <v>381</v>
      </c>
      <c r="O2491" s="57" t="s">
        <v>729</v>
      </c>
      <c r="P2491" s="57" t="s">
        <v>3245</v>
      </c>
      <c r="Q2491" s="57" t="s">
        <v>698</v>
      </c>
    </row>
    <row r="2492" s="50" customFormat="true" ht="14.25" hidden="false" customHeight="true" outlineLevel="0" collapsed="false">
      <c r="A2492" s="50" t="s">
        <v>727</v>
      </c>
      <c r="B2492" s="57" t="s">
        <v>727</v>
      </c>
      <c r="C2492" s="57" t="s">
        <v>415</v>
      </c>
      <c r="D2492" s="58" t="n">
        <v>46074.6452083333</v>
      </c>
      <c r="E2492" s="58" t="n">
        <v>46074.6452083333</v>
      </c>
      <c r="F2492" s="58" t="n">
        <v>46074.6457523148</v>
      </c>
      <c r="G2492" s="59" t="n">
        <f aca="false">F2492-E2492</f>
        <v>0.00054398150462963</v>
      </c>
      <c r="H2492" s="57" t="s">
        <v>252</v>
      </c>
      <c r="I2492" s="57"/>
      <c r="J2492" s="57" t="s">
        <v>333</v>
      </c>
      <c r="K2492" s="57" t="s">
        <v>334</v>
      </c>
      <c r="L2492" s="60" t="s">
        <v>3246</v>
      </c>
      <c r="M2492" s="57" t="s">
        <v>336</v>
      </c>
      <c r="N2492" s="57" t="s">
        <v>381</v>
      </c>
      <c r="O2492" s="57" t="s">
        <v>729</v>
      </c>
      <c r="P2492" s="57" t="s">
        <v>3247</v>
      </c>
      <c r="Q2492" s="57" t="s">
        <v>698</v>
      </c>
    </row>
    <row r="2493" s="50" customFormat="true" ht="14.25" hidden="false" customHeight="true" outlineLevel="0" collapsed="false">
      <c r="A2493" s="50" t="s">
        <v>727</v>
      </c>
      <c r="B2493" s="57" t="s">
        <v>727</v>
      </c>
      <c r="C2493" s="57" t="s">
        <v>415</v>
      </c>
      <c r="D2493" s="58" t="n">
        <v>46074.6358333333</v>
      </c>
      <c r="E2493" s="58" t="n">
        <v>46074.6358333333</v>
      </c>
      <c r="F2493" s="58" t="n">
        <v>46074.6363541667</v>
      </c>
      <c r="G2493" s="59" t="n">
        <f aca="false">F2493-E2493</f>
        <v>0.000520833402777778</v>
      </c>
      <c r="H2493" s="57" t="s">
        <v>252</v>
      </c>
      <c r="I2493" s="57"/>
      <c r="J2493" s="57" t="s">
        <v>333</v>
      </c>
      <c r="K2493" s="57" t="s">
        <v>334</v>
      </c>
      <c r="L2493" s="60" t="s">
        <v>3248</v>
      </c>
      <c r="M2493" s="57" t="s">
        <v>336</v>
      </c>
      <c r="N2493" s="57" t="s">
        <v>381</v>
      </c>
      <c r="O2493" s="57" t="s">
        <v>729</v>
      </c>
      <c r="P2493" s="57" t="s">
        <v>3249</v>
      </c>
      <c r="Q2493" s="57" t="s">
        <v>698</v>
      </c>
    </row>
    <row r="2494" s="50" customFormat="true" ht="14.25" hidden="false" customHeight="true" outlineLevel="0" collapsed="false">
      <c r="A2494" s="50" t="s">
        <v>727</v>
      </c>
      <c r="B2494" s="57" t="s">
        <v>727</v>
      </c>
      <c r="C2494" s="57" t="s">
        <v>415</v>
      </c>
      <c r="D2494" s="58" t="n">
        <v>46074.6294444444</v>
      </c>
      <c r="E2494" s="58" t="n">
        <v>46074.6294444444</v>
      </c>
      <c r="F2494" s="58" t="n">
        <v>46074.6299537037</v>
      </c>
      <c r="G2494" s="59" t="n">
        <f aca="false">F2494-E2494</f>
        <v>0.000509259293981482</v>
      </c>
      <c r="H2494" s="57" t="s">
        <v>252</v>
      </c>
      <c r="I2494" s="57"/>
      <c r="J2494" s="57" t="s">
        <v>333</v>
      </c>
      <c r="K2494" s="57" t="s">
        <v>334</v>
      </c>
      <c r="L2494" s="60" t="s">
        <v>3250</v>
      </c>
      <c r="M2494" s="57" t="s">
        <v>336</v>
      </c>
      <c r="N2494" s="57" t="s">
        <v>381</v>
      </c>
      <c r="O2494" s="57" t="s">
        <v>729</v>
      </c>
      <c r="P2494" s="57" t="s">
        <v>3251</v>
      </c>
      <c r="Q2494" s="57" t="s">
        <v>698</v>
      </c>
    </row>
    <row r="2495" s="50" customFormat="true" ht="14.25" hidden="false" customHeight="true" outlineLevel="0" collapsed="false">
      <c r="A2495" s="50" t="s">
        <v>727</v>
      </c>
      <c r="B2495" s="57" t="s">
        <v>727</v>
      </c>
      <c r="C2495" s="57" t="s">
        <v>415</v>
      </c>
      <c r="D2495" s="58" t="n">
        <v>46074.6202314815</v>
      </c>
      <c r="E2495" s="58" t="n">
        <v>46074.6202314815</v>
      </c>
      <c r="F2495" s="58" t="n">
        <v>46074.6207523148</v>
      </c>
      <c r="G2495" s="59" t="n">
        <f aca="false">F2495-E2495</f>
        <v>0.000520833298611111</v>
      </c>
      <c r="H2495" s="57" t="s">
        <v>252</v>
      </c>
      <c r="I2495" s="57"/>
      <c r="J2495" s="57" t="s">
        <v>333</v>
      </c>
      <c r="K2495" s="57" t="s">
        <v>334</v>
      </c>
      <c r="L2495" s="60" t="s">
        <v>3252</v>
      </c>
      <c r="M2495" s="57" t="s">
        <v>336</v>
      </c>
      <c r="N2495" s="57" t="s">
        <v>381</v>
      </c>
      <c r="O2495" s="57" t="s">
        <v>729</v>
      </c>
      <c r="P2495" s="57" t="s">
        <v>3253</v>
      </c>
      <c r="Q2495" s="57" t="s">
        <v>698</v>
      </c>
    </row>
    <row r="2496" s="50" customFormat="true" ht="14.25" hidden="false" customHeight="true" outlineLevel="0" collapsed="false">
      <c r="A2496" s="50" t="s">
        <v>727</v>
      </c>
      <c r="B2496" s="57" t="s">
        <v>727</v>
      </c>
      <c r="C2496" s="57" t="s">
        <v>415</v>
      </c>
      <c r="D2496" s="58" t="n">
        <v>46074.6128240741</v>
      </c>
      <c r="E2496" s="58" t="n">
        <v>46074.6128240741</v>
      </c>
      <c r="F2496" s="58" t="n">
        <v>46074.6133680556</v>
      </c>
      <c r="G2496" s="59" t="n">
        <f aca="false">F2496-E2496</f>
        <v>0.00054398150462963</v>
      </c>
      <c r="H2496" s="57" t="s">
        <v>252</v>
      </c>
      <c r="I2496" s="57"/>
      <c r="J2496" s="57" t="s">
        <v>333</v>
      </c>
      <c r="K2496" s="57" t="s">
        <v>334</v>
      </c>
      <c r="L2496" s="60" t="s">
        <v>3254</v>
      </c>
      <c r="M2496" s="57" t="s">
        <v>336</v>
      </c>
      <c r="N2496" s="57" t="s">
        <v>381</v>
      </c>
      <c r="O2496" s="57" t="s">
        <v>729</v>
      </c>
      <c r="P2496" s="57" t="s">
        <v>3255</v>
      </c>
      <c r="Q2496" s="57" t="s">
        <v>698</v>
      </c>
    </row>
    <row r="2497" s="50" customFormat="true" ht="14.25" hidden="false" customHeight="true" outlineLevel="0" collapsed="false">
      <c r="A2497" s="50" t="s">
        <v>727</v>
      </c>
      <c r="B2497" s="57" t="s">
        <v>727</v>
      </c>
      <c r="C2497" s="57" t="s">
        <v>415</v>
      </c>
      <c r="D2497" s="58" t="n">
        <v>46074.6070486111</v>
      </c>
      <c r="E2497" s="58" t="n">
        <v>46074.6070486111</v>
      </c>
      <c r="F2497" s="58" t="n">
        <v>46074.6075578704</v>
      </c>
      <c r="G2497" s="59" t="n">
        <f aca="false">F2497-E2497</f>
        <v>0.000509259293981482</v>
      </c>
      <c r="H2497" s="57" t="s">
        <v>252</v>
      </c>
      <c r="I2497" s="57"/>
      <c r="J2497" s="57" t="s">
        <v>333</v>
      </c>
      <c r="K2497" s="57" t="s">
        <v>334</v>
      </c>
      <c r="L2497" s="60" t="s">
        <v>3256</v>
      </c>
      <c r="M2497" s="57" t="s">
        <v>336</v>
      </c>
      <c r="N2497" s="57" t="s">
        <v>381</v>
      </c>
      <c r="O2497" s="57" t="s">
        <v>729</v>
      </c>
      <c r="P2497" s="57" t="s">
        <v>3257</v>
      </c>
      <c r="Q2497" s="57" t="s">
        <v>698</v>
      </c>
    </row>
    <row r="2498" s="50" customFormat="true" ht="14.25" hidden="false" customHeight="true" outlineLevel="0" collapsed="false">
      <c r="A2498" s="50" t="s">
        <v>727</v>
      </c>
      <c r="B2498" s="57" t="s">
        <v>727</v>
      </c>
      <c r="C2498" s="57" t="s">
        <v>415</v>
      </c>
      <c r="D2498" s="58" t="n">
        <v>46074.5999305556</v>
      </c>
      <c r="E2498" s="58" t="n">
        <v>46074.5999305556</v>
      </c>
      <c r="F2498" s="58" t="n">
        <v>46074.6004513889</v>
      </c>
      <c r="G2498" s="59" t="n">
        <f aca="false">F2498-E2498</f>
        <v>0.000520833298611111</v>
      </c>
      <c r="H2498" s="57" t="s">
        <v>252</v>
      </c>
      <c r="I2498" s="57"/>
      <c r="J2498" s="57" t="s">
        <v>333</v>
      </c>
      <c r="K2498" s="57" t="s">
        <v>334</v>
      </c>
      <c r="L2498" s="60" t="s">
        <v>3258</v>
      </c>
      <c r="M2498" s="57" t="s">
        <v>336</v>
      </c>
      <c r="N2498" s="57" t="s">
        <v>381</v>
      </c>
      <c r="O2498" s="57" t="s">
        <v>729</v>
      </c>
      <c r="P2498" s="57" t="s">
        <v>3259</v>
      </c>
      <c r="Q2498" s="57" t="s">
        <v>698</v>
      </c>
    </row>
    <row r="2499" s="50" customFormat="true" ht="14.25" hidden="false" customHeight="true" outlineLevel="0" collapsed="false">
      <c r="A2499" s="50" t="s">
        <v>727</v>
      </c>
      <c r="B2499" s="57" t="s">
        <v>727</v>
      </c>
      <c r="C2499" s="57" t="s">
        <v>415</v>
      </c>
      <c r="D2499" s="58" t="n">
        <v>46074.5244097222</v>
      </c>
      <c r="E2499" s="58" t="n">
        <v>46074.5244097222</v>
      </c>
      <c r="F2499" s="58" t="n">
        <v>46074.5249305556</v>
      </c>
      <c r="G2499" s="59" t="n">
        <f aca="false">F2499-E2499</f>
        <v>0.000520833391203704</v>
      </c>
      <c r="H2499" s="57" t="s">
        <v>252</v>
      </c>
      <c r="I2499" s="57"/>
      <c r="J2499" s="57" t="s">
        <v>333</v>
      </c>
      <c r="K2499" s="57" t="s">
        <v>334</v>
      </c>
      <c r="L2499" s="60" t="s">
        <v>3260</v>
      </c>
      <c r="M2499" s="57" t="s">
        <v>336</v>
      </c>
      <c r="N2499" s="57" t="s">
        <v>381</v>
      </c>
      <c r="O2499" s="57" t="s">
        <v>729</v>
      </c>
      <c r="P2499" s="57" t="s">
        <v>3261</v>
      </c>
      <c r="Q2499" s="57" t="s">
        <v>698</v>
      </c>
    </row>
    <row r="2500" s="50" customFormat="true" ht="14.25" hidden="false" customHeight="true" outlineLevel="0" collapsed="false">
      <c r="A2500" s="50" t="s">
        <v>727</v>
      </c>
      <c r="B2500" s="57" t="s">
        <v>727</v>
      </c>
      <c r="C2500" s="57" t="s">
        <v>415</v>
      </c>
      <c r="D2500" s="58" t="n">
        <v>46074.5108449074</v>
      </c>
      <c r="E2500" s="58" t="n">
        <v>46074.5108449074</v>
      </c>
      <c r="F2500" s="58" t="n">
        <v>46074.5113657407</v>
      </c>
      <c r="G2500" s="59" t="n">
        <f aca="false">F2500-E2500</f>
        <v>0.000520833298611111</v>
      </c>
      <c r="H2500" s="57" t="s">
        <v>252</v>
      </c>
      <c r="I2500" s="57"/>
      <c r="J2500" s="57" t="s">
        <v>333</v>
      </c>
      <c r="K2500" s="57" t="s">
        <v>334</v>
      </c>
      <c r="L2500" s="60" t="s">
        <v>3262</v>
      </c>
      <c r="M2500" s="57" t="s">
        <v>336</v>
      </c>
      <c r="N2500" s="57" t="s">
        <v>381</v>
      </c>
      <c r="O2500" s="57" t="s">
        <v>729</v>
      </c>
      <c r="P2500" s="57" t="s">
        <v>3263</v>
      </c>
      <c r="Q2500" s="57" t="s">
        <v>698</v>
      </c>
    </row>
    <row r="2501" s="50" customFormat="true" ht="14.25" hidden="false" customHeight="true" outlineLevel="0" collapsed="false">
      <c r="A2501" s="50" t="s">
        <v>727</v>
      </c>
      <c r="B2501" s="57" t="s">
        <v>727</v>
      </c>
      <c r="C2501" s="57" t="s">
        <v>415</v>
      </c>
      <c r="D2501" s="58" t="n">
        <v>46074.5012152778</v>
      </c>
      <c r="E2501" s="58" t="n">
        <v>46074.5012152778</v>
      </c>
      <c r="F2501" s="58" t="n">
        <v>46074.5017361111</v>
      </c>
      <c r="G2501" s="59" t="n">
        <f aca="false">F2501-E2501</f>
        <v>0.000520833298611111</v>
      </c>
      <c r="H2501" s="57" t="s">
        <v>252</v>
      </c>
      <c r="I2501" s="57"/>
      <c r="J2501" s="57" t="s">
        <v>333</v>
      </c>
      <c r="K2501" s="57" t="s">
        <v>334</v>
      </c>
      <c r="L2501" s="60" t="s">
        <v>3264</v>
      </c>
      <c r="M2501" s="57" t="s">
        <v>336</v>
      </c>
      <c r="N2501" s="57" t="s">
        <v>381</v>
      </c>
      <c r="O2501" s="57" t="s">
        <v>729</v>
      </c>
      <c r="P2501" s="57" t="s">
        <v>3265</v>
      </c>
      <c r="Q2501" s="57" t="s">
        <v>698</v>
      </c>
    </row>
    <row r="2502" s="50" customFormat="true" ht="14.25" hidden="false" customHeight="true" outlineLevel="0" collapsed="false">
      <c r="A2502" s="50" t="s">
        <v>727</v>
      </c>
      <c r="B2502" s="57" t="s">
        <v>727</v>
      </c>
      <c r="C2502" s="57" t="s">
        <v>415</v>
      </c>
      <c r="D2502" s="58" t="n">
        <v>46074.4848958333</v>
      </c>
      <c r="E2502" s="58" t="n">
        <v>46074.4848958333</v>
      </c>
      <c r="F2502" s="58" t="n">
        <v>46074.4854398148</v>
      </c>
      <c r="G2502" s="59" t="n">
        <f aca="false">F2502-E2502</f>
        <v>0.00054398150462963</v>
      </c>
      <c r="H2502" s="57" t="s">
        <v>252</v>
      </c>
      <c r="I2502" s="57"/>
      <c r="J2502" s="57" t="s">
        <v>333</v>
      </c>
      <c r="K2502" s="57" t="s">
        <v>334</v>
      </c>
      <c r="L2502" s="60" t="s">
        <v>3266</v>
      </c>
      <c r="M2502" s="57" t="s">
        <v>336</v>
      </c>
      <c r="N2502" s="57" t="s">
        <v>381</v>
      </c>
      <c r="O2502" s="57" t="s">
        <v>729</v>
      </c>
      <c r="P2502" s="57" t="s">
        <v>3267</v>
      </c>
      <c r="Q2502" s="57" t="s">
        <v>698</v>
      </c>
    </row>
    <row r="2503" s="50" customFormat="true" ht="14.25" hidden="false" customHeight="true" outlineLevel="0" collapsed="false">
      <c r="A2503" s="50" t="s">
        <v>727</v>
      </c>
      <c r="B2503" s="57" t="s">
        <v>727</v>
      </c>
      <c r="C2503" s="57" t="s">
        <v>415</v>
      </c>
      <c r="D2503" s="58" t="n">
        <v>46074.4671296296</v>
      </c>
      <c r="E2503" s="58" t="n">
        <v>46074.4671296296</v>
      </c>
      <c r="F2503" s="58" t="n">
        <v>46074.4676736111</v>
      </c>
      <c r="G2503" s="59" t="n">
        <f aca="false">F2503-E2503</f>
        <v>0.00054398150462963</v>
      </c>
      <c r="H2503" s="57" t="s">
        <v>252</v>
      </c>
      <c r="I2503" s="57"/>
      <c r="J2503" s="57" t="s">
        <v>333</v>
      </c>
      <c r="K2503" s="57" t="s">
        <v>334</v>
      </c>
      <c r="L2503" s="60" t="s">
        <v>3268</v>
      </c>
      <c r="M2503" s="57" t="s">
        <v>336</v>
      </c>
      <c r="N2503" s="57" t="s">
        <v>381</v>
      </c>
      <c r="O2503" s="57" t="s">
        <v>729</v>
      </c>
      <c r="P2503" s="57" t="s">
        <v>3269</v>
      </c>
      <c r="Q2503" s="57" t="s">
        <v>698</v>
      </c>
    </row>
    <row r="2504" s="50" customFormat="true" ht="14.25" hidden="false" customHeight="true" outlineLevel="0" collapsed="false">
      <c r="A2504" s="50" t="s">
        <v>727</v>
      </c>
      <c r="B2504" s="57" t="s">
        <v>727</v>
      </c>
      <c r="C2504" s="57" t="s">
        <v>415</v>
      </c>
      <c r="D2504" s="58" t="n">
        <v>46074.4447685185</v>
      </c>
      <c r="E2504" s="58" t="n">
        <v>46074.4447685185</v>
      </c>
      <c r="F2504" s="58" t="n">
        <v>46074.4452777778</v>
      </c>
      <c r="G2504" s="59" t="n">
        <f aca="false">F2504-E2504</f>
        <v>0.000509259293981482</v>
      </c>
      <c r="H2504" s="57" t="s">
        <v>252</v>
      </c>
      <c r="I2504" s="57"/>
      <c r="J2504" s="57" t="s">
        <v>333</v>
      </c>
      <c r="K2504" s="57" t="s">
        <v>334</v>
      </c>
      <c r="L2504" s="60" t="s">
        <v>3270</v>
      </c>
      <c r="M2504" s="57" t="s">
        <v>336</v>
      </c>
      <c r="N2504" s="57" t="s">
        <v>381</v>
      </c>
      <c r="O2504" s="57" t="s">
        <v>729</v>
      </c>
      <c r="P2504" s="57" t="s">
        <v>3271</v>
      </c>
      <c r="Q2504" s="57" t="s">
        <v>698</v>
      </c>
    </row>
    <row r="2505" s="50" customFormat="true" ht="14.25" hidden="false" customHeight="true" outlineLevel="0" collapsed="false">
      <c r="A2505" s="50" t="s">
        <v>727</v>
      </c>
      <c r="B2505" s="57" t="s">
        <v>727</v>
      </c>
      <c r="C2505" s="57" t="s">
        <v>415</v>
      </c>
      <c r="D2505" s="58" t="n">
        <v>46074.4142361111</v>
      </c>
      <c r="E2505" s="58" t="n">
        <v>46074.4142361111</v>
      </c>
      <c r="F2505" s="58" t="n">
        <v>46074.4147685185</v>
      </c>
      <c r="G2505" s="59" t="n">
        <f aca="false">F2505-E2505</f>
        <v>0.000532407407407407</v>
      </c>
      <c r="H2505" s="57" t="s">
        <v>252</v>
      </c>
      <c r="I2505" s="57"/>
      <c r="J2505" s="57" t="s">
        <v>333</v>
      </c>
      <c r="K2505" s="57" t="s">
        <v>334</v>
      </c>
      <c r="L2505" s="60" t="s">
        <v>3272</v>
      </c>
      <c r="M2505" s="57" t="s">
        <v>336</v>
      </c>
      <c r="N2505" s="57" t="s">
        <v>381</v>
      </c>
      <c r="O2505" s="57" t="s">
        <v>729</v>
      </c>
      <c r="P2505" s="57" t="s">
        <v>3273</v>
      </c>
      <c r="Q2505" s="57" t="s">
        <v>698</v>
      </c>
    </row>
    <row r="2506" s="50" customFormat="true" ht="14.25" hidden="false" customHeight="true" outlineLevel="0" collapsed="false">
      <c r="A2506" s="50" t="s">
        <v>727</v>
      </c>
      <c r="B2506" s="57" t="s">
        <v>727</v>
      </c>
      <c r="C2506" s="57" t="s">
        <v>415</v>
      </c>
      <c r="D2506" s="58" t="n">
        <v>46074.3887037037</v>
      </c>
      <c r="E2506" s="58" t="n">
        <v>46074.3887037037</v>
      </c>
      <c r="F2506" s="58" t="n">
        <v>46074.389212963</v>
      </c>
      <c r="G2506" s="59" t="n">
        <f aca="false">F2506-E2506</f>
        <v>0.000509259293981482</v>
      </c>
      <c r="H2506" s="57" t="s">
        <v>252</v>
      </c>
      <c r="I2506" s="57"/>
      <c r="J2506" s="57" t="s">
        <v>333</v>
      </c>
      <c r="K2506" s="57" t="s">
        <v>334</v>
      </c>
      <c r="L2506" s="60" t="s">
        <v>3274</v>
      </c>
      <c r="M2506" s="57" t="s">
        <v>336</v>
      </c>
      <c r="N2506" s="57" t="s">
        <v>381</v>
      </c>
      <c r="O2506" s="57" t="s">
        <v>729</v>
      </c>
      <c r="P2506" s="57" t="s">
        <v>3275</v>
      </c>
      <c r="Q2506" s="57" t="s">
        <v>698</v>
      </c>
    </row>
    <row r="2507" s="50" customFormat="true" ht="14.25" hidden="false" customHeight="true" outlineLevel="0" collapsed="false">
      <c r="A2507" s="50" t="s">
        <v>727</v>
      </c>
      <c r="B2507" s="57" t="s">
        <v>727</v>
      </c>
      <c r="C2507" s="57" t="s">
        <v>415</v>
      </c>
      <c r="D2507" s="58" t="n">
        <v>46074.3818287037</v>
      </c>
      <c r="E2507" s="58" t="n">
        <v>46074.3818287037</v>
      </c>
      <c r="F2507" s="58" t="n">
        <v>46074.382337963</v>
      </c>
      <c r="G2507" s="59" t="n">
        <f aca="false">F2507-E2507</f>
        <v>0.000509259293981482</v>
      </c>
      <c r="H2507" s="57" t="s">
        <v>252</v>
      </c>
      <c r="I2507" s="57"/>
      <c r="J2507" s="57" t="s">
        <v>333</v>
      </c>
      <c r="K2507" s="57" t="s">
        <v>334</v>
      </c>
      <c r="L2507" s="60" t="s">
        <v>3276</v>
      </c>
      <c r="M2507" s="57" t="s">
        <v>336</v>
      </c>
      <c r="N2507" s="57" t="s">
        <v>381</v>
      </c>
      <c r="O2507" s="57" t="s">
        <v>729</v>
      </c>
      <c r="P2507" s="57" t="s">
        <v>3277</v>
      </c>
      <c r="Q2507" s="57" t="s">
        <v>698</v>
      </c>
    </row>
    <row r="2508" s="50" customFormat="true" ht="14.25" hidden="false" customHeight="true" outlineLevel="0" collapsed="false">
      <c r="A2508" s="50" t="s">
        <v>727</v>
      </c>
      <c r="B2508" s="57" t="s">
        <v>727</v>
      </c>
      <c r="C2508" s="57" t="s">
        <v>415</v>
      </c>
      <c r="D2508" s="58" t="n">
        <v>46074.3634606482</v>
      </c>
      <c r="E2508" s="58" t="n">
        <v>46074.3634606482</v>
      </c>
      <c r="F2508" s="58" t="n">
        <v>46074.3639699074</v>
      </c>
      <c r="G2508" s="59" t="n">
        <f aca="false">F2508-E2508</f>
        <v>0.000509259201388889</v>
      </c>
      <c r="H2508" s="57" t="s">
        <v>252</v>
      </c>
      <c r="I2508" s="57"/>
      <c r="J2508" s="57" t="s">
        <v>333</v>
      </c>
      <c r="K2508" s="57" t="s">
        <v>334</v>
      </c>
      <c r="L2508" s="60" t="s">
        <v>3278</v>
      </c>
      <c r="M2508" s="57" t="s">
        <v>336</v>
      </c>
      <c r="N2508" s="57" t="s">
        <v>381</v>
      </c>
      <c r="O2508" s="57" t="s">
        <v>729</v>
      </c>
      <c r="P2508" s="57" t="s">
        <v>3279</v>
      </c>
      <c r="Q2508" s="57" t="s">
        <v>698</v>
      </c>
    </row>
    <row r="2509" s="50" customFormat="true" ht="14.25" hidden="false" customHeight="true" outlineLevel="0" collapsed="false">
      <c r="A2509" s="50" t="s">
        <v>727</v>
      </c>
      <c r="B2509" s="57" t="s">
        <v>727</v>
      </c>
      <c r="C2509" s="57" t="s">
        <v>415</v>
      </c>
      <c r="D2509" s="58" t="n">
        <v>46074.3546296296</v>
      </c>
      <c r="E2509" s="58" t="n">
        <v>46074.3546296296</v>
      </c>
      <c r="F2509" s="58" t="n">
        <v>46074.3551388889</v>
      </c>
      <c r="G2509" s="59" t="n">
        <f aca="false">F2509-E2509</f>
        <v>0.000509259305555556</v>
      </c>
      <c r="H2509" s="57" t="s">
        <v>252</v>
      </c>
      <c r="I2509" s="57"/>
      <c r="J2509" s="57" t="s">
        <v>333</v>
      </c>
      <c r="K2509" s="57" t="s">
        <v>334</v>
      </c>
      <c r="L2509" s="60" t="s">
        <v>3280</v>
      </c>
      <c r="M2509" s="57" t="s">
        <v>336</v>
      </c>
      <c r="N2509" s="57" t="s">
        <v>381</v>
      </c>
      <c r="O2509" s="57" t="s">
        <v>729</v>
      </c>
      <c r="P2509" s="57" t="s">
        <v>3281</v>
      </c>
      <c r="Q2509" s="57" t="s">
        <v>698</v>
      </c>
    </row>
    <row r="2510" s="50" customFormat="true" ht="14.25" hidden="false" customHeight="true" outlineLevel="0" collapsed="false">
      <c r="A2510" s="50" t="s">
        <v>727</v>
      </c>
      <c r="B2510" s="57" t="s">
        <v>727</v>
      </c>
      <c r="C2510" s="57" t="s">
        <v>415</v>
      </c>
      <c r="D2510" s="58" t="n">
        <v>46074.2818981482</v>
      </c>
      <c r="E2510" s="58" t="n">
        <v>46074.2818981482</v>
      </c>
      <c r="F2510" s="58" t="n">
        <v>46074.2824074074</v>
      </c>
      <c r="G2510" s="59" t="n">
        <f aca="false">F2510-E2510</f>
        <v>0.000509259201388889</v>
      </c>
      <c r="H2510" s="57" t="s">
        <v>252</v>
      </c>
      <c r="I2510" s="57"/>
      <c r="J2510" s="57" t="s">
        <v>333</v>
      </c>
      <c r="K2510" s="57" t="s">
        <v>334</v>
      </c>
      <c r="L2510" s="60" t="s">
        <v>3282</v>
      </c>
      <c r="M2510" s="57" t="s">
        <v>336</v>
      </c>
      <c r="N2510" s="57" t="s">
        <v>381</v>
      </c>
      <c r="O2510" s="57" t="s">
        <v>729</v>
      </c>
      <c r="P2510" s="57" t="s">
        <v>3283</v>
      </c>
      <c r="Q2510" s="57" t="s">
        <v>698</v>
      </c>
    </row>
    <row r="2511" s="50" customFormat="true" ht="14.25" hidden="false" customHeight="true" outlineLevel="0" collapsed="false">
      <c r="A2511" s="50" t="s">
        <v>727</v>
      </c>
      <c r="B2511" s="57" t="s">
        <v>727</v>
      </c>
      <c r="C2511" s="57" t="s">
        <v>415</v>
      </c>
      <c r="D2511" s="58" t="n">
        <v>46074.2803009259</v>
      </c>
      <c r="E2511" s="58" t="n">
        <v>46074.2803009259</v>
      </c>
      <c r="F2511" s="58" t="n">
        <v>46074.2811342593</v>
      </c>
      <c r="G2511" s="59" t="n">
        <f aca="false">F2511-E2511</f>
        <v>0.000833333402777778</v>
      </c>
      <c r="H2511" s="57" t="s">
        <v>252</v>
      </c>
      <c r="I2511" s="57"/>
      <c r="J2511" s="57" t="s">
        <v>333</v>
      </c>
      <c r="K2511" s="57" t="s">
        <v>334</v>
      </c>
      <c r="L2511" s="60" t="s">
        <v>3284</v>
      </c>
      <c r="M2511" s="57" t="s">
        <v>336</v>
      </c>
      <c r="N2511" s="57" t="s">
        <v>381</v>
      </c>
      <c r="O2511" s="57" t="s">
        <v>729</v>
      </c>
      <c r="P2511" s="57" t="s">
        <v>3285</v>
      </c>
      <c r="Q2511" s="57" t="s">
        <v>698</v>
      </c>
    </row>
    <row r="2512" s="50" customFormat="true" ht="14.25" hidden="false" customHeight="true" outlineLevel="0" collapsed="false">
      <c r="A2512" s="50" t="s">
        <v>727</v>
      </c>
      <c r="B2512" s="57" t="s">
        <v>727</v>
      </c>
      <c r="C2512" s="57" t="s">
        <v>415</v>
      </c>
      <c r="D2512" s="58" t="n">
        <v>46074.2413194444</v>
      </c>
      <c r="E2512" s="58" t="n">
        <v>46074.2413194444</v>
      </c>
      <c r="F2512" s="58" t="n">
        <v>46074.2801273148</v>
      </c>
      <c r="G2512" s="59" t="n">
        <f aca="false">F2512-E2512</f>
        <v>0.0388078703935185</v>
      </c>
      <c r="H2512" s="57" t="s">
        <v>252</v>
      </c>
      <c r="I2512" s="57"/>
      <c r="J2512" s="57" t="s">
        <v>333</v>
      </c>
      <c r="K2512" s="57" t="s">
        <v>334</v>
      </c>
      <c r="L2512" s="60" t="s">
        <v>3286</v>
      </c>
      <c r="M2512" s="57" t="s">
        <v>336</v>
      </c>
      <c r="N2512" s="57" t="s">
        <v>381</v>
      </c>
      <c r="O2512" s="57" t="s">
        <v>729</v>
      </c>
      <c r="P2512" s="57" t="s">
        <v>3287</v>
      </c>
      <c r="Q2512" s="57" t="s">
        <v>698</v>
      </c>
    </row>
    <row r="2513" s="50" customFormat="true" ht="14.25" hidden="false" customHeight="true" outlineLevel="0" collapsed="false">
      <c r="A2513" s="50" t="s">
        <v>727</v>
      </c>
      <c r="B2513" s="57" t="s">
        <v>727</v>
      </c>
      <c r="C2513" s="57" t="s">
        <v>415</v>
      </c>
      <c r="D2513" s="58" t="n">
        <v>46073.7605439815</v>
      </c>
      <c r="E2513" s="58" t="n">
        <v>46073.7605439815</v>
      </c>
      <c r="F2513" s="58" t="n">
        <v>46073.7849652778</v>
      </c>
      <c r="G2513" s="59" t="n">
        <f aca="false">F2513-E2513</f>
        <v>0.0244212962962963</v>
      </c>
      <c r="H2513" s="57" t="s">
        <v>252</v>
      </c>
      <c r="I2513" s="57"/>
      <c r="J2513" s="57" t="s">
        <v>333</v>
      </c>
      <c r="K2513" s="57" t="s">
        <v>334</v>
      </c>
      <c r="L2513" s="60" t="s">
        <v>3288</v>
      </c>
      <c r="M2513" s="57" t="s">
        <v>336</v>
      </c>
      <c r="N2513" s="57" t="s">
        <v>381</v>
      </c>
      <c r="O2513" s="57" t="s">
        <v>729</v>
      </c>
      <c r="P2513" s="57" t="s">
        <v>3289</v>
      </c>
      <c r="Q2513" s="57" t="s">
        <v>698</v>
      </c>
    </row>
    <row r="2514" s="50" customFormat="true" ht="14.25" hidden="false" customHeight="true" outlineLevel="0" collapsed="false">
      <c r="A2514" s="50" t="s">
        <v>727</v>
      </c>
      <c r="B2514" s="57" t="s">
        <v>727</v>
      </c>
      <c r="C2514" s="57" t="s">
        <v>415</v>
      </c>
      <c r="D2514" s="58" t="n">
        <v>46073.7598611111</v>
      </c>
      <c r="E2514" s="58" t="n">
        <v>46073.7598611111</v>
      </c>
      <c r="F2514" s="58" t="n">
        <v>46073.7603703704</v>
      </c>
      <c r="G2514" s="59" t="n">
        <f aca="false">F2514-E2514</f>
        <v>0.000509259293981482</v>
      </c>
      <c r="H2514" s="57" t="s">
        <v>252</v>
      </c>
      <c r="I2514" s="57"/>
      <c r="J2514" s="57" t="s">
        <v>333</v>
      </c>
      <c r="K2514" s="57" t="s">
        <v>334</v>
      </c>
      <c r="L2514" s="60" t="s">
        <v>3290</v>
      </c>
      <c r="M2514" s="57" t="s">
        <v>336</v>
      </c>
      <c r="N2514" s="57" t="s">
        <v>381</v>
      </c>
      <c r="O2514" s="57" t="s">
        <v>729</v>
      </c>
      <c r="P2514" s="57" t="s">
        <v>3291</v>
      </c>
      <c r="Q2514" s="57" t="s">
        <v>698</v>
      </c>
    </row>
    <row r="2515" s="50" customFormat="true" ht="14.25" hidden="false" customHeight="true" outlineLevel="0" collapsed="false">
      <c r="A2515" s="50" t="s">
        <v>727</v>
      </c>
      <c r="B2515" s="57" t="s">
        <v>727</v>
      </c>
      <c r="C2515" s="57" t="s">
        <v>415</v>
      </c>
      <c r="D2515" s="58" t="n">
        <v>46073.7591782407</v>
      </c>
      <c r="E2515" s="58" t="n">
        <v>46073.7591782407</v>
      </c>
      <c r="F2515" s="58" t="n">
        <v>46073.7596875</v>
      </c>
      <c r="G2515" s="59" t="n">
        <f aca="false">F2515-E2515</f>
        <v>0.000509259293981482</v>
      </c>
      <c r="H2515" s="57" t="s">
        <v>252</v>
      </c>
      <c r="I2515" s="57"/>
      <c r="J2515" s="57" t="s">
        <v>333</v>
      </c>
      <c r="K2515" s="57" t="s">
        <v>334</v>
      </c>
      <c r="L2515" s="60" t="s">
        <v>3292</v>
      </c>
      <c r="M2515" s="57" t="s">
        <v>336</v>
      </c>
      <c r="N2515" s="57" t="s">
        <v>381</v>
      </c>
      <c r="O2515" s="57" t="s">
        <v>729</v>
      </c>
      <c r="P2515" s="57" t="s">
        <v>3293</v>
      </c>
      <c r="Q2515" s="57" t="s">
        <v>698</v>
      </c>
    </row>
    <row r="2516" s="50" customFormat="true" ht="14.25" hidden="false" customHeight="true" outlineLevel="0" collapsed="false">
      <c r="A2516" s="50" t="s">
        <v>727</v>
      </c>
      <c r="B2516" s="57" t="s">
        <v>727</v>
      </c>
      <c r="C2516" s="57" t="s">
        <v>415</v>
      </c>
      <c r="D2516" s="58" t="n">
        <v>46073.7584837963</v>
      </c>
      <c r="E2516" s="58" t="n">
        <v>46073.7584837963</v>
      </c>
      <c r="F2516" s="58" t="n">
        <v>46073.7590046296</v>
      </c>
      <c r="G2516" s="59" t="n">
        <f aca="false">F2516-E2516</f>
        <v>0.000520833298611111</v>
      </c>
      <c r="H2516" s="57" t="s">
        <v>252</v>
      </c>
      <c r="I2516" s="57"/>
      <c r="J2516" s="57" t="s">
        <v>333</v>
      </c>
      <c r="K2516" s="57" t="s">
        <v>334</v>
      </c>
      <c r="L2516" s="60" t="s">
        <v>3294</v>
      </c>
      <c r="M2516" s="57" t="s">
        <v>336</v>
      </c>
      <c r="N2516" s="57" t="s">
        <v>381</v>
      </c>
      <c r="O2516" s="57" t="s">
        <v>729</v>
      </c>
      <c r="P2516" s="57" t="s">
        <v>3295</v>
      </c>
      <c r="Q2516" s="57" t="s">
        <v>698</v>
      </c>
    </row>
    <row r="2517" s="50" customFormat="true" ht="14.25" hidden="false" customHeight="true" outlineLevel="0" collapsed="false">
      <c r="A2517" s="50" t="s">
        <v>727</v>
      </c>
      <c r="B2517" s="57" t="s">
        <v>727</v>
      </c>
      <c r="C2517" s="57" t="s">
        <v>415</v>
      </c>
      <c r="D2517" s="58" t="n">
        <v>46073.7578009259</v>
      </c>
      <c r="E2517" s="58" t="n">
        <v>46073.7578009259</v>
      </c>
      <c r="F2517" s="58" t="n">
        <v>46073.7583217593</v>
      </c>
      <c r="G2517" s="59" t="n">
        <f aca="false">F2517-E2517</f>
        <v>0.000520833391203704</v>
      </c>
      <c r="H2517" s="57" t="s">
        <v>252</v>
      </c>
      <c r="I2517" s="57"/>
      <c r="J2517" s="57" t="s">
        <v>333</v>
      </c>
      <c r="K2517" s="57" t="s">
        <v>334</v>
      </c>
      <c r="L2517" s="60" t="s">
        <v>3296</v>
      </c>
      <c r="M2517" s="57" t="s">
        <v>336</v>
      </c>
      <c r="N2517" s="57" t="s">
        <v>381</v>
      </c>
      <c r="O2517" s="57" t="s">
        <v>729</v>
      </c>
      <c r="P2517" s="57" t="s">
        <v>3297</v>
      </c>
      <c r="Q2517" s="57" t="s">
        <v>698</v>
      </c>
    </row>
    <row r="2518" s="50" customFormat="true" ht="14.25" hidden="false" customHeight="true" outlineLevel="0" collapsed="false">
      <c r="A2518" s="50" t="s">
        <v>727</v>
      </c>
      <c r="B2518" s="57" t="s">
        <v>727</v>
      </c>
      <c r="C2518" s="57" t="s">
        <v>415</v>
      </c>
      <c r="D2518" s="58" t="n">
        <v>46073.7548032407</v>
      </c>
      <c r="E2518" s="58" t="n">
        <v>46073.7548032407</v>
      </c>
      <c r="F2518" s="58" t="n">
        <v>46073.7570833333</v>
      </c>
      <c r="G2518" s="59" t="n">
        <f aca="false">F2518-E2518</f>
        <v>0.00228009259259259</v>
      </c>
      <c r="H2518" s="57" t="s">
        <v>252</v>
      </c>
      <c r="I2518" s="57"/>
      <c r="J2518" s="57" t="s">
        <v>333</v>
      </c>
      <c r="K2518" s="57" t="s">
        <v>334</v>
      </c>
      <c r="L2518" s="60" t="s">
        <v>3298</v>
      </c>
      <c r="M2518" s="57" t="s">
        <v>336</v>
      </c>
      <c r="N2518" s="57" t="s">
        <v>381</v>
      </c>
      <c r="O2518" s="57" t="s">
        <v>729</v>
      </c>
      <c r="P2518" s="57" t="s">
        <v>3299</v>
      </c>
      <c r="Q2518" s="57" t="s">
        <v>698</v>
      </c>
    </row>
    <row r="2519" s="50" customFormat="true" ht="14.25" hidden="false" customHeight="true" outlineLevel="0" collapsed="false">
      <c r="A2519" s="50" t="s">
        <v>727</v>
      </c>
      <c r="B2519" s="57" t="s">
        <v>727</v>
      </c>
      <c r="C2519" s="57" t="s">
        <v>415</v>
      </c>
      <c r="D2519" s="58" t="n">
        <v>46073.7498263889</v>
      </c>
      <c r="E2519" s="58" t="n">
        <v>46073.7498263889</v>
      </c>
      <c r="F2519" s="58" t="n">
        <v>46073.751875</v>
      </c>
      <c r="G2519" s="59" t="n">
        <f aca="false">F2519-E2519</f>
        <v>0.00204861111111111</v>
      </c>
      <c r="H2519" s="57" t="s">
        <v>252</v>
      </c>
      <c r="I2519" s="57"/>
      <c r="J2519" s="57" t="s">
        <v>333</v>
      </c>
      <c r="K2519" s="57" t="s">
        <v>334</v>
      </c>
      <c r="L2519" s="60" t="s">
        <v>3300</v>
      </c>
      <c r="M2519" s="57" t="s">
        <v>336</v>
      </c>
      <c r="N2519" s="57" t="s">
        <v>381</v>
      </c>
      <c r="O2519" s="57" t="s">
        <v>729</v>
      </c>
      <c r="P2519" s="57" t="s">
        <v>3301</v>
      </c>
      <c r="Q2519" s="57" t="s">
        <v>698</v>
      </c>
    </row>
    <row r="2520" s="50" customFormat="true" ht="14.25" hidden="false" customHeight="true" outlineLevel="0" collapsed="false">
      <c r="A2520" s="50" t="s">
        <v>727</v>
      </c>
      <c r="B2520" s="57" t="s">
        <v>727</v>
      </c>
      <c r="C2520" s="57" t="s">
        <v>415</v>
      </c>
      <c r="D2520" s="58" t="n">
        <v>46073.738587963</v>
      </c>
      <c r="E2520" s="58" t="n">
        <v>46073.738587963</v>
      </c>
      <c r="F2520" s="58" t="n">
        <v>46073.7391435185</v>
      </c>
      <c r="G2520" s="59" t="n">
        <f aca="false">F2520-E2520</f>
        <v>0.000555555497685185</v>
      </c>
      <c r="H2520" s="57" t="s">
        <v>252</v>
      </c>
      <c r="I2520" s="57"/>
      <c r="J2520" s="57" t="s">
        <v>333</v>
      </c>
      <c r="K2520" s="57" t="s">
        <v>334</v>
      </c>
      <c r="L2520" s="60" t="s">
        <v>3302</v>
      </c>
      <c r="M2520" s="57" t="s">
        <v>336</v>
      </c>
      <c r="N2520" s="57" t="s">
        <v>381</v>
      </c>
      <c r="O2520" s="57" t="s">
        <v>729</v>
      </c>
      <c r="P2520" s="57" t="s">
        <v>3303</v>
      </c>
      <c r="Q2520" s="57" t="s">
        <v>698</v>
      </c>
    </row>
    <row r="2521" s="50" customFormat="true" ht="14.25" hidden="false" customHeight="true" outlineLevel="0" collapsed="false">
      <c r="A2521" s="50" t="s">
        <v>727</v>
      </c>
      <c r="B2521" s="57" t="s">
        <v>727</v>
      </c>
      <c r="C2521" s="57" t="s">
        <v>415</v>
      </c>
      <c r="D2521" s="58" t="n">
        <v>46073.6045138889</v>
      </c>
      <c r="E2521" s="58" t="n">
        <v>46073.6045138889</v>
      </c>
      <c r="F2521" s="58" t="n">
        <v>46073.6056365741</v>
      </c>
      <c r="G2521" s="59" t="n">
        <f aca="false">F2521-E2521</f>
        <v>0.00112268519675926</v>
      </c>
      <c r="H2521" s="57" t="s">
        <v>252</v>
      </c>
      <c r="I2521" s="57"/>
      <c r="J2521" s="57" t="s">
        <v>333</v>
      </c>
      <c r="K2521" s="57" t="s">
        <v>334</v>
      </c>
      <c r="L2521" s="60" t="s">
        <v>3304</v>
      </c>
      <c r="M2521" s="57" t="s">
        <v>336</v>
      </c>
      <c r="N2521" s="57" t="s">
        <v>381</v>
      </c>
      <c r="O2521" s="57" t="s">
        <v>729</v>
      </c>
      <c r="P2521" s="57" t="s">
        <v>3305</v>
      </c>
      <c r="Q2521" s="57" t="s">
        <v>698</v>
      </c>
    </row>
    <row r="2522" s="50" customFormat="true" ht="14.25" hidden="false" customHeight="true" outlineLevel="0" collapsed="false">
      <c r="A2522" s="50" t="s">
        <v>727</v>
      </c>
      <c r="B2522" s="57" t="s">
        <v>727</v>
      </c>
      <c r="C2522" s="57" t="s">
        <v>415</v>
      </c>
      <c r="D2522" s="58" t="n">
        <v>46073.5857175926</v>
      </c>
      <c r="E2522" s="58" t="n">
        <v>46073.5857175926</v>
      </c>
      <c r="F2522" s="58" t="n">
        <v>46073.5886805556</v>
      </c>
      <c r="G2522" s="59" t="n">
        <f aca="false">F2522-E2522</f>
        <v>0.00296296299768519</v>
      </c>
      <c r="H2522" s="57" t="s">
        <v>252</v>
      </c>
      <c r="I2522" s="57"/>
      <c r="J2522" s="57" t="s">
        <v>333</v>
      </c>
      <c r="K2522" s="57" t="s">
        <v>334</v>
      </c>
      <c r="L2522" s="60" t="s">
        <v>3306</v>
      </c>
      <c r="M2522" s="57" t="s">
        <v>336</v>
      </c>
      <c r="N2522" s="57" t="s">
        <v>381</v>
      </c>
      <c r="O2522" s="57" t="s">
        <v>729</v>
      </c>
      <c r="P2522" s="57" t="s">
        <v>3307</v>
      </c>
      <c r="Q2522" s="57" t="s">
        <v>698</v>
      </c>
    </row>
    <row r="2523" s="50" customFormat="true" ht="14.25" hidden="false" customHeight="true" outlineLevel="0" collapsed="false">
      <c r="A2523" s="50" t="s">
        <v>727</v>
      </c>
      <c r="B2523" s="57" t="s">
        <v>727</v>
      </c>
      <c r="C2523" s="57" t="s">
        <v>415</v>
      </c>
      <c r="D2523" s="58" t="n">
        <v>46073.5751851852</v>
      </c>
      <c r="E2523" s="58" t="n">
        <v>46073.5751851852</v>
      </c>
      <c r="F2523" s="58" t="n">
        <v>46073.5757175926</v>
      </c>
      <c r="G2523" s="59" t="n">
        <f aca="false">F2523-E2523</f>
        <v>0.000532407407407407</v>
      </c>
      <c r="H2523" s="57" t="s">
        <v>252</v>
      </c>
      <c r="I2523" s="57"/>
      <c r="J2523" s="57" t="s">
        <v>333</v>
      </c>
      <c r="K2523" s="57" t="s">
        <v>334</v>
      </c>
      <c r="L2523" s="60" t="s">
        <v>3308</v>
      </c>
      <c r="M2523" s="57" t="s">
        <v>336</v>
      </c>
      <c r="N2523" s="57" t="s">
        <v>381</v>
      </c>
      <c r="O2523" s="57" t="s">
        <v>729</v>
      </c>
      <c r="P2523" s="57" t="s">
        <v>3309</v>
      </c>
      <c r="Q2523" s="57" t="s">
        <v>698</v>
      </c>
    </row>
    <row r="2524" s="50" customFormat="true" ht="14.25" hidden="false" customHeight="true" outlineLevel="0" collapsed="false">
      <c r="A2524" s="50" t="s">
        <v>727</v>
      </c>
      <c r="B2524" s="57" t="s">
        <v>727</v>
      </c>
      <c r="C2524" s="57" t="s">
        <v>415</v>
      </c>
      <c r="D2524" s="58" t="n">
        <v>46073.5601967593</v>
      </c>
      <c r="E2524" s="58" t="n">
        <v>46073.5601967593</v>
      </c>
      <c r="F2524" s="58" t="n">
        <v>46073.5631828704</v>
      </c>
      <c r="G2524" s="59" t="n">
        <f aca="false">F2524-E2524</f>
        <v>0.00298611109953704</v>
      </c>
      <c r="H2524" s="57" t="s">
        <v>252</v>
      </c>
      <c r="I2524" s="57"/>
      <c r="J2524" s="57" t="s">
        <v>333</v>
      </c>
      <c r="K2524" s="57" t="s">
        <v>334</v>
      </c>
      <c r="L2524" s="60" t="s">
        <v>3310</v>
      </c>
      <c r="M2524" s="57" t="s">
        <v>336</v>
      </c>
      <c r="N2524" s="57" t="s">
        <v>381</v>
      </c>
      <c r="O2524" s="57" t="s">
        <v>729</v>
      </c>
      <c r="P2524" s="57" t="s">
        <v>3311</v>
      </c>
      <c r="Q2524" s="57" t="s">
        <v>698</v>
      </c>
    </row>
    <row r="2525" s="50" customFormat="true" ht="14.25" hidden="false" customHeight="true" outlineLevel="0" collapsed="false">
      <c r="A2525" s="50" t="s">
        <v>727</v>
      </c>
      <c r="B2525" s="57" t="s">
        <v>727</v>
      </c>
      <c r="C2525" s="57" t="s">
        <v>415</v>
      </c>
      <c r="D2525" s="58" t="n">
        <v>46073.5543518519</v>
      </c>
      <c r="E2525" s="58" t="n">
        <v>46073.5543518519</v>
      </c>
      <c r="F2525" s="58" t="n">
        <v>46073.5548958333</v>
      </c>
      <c r="G2525" s="59" t="n">
        <f aca="false">F2525-E2525</f>
        <v>0.000543981400462963</v>
      </c>
      <c r="H2525" s="57" t="s">
        <v>252</v>
      </c>
      <c r="I2525" s="57"/>
      <c r="J2525" s="57" t="s">
        <v>333</v>
      </c>
      <c r="K2525" s="57" t="s">
        <v>334</v>
      </c>
      <c r="L2525" s="60" t="s">
        <v>3312</v>
      </c>
      <c r="M2525" s="57" t="s">
        <v>336</v>
      </c>
      <c r="N2525" s="57" t="s">
        <v>381</v>
      </c>
      <c r="O2525" s="57" t="s">
        <v>729</v>
      </c>
      <c r="P2525" s="57" t="s">
        <v>3313</v>
      </c>
      <c r="Q2525" s="57" t="s">
        <v>698</v>
      </c>
    </row>
    <row r="2526" s="50" customFormat="true" ht="14.25" hidden="false" customHeight="true" outlineLevel="0" collapsed="false">
      <c r="A2526" s="50" t="s">
        <v>727</v>
      </c>
      <c r="B2526" s="57" t="s">
        <v>727</v>
      </c>
      <c r="C2526" s="57" t="s">
        <v>415</v>
      </c>
      <c r="D2526" s="58" t="n">
        <v>46073.5428009259</v>
      </c>
      <c r="E2526" s="58" t="n">
        <v>46073.5428009259</v>
      </c>
      <c r="F2526" s="58" t="n">
        <v>46073.5433449074</v>
      </c>
      <c r="G2526" s="59" t="n">
        <f aca="false">F2526-E2526</f>
        <v>0.00054398150462963</v>
      </c>
      <c r="H2526" s="57" t="s">
        <v>252</v>
      </c>
      <c r="I2526" s="57"/>
      <c r="J2526" s="57" t="s">
        <v>333</v>
      </c>
      <c r="K2526" s="57" t="s">
        <v>334</v>
      </c>
      <c r="L2526" s="60" t="s">
        <v>3314</v>
      </c>
      <c r="M2526" s="57" t="s">
        <v>336</v>
      </c>
      <c r="N2526" s="57" t="s">
        <v>381</v>
      </c>
      <c r="O2526" s="57" t="s">
        <v>729</v>
      </c>
      <c r="P2526" s="57" t="s">
        <v>3315</v>
      </c>
      <c r="Q2526" s="57" t="s">
        <v>698</v>
      </c>
    </row>
    <row r="2527" s="50" customFormat="true" ht="14.25" hidden="false" customHeight="true" outlineLevel="0" collapsed="false">
      <c r="A2527" s="50" t="s">
        <v>727</v>
      </c>
      <c r="B2527" s="57" t="s">
        <v>727</v>
      </c>
      <c r="C2527" s="57" t="s">
        <v>415</v>
      </c>
      <c r="D2527" s="58" t="n">
        <v>46073.5329398148</v>
      </c>
      <c r="E2527" s="58" t="n">
        <v>46073.5329398148</v>
      </c>
      <c r="F2527" s="58" t="n">
        <v>46073.5334837963</v>
      </c>
      <c r="G2527" s="59" t="n">
        <f aca="false">F2527-E2527</f>
        <v>0.00054398150462963</v>
      </c>
      <c r="H2527" s="57" t="s">
        <v>252</v>
      </c>
      <c r="I2527" s="57"/>
      <c r="J2527" s="57" t="s">
        <v>333</v>
      </c>
      <c r="K2527" s="57" t="s">
        <v>334</v>
      </c>
      <c r="L2527" s="60" t="s">
        <v>3316</v>
      </c>
      <c r="M2527" s="57" t="s">
        <v>336</v>
      </c>
      <c r="N2527" s="57" t="s">
        <v>381</v>
      </c>
      <c r="O2527" s="57" t="s">
        <v>729</v>
      </c>
      <c r="P2527" s="57" t="s">
        <v>3317</v>
      </c>
      <c r="Q2527" s="57" t="s">
        <v>698</v>
      </c>
    </row>
    <row r="2528" s="50" customFormat="true" ht="14.25" hidden="false" customHeight="true" outlineLevel="0" collapsed="false">
      <c r="A2528" s="50" t="s">
        <v>727</v>
      </c>
      <c r="B2528" s="57" t="s">
        <v>727</v>
      </c>
      <c r="C2528" s="57" t="s">
        <v>415</v>
      </c>
      <c r="D2528" s="58" t="n">
        <v>46073.5088541667</v>
      </c>
      <c r="E2528" s="58" t="n">
        <v>46073.5088541667</v>
      </c>
      <c r="F2528" s="58" t="n">
        <v>46073.5093981482</v>
      </c>
      <c r="G2528" s="59" t="n">
        <f aca="false">F2528-E2528</f>
        <v>0.00054398150462963</v>
      </c>
      <c r="H2528" s="57" t="s">
        <v>252</v>
      </c>
      <c r="I2528" s="57"/>
      <c r="J2528" s="57" t="s">
        <v>333</v>
      </c>
      <c r="K2528" s="57" t="s">
        <v>334</v>
      </c>
      <c r="L2528" s="60" t="s">
        <v>3318</v>
      </c>
      <c r="M2528" s="57" t="s">
        <v>336</v>
      </c>
      <c r="N2528" s="57" t="s">
        <v>381</v>
      </c>
      <c r="O2528" s="57" t="s">
        <v>729</v>
      </c>
      <c r="P2528" s="57" t="s">
        <v>3319</v>
      </c>
      <c r="Q2528" s="57" t="s">
        <v>698</v>
      </c>
    </row>
    <row r="2529" s="50" customFormat="true" ht="14.25" hidden="false" customHeight="true" outlineLevel="0" collapsed="false">
      <c r="A2529" s="50" t="s">
        <v>727</v>
      </c>
      <c r="B2529" s="57" t="s">
        <v>727</v>
      </c>
      <c r="C2529" s="57" t="s">
        <v>415</v>
      </c>
      <c r="D2529" s="58" t="n">
        <v>46073.4945601852</v>
      </c>
      <c r="E2529" s="58" t="n">
        <v>46073.4945601852</v>
      </c>
      <c r="F2529" s="58" t="n">
        <v>46073.4950694444</v>
      </c>
      <c r="G2529" s="59" t="n">
        <f aca="false">F2529-E2529</f>
        <v>0.000509259201388889</v>
      </c>
      <c r="H2529" s="57" t="s">
        <v>252</v>
      </c>
      <c r="I2529" s="57"/>
      <c r="J2529" s="57" t="s">
        <v>333</v>
      </c>
      <c r="K2529" s="57" t="s">
        <v>334</v>
      </c>
      <c r="L2529" s="60" t="s">
        <v>3320</v>
      </c>
      <c r="M2529" s="57" t="s">
        <v>336</v>
      </c>
      <c r="N2529" s="57" t="s">
        <v>381</v>
      </c>
      <c r="O2529" s="57" t="s">
        <v>729</v>
      </c>
      <c r="P2529" s="57" t="s">
        <v>3321</v>
      </c>
      <c r="Q2529" s="57" t="s">
        <v>698</v>
      </c>
    </row>
    <row r="2530" s="50" customFormat="true" ht="14.25" hidden="false" customHeight="true" outlineLevel="0" collapsed="false">
      <c r="A2530" s="50" t="s">
        <v>727</v>
      </c>
      <c r="B2530" s="57" t="s">
        <v>727</v>
      </c>
      <c r="C2530" s="57" t="s">
        <v>415</v>
      </c>
      <c r="D2530" s="58" t="n">
        <v>46073.4765393519</v>
      </c>
      <c r="E2530" s="58" t="n">
        <v>46073.4765393519</v>
      </c>
      <c r="F2530" s="58" t="n">
        <v>46073.4770486111</v>
      </c>
      <c r="G2530" s="59" t="n">
        <f aca="false">F2530-E2530</f>
        <v>0.000509259201388889</v>
      </c>
      <c r="H2530" s="57" t="s">
        <v>252</v>
      </c>
      <c r="I2530" s="57"/>
      <c r="J2530" s="57" t="s">
        <v>333</v>
      </c>
      <c r="K2530" s="57" t="s">
        <v>334</v>
      </c>
      <c r="L2530" s="60" t="s">
        <v>3322</v>
      </c>
      <c r="M2530" s="57" t="s">
        <v>336</v>
      </c>
      <c r="N2530" s="57" t="s">
        <v>381</v>
      </c>
      <c r="O2530" s="57" t="s">
        <v>729</v>
      </c>
      <c r="P2530" s="57" t="s">
        <v>3323</v>
      </c>
      <c r="Q2530" s="57" t="s">
        <v>698</v>
      </c>
    </row>
    <row r="2531" s="50" customFormat="true" ht="14.25" hidden="false" customHeight="true" outlineLevel="0" collapsed="false">
      <c r="A2531" s="50" t="s">
        <v>727</v>
      </c>
      <c r="B2531" s="57" t="s">
        <v>727</v>
      </c>
      <c r="C2531" s="57" t="s">
        <v>415</v>
      </c>
      <c r="D2531" s="58" t="n">
        <v>46073.4664467593</v>
      </c>
      <c r="E2531" s="58" t="n">
        <v>46073.4664467593</v>
      </c>
      <c r="F2531" s="58" t="n">
        <v>46073.4669675926</v>
      </c>
      <c r="G2531" s="59" t="n">
        <f aca="false">F2531-E2531</f>
        <v>0.000520833298611111</v>
      </c>
      <c r="H2531" s="57" t="s">
        <v>252</v>
      </c>
      <c r="I2531" s="57"/>
      <c r="J2531" s="57" t="s">
        <v>333</v>
      </c>
      <c r="K2531" s="57" t="s">
        <v>334</v>
      </c>
      <c r="L2531" s="60" t="s">
        <v>3324</v>
      </c>
      <c r="M2531" s="57" t="s">
        <v>336</v>
      </c>
      <c r="N2531" s="57" t="s">
        <v>381</v>
      </c>
      <c r="O2531" s="57" t="s">
        <v>729</v>
      </c>
      <c r="P2531" s="57" t="s">
        <v>3325</v>
      </c>
      <c r="Q2531" s="57" t="s">
        <v>698</v>
      </c>
    </row>
    <row r="2532" s="50" customFormat="true" ht="14.25" hidden="false" customHeight="true" outlineLevel="0" collapsed="false">
      <c r="A2532" s="50" t="s">
        <v>727</v>
      </c>
      <c r="B2532" s="57" t="s">
        <v>727</v>
      </c>
      <c r="C2532" s="57" t="s">
        <v>415</v>
      </c>
      <c r="D2532" s="58" t="n">
        <v>46073.4579513889</v>
      </c>
      <c r="E2532" s="58" t="n">
        <v>46073.4579513889</v>
      </c>
      <c r="F2532" s="58" t="n">
        <v>46073.4584722222</v>
      </c>
      <c r="G2532" s="59" t="n">
        <f aca="false">F2532-E2532</f>
        <v>0.000520833298611111</v>
      </c>
      <c r="H2532" s="57" t="s">
        <v>252</v>
      </c>
      <c r="I2532" s="57"/>
      <c r="J2532" s="57" t="s">
        <v>333</v>
      </c>
      <c r="K2532" s="57" t="s">
        <v>334</v>
      </c>
      <c r="L2532" s="60" t="s">
        <v>3326</v>
      </c>
      <c r="M2532" s="57" t="s">
        <v>336</v>
      </c>
      <c r="N2532" s="57" t="s">
        <v>381</v>
      </c>
      <c r="O2532" s="57" t="s">
        <v>729</v>
      </c>
      <c r="P2532" s="57" t="s">
        <v>3327</v>
      </c>
      <c r="Q2532" s="57" t="s">
        <v>698</v>
      </c>
    </row>
    <row r="2533" s="50" customFormat="true" ht="14.25" hidden="false" customHeight="true" outlineLevel="0" collapsed="false">
      <c r="A2533" s="50" t="s">
        <v>727</v>
      </c>
      <c r="B2533" s="57" t="s">
        <v>727</v>
      </c>
      <c r="C2533" s="57" t="s">
        <v>415</v>
      </c>
      <c r="D2533" s="58" t="n">
        <v>46073.447662037</v>
      </c>
      <c r="E2533" s="58" t="n">
        <v>46073.447662037</v>
      </c>
      <c r="F2533" s="58" t="n">
        <v>46073.4481712963</v>
      </c>
      <c r="G2533" s="59" t="n">
        <f aca="false">F2533-E2533</f>
        <v>0.000509259305555556</v>
      </c>
      <c r="H2533" s="57" t="s">
        <v>252</v>
      </c>
      <c r="I2533" s="57"/>
      <c r="J2533" s="57" t="s">
        <v>333</v>
      </c>
      <c r="K2533" s="57" t="s">
        <v>334</v>
      </c>
      <c r="L2533" s="60" t="s">
        <v>3328</v>
      </c>
      <c r="M2533" s="57" t="s">
        <v>336</v>
      </c>
      <c r="N2533" s="57" t="s">
        <v>381</v>
      </c>
      <c r="O2533" s="57" t="s">
        <v>729</v>
      </c>
      <c r="P2533" s="57" t="s">
        <v>3329</v>
      </c>
      <c r="Q2533" s="57" t="s">
        <v>698</v>
      </c>
    </row>
    <row r="2534" s="50" customFormat="true" ht="14.25" hidden="false" customHeight="true" outlineLevel="0" collapsed="false">
      <c r="A2534" s="50" t="s">
        <v>727</v>
      </c>
      <c r="B2534" s="57" t="s">
        <v>727</v>
      </c>
      <c r="C2534" s="57" t="s">
        <v>415</v>
      </c>
      <c r="D2534" s="58" t="n">
        <v>46073.4398842593</v>
      </c>
      <c r="E2534" s="58" t="n">
        <v>46073.4398842593</v>
      </c>
      <c r="F2534" s="58" t="n">
        <v>46073.4404050926</v>
      </c>
      <c r="G2534" s="59" t="n">
        <f aca="false">F2534-E2534</f>
        <v>0.000520833298611111</v>
      </c>
      <c r="H2534" s="57" t="s">
        <v>252</v>
      </c>
      <c r="I2534" s="57"/>
      <c r="J2534" s="57" t="s">
        <v>333</v>
      </c>
      <c r="K2534" s="57" t="s">
        <v>334</v>
      </c>
      <c r="L2534" s="60" t="s">
        <v>3330</v>
      </c>
      <c r="M2534" s="57" t="s">
        <v>336</v>
      </c>
      <c r="N2534" s="57" t="s">
        <v>381</v>
      </c>
      <c r="O2534" s="57" t="s">
        <v>729</v>
      </c>
      <c r="P2534" s="57" t="s">
        <v>3331</v>
      </c>
      <c r="Q2534" s="57" t="s">
        <v>698</v>
      </c>
    </row>
    <row r="2535" s="50" customFormat="true" ht="14.25" hidden="false" customHeight="true" outlineLevel="0" collapsed="false">
      <c r="A2535" s="50" t="s">
        <v>727</v>
      </c>
      <c r="B2535" s="57" t="s">
        <v>727</v>
      </c>
      <c r="C2535" s="57" t="s">
        <v>415</v>
      </c>
      <c r="D2535" s="58" t="n">
        <v>46073.4284837963</v>
      </c>
      <c r="E2535" s="58" t="n">
        <v>46073.4284837963</v>
      </c>
      <c r="F2535" s="58" t="n">
        <v>46073.4290046296</v>
      </c>
      <c r="G2535" s="59" t="n">
        <f aca="false">F2535-E2535</f>
        <v>0.000520833298611111</v>
      </c>
      <c r="H2535" s="57" t="s">
        <v>252</v>
      </c>
      <c r="I2535" s="57"/>
      <c r="J2535" s="57" t="s">
        <v>333</v>
      </c>
      <c r="K2535" s="57" t="s">
        <v>334</v>
      </c>
      <c r="L2535" s="60" t="s">
        <v>3332</v>
      </c>
      <c r="M2535" s="57" t="s">
        <v>336</v>
      </c>
      <c r="N2535" s="57" t="s">
        <v>381</v>
      </c>
      <c r="O2535" s="57" t="s">
        <v>729</v>
      </c>
      <c r="P2535" s="57" t="s">
        <v>3333</v>
      </c>
      <c r="Q2535" s="57" t="s">
        <v>698</v>
      </c>
    </row>
    <row r="2536" s="50" customFormat="true" ht="14.25" hidden="false" customHeight="true" outlineLevel="0" collapsed="false">
      <c r="A2536" s="50" t="s">
        <v>727</v>
      </c>
      <c r="B2536" s="57" t="s">
        <v>727</v>
      </c>
      <c r="C2536" s="57" t="s">
        <v>415</v>
      </c>
      <c r="D2536" s="58" t="n">
        <v>46073.4218634259</v>
      </c>
      <c r="E2536" s="58" t="n">
        <v>46073.4218634259</v>
      </c>
      <c r="F2536" s="58" t="n">
        <v>46073.4223611111</v>
      </c>
      <c r="G2536" s="59" t="n">
        <f aca="false">F2536-E2536</f>
        <v>0.000497685196759259</v>
      </c>
      <c r="H2536" s="57" t="s">
        <v>252</v>
      </c>
      <c r="I2536" s="57"/>
      <c r="J2536" s="57" t="s">
        <v>333</v>
      </c>
      <c r="K2536" s="57" t="s">
        <v>334</v>
      </c>
      <c r="L2536" s="60" t="s">
        <v>3334</v>
      </c>
      <c r="M2536" s="57" t="s">
        <v>336</v>
      </c>
      <c r="N2536" s="57" t="s">
        <v>381</v>
      </c>
      <c r="O2536" s="57" t="s">
        <v>729</v>
      </c>
      <c r="P2536" s="57" t="s">
        <v>3335</v>
      </c>
      <c r="Q2536" s="57" t="s">
        <v>698</v>
      </c>
    </row>
    <row r="2537" s="50" customFormat="true" ht="14.25" hidden="false" customHeight="true" outlineLevel="0" collapsed="false">
      <c r="A2537" s="50" t="s">
        <v>727</v>
      </c>
      <c r="B2537" s="57" t="s">
        <v>727</v>
      </c>
      <c r="C2537" s="57" t="s">
        <v>415</v>
      </c>
      <c r="D2537" s="58" t="n">
        <v>46073.4116203704</v>
      </c>
      <c r="E2537" s="58" t="n">
        <v>46073.4116203704</v>
      </c>
      <c r="F2537" s="58" t="n">
        <v>46073.4121180556</v>
      </c>
      <c r="G2537" s="59" t="n">
        <f aca="false">F2537-E2537</f>
        <v>0.000497685196759259</v>
      </c>
      <c r="H2537" s="57" t="s">
        <v>252</v>
      </c>
      <c r="I2537" s="57"/>
      <c r="J2537" s="57" t="s">
        <v>333</v>
      </c>
      <c r="K2537" s="57" t="s">
        <v>334</v>
      </c>
      <c r="L2537" s="60" t="s">
        <v>3336</v>
      </c>
      <c r="M2537" s="57" t="s">
        <v>336</v>
      </c>
      <c r="N2537" s="57" t="s">
        <v>381</v>
      </c>
      <c r="O2537" s="57" t="s">
        <v>729</v>
      </c>
      <c r="P2537" s="57" t="s">
        <v>3337</v>
      </c>
      <c r="Q2537" s="57" t="s">
        <v>698</v>
      </c>
    </row>
    <row r="2538" s="50" customFormat="true" ht="14.25" hidden="false" customHeight="true" outlineLevel="0" collapsed="false">
      <c r="A2538" s="50" t="s">
        <v>727</v>
      </c>
      <c r="B2538" s="57" t="s">
        <v>727</v>
      </c>
      <c r="C2538" s="57" t="s">
        <v>415</v>
      </c>
      <c r="D2538" s="58" t="n">
        <v>46073.3972337963</v>
      </c>
      <c r="E2538" s="58" t="n">
        <v>46073.3972337963</v>
      </c>
      <c r="F2538" s="58" t="n">
        <v>46073.3977546296</v>
      </c>
      <c r="G2538" s="59" t="n">
        <f aca="false">F2538-E2538</f>
        <v>0.000520833298611111</v>
      </c>
      <c r="H2538" s="57" t="s">
        <v>252</v>
      </c>
      <c r="I2538" s="57"/>
      <c r="J2538" s="57" t="s">
        <v>333</v>
      </c>
      <c r="K2538" s="57" t="s">
        <v>334</v>
      </c>
      <c r="L2538" s="60" t="s">
        <v>3338</v>
      </c>
      <c r="M2538" s="57" t="s">
        <v>336</v>
      </c>
      <c r="N2538" s="57" t="s">
        <v>381</v>
      </c>
      <c r="O2538" s="57" t="s">
        <v>729</v>
      </c>
      <c r="P2538" s="57" t="s">
        <v>3339</v>
      </c>
      <c r="Q2538" s="57" t="s">
        <v>698</v>
      </c>
    </row>
    <row r="2539" s="50" customFormat="true" ht="14.25" hidden="false" customHeight="true" outlineLevel="0" collapsed="false">
      <c r="A2539" s="50" t="s">
        <v>727</v>
      </c>
      <c r="B2539" s="57" t="s">
        <v>727</v>
      </c>
      <c r="C2539" s="57" t="s">
        <v>415</v>
      </c>
      <c r="D2539" s="58" t="n">
        <v>46073.3858912037</v>
      </c>
      <c r="E2539" s="58" t="n">
        <v>46073.3858912037</v>
      </c>
      <c r="F2539" s="58" t="n">
        <v>46073.386400463</v>
      </c>
      <c r="G2539" s="59" t="n">
        <f aca="false">F2539-E2539</f>
        <v>0.000509259293981482</v>
      </c>
      <c r="H2539" s="57" t="s">
        <v>252</v>
      </c>
      <c r="I2539" s="57"/>
      <c r="J2539" s="57" t="s">
        <v>333</v>
      </c>
      <c r="K2539" s="57" t="s">
        <v>334</v>
      </c>
      <c r="L2539" s="60" t="s">
        <v>3340</v>
      </c>
      <c r="M2539" s="57" t="s">
        <v>336</v>
      </c>
      <c r="N2539" s="57" t="s">
        <v>381</v>
      </c>
      <c r="O2539" s="57" t="s">
        <v>729</v>
      </c>
      <c r="P2539" s="57" t="s">
        <v>3341</v>
      </c>
      <c r="Q2539" s="57" t="s">
        <v>698</v>
      </c>
    </row>
    <row r="2540" s="50" customFormat="true" ht="14.25" hidden="false" customHeight="true" outlineLevel="0" collapsed="false">
      <c r="A2540" s="50" t="s">
        <v>727</v>
      </c>
      <c r="B2540" s="57" t="s">
        <v>727</v>
      </c>
      <c r="C2540" s="57" t="s">
        <v>415</v>
      </c>
      <c r="D2540" s="58" t="n">
        <v>46073.2978009259</v>
      </c>
      <c r="E2540" s="58" t="n">
        <v>46073.2978009259</v>
      </c>
      <c r="F2540" s="58" t="n">
        <v>46073.2983217593</v>
      </c>
      <c r="G2540" s="59" t="n">
        <f aca="false">F2540-E2540</f>
        <v>0.000520833391203704</v>
      </c>
      <c r="H2540" s="57" t="s">
        <v>252</v>
      </c>
      <c r="I2540" s="57"/>
      <c r="J2540" s="57" t="s">
        <v>333</v>
      </c>
      <c r="K2540" s="57" t="s">
        <v>334</v>
      </c>
      <c r="L2540" s="60" t="s">
        <v>3342</v>
      </c>
      <c r="M2540" s="57" t="s">
        <v>336</v>
      </c>
      <c r="N2540" s="57" t="s">
        <v>381</v>
      </c>
      <c r="O2540" s="57" t="s">
        <v>729</v>
      </c>
      <c r="P2540" s="57" t="s">
        <v>3343</v>
      </c>
      <c r="Q2540" s="57" t="s">
        <v>698</v>
      </c>
    </row>
    <row r="2541" s="50" customFormat="true" ht="14.25" hidden="false" customHeight="true" outlineLevel="0" collapsed="false">
      <c r="A2541" s="50" t="s">
        <v>727</v>
      </c>
      <c r="B2541" s="57" t="s">
        <v>727</v>
      </c>
      <c r="C2541" s="57" t="s">
        <v>415</v>
      </c>
      <c r="D2541" s="58" t="n">
        <v>46073.2959490741</v>
      </c>
      <c r="E2541" s="58" t="n">
        <v>46073.2959490741</v>
      </c>
      <c r="F2541" s="58" t="n">
        <v>46073.2964699074</v>
      </c>
      <c r="G2541" s="59" t="n">
        <f aca="false">F2541-E2541</f>
        <v>0.000520833298611111</v>
      </c>
      <c r="H2541" s="57" t="s">
        <v>252</v>
      </c>
      <c r="I2541" s="57"/>
      <c r="J2541" s="57" t="s">
        <v>333</v>
      </c>
      <c r="K2541" s="57" t="s">
        <v>334</v>
      </c>
      <c r="L2541" s="60" t="s">
        <v>3344</v>
      </c>
      <c r="M2541" s="57" t="s">
        <v>336</v>
      </c>
      <c r="N2541" s="57" t="s">
        <v>381</v>
      </c>
      <c r="O2541" s="57" t="s">
        <v>729</v>
      </c>
      <c r="P2541" s="57" t="s">
        <v>3345</v>
      </c>
      <c r="Q2541" s="57" t="s">
        <v>698</v>
      </c>
    </row>
    <row r="2542" s="50" customFormat="true" ht="14.25" hidden="false" customHeight="true" outlineLevel="0" collapsed="false">
      <c r="A2542" s="50" t="s">
        <v>727</v>
      </c>
      <c r="B2542" s="57" t="s">
        <v>727</v>
      </c>
      <c r="C2542" s="57" t="s">
        <v>415</v>
      </c>
      <c r="D2542" s="58" t="n">
        <v>46073.2879050926</v>
      </c>
      <c r="E2542" s="58" t="n">
        <v>46073.2879050926</v>
      </c>
      <c r="F2542" s="58" t="n">
        <v>46073.2883796296</v>
      </c>
      <c r="G2542" s="59" t="n">
        <f aca="false">F2542-E2542</f>
        <v>0.000474537002314815</v>
      </c>
      <c r="H2542" s="57" t="s">
        <v>252</v>
      </c>
      <c r="I2542" s="57"/>
      <c r="J2542" s="57" t="s">
        <v>333</v>
      </c>
      <c r="K2542" s="57" t="s">
        <v>334</v>
      </c>
      <c r="L2542" s="60" t="s">
        <v>3346</v>
      </c>
      <c r="M2542" s="57" t="s">
        <v>336</v>
      </c>
      <c r="N2542" s="57" t="s">
        <v>381</v>
      </c>
      <c r="O2542" s="57" t="s">
        <v>729</v>
      </c>
      <c r="P2542" s="57" t="s">
        <v>3347</v>
      </c>
      <c r="Q2542" s="57" t="s">
        <v>698</v>
      </c>
    </row>
    <row r="2543" s="50" customFormat="true" ht="14.25" hidden="false" customHeight="true" outlineLevel="0" collapsed="false">
      <c r="A2543" s="50" t="s">
        <v>727</v>
      </c>
      <c r="B2543" s="57" t="s">
        <v>727</v>
      </c>
      <c r="C2543" s="57" t="s">
        <v>415</v>
      </c>
      <c r="D2543" s="58" t="n">
        <v>46073.2824189815</v>
      </c>
      <c r="E2543" s="58" t="n">
        <v>46073.2824189815</v>
      </c>
      <c r="F2543" s="58" t="n">
        <v>46073.2869560185</v>
      </c>
      <c r="G2543" s="59" t="n">
        <f aca="false">F2543-E2543</f>
        <v>0.00453703700231482</v>
      </c>
      <c r="H2543" s="57" t="s">
        <v>252</v>
      </c>
      <c r="I2543" s="57"/>
      <c r="J2543" s="57" t="s">
        <v>333</v>
      </c>
      <c r="K2543" s="57" t="s">
        <v>334</v>
      </c>
      <c r="L2543" s="60" t="s">
        <v>3348</v>
      </c>
      <c r="M2543" s="57" t="s">
        <v>336</v>
      </c>
      <c r="N2543" s="57" t="s">
        <v>381</v>
      </c>
      <c r="O2543" s="57" t="s">
        <v>729</v>
      </c>
      <c r="P2543" s="57" t="s">
        <v>3349</v>
      </c>
      <c r="Q2543" s="57" t="s">
        <v>698</v>
      </c>
    </row>
    <row r="2544" s="50" customFormat="true" ht="14.25" hidden="false" customHeight="true" outlineLevel="0" collapsed="false">
      <c r="A2544" s="50" t="s">
        <v>727</v>
      </c>
      <c r="B2544" s="57" t="s">
        <v>727</v>
      </c>
      <c r="C2544" s="57" t="s">
        <v>415</v>
      </c>
      <c r="D2544" s="58" t="n">
        <v>46073.2801273148</v>
      </c>
      <c r="E2544" s="58" t="n">
        <v>46073.2801273148</v>
      </c>
      <c r="F2544" s="58" t="n">
        <v>46073.2811342593</v>
      </c>
      <c r="G2544" s="59" t="n">
        <f aca="false">F2544-E2544</f>
        <v>0.00100694450231481</v>
      </c>
      <c r="H2544" s="57" t="s">
        <v>252</v>
      </c>
      <c r="I2544" s="57"/>
      <c r="J2544" s="57" t="s">
        <v>333</v>
      </c>
      <c r="K2544" s="57" t="s">
        <v>334</v>
      </c>
      <c r="L2544" s="60" t="s">
        <v>3350</v>
      </c>
      <c r="M2544" s="57" t="s">
        <v>336</v>
      </c>
      <c r="N2544" s="57" t="s">
        <v>381</v>
      </c>
      <c r="O2544" s="57" t="s">
        <v>729</v>
      </c>
      <c r="P2544" s="57" t="s">
        <v>3351</v>
      </c>
      <c r="Q2544" s="57" t="s">
        <v>698</v>
      </c>
    </row>
    <row r="2545" s="50" customFormat="true" ht="14.25" hidden="false" customHeight="true" outlineLevel="0" collapsed="false">
      <c r="A2545" s="50" t="s">
        <v>727</v>
      </c>
      <c r="B2545" s="57" t="s">
        <v>727</v>
      </c>
      <c r="C2545" s="57" t="s">
        <v>415</v>
      </c>
      <c r="D2545" s="58" t="n">
        <v>46073.2491782407</v>
      </c>
      <c r="E2545" s="58" t="n">
        <v>46073.2491782407</v>
      </c>
      <c r="F2545" s="58" t="n">
        <v>46073.2799652778</v>
      </c>
      <c r="G2545" s="59" t="n">
        <f aca="false">F2545-E2545</f>
        <v>0.0307870370949074</v>
      </c>
      <c r="H2545" s="57" t="s">
        <v>252</v>
      </c>
      <c r="I2545" s="57"/>
      <c r="J2545" s="57" t="s">
        <v>333</v>
      </c>
      <c r="K2545" s="57" t="s">
        <v>334</v>
      </c>
      <c r="L2545" s="60" t="s">
        <v>3352</v>
      </c>
      <c r="M2545" s="57" t="s">
        <v>336</v>
      </c>
      <c r="N2545" s="57" t="s">
        <v>381</v>
      </c>
      <c r="O2545" s="57" t="s">
        <v>729</v>
      </c>
      <c r="P2545" s="57" t="s">
        <v>3353</v>
      </c>
      <c r="Q2545" s="57" t="s">
        <v>698</v>
      </c>
    </row>
    <row r="2546" s="50" customFormat="true" ht="14.25" hidden="false" customHeight="true" outlineLevel="0" collapsed="false">
      <c r="A2546" s="50" t="s">
        <v>727</v>
      </c>
      <c r="B2546" s="57" t="s">
        <v>727</v>
      </c>
      <c r="C2546" s="57" t="s">
        <v>415</v>
      </c>
      <c r="D2546" s="58" t="n">
        <v>46073.24875</v>
      </c>
      <c r="E2546" s="58" t="n">
        <v>46073.24875</v>
      </c>
      <c r="F2546" s="58" t="n">
        <v>46073.2799652778</v>
      </c>
      <c r="G2546" s="59" t="n">
        <f aca="false">F2546-E2546</f>
        <v>0.0312152778009259</v>
      </c>
      <c r="H2546" s="57" t="s">
        <v>252</v>
      </c>
      <c r="I2546" s="57"/>
      <c r="J2546" s="57" t="s">
        <v>333</v>
      </c>
      <c r="K2546" s="57" t="s">
        <v>334</v>
      </c>
      <c r="L2546" s="60" t="s">
        <v>3354</v>
      </c>
      <c r="M2546" s="57" t="s">
        <v>336</v>
      </c>
      <c r="N2546" s="57" t="s">
        <v>381</v>
      </c>
      <c r="O2546" s="57" t="s">
        <v>729</v>
      </c>
      <c r="P2546" s="57" t="s">
        <v>3355</v>
      </c>
      <c r="Q2546" s="57" t="s">
        <v>698</v>
      </c>
    </row>
    <row r="2547" s="50" customFormat="true" ht="14.25" hidden="false" customHeight="true" outlineLevel="0" collapsed="false">
      <c r="A2547" s="50" t="s">
        <v>727</v>
      </c>
      <c r="B2547" s="57" t="s">
        <v>727</v>
      </c>
      <c r="C2547" s="57" t="s">
        <v>415</v>
      </c>
      <c r="D2547" s="58" t="n">
        <v>46072.7743402778</v>
      </c>
      <c r="E2547" s="58" t="n">
        <v>46072.7743402778</v>
      </c>
      <c r="F2547" s="58" t="n">
        <v>46072.7744097222</v>
      </c>
      <c r="G2547" s="59" t="n">
        <f aca="false">F2547-E2547</f>
        <v>6.94443981481482E-005</v>
      </c>
      <c r="H2547" s="57" t="s">
        <v>252</v>
      </c>
      <c r="I2547" s="57"/>
      <c r="J2547" s="57" t="s">
        <v>333</v>
      </c>
      <c r="K2547" s="57" t="s">
        <v>334</v>
      </c>
      <c r="L2547" s="60" t="s">
        <v>3356</v>
      </c>
      <c r="M2547" s="57" t="s">
        <v>336</v>
      </c>
      <c r="N2547" s="57" t="s">
        <v>381</v>
      </c>
      <c r="O2547" s="57" t="s">
        <v>729</v>
      </c>
      <c r="P2547" s="57" t="s">
        <v>3357</v>
      </c>
      <c r="Q2547" s="57" t="s">
        <v>698</v>
      </c>
    </row>
    <row r="2548" s="50" customFormat="true" ht="14.25" hidden="false" customHeight="true" outlineLevel="0" collapsed="false">
      <c r="A2548" s="50" t="s">
        <v>727</v>
      </c>
      <c r="B2548" s="57" t="s">
        <v>727</v>
      </c>
      <c r="C2548" s="57" t="s">
        <v>415</v>
      </c>
      <c r="D2548" s="58" t="n">
        <v>46072.7535300926</v>
      </c>
      <c r="E2548" s="58" t="n">
        <v>46072.7535300926</v>
      </c>
      <c r="F2548" s="58" t="n">
        <v>46072.7772569444</v>
      </c>
      <c r="G2548" s="59" t="n">
        <f aca="false">F2548-E2548</f>
        <v>0.0237268517939815</v>
      </c>
      <c r="H2548" s="57" t="s">
        <v>252</v>
      </c>
      <c r="I2548" s="57"/>
      <c r="J2548" s="57" t="s">
        <v>333</v>
      </c>
      <c r="K2548" s="57" t="s">
        <v>334</v>
      </c>
      <c r="L2548" s="60" t="s">
        <v>3358</v>
      </c>
      <c r="M2548" s="57" t="s">
        <v>336</v>
      </c>
      <c r="N2548" s="57" t="s">
        <v>381</v>
      </c>
      <c r="O2548" s="57" t="s">
        <v>729</v>
      </c>
      <c r="P2548" s="57" t="s">
        <v>3359</v>
      </c>
      <c r="Q2548" s="57" t="s">
        <v>698</v>
      </c>
    </row>
    <row r="2549" s="50" customFormat="true" ht="14.25" hidden="false" customHeight="true" outlineLevel="0" collapsed="false">
      <c r="A2549" s="50" t="s">
        <v>727</v>
      </c>
      <c r="B2549" s="57" t="s">
        <v>727</v>
      </c>
      <c r="C2549" s="57" t="s">
        <v>415</v>
      </c>
      <c r="D2549" s="58" t="n">
        <v>46072.7528240741</v>
      </c>
      <c r="E2549" s="58" t="n">
        <v>46072.7528240741</v>
      </c>
      <c r="F2549" s="58" t="n">
        <v>46072.7533680556</v>
      </c>
      <c r="G2549" s="59" t="n">
        <f aca="false">F2549-E2549</f>
        <v>0.00054398150462963</v>
      </c>
      <c r="H2549" s="57" t="s">
        <v>252</v>
      </c>
      <c r="I2549" s="57"/>
      <c r="J2549" s="57" t="s">
        <v>333</v>
      </c>
      <c r="K2549" s="57" t="s">
        <v>334</v>
      </c>
      <c r="L2549" s="60" t="s">
        <v>3360</v>
      </c>
      <c r="M2549" s="57" t="s">
        <v>336</v>
      </c>
      <c r="N2549" s="57" t="s">
        <v>381</v>
      </c>
      <c r="O2549" s="57" t="s">
        <v>729</v>
      </c>
      <c r="P2549" s="57" t="s">
        <v>3361</v>
      </c>
      <c r="Q2549" s="57" t="s">
        <v>698</v>
      </c>
    </row>
    <row r="2550" s="50" customFormat="true" ht="14.25" hidden="false" customHeight="true" outlineLevel="0" collapsed="false">
      <c r="A2550" s="50" t="s">
        <v>727</v>
      </c>
      <c r="B2550" s="57" t="s">
        <v>727</v>
      </c>
      <c r="C2550" s="57" t="s">
        <v>415</v>
      </c>
      <c r="D2550" s="58" t="n">
        <v>46072.7521064815</v>
      </c>
      <c r="E2550" s="58" t="n">
        <v>46072.7521064815</v>
      </c>
      <c r="F2550" s="58" t="n">
        <v>46072.752650463</v>
      </c>
      <c r="G2550" s="59" t="n">
        <f aca="false">F2550-E2550</f>
        <v>0.00054398150462963</v>
      </c>
      <c r="H2550" s="57" t="s">
        <v>252</v>
      </c>
      <c r="I2550" s="57"/>
      <c r="J2550" s="57" t="s">
        <v>333</v>
      </c>
      <c r="K2550" s="57" t="s">
        <v>334</v>
      </c>
      <c r="L2550" s="60" t="s">
        <v>3362</v>
      </c>
      <c r="M2550" s="57" t="s">
        <v>336</v>
      </c>
      <c r="N2550" s="57" t="s">
        <v>381</v>
      </c>
      <c r="O2550" s="57" t="s">
        <v>729</v>
      </c>
      <c r="P2550" s="57" t="s">
        <v>3363</v>
      </c>
      <c r="Q2550" s="57" t="s">
        <v>698</v>
      </c>
    </row>
    <row r="2551" s="50" customFormat="true" ht="14.25" hidden="false" customHeight="true" outlineLevel="0" collapsed="false">
      <c r="A2551" s="50" t="s">
        <v>727</v>
      </c>
      <c r="B2551" s="57" t="s">
        <v>727</v>
      </c>
      <c r="C2551" s="57" t="s">
        <v>415</v>
      </c>
      <c r="D2551" s="58" t="n">
        <v>46072.7513888889</v>
      </c>
      <c r="E2551" s="58" t="n">
        <v>46072.7513888889</v>
      </c>
      <c r="F2551" s="58" t="n">
        <v>46072.7519212963</v>
      </c>
      <c r="G2551" s="59" t="n">
        <f aca="false">F2551-E2551</f>
        <v>0.000532407407407407</v>
      </c>
      <c r="H2551" s="57" t="s">
        <v>252</v>
      </c>
      <c r="I2551" s="57"/>
      <c r="J2551" s="57" t="s">
        <v>333</v>
      </c>
      <c r="K2551" s="57" t="s">
        <v>334</v>
      </c>
      <c r="L2551" s="60" t="s">
        <v>3364</v>
      </c>
      <c r="M2551" s="57" t="s">
        <v>336</v>
      </c>
      <c r="N2551" s="57" t="s">
        <v>381</v>
      </c>
      <c r="O2551" s="57" t="s">
        <v>729</v>
      </c>
      <c r="P2551" s="57" t="s">
        <v>3365</v>
      </c>
      <c r="Q2551" s="57" t="s">
        <v>698</v>
      </c>
    </row>
    <row r="2552" s="50" customFormat="true" ht="14.25" hidden="false" customHeight="true" outlineLevel="0" collapsed="false">
      <c r="A2552" s="50" t="s">
        <v>727</v>
      </c>
      <c r="B2552" s="57" t="s">
        <v>727</v>
      </c>
      <c r="C2552" s="57" t="s">
        <v>415</v>
      </c>
      <c r="D2552" s="58" t="n">
        <v>46072.7506597222</v>
      </c>
      <c r="E2552" s="58" t="n">
        <v>46072.7506597222</v>
      </c>
      <c r="F2552" s="58" t="n">
        <v>46072.7512152778</v>
      </c>
      <c r="G2552" s="59" t="n">
        <f aca="false">F2552-E2552</f>
        <v>0.000555555601851852</v>
      </c>
      <c r="H2552" s="57" t="s">
        <v>252</v>
      </c>
      <c r="I2552" s="57"/>
      <c r="J2552" s="57" t="s">
        <v>333</v>
      </c>
      <c r="K2552" s="57" t="s">
        <v>334</v>
      </c>
      <c r="L2552" s="60" t="s">
        <v>3366</v>
      </c>
      <c r="M2552" s="57" t="s">
        <v>336</v>
      </c>
      <c r="N2552" s="57" t="s">
        <v>381</v>
      </c>
      <c r="O2552" s="57" t="s">
        <v>729</v>
      </c>
      <c r="P2552" s="57" t="s">
        <v>3367</v>
      </c>
      <c r="Q2552" s="57" t="s">
        <v>698</v>
      </c>
    </row>
    <row r="2553" s="50" customFormat="true" ht="14.25" hidden="false" customHeight="true" outlineLevel="0" collapsed="false">
      <c r="A2553" s="50" t="s">
        <v>727</v>
      </c>
      <c r="B2553" s="57" t="s">
        <v>727</v>
      </c>
      <c r="C2553" s="57" t="s">
        <v>415</v>
      </c>
      <c r="D2553" s="58" t="n">
        <v>46072.7499074074</v>
      </c>
      <c r="E2553" s="58" t="n">
        <v>46072.7499074074</v>
      </c>
      <c r="F2553" s="58" t="n">
        <v>46072.750462963</v>
      </c>
      <c r="G2553" s="59" t="n">
        <f aca="false">F2553-E2553</f>
        <v>0.000555555601851852</v>
      </c>
      <c r="H2553" s="57" t="s">
        <v>252</v>
      </c>
      <c r="I2553" s="57"/>
      <c r="J2553" s="57" t="s">
        <v>333</v>
      </c>
      <c r="K2553" s="57" t="s">
        <v>334</v>
      </c>
      <c r="L2553" s="60" t="s">
        <v>3368</v>
      </c>
      <c r="M2553" s="57" t="s">
        <v>336</v>
      </c>
      <c r="N2553" s="57" t="s">
        <v>381</v>
      </c>
      <c r="O2553" s="57" t="s">
        <v>729</v>
      </c>
      <c r="P2553" s="57" t="s">
        <v>3369</v>
      </c>
      <c r="Q2553" s="57" t="s">
        <v>698</v>
      </c>
    </row>
    <row r="2554" s="50" customFormat="true" ht="14.25" hidden="false" customHeight="true" outlineLevel="0" collapsed="false">
      <c r="A2554" s="50" t="s">
        <v>727</v>
      </c>
      <c r="B2554" s="57" t="s">
        <v>727</v>
      </c>
      <c r="C2554" s="57" t="s">
        <v>415</v>
      </c>
      <c r="D2554" s="58" t="n">
        <v>46072.6650578704</v>
      </c>
      <c r="E2554" s="58" t="n">
        <v>46072.6650578704</v>
      </c>
      <c r="F2554" s="58" t="n">
        <v>46072.6655787037</v>
      </c>
      <c r="G2554" s="59" t="n">
        <f aca="false">F2554-E2554</f>
        <v>0.000520833298611111</v>
      </c>
      <c r="H2554" s="57" t="s">
        <v>252</v>
      </c>
      <c r="I2554" s="57"/>
      <c r="J2554" s="57" t="s">
        <v>333</v>
      </c>
      <c r="K2554" s="57" t="s">
        <v>334</v>
      </c>
      <c r="L2554" s="60" t="s">
        <v>3370</v>
      </c>
      <c r="M2554" s="57" t="s">
        <v>336</v>
      </c>
      <c r="N2554" s="57" t="s">
        <v>381</v>
      </c>
      <c r="O2554" s="57" t="s">
        <v>729</v>
      </c>
      <c r="P2554" s="57" t="s">
        <v>3371</v>
      </c>
      <c r="Q2554" s="57" t="s">
        <v>698</v>
      </c>
    </row>
    <row r="2555" s="50" customFormat="true" ht="14.25" hidden="false" customHeight="true" outlineLevel="0" collapsed="false">
      <c r="A2555" s="50" t="s">
        <v>727</v>
      </c>
      <c r="B2555" s="57" t="s">
        <v>727</v>
      </c>
      <c r="C2555" s="57" t="s">
        <v>415</v>
      </c>
      <c r="D2555" s="58" t="n">
        <v>46072.6405439815</v>
      </c>
      <c r="E2555" s="58" t="n">
        <v>46072.6405439815</v>
      </c>
      <c r="F2555" s="58" t="n">
        <v>46072.6410532407</v>
      </c>
      <c r="G2555" s="59" t="n">
        <f aca="false">F2555-E2555</f>
        <v>0.000509259201388889</v>
      </c>
      <c r="H2555" s="57" t="s">
        <v>252</v>
      </c>
      <c r="I2555" s="57"/>
      <c r="J2555" s="57" t="s">
        <v>333</v>
      </c>
      <c r="K2555" s="57" t="s">
        <v>334</v>
      </c>
      <c r="L2555" s="60" t="s">
        <v>3372</v>
      </c>
      <c r="M2555" s="57" t="s">
        <v>336</v>
      </c>
      <c r="N2555" s="57" t="s">
        <v>381</v>
      </c>
      <c r="O2555" s="57" t="s">
        <v>729</v>
      </c>
      <c r="P2555" s="57" t="s">
        <v>3373</v>
      </c>
      <c r="Q2555" s="57" t="s">
        <v>698</v>
      </c>
    </row>
    <row r="2556" s="50" customFormat="true" ht="14.25" hidden="false" customHeight="true" outlineLevel="0" collapsed="false">
      <c r="A2556" s="50" t="s">
        <v>727</v>
      </c>
      <c r="B2556" s="57" t="s">
        <v>727</v>
      </c>
      <c r="C2556" s="57" t="s">
        <v>415</v>
      </c>
      <c r="D2556" s="58" t="n">
        <v>46072.6176388889</v>
      </c>
      <c r="E2556" s="58" t="n">
        <v>46072.6176388889</v>
      </c>
      <c r="F2556" s="58" t="n">
        <v>46072.6181597222</v>
      </c>
      <c r="G2556" s="59" t="n">
        <f aca="false">F2556-E2556</f>
        <v>0.000520833298611111</v>
      </c>
      <c r="H2556" s="57" t="s">
        <v>252</v>
      </c>
      <c r="I2556" s="57"/>
      <c r="J2556" s="57" t="s">
        <v>333</v>
      </c>
      <c r="K2556" s="57" t="s">
        <v>334</v>
      </c>
      <c r="L2556" s="60" t="s">
        <v>3374</v>
      </c>
      <c r="M2556" s="57" t="s">
        <v>336</v>
      </c>
      <c r="N2556" s="57" t="s">
        <v>381</v>
      </c>
      <c r="O2556" s="57" t="s">
        <v>729</v>
      </c>
      <c r="P2556" s="57" t="s">
        <v>3375</v>
      </c>
      <c r="Q2556" s="57" t="s">
        <v>698</v>
      </c>
    </row>
    <row r="2557" s="50" customFormat="true" ht="14.25" hidden="false" customHeight="true" outlineLevel="0" collapsed="false">
      <c r="A2557" s="50" t="s">
        <v>727</v>
      </c>
      <c r="B2557" s="57" t="s">
        <v>727</v>
      </c>
      <c r="C2557" s="57" t="s">
        <v>415</v>
      </c>
      <c r="D2557" s="58" t="n">
        <v>46072.5944097222</v>
      </c>
      <c r="E2557" s="58" t="n">
        <v>46072.5944097222</v>
      </c>
      <c r="F2557" s="58" t="n">
        <v>46072.600162037</v>
      </c>
      <c r="G2557" s="59" t="n">
        <f aca="false">F2557-E2557</f>
        <v>0.00575231480324074</v>
      </c>
      <c r="H2557" s="57" t="s">
        <v>252</v>
      </c>
      <c r="I2557" s="57"/>
      <c r="J2557" s="57" t="s">
        <v>333</v>
      </c>
      <c r="K2557" s="57" t="s">
        <v>334</v>
      </c>
      <c r="L2557" s="60" t="s">
        <v>3376</v>
      </c>
      <c r="M2557" s="57" t="s">
        <v>336</v>
      </c>
      <c r="N2557" s="57" t="s">
        <v>381</v>
      </c>
      <c r="O2557" s="57" t="s">
        <v>729</v>
      </c>
      <c r="P2557" s="57" t="s">
        <v>3377</v>
      </c>
      <c r="Q2557" s="57" t="s">
        <v>698</v>
      </c>
    </row>
    <row r="2558" s="50" customFormat="true" ht="14.25" hidden="false" customHeight="true" outlineLevel="0" collapsed="false">
      <c r="A2558" s="50" t="s">
        <v>727</v>
      </c>
      <c r="B2558" s="57" t="s">
        <v>727</v>
      </c>
      <c r="C2558" s="57" t="s">
        <v>415</v>
      </c>
      <c r="D2558" s="58" t="n">
        <v>46072.5926851852</v>
      </c>
      <c r="E2558" s="58" t="n">
        <v>46072.5926851852</v>
      </c>
      <c r="F2558" s="58" t="n">
        <v>46072.5932291667</v>
      </c>
      <c r="G2558" s="59" t="n">
        <f aca="false">F2558-E2558</f>
        <v>0.00054398150462963</v>
      </c>
      <c r="H2558" s="57" t="s">
        <v>252</v>
      </c>
      <c r="I2558" s="57"/>
      <c r="J2558" s="57" t="s">
        <v>333</v>
      </c>
      <c r="K2558" s="57" t="s">
        <v>334</v>
      </c>
      <c r="L2558" s="60" t="s">
        <v>3378</v>
      </c>
      <c r="M2558" s="57" t="s">
        <v>336</v>
      </c>
      <c r="N2558" s="57" t="s">
        <v>381</v>
      </c>
      <c r="O2558" s="57" t="s">
        <v>729</v>
      </c>
      <c r="P2558" s="57" t="s">
        <v>3379</v>
      </c>
      <c r="Q2558" s="57" t="s">
        <v>698</v>
      </c>
    </row>
    <row r="2559" s="50" customFormat="true" ht="14.25" hidden="false" customHeight="true" outlineLevel="0" collapsed="false">
      <c r="A2559" s="50" t="s">
        <v>727</v>
      </c>
      <c r="B2559" s="57" t="s">
        <v>727</v>
      </c>
      <c r="C2559" s="57" t="s">
        <v>415</v>
      </c>
      <c r="D2559" s="58" t="n">
        <v>46072.5809953704</v>
      </c>
      <c r="E2559" s="58" t="n">
        <v>46072.5809953704</v>
      </c>
      <c r="F2559" s="58" t="n">
        <v>46072.5815277778</v>
      </c>
      <c r="G2559" s="59" t="n">
        <f aca="false">F2559-E2559</f>
        <v>0.000532407407407407</v>
      </c>
      <c r="H2559" s="57" t="s">
        <v>252</v>
      </c>
      <c r="I2559" s="57"/>
      <c r="J2559" s="57" t="s">
        <v>333</v>
      </c>
      <c r="K2559" s="57" t="s">
        <v>334</v>
      </c>
      <c r="L2559" s="60" t="s">
        <v>3380</v>
      </c>
      <c r="M2559" s="57" t="s">
        <v>336</v>
      </c>
      <c r="N2559" s="57" t="s">
        <v>381</v>
      </c>
      <c r="O2559" s="57" t="s">
        <v>729</v>
      </c>
      <c r="P2559" s="57" t="s">
        <v>3381</v>
      </c>
      <c r="Q2559" s="57" t="s">
        <v>698</v>
      </c>
    </row>
    <row r="2560" s="50" customFormat="true" ht="14.25" hidden="false" customHeight="true" outlineLevel="0" collapsed="false">
      <c r="A2560" s="50" t="s">
        <v>727</v>
      </c>
      <c r="B2560" s="57" t="s">
        <v>727</v>
      </c>
      <c r="C2560" s="57" t="s">
        <v>415</v>
      </c>
      <c r="D2560" s="58" t="n">
        <v>46072.5771527778</v>
      </c>
      <c r="E2560" s="58" t="n">
        <v>46072.5771527778</v>
      </c>
      <c r="F2560" s="58" t="n">
        <v>46072.5781597222</v>
      </c>
      <c r="G2560" s="59" t="n">
        <f aca="false">F2560-E2560</f>
        <v>0.00100694439814815</v>
      </c>
      <c r="H2560" s="57" t="s">
        <v>252</v>
      </c>
      <c r="I2560" s="57"/>
      <c r="J2560" s="57" t="s">
        <v>333</v>
      </c>
      <c r="K2560" s="57" t="s">
        <v>334</v>
      </c>
      <c r="L2560" s="60" t="s">
        <v>3382</v>
      </c>
      <c r="M2560" s="57" t="s">
        <v>336</v>
      </c>
      <c r="N2560" s="57" t="s">
        <v>381</v>
      </c>
      <c r="O2560" s="57" t="s">
        <v>729</v>
      </c>
      <c r="P2560" s="57" t="s">
        <v>3383</v>
      </c>
      <c r="Q2560" s="57" t="s">
        <v>698</v>
      </c>
    </row>
    <row r="2561" s="50" customFormat="true" ht="14.25" hidden="false" customHeight="true" outlineLevel="0" collapsed="false">
      <c r="A2561" s="50" t="s">
        <v>727</v>
      </c>
      <c r="B2561" s="57" t="s">
        <v>727</v>
      </c>
      <c r="C2561" s="57" t="s">
        <v>415</v>
      </c>
      <c r="D2561" s="58" t="n">
        <v>46072.5736689815</v>
      </c>
      <c r="E2561" s="58" t="n">
        <v>46072.5736689815</v>
      </c>
      <c r="F2561" s="58" t="n">
        <v>46072.5748726852</v>
      </c>
      <c r="G2561" s="59" t="n">
        <f aca="false">F2561-E2561</f>
        <v>0.0012037037037037</v>
      </c>
      <c r="H2561" s="57" t="s">
        <v>252</v>
      </c>
      <c r="I2561" s="57"/>
      <c r="J2561" s="57" t="s">
        <v>333</v>
      </c>
      <c r="K2561" s="57" t="s">
        <v>334</v>
      </c>
      <c r="L2561" s="60" t="s">
        <v>3384</v>
      </c>
      <c r="M2561" s="57" t="s">
        <v>336</v>
      </c>
      <c r="N2561" s="57" t="s">
        <v>381</v>
      </c>
      <c r="O2561" s="57" t="s">
        <v>729</v>
      </c>
      <c r="P2561" s="57" t="s">
        <v>3385</v>
      </c>
      <c r="Q2561" s="57" t="s">
        <v>698</v>
      </c>
    </row>
    <row r="2562" s="50" customFormat="true" ht="14.25" hidden="false" customHeight="true" outlineLevel="0" collapsed="false">
      <c r="A2562" s="50" t="s">
        <v>727</v>
      </c>
      <c r="B2562" s="57" t="s">
        <v>727</v>
      </c>
      <c r="C2562" s="57" t="s">
        <v>415</v>
      </c>
      <c r="D2562" s="58" t="n">
        <v>46072.5618981481</v>
      </c>
      <c r="E2562" s="58" t="n">
        <v>46072.5618981481</v>
      </c>
      <c r="F2562" s="58" t="n">
        <v>46072.5630902778</v>
      </c>
      <c r="G2562" s="59" t="n">
        <f aca="false">F2562-E2562</f>
        <v>0.00119212969907407</v>
      </c>
      <c r="H2562" s="57" t="s">
        <v>252</v>
      </c>
      <c r="I2562" s="57"/>
      <c r="J2562" s="57" t="s">
        <v>333</v>
      </c>
      <c r="K2562" s="57" t="s">
        <v>334</v>
      </c>
      <c r="L2562" s="60" t="s">
        <v>3386</v>
      </c>
      <c r="M2562" s="57" t="s">
        <v>336</v>
      </c>
      <c r="N2562" s="57" t="s">
        <v>381</v>
      </c>
      <c r="O2562" s="57" t="s">
        <v>729</v>
      </c>
      <c r="P2562" s="57" t="s">
        <v>3387</v>
      </c>
      <c r="Q2562" s="57" t="s">
        <v>698</v>
      </c>
    </row>
    <row r="2563" s="50" customFormat="true" ht="14.25" hidden="false" customHeight="true" outlineLevel="0" collapsed="false">
      <c r="A2563" s="50" t="s">
        <v>727</v>
      </c>
      <c r="B2563" s="57" t="s">
        <v>727</v>
      </c>
      <c r="C2563" s="57" t="s">
        <v>415</v>
      </c>
      <c r="D2563" s="58" t="n">
        <v>46072.5567824074</v>
      </c>
      <c r="E2563" s="58" t="n">
        <v>46072.5567824074</v>
      </c>
      <c r="F2563" s="58" t="n">
        <v>46072.5573263889</v>
      </c>
      <c r="G2563" s="59" t="n">
        <f aca="false">F2563-E2563</f>
        <v>0.00054398150462963</v>
      </c>
      <c r="H2563" s="57" t="s">
        <v>252</v>
      </c>
      <c r="I2563" s="57"/>
      <c r="J2563" s="57" t="s">
        <v>333</v>
      </c>
      <c r="K2563" s="57" t="s">
        <v>334</v>
      </c>
      <c r="L2563" s="60" t="s">
        <v>3388</v>
      </c>
      <c r="M2563" s="57" t="s">
        <v>336</v>
      </c>
      <c r="N2563" s="57" t="s">
        <v>381</v>
      </c>
      <c r="O2563" s="57" t="s">
        <v>729</v>
      </c>
      <c r="P2563" s="57" t="s">
        <v>3389</v>
      </c>
      <c r="Q2563" s="57" t="s">
        <v>698</v>
      </c>
    </row>
    <row r="2564" s="50" customFormat="true" ht="14.25" hidden="false" customHeight="true" outlineLevel="0" collapsed="false">
      <c r="A2564" s="50" t="s">
        <v>727</v>
      </c>
      <c r="B2564" s="57" t="s">
        <v>727</v>
      </c>
      <c r="C2564" s="57" t="s">
        <v>415</v>
      </c>
      <c r="D2564" s="58" t="n">
        <v>46072.5416203704</v>
      </c>
      <c r="E2564" s="58" t="n">
        <v>46072.5416203704</v>
      </c>
      <c r="F2564" s="58" t="n">
        <v>46072.5423842593</v>
      </c>
      <c r="G2564" s="59" t="n">
        <f aca="false">F2564-E2564</f>
        <v>0.000763888888888889</v>
      </c>
      <c r="H2564" s="57" t="s">
        <v>252</v>
      </c>
      <c r="I2564" s="57"/>
      <c r="J2564" s="57" t="s">
        <v>333</v>
      </c>
      <c r="K2564" s="57" t="s">
        <v>334</v>
      </c>
      <c r="L2564" s="60" t="s">
        <v>3390</v>
      </c>
      <c r="M2564" s="57" t="s">
        <v>336</v>
      </c>
      <c r="N2564" s="57" t="s">
        <v>381</v>
      </c>
      <c r="O2564" s="57" t="s">
        <v>729</v>
      </c>
      <c r="P2564" s="57" t="s">
        <v>3391</v>
      </c>
      <c r="Q2564" s="57" t="s">
        <v>698</v>
      </c>
    </row>
    <row r="2565" s="50" customFormat="true" ht="14.25" hidden="false" customHeight="true" outlineLevel="0" collapsed="false">
      <c r="A2565" s="50" t="s">
        <v>727</v>
      </c>
      <c r="B2565" s="57" t="s">
        <v>727</v>
      </c>
      <c r="C2565" s="57" t="s">
        <v>415</v>
      </c>
      <c r="D2565" s="58" t="n">
        <v>46072.5210300926</v>
      </c>
      <c r="E2565" s="58" t="n">
        <v>46072.5210300926</v>
      </c>
      <c r="F2565" s="58" t="n">
        <v>46072.5231018519</v>
      </c>
      <c r="G2565" s="59" t="n">
        <f aca="false">F2565-E2565</f>
        <v>0.00207175929398148</v>
      </c>
      <c r="H2565" s="57" t="s">
        <v>252</v>
      </c>
      <c r="I2565" s="57"/>
      <c r="J2565" s="57" t="s">
        <v>333</v>
      </c>
      <c r="K2565" s="57" t="s">
        <v>334</v>
      </c>
      <c r="L2565" s="60" t="s">
        <v>3392</v>
      </c>
      <c r="M2565" s="57" t="s">
        <v>336</v>
      </c>
      <c r="N2565" s="57" t="s">
        <v>381</v>
      </c>
      <c r="O2565" s="57" t="s">
        <v>729</v>
      </c>
      <c r="P2565" s="57" t="s">
        <v>3393</v>
      </c>
      <c r="Q2565" s="57" t="s">
        <v>698</v>
      </c>
    </row>
    <row r="2566" s="50" customFormat="true" ht="14.25" hidden="false" customHeight="true" outlineLevel="0" collapsed="false">
      <c r="A2566" s="50" t="s">
        <v>727</v>
      </c>
      <c r="B2566" s="57" t="s">
        <v>727</v>
      </c>
      <c r="C2566" s="57" t="s">
        <v>415</v>
      </c>
      <c r="D2566" s="58" t="n">
        <v>46072.5144444444</v>
      </c>
      <c r="E2566" s="58" t="n">
        <v>46072.5144444444</v>
      </c>
      <c r="F2566" s="58" t="n">
        <v>46072.5149421296</v>
      </c>
      <c r="G2566" s="59" t="n">
        <f aca="false">F2566-E2566</f>
        <v>0.000497685196759259</v>
      </c>
      <c r="H2566" s="57" t="s">
        <v>252</v>
      </c>
      <c r="I2566" s="57"/>
      <c r="J2566" s="57" t="s">
        <v>333</v>
      </c>
      <c r="K2566" s="57" t="s">
        <v>334</v>
      </c>
      <c r="L2566" s="60" t="s">
        <v>3394</v>
      </c>
      <c r="M2566" s="57" t="s">
        <v>336</v>
      </c>
      <c r="N2566" s="57" t="s">
        <v>381</v>
      </c>
      <c r="O2566" s="57" t="s">
        <v>729</v>
      </c>
      <c r="P2566" s="57" t="s">
        <v>3395</v>
      </c>
      <c r="Q2566" s="57" t="s">
        <v>698</v>
      </c>
    </row>
    <row r="2567" s="50" customFormat="true" ht="14.25" hidden="false" customHeight="true" outlineLevel="0" collapsed="false">
      <c r="A2567" s="50" t="s">
        <v>727</v>
      </c>
      <c r="B2567" s="57" t="s">
        <v>727</v>
      </c>
      <c r="C2567" s="57" t="s">
        <v>415</v>
      </c>
      <c r="D2567" s="58" t="n">
        <v>46072.5041898148</v>
      </c>
      <c r="E2567" s="58" t="n">
        <v>46072.5041898148</v>
      </c>
      <c r="F2567" s="58" t="n">
        <v>46072.5047337963</v>
      </c>
      <c r="G2567" s="59" t="n">
        <f aca="false">F2567-E2567</f>
        <v>0.00054398150462963</v>
      </c>
      <c r="H2567" s="57" t="s">
        <v>252</v>
      </c>
      <c r="I2567" s="57"/>
      <c r="J2567" s="57" t="s">
        <v>333</v>
      </c>
      <c r="K2567" s="57" t="s">
        <v>334</v>
      </c>
      <c r="L2567" s="60" t="s">
        <v>3396</v>
      </c>
      <c r="M2567" s="57" t="s">
        <v>336</v>
      </c>
      <c r="N2567" s="57" t="s">
        <v>381</v>
      </c>
      <c r="O2567" s="57" t="s">
        <v>729</v>
      </c>
      <c r="P2567" s="57" t="s">
        <v>3397</v>
      </c>
      <c r="Q2567" s="57" t="s">
        <v>698</v>
      </c>
    </row>
    <row r="2568" s="50" customFormat="true" ht="14.25" hidden="false" customHeight="true" outlineLevel="0" collapsed="false">
      <c r="A2568" s="50" t="s">
        <v>727</v>
      </c>
      <c r="B2568" s="57" t="s">
        <v>727</v>
      </c>
      <c r="C2568" s="57" t="s">
        <v>415</v>
      </c>
      <c r="D2568" s="58" t="n">
        <v>46072.4925694445</v>
      </c>
      <c r="E2568" s="58" t="n">
        <v>46072.4925694445</v>
      </c>
      <c r="F2568" s="58" t="n">
        <v>46072.4931134259</v>
      </c>
      <c r="G2568" s="59" t="n">
        <f aca="false">F2568-E2568</f>
        <v>0.000543981400462963</v>
      </c>
      <c r="H2568" s="57" t="s">
        <v>252</v>
      </c>
      <c r="I2568" s="57"/>
      <c r="J2568" s="57" t="s">
        <v>333</v>
      </c>
      <c r="K2568" s="57" t="s">
        <v>334</v>
      </c>
      <c r="L2568" s="60" t="s">
        <v>3398</v>
      </c>
      <c r="M2568" s="57" t="s">
        <v>336</v>
      </c>
      <c r="N2568" s="57" t="s">
        <v>381</v>
      </c>
      <c r="O2568" s="57" t="s">
        <v>729</v>
      </c>
      <c r="P2568" s="57" t="s">
        <v>3399</v>
      </c>
      <c r="Q2568" s="57" t="s">
        <v>698</v>
      </c>
    </row>
    <row r="2569" s="50" customFormat="true" ht="14.25" hidden="false" customHeight="true" outlineLevel="0" collapsed="false">
      <c r="A2569" s="50" t="s">
        <v>727</v>
      </c>
      <c r="B2569" s="57" t="s">
        <v>727</v>
      </c>
      <c r="C2569" s="57" t="s">
        <v>415</v>
      </c>
      <c r="D2569" s="58" t="n">
        <v>46072.4822453704</v>
      </c>
      <c r="E2569" s="58" t="n">
        <v>46072.4822453704</v>
      </c>
      <c r="F2569" s="58" t="n">
        <v>46072.4827662037</v>
      </c>
      <c r="G2569" s="59" t="n">
        <f aca="false">F2569-E2569</f>
        <v>0.000520833298611111</v>
      </c>
      <c r="H2569" s="57" t="s">
        <v>252</v>
      </c>
      <c r="I2569" s="57"/>
      <c r="J2569" s="57" t="s">
        <v>333</v>
      </c>
      <c r="K2569" s="57" t="s">
        <v>334</v>
      </c>
      <c r="L2569" s="60" t="s">
        <v>3400</v>
      </c>
      <c r="M2569" s="57" t="s">
        <v>336</v>
      </c>
      <c r="N2569" s="57" t="s">
        <v>381</v>
      </c>
      <c r="O2569" s="57" t="s">
        <v>729</v>
      </c>
      <c r="P2569" s="57" t="s">
        <v>3401</v>
      </c>
      <c r="Q2569" s="57" t="s">
        <v>698</v>
      </c>
    </row>
    <row r="2570" s="50" customFormat="true" ht="14.25" hidden="false" customHeight="true" outlineLevel="0" collapsed="false">
      <c r="A2570" s="50" t="s">
        <v>727</v>
      </c>
      <c r="B2570" s="57" t="s">
        <v>727</v>
      </c>
      <c r="C2570" s="57" t="s">
        <v>415</v>
      </c>
      <c r="D2570" s="58" t="n">
        <v>46072.4708101852</v>
      </c>
      <c r="E2570" s="58" t="n">
        <v>46072.4708101852</v>
      </c>
      <c r="F2570" s="58" t="n">
        <v>46072.4713425926</v>
      </c>
      <c r="G2570" s="59" t="n">
        <f aca="false">F2570-E2570</f>
        <v>0.000532407407407407</v>
      </c>
      <c r="H2570" s="57" t="s">
        <v>252</v>
      </c>
      <c r="I2570" s="57"/>
      <c r="J2570" s="57" t="s">
        <v>333</v>
      </c>
      <c r="K2570" s="57" t="s">
        <v>334</v>
      </c>
      <c r="L2570" s="60" t="s">
        <v>3402</v>
      </c>
      <c r="M2570" s="57" t="s">
        <v>336</v>
      </c>
      <c r="N2570" s="57" t="s">
        <v>381</v>
      </c>
      <c r="O2570" s="57" t="s">
        <v>729</v>
      </c>
      <c r="P2570" s="57" t="s">
        <v>3403</v>
      </c>
      <c r="Q2570" s="57" t="s">
        <v>698</v>
      </c>
    </row>
    <row r="2571" s="50" customFormat="true" ht="14.25" hidden="false" customHeight="true" outlineLevel="0" collapsed="false">
      <c r="A2571" s="50" t="s">
        <v>727</v>
      </c>
      <c r="B2571" s="57" t="s">
        <v>727</v>
      </c>
      <c r="C2571" s="57" t="s">
        <v>415</v>
      </c>
      <c r="D2571" s="58" t="n">
        <v>46072.4378703704</v>
      </c>
      <c r="E2571" s="58" t="n">
        <v>46072.4378703704</v>
      </c>
      <c r="F2571" s="58" t="n">
        <v>46072.4384143519</v>
      </c>
      <c r="G2571" s="59" t="n">
        <f aca="false">F2571-E2571</f>
        <v>0.00054398150462963</v>
      </c>
      <c r="H2571" s="57" t="s">
        <v>252</v>
      </c>
      <c r="I2571" s="57"/>
      <c r="J2571" s="57" t="s">
        <v>333</v>
      </c>
      <c r="K2571" s="57" t="s">
        <v>334</v>
      </c>
      <c r="L2571" s="60" t="s">
        <v>3404</v>
      </c>
      <c r="M2571" s="57" t="s">
        <v>336</v>
      </c>
      <c r="N2571" s="57" t="s">
        <v>381</v>
      </c>
      <c r="O2571" s="57" t="s">
        <v>729</v>
      </c>
      <c r="P2571" s="57" t="s">
        <v>3405</v>
      </c>
      <c r="Q2571" s="57" t="s">
        <v>698</v>
      </c>
    </row>
    <row r="2572" s="50" customFormat="true" ht="14.25" hidden="false" customHeight="true" outlineLevel="0" collapsed="false">
      <c r="A2572" s="50" t="s">
        <v>727</v>
      </c>
      <c r="B2572" s="57" t="s">
        <v>727</v>
      </c>
      <c r="C2572" s="57" t="s">
        <v>415</v>
      </c>
      <c r="D2572" s="58" t="n">
        <v>46072.4289236111</v>
      </c>
      <c r="E2572" s="58" t="n">
        <v>46072.4289236111</v>
      </c>
      <c r="F2572" s="58" t="n">
        <v>46072.4294444444</v>
      </c>
      <c r="G2572" s="59" t="n">
        <f aca="false">F2572-E2572</f>
        <v>0.000520833298611111</v>
      </c>
      <c r="H2572" s="57" t="s">
        <v>252</v>
      </c>
      <c r="I2572" s="57"/>
      <c r="J2572" s="57" t="s">
        <v>333</v>
      </c>
      <c r="K2572" s="57" t="s">
        <v>334</v>
      </c>
      <c r="L2572" s="60" t="s">
        <v>3406</v>
      </c>
      <c r="M2572" s="57" t="s">
        <v>336</v>
      </c>
      <c r="N2572" s="57" t="s">
        <v>381</v>
      </c>
      <c r="O2572" s="57" t="s">
        <v>729</v>
      </c>
      <c r="P2572" s="57" t="s">
        <v>3407</v>
      </c>
      <c r="Q2572" s="57" t="s">
        <v>698</v>
      </c>
    </row>
    <row r="2573" s="50" customFormat="true" ht="14.25" hidden="false" customHeight="true" outlineLevel="0" collapsed="false">
      <c r="A2573" s="50" t="s">
        <v>727</v>
      </c>
      <c r="B2573" s="57" t="s">
        <v>727</v>
      </c>
      <c r="C2573" s="57" t="s">
        <v>415</v>
      </c>
      <c r="D2573" s="58" t="n">
        <v>46072.4063657407</v>
      </c>
      <c r="E2573" s="58" t="n">
        <v>46072.4063657407</v>
      </c>
      <c r="F2573" s="58" t="n">
        <v>46072.4069097222</v>
      </c>
      <c r="G2573" s="59" t="n">
        <f aca="false">F2573-E2573</f>
        <v>0.00054398150462963</v>
      </c>
      <c r="H2573" s="57" t="s">
        <v>252</v>
      </c>
      <c r="I2573" s="57"/>
      <c r="J2573" s="57" t="s">
        <v>333</v>
      </c>
      <c r="K2573" s="57" t="s">
        <v>334</v>
      </c>
      <c r="L2573" s="60" t="s">
        <v>3408</v>
      </c>
      <c r="M2573" s="57" t="s">
        <v>336</v>
      </c>
      <c r="N2573" s="57" t="s">
        <v>381</v>
      </c>
      <c r="O2573" s="57" t="s">
        <v>729</v>
      </c>
      <c r="P2573" s="57" t="s">
        <v>3409</v>
      </c>
      <c r="Q2573" s="57" t="s">
        <v>698</v>
      </c>
    </row>
    <row r="2574" s="50" customFormat="true" ht="14.25" hidden="false" customHeight="true" outlineLevel="0" collapsed="false">
      <c r="A2574" s="50" t="s">
        <v>727</v>
      </c>
      <c r="B2574" s="57" t="s">
        <v>727</v>
      </c>
      <c r="C2574" s="57" t="s">
        <v>415</v>
      </c>
      <c r="D2574" s="58" t="n">
        <v>46072.3903819444</v>
      </c>
      <c r="E2574" s="58" t="n">
        <v>46072.3903819444</v>
      </c>
      <c r="F2574" s="58" t="n">
        <v>46072.3909375</v>
      </c>
      <c r="G2574" s="59" t="n">
        <f aca="false">F2574-E2574</f>
        <v>0.000555555601851852</v>
      </c>
      <c r="H2574" s="57" t="s">
        <v>252</v>
      </c>
      <c r="I2574" s="57"/>
      <c r="J2574" s="57" t="s">
        <v>333</v>
      </c>
      <c r="K2574" s="57" t="s">
        <v>334</v>
      </c>
      <c r="L2574" s="60" t="s">
        <v>3410</v>
      </c>
      <c r="M2574" s="57" t="s">
        <v>336</v>
      </c>
      <c r="N2574" s="57" t="s">
        <v>381</v>
      </c>
      <c r="O2574" s="57" t="s">
        <v>729</v>
      </c>
      <c r="P2574" s="57" t="s">
        <v>3411</v>
      </c>
      <c r="Q2574" s="57" t="s">
        <v>698</v>
      </c>
    </row>
    <row r="2575" s="50" customFormat="true" ht="14.25" hidden="false" customHeight="true" outlineLevel="0" collapsed="false">
      <c r="A2575" s="50" t="s">
        <v>727</v>
      </c>
      <c r="B2575" s="57" t="s">
        <v>727</v>
      </c>
      <c r="C2575" s="57" t="s">
        <v>415</v>
      </c>
      <c r="D2575" s="58" t="n">
        <v>46072.3793171296</v>
      </c>
      <c r="E2575" s="58" t="n">
        <v>46072.3793171296</v>
      </c>
      <c r="F2575" s="58" t="n">
        <v>46072.3798263889</v>
      </c>
      <c r="G2575" s="59" t="n">
        <f aca="false">F2575-E2575</f>
        <v>0.000509259293981482</v>
      </c>
      <c r="H2575" s="57" t="s">
        <v>252</v>
      </c>
      <c r="I2575" s="57"/>
      <c r="J2575" s="57" t="s">
        <v>333</v>
      </c>
      <c r="K2575" s="57" t="s">
        <v>334</v>
      </c>
      <c r="L2575" s="60" t="s">
        <v>3412</v>
      </c>
      <c r="M2575" s="57" t="s">
        <v>336</v>
      </c>
      <c r="N2575" s="57" t="s">
        <v>381</v>
      </c>
      <c r="O2575" s="57" t="s">
        <v>729</v>
      </c>
      <c r="P2575" s="57" t="s">
        <v>3413</v>
      </c>
      <c r="Q2575" s="57" t="s">
        <v>698</v>
      </c>
    </row>
    <row r="2576" s="50" customFormat="true" ht="14.25" hidden="false" customHeight="true" outlineLevel="0" collapsed="false">
      <c r="A2576" s="50" t="s">
        <v>727</v>
      </c>
      <c r="B2576" s="57" t="s">
        <v>727</v>
      </c>
      <c r="C2576" s="57" t="s">
        <v>415</v>
      </c>
      <c r="D2576" s="58" t="n">
        <v>46072.3726273148</v>
      </c>
      <c r="E2576" s="58" t="n">
        <v>46072.3726273148</v>
      </c>
      <c r="F2576" s="58" t="n">
        <v>46072.3731828704</v>
      </c>
      <c r="G2576" s="59" t="n">
        <f aca="false">F2576-E2576</f>
        <v>0.000555555601851852</v>
      </c>
      <c r="H2576" s="57" t="s">
        <v>252</v>
      </c>
      <c r="I2576" s="57"/>
      <c r="J2576" s="57" t="s">
        <v>333</v>
      </c>
      <c r="K2576" s="57" t="s">
        <v>334</v>
      </c>
      <c r="L2576" s="60" t="s">
        <v>3414</v>
      </c>
      <c r="M2576" s="57" t="s">
        <v>336</v>
      </c>
      <c r="N2576" s="57" t="s">
        <v>381</v>
      </c>
      <c r="O2576" s="57" t="s">
        <v>729</v>
      </c>
      <c r="P2576" s="57" t="s">
        <v>3415</v>
      </c>
      <c r="Q2576" s="57" t="s">
        <v>698</v>
      </c>
    </row>
    <row r="2577" s="50" customFormat="true" ht="14.25" hidden="false" customHeight="true" outlineLevel="0" collapsed="false">
      <c r="A2577" s="50" t="s">
        <v>727</v>
      </c>
      <c r="B2577" s="57" t="s">
        <v>727</v>
      </c>
      <c r="C2577" s="57" t="s">
        <v>415</v>
      </c>
      <c r="D2577" s="58" t="n">
        <v>46072.3641319444</v>
      </c>
      <c r="E2577" s="58" t="n">
        <v>46072.3641319444</v>
      </c>
      <c r="F2577" s="58" t="n">
        <v>46072.3646527778</v>
      </c>
      <c r="G2577" s="59" t="n">
        <f aca="false">F2577-E2577</f>
        <v>0.000520833391203704</v>
      </c>
      <c r="H2577" s="57" t="s">
        <v>252</v>
      </c>
      <c r="I2577" s="57"/>
      <c r="J2577" s="57" t="s">
        <v>333</v>
      </c>
      <c r="K2577" s="57" t="s">
        <v>334</v>
      </c>
      <c r="L2577" s="60" t="s">
        <v>3416</v>
      </c>
      <c r="M2577" s="57" t="s">
        <v>336</v>
      </c>
      <c r="N2577" s="57" t="s">
        <v>381</v>
      </c>
      <c r="O2577" s="57" t="s">
        <v>729</v>
      </c>
      <c r="P2577" s="57" t="s">
        <v>3417</v>
      </c>
      <c r="Q2577" s="57" t="s">
        <v>698</v>
      </c>
    </row>
    <row r="2578" s="50" customFormat="true" ht="14.25" hidden="false" customHeight="true" outlineLevel="0" collapsed="false">
      <c r="A2578" s="50" t="s">
        <v>727</v>
      </c>
      <c r="B2578" s="57" t="s">
        <v>727</v>
      </c>
      <c r="C2578" s="57" t="s">
        <v>415</v>
      </c>
      <c r="D2578" s="58" t="n">
        <v>46072.2417708333</v>
      </c>
      <c r="E2578" s="58" t="n">
        <v>46072.2417708333</v>
      </c>
      <c r="F2578" s="58" t="n">
        <v>46072.2727893519</v>
      </c>
      <c r="G2578" s="59" t="n">
        <f aca="false">F2578-E2578</f>
        <v>0.031018518599537</v>
      </c>
      <c r="H2578" s="57" t="s">
        <v>252</v>
      </c>
      <c r="I2578" s="57"/>
      <c r="J2578" s="57" t="s">
        <v>333</v>
      </c>
      <c r="K2578" s="57" t="s">
        <v>334</v>
      </c>
      <c r="L2578" s="60" t="s">
        <v>3418</v>
      </c>
      <c r="M2578" s="57" t="s">
        <v>336</v>
      </c>
      <c r="N2578" s="57" t="s">
        <v>381</v>
      </c>
      <c r="O2578" s="57" t="s">
        <v>729</v>
      </c>
      <c r="P2578" s="57" t="s">
        <v>3419</v>
      </c>
      <c r="Q2578" s="57" t="s">
        <v>698</v>
      </c>
    </row>
    <row r="2579" s="50" customFormat="true" ht="14.25" hidden="false" customHeight="true" outlineLevel="0" collapsed="false">
      <c r="A2579" s="50" t="s">
        <v>727</v>
      </c>
      <c r="B2579" s="57" t="s">
        <v>727</v>
      </c>
      <c r="C2579" s="57" t="s">
        <v>415</v>
      </c>
      <c r="D2579" s="58" t="n">
        <v>46072.2413773148</v>
      </c>
      <c r="E2579" s="58" t="n">
        <v>46072.2413773148</v>
      </c>
      <c r="F2579" s="58" t="n">
        <v>46072.2727893519</v>
      </c>
      <c r="G2579" s="59" t="n">
        <f aca="false">F2579-E2579</f>
        <v>0.0314120370949074</v>
      </c>
      <c r="H2579" s="57" t="s">
        <v>252</v>
      </c>
      <c r="I2579" s="57"/>
      <c r="J2579" s="57" t="s">
        <v>333</v>
      </c>
      <c r="K2579" s="57" t="s">
        <v>334</v>
      </c>
      <c r="L2579" s="60" t="s">
        <v>3420</v>
      </c>
      <c r="M2579" s="57" t="s">
        <v>336</v>
      </c>
      <c r="N2579" s="57" t="s">
        <v>381</v>
      </c>
      <c r="O2579" s="57" t="s">
        <v>729</v>
      </c>
      <c r="P2579" s="57" t="s">
        <v>3421</v>
      </c>
      <c r="Q2579" s="57" t="s">
        <v>698</v>
      </c>
    </row>
    <row r="2580" s="50" customFormat="true" ht="14.25" hidden="false" customHeight="true" outlineLevel="0" collapsed="false">
      <c r="A2580" s="50" t="s">
        <v>727</v>
      </c>
      <c r="B2580" s="57" t="s">
        <v>727</v>
      </c>
      <c r="C2580" s="57" t="s">
        <v>415</v>
      </c>
      <c r="D2580" s="58" t="n">
        <v>46071.7644791667</v>
      </c>
      <c r="E2580" s="58" t="n">
        <v>46071.7644791667</v>
      </c>
      <c r="F2580" s="58" t="n">
        <v>46071.7859953704</v>
      </c>
      <c r="G2580" s="59" t="n">
        <f aca="false">F2580-E2580</f>
        <v>0.0215162037037037</v>
      </c>
      <c r="H2580" s="57" t="s">
        <v>252</v>
      </c>
      <c r="I2580" s="57"/>
      <c r="J2580" s="57" t="s">
        <v>333</v>
      </c>
      <c r="K2580" s="57" t="s">
        <v>334</v>
      </c>
      <c r="L2580" s="60" t="s">
        <v>3422</v>
      </c>
      <c r="M2580" s="57" t="s">
        <v>336</v>
      </c>
      <c r="N2580" s="57" t="s">
        <v>381</v>
      </c>
      <c r="O2580" s="57" t="s">
        <v>729</v>
      </c>
      <c r="P2580" s="57" t="s">
        <v>3423</v>
      </c>
      <c r="Q2580" s="57" t="s">
        <v>698</v>
      </c>
    </row>
    <row r="2581" s="50" customFormat="true" ht="14.25" hidden="false" customHeight="true" outlineLevel="0" collapsed="false">
      <c r="A2581" s="50" t="s">
        <v>727</v>
      </c>
      <c r="B2581" s="57" t="s">
        <v>727</v>
      </c>
      <c r="C2581" s="57" t="s">
        <v>415</v>
      </c>
      <c r="D2581" s="58" t="n">
        <v>46071.7625115741</v>
      </c>
      <c r="E2581" s="58" t="n">
        <v>46071.7625115741</v>
      </c>
      <c r="F2581" s="58" t="n">
        <v>46071.7630208333</v>
      </c>
      <c r="G2581" s="59" t="n">
        <f aca="false">F2581-E2581</f>
        <v>0.000509259201388889</v>
      </c>
      <c r="H2581" s="57" t="s">
        <v>252</v>
      </c>
      <c r="I2581" s="57"/>
      <c r="J2581" s="57" t="s">
        <v>333</v>
      </c>
      <c r="K2581" s="57" t="s">
        <v>334</v>
      </c>
      <c r="L2581" s="60" t="s">
        <v>3424</v>
      </c>
      <c r="M2581" s="57" t="s">
        <v>336</v>
      </c>
      <c r="N2581" s="57" t="s">
        <v>381</v>
      </c>
      <c r="O2581" s="57" t="s">
        <v>729</v>
      </c>
      <c r="P2581" s="57" t="s">
        <v>3425</v>
      </c>
      <c r="Q2581" s="57" t="s">
        <v>698</v>
      </c>
    </row>
    <row r="2582" s="50" customFormat="true" ht="14.25" hidden="false" customHeight="true" outlineLevel="0" collapsed="false">
      <c r="A2582" s="50" t="s">
        <v>727</v>
      </c>
      <c r="B2582" s="57" t="s">
        <v>727</v>
      </c>
      <c r="C2582" s="57" t="s">
        <v>415</v>
      </c>
      <c r="D2582" s="58" t="n">
        <v>46071.7360185185</v>
      </c>
      <c r="E2582" s="58" t="n">
        <v>46071.7360185185</v>
      </c>
      <c r="F2582" s="58" t="n">
        <v>46071.7365162037</v>
      </c>
      <c r="G2582" s="59" t="n">
        <f aca="false">F2582-E2582</f>
        <v>0.000497685196759259</v>
      </c>
      <c r="H2582" s="57" t="s">
        <v>252</v>
      </c>
      <c r="I2582" s="57"/>
      <c r="J2582" s="57" t="s">
        <v>333</v>
      </c>
      <c r="K2582" s="57" t="s">
        <v>334</v>
      </c>
      <c r="L2582" s="60" t="s">
        <v>3426</v>
      </c>
      <c r="M2582" s="57" t="s">
        <v>336</v>
      </c>
      <c r="N2582" s="57" t="s">
        <v>381</v>
      </c>
      <c r="O2582" s="57" t="s">
        <v>729</v>
      </c>
      <c r="P2582" s="57" t="s">
        <v>3427</v>
      </c>
      <c r="Q2582" s="57" t="s">
        <v>698</v>
      </c>
    </row>
    <row r="2583" s="50" customFormat="true" ht="14.25" hidden="false" customHeight="true" outlineLevel="0" collapsed="false">
      <c r="A2583" s="50" t="s">
        <v>727</v>
      </c>
      <c r="B2583" s="57" t="s">
        <v>727</v>
      </c>
      <c r="C2583" s="57" t="s">
        <v>415</v>
      </c>
      <c r="D2583" s="58" t="n">
        <v>46071.7347800926</v>
      </c>
      <c r="E2583" s="58" t="n">
        <v>46071.7347800926</v>
      </c>
      <c r="F2583" s="58" t="n">
        <v>46071.7352893519</v>
      </c>
      <c r="G2583" s="59" t="n">
        <f aca="false">F2583-E2583</f>
        <v>0.000509259293981482</v>
      </c>
      <c r="H2583" s="57" t="s">
        <v>252</v>
      </c>
      <c r="I2583" s="57"/>
      <c r="J2583" s="57" t="s">
        <v>333</v>
      </c>
      <c r="K2583" s="57" t="s">
        <v>334</v>
      </c>
      <c r="L2583" s="60" t="s">
        <v>3428</v>
      </c>
      <c r="M2583" s="57" t="s">
        <v>336</v>
      </c>
      <c r="N2583" s="57" t="s">
        <v>381</v>
      </c>
      <c r="O2583" s="57" t="s">
        <v>729</v>
      </c>
      <c r="P2583" s="57" t="s">
        <v>3429</v>
      </c>
      <c r="Q2583" s="57" t="s">
        <v>698</v>
      </c>
    </row>
    <row r="2584" s="50" customFormat="true" ht="14.25" hidden="false" customHeight="true" outlineLevel="0" collapsed="false">
      <c r="A2584" s="50" t="s">
        <v>727</v>
      </c>
      <c r="B2584" s="57" t="s">
        <v>727</v>
      </c>
      <c r="C2584" s="57" t="s">
        <v>415</v>
      </c>
      <c r="D2584" s="58" t="n">
        <v>46071.7255092593</v>
      </c>
      <c r="E2584" s="58" t="n">
        <v>46071.7255092593</v>
      </c>
      <c r="F2584" s="58" t="n">
        <v>46071.7260416667</v>
      </c>
      <c r="G2584" s="59" t="n">
        <f aca="false">F2584-E2584</f>
        <v>0.000532407407407407</v>
      </c>
      <c r="H2584" s="57" t="s">
        <v>252</v>
      </c>
      <c r="I2584" s="57"/>
      <c r="J2584" s="57" t="s">
        <v>333</v>
      </c>
      <c r="K2584" s="57" t="s">
        <v>334</v>
      </c>
      <c r="L2584" s="60" t="s">
        <v>3430</v>
      </c>
      <c r="M2584" s="57" t="s">
        <v>336</v>
      </c>
      <c r="N2584" s="57" t="s">
        <v>381</v>
      </c>
      <c r="O2584" s="57" t="s">
        <v>729</v>
      </c>
      <c r="P2584" s="57" t="s">
        <v>3431</v>
      </c>
      <c r="Q2584" s="57" t="s">
        <v>698</v>
      </c>
    </row>
    <row r="2585" s="50" customFormat="true" ht="14.25" hidden="false" customHeight="true" outlineLevel="0" collapsed="false">
      <c r="A2585" s="50" t="s">
        <v>727</v>
      </c>
      <c r="B2585" s="57" t="s">
        <v>727</v>
      </c>
      <c r="C2585" s="57" t="s">
        <v>415</v>
      </c>
      <c r="D2585" s="58" t="n">
        <v>46071.6828819444</v>
      </c>
      <c r="E2585" s="58" t="n">
        <v>46071.6828819444</v>
      </c>
      <c r="F2585" s="58" t="n">
        <v>46071.6834259259</v>
      </c>
      <c r="G2585" s="59" t="n">
        <f aca="false">F2585-E2585</f>
        <v>0.00054398150462963</v>
      </c>
      <c r="H2585" s="57" t="s">
        <v>252</v>
      </c>
      <c r="I2585" s="57"/>
      <c r="J2585" s="57" t="s">
        <v>333</v>
      </c>
      <c r="K2585" s="57" t="s">
        <v>334</v>
      </c>
      <c r="L2585" s="60" t="s">
        <v>3432</v>
      </c>
      <c r="M2585" s="57" t="s">
        <v>336</v>
      </c>
      <c r="N2585" s="57" t="s">
        <v>381</v>
      </c>
      <c r="O2585" s="57" t="s">
        <v>729</v>
      </c>
      <c r="P2585" s="57" t="s">
        <v>3433</v>
      </c>
      <c r="Q2585" s="57" t="s">
        <v>698</v>
      </c>
    </row>
    <row r="2586" s="50" customFormat="true" ht="14.25" hidden="false" customHeight="true" outlineLevel="0" collapsed="false">
      <c r="A2586" s="50" t="s">
        <v>727</v>
      </c>
      <c r="B2586" s="57" t="s">
        <v>727</v>
      </c>
      <c r="C2586" s="57" t="s">
        <v>415</v>
      </c>
      <c r="D2586" s="58" t="n">
        <v>46071.6584722222</v>
      </c>
      <c r="E2586" s="58" t="n">
        <v>46071.6584722222</v>
      </c>
      <c r="F2586" s="58" t="n">
        <v>46071.6636458333</v>
      </c>
      <c r="G2586" s="59" t="n">
        <f aca="false">F2586-E2586</f>
        <v>0.00517361109953704</v>
      </c>
      <c r="H2586" s="57" t="s">
        <v>252</v>
      </c>
      <c r="I2586" s="57"/>
      <c r="J2586" s="57" t="s">
        <v>333</v>
      </c>
      <c r="K2586" s="57" t="s">
        <v>334</v>
      </c>
      <c r="L2586" s="60" t="s">
        <v>3434</v>
      </c>
      <c r="M2586" s="57" t="s">
        <v>336</v>
      </c>
      <c r="N2586" s="57" t="s">
        <v>381</v>
      </c>
      <c r="O2586" s="57" t="s">
        <v>729</v>
      </c>
      <c r="P2586" s="57" t="s">
        <v>3435</v>
      </c>
      <c r="Q2586" s="57" t="s">
        <v>698</v>
      </c>
    </row>
    <row r="2587" s="50" customFormat="true" ht="14.25" hidden="false" customHeight="true" outlineLevel="0" collapsed="false">
      <c r="A2587" s="50" t="s">
        <v>727</v>
      </c>
      <c r="B2587" s="57" t="s">
        <v>727</v>
      </c>
      <c r="C2587" s="57" t="s">
        <v>415</v>
      </c>
      <c r="D2587" s="58" t="n">
        <v>46071.6576851852</v>
      </c>
      <c r="E2587" s="58" t="n">
        <v>46071.6576851852</v>
      </c>
      <c r="F2587" s="58" t="n">
        <v>46071.6582291667</v>
      </c>
      <c r="G2587" s="59" t="n">
        <f aca="false">F2587-E2587</f>
        <v>0.00054398150462963</v>
      </c>
      <c r="H2587" s="57" t="s">
        <v>252</v>
      </c>
      <c r="I2587" s="57"/>
      <c r="J2587" s="57" t="s">
        <v>333</v>
      </c>
      <c r="K2587" s="57" t="s">
        <v>334</v>
      </c>
      <c r="L2587" s="60" t="s">
        <v>3436</v>
      </c>
      <c r="M2587" s="57" t="s">
        <v>336</v>
      </c>
      <c r="N2587" s="57" t="s">
        <v>381</v>
      </c>
      <c r="O2587" s="57" t="s">
        <v>729</v>
      </c>
      <c r="P2587" s="57" t="s">
        <v>3437</v>
      </c>
      <c r="Q2587" s="57" t="s">
        <v>698</v>
      </c>
    </row>
    <row r="2588" s="50" customFormat="true" ht="14.25" hidden="false" customHeight="true" outlineLevel="0" collapsed="false">
      <c r="A2588" s="50" t="s">
        <v>727</v>
      </c>
      <c r="B2588" s="57" t="s">
        <v>727</v>
      </c>
      <c r="C2588" s="57" t="s">
        <v>415</v>
      </c>
      <c r="D2588" s="58" t="n">
        <v>46071.6565162037</v>
      </c>
      <c r="E2588" s="58" t="n">
        <v>46071.6565162037</v>
      </c>
      <c r="F2588" s="58" t="n">
        <v>46071.6570717593</v>
      </c>
      <c r="G2588" s="59" t="n">
        <f aca="false">F2588-E2588</f>
        <v>0.000555555601851852</v>
      </c>
      <c r="H2588" s="57" t="s">
        <v>252</v>
      </c>
      <c r="I2588" s="57"/>
      <c r="J2588" s="57" t="s">
        <v>333</v>
      </c>
      <c r="K2588" s="57" t="s">
        <v>334</v>
      </c>
      <c r="L2588" s="60" t="s">
        <v>3438</v>
      </c>
      <c r="M2588" s="57" t="s">
        <v>336</v>
      </c>
      <c r="N2588" s="57" t="s">
        <v>381</v>
      </c>
      <c r="O2588" s="57" t="s">
        <v>729</v>
      </c>
      <c r="P2588" s="57" t="s">
        <v>3439</v>
      </c>
      <c r="Q2588" s="57" t="s">
        <v>698</v>
      </c>
    </row>
    <row r="2589" s="50" customFormat="true" ht="14.25" hidden="false" customHeight="true" outlineLevel="0" collapsed="false">
      <c r="A2589" s="50" t="s">
        <v>727</v>
      </c>
      <c r="B2589" s="57" t="s">
        <v>727</v>
      </c>
      <c r="C2589" s="57" t="s">
        <v>415</v>
      </c>
      <c r="D2589" s="58" t="n">
        <v>46071.6281712963</v>
      </c>
      <c r="E2589" s="58" t="n">
        <v>46071.6281712963</v>
      </c>
      <c r="F2589" s="58" t="n">
        <v>46071.62875</v>
      </c>
      <c r="G2589" s="59" t="n">
        <f aca="false">F2589-E2589</f>
        <v>0.000578703703703704</v>
      </c>
      <c r="H2589" s="57" t="s">
        <v>252</v>
      </c>
      <c r="I2589" s="57"/>
      <c r="J2589" s="57" t="s">
        <v>333</v>
      </c>
      <c r="K2589" s="57" t="s">
        <v>334</v>
      </c>
      <c r="L2589" s="60" t="s">
        <v>3440</v>
      </c>
      <c r="M2589" s="57" t="s">
        <v>336</v>
      </c>
      <c r="N2589" s="57" t="s">
        <v>381</v>
      </c>
      <c r="O2589" s="57" t="s">
        <v>729</v>
      </c>
      <c r="P2589" s="57" t="s">
        <v>3441</v>
      </c>
      <c r="Q2589" s="57" t="s">
        <v>698</v>
      </c>
    </row>
    <row r="2590" s="50" customFormat="true" ht="14.25" hidden="false" customHeight="true" outlineLevel="0" collapsed="false">
      <c r="A2590" s="50" t="s">
        <v>727</v>
      </c>
      <c r="B2590" s="57" t="s">
        <v>727</v>
      </c>
      <c r="C2590" s="57" t="s">
        <v>415</v>
      </c>
      <c r="D2590" s="58" t="n">
        <v>46071.6191203704</v>
      </c>
      <c r="E2590" s="58" t="n">
        <v>46071.6191203704</v>
      </c>
      <c r="F2590" s="58" t="n">
        <v>46071.6196527778</v>
      </c>
      <c r="G2590" s="59" t="n">
        <f aca="false">F2590-E2590</f>
        <v>0.000532407407407407</v>
      </c>
      <c r="H2590" s="57" t="s">
        <v>252</v>
      </c>
      <c r="I2590" s="57"/>
      <c r="J2590" s="57" t="s">
        <v>333</v>
      </c>
      <c r="K2590" s="57" t="s">
        <v>334</v>
      </c>
      <c r="L2590" s="60" t="s">
        <v>3442</v>
      </c>
      <c r="M2590" s="57" t="s">
        <v>336</v>
      </c>
      <c r="N2590" s="57" t="s">
        <v>381</v>
      </c>
      <c r="O2590" s="57" t="s">
        <v>729</v>
      </c>
      <c r="P2590" s="57" t="s">
        <v>3443</v>
      </c>
      <c r="Q2590" s="57" t="s">
        <v>698</v>
      </c>
    </row>
    <row r="2591" s="50" customFormat="true" ht="14.25" hidden="false" customHeight="true" outlineLevel="0" collapsed="false">
      <c r="A2591" s="50" t="s">
        <v>727</v>
      </c>
      <c r="B2591" s="57" t="s">
        <v>727</v>
      </c>
      <c r="C2591" s="57" t="s">
        <v>415</v>
      </c>
      <c r="D2591" s="58" t="n">
        <v>46071.6143171296</v>
      </c>
      <c r="E2591" s="58" t="n">
        <v>46071.6143171296</v>
      </c>
      <c r="F2591" s="58" t="n">
        <v>46071.614849537</v>
      </c>
      <c r="G2591" s="59" t="n">
        <f aca="false">F2591-E2591</f>
        <v>0.000532407407407407</v>
      </c>
      <c r="H2591" s="57" t="s">
        <v>252</v>
      </c>
      <c r="I2591" s="57"/>
      <c r="J2591" s="57" t="s">
        <v>333</v>
      </c>
      <c r="K2591" s="57" t="s">
        <v>334</v>
      </c>
      <c r="L2591" s="60" t="s">
        <v>3444</v>
      </c>
      <c r="M2591" s="57" t="s">
        <v>336</v>
      </c>
      <c r="N2591" s="57" t="s">
        <v>381</v>
      </c>
      <c r="O2591" s="57" t="s">
        <v>729</v>
      </c>
      <c r="P2591" s="57" t="s">
        <v>3445</v>
      </c>
      <c r="Q2591" s="57" t="s">
        <v>698</v>
      </c>
    </row>
    <row r="2592" s="50" customFormat="true" ht="14.25" hidden="false" customHeight="true" outlineLevel="0" collapsed="false">
      <c r="A2592" s="50" t="s">
        <v>727</v>
      </c>
      <c r="B2592" s="57" t="s">
        <v>727</v>
      </c>
      <c r="C2592" s="57" t="s">
        <v>415</v>
      </c>
      <c r="D2592" s="58" t="n">
        <v>46071.522037037</v>
      </c>
      <c r="E2592" s="58" t="n">
        <v>46071.522037037</v>
      </c>
      <c r="F2592" s="58" t="n">
        <v>46071.5225694444</v>
      </c>
      <c r="G2592" s="59" t="n">
        <f aca="false">F2592-E2592</f>
        <v>0.000532407407407407</v>
      </c>
      <c r="H2592" s="57" t="s">
        <v>252</v>
      </c>
      <c r="I2592" s="57"/>
      <c r="J2592" s="57" t="s">
        <v>333</v>
      </c>
      <c r="K2592" s="57" t="s">
        <v>334</v>
      </c>
      <c r="L2592" s="60" t="s">
        <v>3446</v>
      </c>
      <c r="M2592" s="57" t="s">
        <v>336</v>
      </c>
      <c r="N2592" s="57" t="s">
        <v>381</v>
      </c>
      <c r="O2592" s="57" t="s">
        <v>729</v>
      </c>
      <c r="P2592" s="57" t="s">
        <v>3447</v>
      </c>
      <c r="Q2592" s="57" t="s">
        <v>698</v>
      </c>
    </row>
    <row r="2593" s="50" customFormat="true" ht="14.25" hidden="false" customHeight="true" outlineLevel="0" collapsed="false">
      <c r="A2593" s="50" t="s">
        <v>727</v>
      </c>
      <c r="B2593" s="57" t="s">
        <v>727</v>
      </c>
      <c r="C2593" s="57" t="s">
        <v>415</v>
      </c>
      <c r="D2593" s="58" t="n">
        <v>46071.5116087963</v>
      </c>
      <c r="E2593" s="58" t="n">
        <v>46071.5116087963</v>
      </c>
      <c r="F2593" s="58" t="n">
        <v>46071.5121180556</v>
      </c>
      <c r="G2593" s="59" t="n">
        <f aca="false">F2593-E2593</f>
        <v>0.000509259293981482</v>
      </c>
      <c r="H2593" s="57" t="s">
        <v>252</v>
      </c>
      <c r="I2593" s="57"/>
      <c r="J2593" s="57" t="s">
        <v>333</v>
      </c>
      <c r="K2593" s="57" t="s">
        <v>334</v>
      </c>
      <c r="L2593" s="60" t="s">
        <v>3448</v>
      </c>
      <c r="M2593" s="57" t="s">
        <v>336</v>
      </c>
      <c r="N2593" s="57" t="s">
        <v>381</v>
      </c>
      <c r="O2593" s="57" t="s">
        <v>729</v>
      </c>
      <c r="P2593" s="57" t="s">
        <v>3449</v>
      </c>
      <c r="Q2593" s="57" t="s">
        <v>698</v>
      </c>
    </row>
    <row r="2594" s="50" customFormat="true" ht="14.25" hidden="false" customHeight="true" outlineLevel="0" collapsed="false">
      <c r="A2594" s="50" t="s">
        <v>727</v>
      </c>
      <c r="B2594" s="57" t="s">
        <v>727</v>
      </c>
      <c r="C2594" s="57" t="s">
        <v>415</v>
      </c>
      <c r="D2594" s="58" t="n">
        <v>46071.4845717593</v>
      </c>
      <c r="E2594" s="58" t="n">
        <v>46071.4845717593</v>
      </c>
      <c r="F2594" s="58" t="n">
        <v>46071.4851273148</v>
      </c>
      <c r="G2594" s="59" t="n">
        <f aca="false">F2594-E2594</f>
        <v>0.000555555509259259</v>
      </c>
      <c r="H2594" s="57" t="s">
        <v>252</v>
      </c>
      <c r="I2594" s="57"/>
      <c r="J2594" s="57" t="s">
        <v>333</v>
      </c>
      <c r="K2594" s="57" t="s">
        <v>334</v>
      </c>
      <c r="L2594" s="60" t="s">
        <v>3450</v>
      </c>
      <c r="M2594" s="57" t="s">
        <v>336</v>
      </c>
      <c r="N2594" s="57" t="s">
        <v>381</v>
      </c>
      <c r="O2594" s="57" t="s">
        <v>729</v>
      </c>
      <c r="P2594" s="57" t="s">
        <v>3451</v>
      </c>
      <c r="Q2594" s="57" t="s">
        <v>698</v>
      </c>
    </row>
    <row r="2595" s="50" customFormat="true" ht="14.25" hidden="false" customHeight="true" outlineLevel="0" collapsed="false">
      <c r="A2595" s="50" t="s">
        <v>727</v>
      </c>
      <c r="B2595" s="57" t="s">
        <v>727</v>
      </c>
      <c r="C2595" s="57" t="s">
        <v>415</v>
      </c>
      <c r="D2595" s="58" t="n">
        <v>46071.4779050926</v>
      </c>
      <c r="E2595" s="58" t="n">
        <v>46071.4779050926</v>
      </c>
      <c r="F2595" s="58" t="n">
        <v>46071.4784375</v>
      </c>
      <c r="G2595" s="59" t="n">
        <f aca="false">F2595-E2595</f>
        <v>0.000532407407407407</v>
      </c>
      <c r="H2595" s="57" t="s">
        <v>252</v>
      </c>
      <c r="I2595" s="57"/>
      <c r="J2595" s="57" t="s">
        <v>333</v>
      </c>
      <c r="K2595" s="57" t="s">
        <v>334</v>
      </c>
      <c r="L2595" s="60" t="s">
        <v>3452</v>
      </c>
      <c r="M2595" s="57" t="s">
        <v>336</v>
      </c>
      <c r="N2595" s="57" t="s">
        <v>381</v>
      </c>
      <c r="O2595" s="57" t="s">
        <v>729</v>
      </c>
      <c r="P2595" s="57" t="s">
        <v>3453</v>
      </c>
      <c r="Q2595" s="57" t="s">
        <v>698</v>
      </c>
    </row>
    <row r="2596" s="50" customFormat="true" ht="14.25" hidden="false" customHeight="true" outlineLevel="0" collapsed="false">
      <c r="A2596" s="50" t="s">
        <v>727</v>
      </c>
      <c r="B2596" s="57" t="s">
        <v>727</v>
      </c>
      <c r="C2596" s="57" t="s">
        <v>415</v>
      </c>
      <c r="D2596" s="58" t="n">
        <v>46071.4684722222</v>
      </c>
      <c r="E2596" s="58" t="n">
        <v>46071.4684722222</v>
      </c>
      <c r="F2596" s="58" t="n">
        <v>46071.4689930556</v>
      </c>
      <c r="G2596" s="59" t="n">
        <f aca="false">F2596-E2596</f>
        <v>0.000520833391203704</v>
      </c>
      <c r="H2596" s="57" t="s">
        <v>252</v>
      </c>
      <c r="I2596" s="57"/>
      <c r="J2596" s="57" t="s">
        <v>333</v>
      </c>
      <c r="K2596" s="57" t="s">
        <v>334</v>
      </c>
      <c r="L2596" s="60" t="s">
        <v>3454</v>
      </c>
      <c r="M2596" s="57" t="s">
        <v>336</v>
      </c>
      <c r="N2596" s="57" t="s">
        <v>381</v>
      </c>
      <c r="O2596" s="57" t="s">
        <v>729</v>
      </c>
      <c r="P2596" s="57" t="s">
        <v>3455</v>
      </c>
      <c r="Q2596" s="57" t="s">
        <v>698</v>
      </c>
    </row>
    <row r="2597" s="50" customFormat="true" ht="14.25" hidden="false" customHeight="true" outlineLevel="0" collapsed="false">
      <c r="A2597" s="50" t="s">
        <v>727</v>
      </c>
      <c r="B2597" s="57" t="s">
        <v>727</v>
      </c>
      <c r="C2597" s="57" t="s">
        <v>415</v>
      </c>
      <c r="D2597" s="58" t="n">
        <v>46071.4424421296</v>
      </c>
      <c r="E2597" s="58" t="n">
        <v>46071.4424421296</v>
      </c>
      <c r="F2597" s="58" t="n">
        <v>46071.4429861111</v>
      </c>
      <c r="G2597" s="59" t="n">
        <f aca="false">F2597-E2597</f>
        <v>0.00054398150462963</v>
      </c>
      <c r="H2597" s="57" t="s">
        <v>252</v>
      </c>
      <c r="I2597" s="57"/>
      <c r="J2597" s="57" t="s">
        <v>333</v>
      </c>
      <c r="K2597" s="57" t="s">
        <v>334</v>
      </c>
      <c r="L2597" s="60" t="s">
        <v>3456</v>
      </c>
      <c r="M2597" s="57" t="s">
        <v>336</v>
      </c>
      <c r="N2597" s="57" t="s">
        <v>381</v>
      </c>
      <c r="O2597" s="57" t="s">
        <v>729</v>
      </c>
      <c r="P2597" s="57" t="s">
        <v>3457</v>
      </c>
      <c r="Q2597" s="57" t="s">
        <v>698</v>
      </c>
    </row>
    <row r="2598" s="50" customFormat="true" ht="14.25" hidden="false" customHeight="true" outlineLevel="0" collapsed="false">
      <c r="A2598" s="50" t="s">
        <v>727</v>
      </c>
      <c r="B2598" s="57" t="s">
        <v>727</v>
      </c>
      <c r="C2598" s="57" t="s">
        <v>415</v>
      </c>
      <c r="D2598" s="58" t="n">
        <v>46071.4075925926</v>
      </c>
      <c r="E2598" s="58" t="n">
        <v>46071.4075925926</v>
      </c>
      <c r="F2598" s="58" t="n">
        <v>46071.4081018519</v>
      </c>
      <c r="G2598" s="59" t="n">
        <f aca="false">F2598-E2598</f>
        <v>0.000509259293981482</v>
      </c>
      <c r="H2598" s="57" t="s">
        <v>252</v>
      </c>
      <c r="I2598" s="57"/>
      <c r="J2598" s="57" t="s">
        <v>333</v>
      </c>
      <c r="K2598" s="57" t="s">
        <v>334</v>
      </c>
      <c r="L2598" s="60" t="s">
        <v>3458</v>
      </c>
      <c r="M2598" s="57" t="s">
        <v>336</v>
      </c>
      <c r="N2598" s="57" t="s">
        <v>381</v>
      </c>
      <c r="O2598" s="57" t="s">
        <v>729</v>
      </c>
      <c r="P2598" s="57" t="s">
        <v>3459</v>
      </c>
      <c r="Q2598" s="57" t="s">
        <v>698</v>
      </c>
    </row>
    <row r="2599" s="50" customFormat="true" ht="14.25" hidden="false" customHeight="true" outlineLevel="0" collapsed="false">
      <c r="A2599" s="50" t="s">
        <v>727</v>
      </c>
      <c r="B2599" s="57" t="s">
        <v>727</v>
      </c>
      <c r="C2599" s="57" t="s">
        <v>415</v>
      </c>
      <c r="D2599" s="58" t="n">
        <v>46071.3881944444</v>
      </c>
      <c r="E2599" s="58" t="n">
        <v>46071.3881944444</v>
      </c>
      <c r="F2599" s="58" t="n">
        <v>46071.389212963</v>
      </c>
      <c r="G2599" s="59" t="n">
        <f aca="false">F2599-E2599</f>
        <v>0.00101851859953704</v>
      </c>
      <c r="H2599" s="57" t="s">
        <v>252</v>
      </c>
      <c r="I2599" s="57"/>
      <c r="J2599" s="57" t="s">
        <v>333</v>
      </c>
      <c r="K2599" s="57" t="s">
        <v>334</v>
      </c>
      <c r="L2599" s="60" t="s">
        <v>3460</v>
      </c>
      <c r="M2599" s="57" t="s">
        <v>336</v>
      </c>
      <c r="N2599" s="57" t="s">
        <v>381</v>
      </c>
      <c r="O2599" s="57" t="s">
        <v>729</v>
      </c>
      <c r="P2599" s="57" t="s">
        <v>3461</v>
      </c>
      <c r="Q2599" s="57" t="s">
        <v>698</v>
      </c>
    </row>
    <row r="2600" s="50" customFormat="true" ht="14.25" hidden="false" customHeight="true" outlineLevel="0" collapsed="false">
      <c r="A2600" s="50" t="s">
        <v>727</v>
      </c>
      <c r="B2600" s="57" t="s">
        <v>727</v>
      </c>
      <c r="C2600" s="57" t="s">
        <v>415</v>
      </c>
      <c r="D2600" s="58" t="n">
        <v>46071.3787037037</v>
      </c>
      <c r="E2600" s="58" t="n">
        <v>46071.3787037037</v>
      </c>
      <c r="F2600" s="58" t="n">
        <v>46071.3792476852</v>
      </c>
      <c r="G2600" s="59" t="n">
        <f aca="false">F2600-E2600</f>
        <v>0.00054398150462963</v>
      </c>
      <c r="H2600" s="57" t="s">
        <v>252</v>
      </c>
      <c r="I2600" s="57"/>
      <c r="J2600" s="57" t="s">
        <v>333</v>
      </c>
      <c r="K2600" s="57" t="s">
        <v>334</v>
      </c>
      <c r="L2600" s="60" t="s">
        <v>3462</v>
      </c>
      <c r="M2600" s="57" t="s">
        <v>336</v>
      </c>
      <c r="N2600" s="57" t="s">
        <v>381</v>
      </c>
      <c r="O2600" s="57" t="s">
        <v>729</v>
      </c>
      <c r="P2600" s="57" t="s">
        <v>3463</v>
      </c>
      <c r="Q2600" s="57" t="s">
        <v>698</v>
      </c>
    </row>
    <row r="2601" s="50" customFormat="true" ht="14.25" hidden="false" customHeight="true" outlineLevel="0" collapsed="false">
      <c r="A2601" s="50" t="s">
        <v>727</v>
      </c>
      <c r="B2601" s="57" t="s">
        <v>727</v>
      </c>
      <c r="C2601" s="57" t="s">
        <v>415</v>
      </c>
      <c r="D2601" s="58" t="n">
        <v>46071.3625</v>
      </c>
      <c r="E2601" s="58" t="n">
        <v>46071.3625</v>
      </c>
      <c r="F2601" s="58" t="n">
        <v>46071.3630439815</v>
      </c>
      <c r="G2601" s="59" t="n">
        <f aca="false">F2601-E2601</f>
        <v>0.00054398150462963</v>
      </c>
      <c r="H2601" s="57" t="s">
        <v>252</v>
      </c>
      <c r="I2601" s="57"/>
      <c r="J2601" s="57" t="s">
        <v>333</v>
      </c>
      <c r="K2601" s="57" t="s">
        <v>334</v>
      </c>
      <c r="L2601" s="60" t="s">
        <v>3464</v>
      </c>
      <c r="M2601" s="57" t="s">
        <v>336</v>
      </c>
      <c r="N2601" s="57" t="s">
        <v>381</v>
      </c>
      <c r="O2601" s="57" t="s">
        <v>729</v>
      </c>
      <c r="P2601" s="57" t="s">
        <v>3465</v>
      </c>
      <c r="Q2601" s="57" t="s">
        <v>698</v>
      </c>
    </row>
    <row r="2602" s="50" customFormat="true" ht="14.25" hidden="false" customHeight="true" outlineLevel="0" collapsed="false">
      <c r="A2602" s="50" t="s">
        <v>727</v>
      </c>
      <c r="B2602" s="57" t="s">
        <v>727</v>
      </c>
      <c r="C2602" s="57" t="s">
        <v>415</v>
      </c>
      <c r="D2602" s="58" t="n">
        <v>46071.3529861111</v>
      </c>
      <c r="E2602" s="58" t="n">
        <v>46071.3529861111</v>
      </c>
      <c r="F2602" s="58" t="n">
        <v>46071.3535416667</v>
      </c>
      <c r="G2602" s="59" t="n">
        <f aca="false">F2602-E2602</f>
        <v>0.000555555601851852</v>
      </c>
      <c r="H2602" s="57" t="s">
        <v>252</v>
      </c>
      <c r="I2602" s="57"/>
      <c r="J2602" s="57" t="s">
        <v>333</v>
      </c>
      <c r="K2602" s="57" t="s">
        <v>334</v>
      </c>
      <c r="L2602" s="60" t="s">
        <v>3466</v>
      </c>
      <c r="M2602" s="57" t="s">
        <v>336</v>
      </c>
      <c r="N2602" s="57" t="s">
        <v>381</v>
      </c>
      <c r="O2602" s="57" t="s">
        <v>729</v>
      </c>
      <c r="P2602" s="57" t="s">
        <v>3467</v>
      </c>
      <c r="Q2602" s="57" t="s">
        <v>698</v>
      </c>
    </row>
    <row r="2603" s="50" customFormat="true" ht="14.25" hidden="false" customHeight="true" outlineLevel="0" collapsed="false">
      <c r="A2603" s="50" t="s">
        <v>727</v>
      </c>
      <c r="B2603" s="57" t="s">
        <v>727</v>
      </c>
      <c r="C2603" s="57" t="s">
        <v>415</v>
      </c>
      <c r="D2603" s="58" t="n">
        <v>46071.3384027778</v>
      </c>
      <c r="E2603" s="58" t="n">
        <v>46071.3384027778</v>
      </c>
      <c r="F2603" s="58" t="n">
        <v>46071.338912037</v>
      </c>
      <c r="G2603" s="59" t="n">
        <f aca="false">F2603-E2603</f>
        <v>0.000509259201388889</v>
      </c>
      <c r="H2603" s="57" t="s">
        <v>252</v>
      </c>
      <c r="I2603" s="57"/>
      <c r="J2603" s="57" t="s">
        <v>333</v>
      </c>
      <c r="K2603" s="57" t="s">
        <v>334</v>
      </c>
      <c r="L2603" s="60" t="s">
        <v>3468</v>
      </c>
      <c r="M2603" s="57" t="s">
        <v>336</v>
      </c>
      <c r="N2603" s="57" t="s">
        <v>381</v>
      </c>
      <c r="O2603" s="57" t="s">
        <v>729</v>
      </c>
      <c r="P2603" s="57" t="s">
        <v>3469</v>
      </c>
      <c r="Q2603" s="57" t="s">
        <v>698</v>
      </c>
    </row>
    <row r="2604" s="50" customFormat="true" ht="14.25" hidden="false" customHeight="true" outlineLevel="0" collapsed="false">
      <c r="A2604" s="50" t="s">
        <v>727</v>
      </c>
      <c r="B2604" s="57" t="s">
        <v>727</v>
      </c>
      <c r="C2604" s="57" t="s">
        <v>415</v>
      </c>
      <c r="D2604" s="58" t="n">
        <v>46071.3215277778</v>
      </c>
      <c r="E2604" s="58" t="n">
        <v>46071.3215277778</v>
      </c>
      <c r="F2604" s="58" t="n">
        <v>46071.322037037</v>
      </c>
      <c r="G2604" s="59" t="n">
        <f aca="false">F2604-E2604</f>
        <v>0.000509259201388889</v>
      </c>
      <c r="H2604" s="57" t="s">
        <v>252</v>
      </c>
      <c r="I2604" s="57"/>
      <c r="J2604" s="57" t="s">
        <v>333</v>
      </c>
      <c r="K2604" s="57" t="s">
        <v>334</v>
      </c>
      <c r="L2604" s="60" t="s">
        <v>3470</v>
      </c>
      <c r="M2604" s="57" t="s">
        <v>336</v>
      </c>
      <c r="N2604" s="57" t="s">
        <v>381</v>
      </c>
      <c r="O2604" s="57" t="s">
        <v>729</v>
      </c>
      <c r="P2604" s="57" t="s">
        <v>3471</v>
      </c>
      <c r="Q2604" s="57" t="s">
        <v>698</v>
      </c>
    </row>
    <row r="2605" s="50" customFormat="true" ht="14.25" hidden="false" customHeight="true" outlineLevel="0" collapsed="false">
      <c r="A2605" s="50" t="s">
        <v>727</v>
      </c>
      <c r="B2605" s="57" t="s">
        <v>727</v>
      </c>
      <c r="C2605" s="57" t="s">
        <v>415</v>
      </c>
      <c r="D2605" s="58" t="n">
        <v>46071.3094328704</v>
      </c>
      <c r="E2605" s="58" t="n">
        <v>46071.3094328704</v>
      </c>
      <c r="F2605" s="58" t="n">
        <v>46071.3099421296</v>
      </c>
      <c r="G2605" s="59" t="n">
        <f aca="false">F2605-E2605</f>
        <v>0.000509259201388889</v>
      </c>
      <c r="H2605" s="57" t="s">
        <v>252</v>
      </c>
      <c r="I2605" s="57"/>
      <c r="J2605" s="57" t="s">
        <v>333</v>
      </c>
      <c r="K2605" s="57" t="s">
        <v>334</v>
      </c>
      <c r="L2605" s="60" t="s">
        <v>3472</v>
      </c>
      <c r="M2605" s="57" t="s">
        <v>336</v>
      </c>
      <c r="N2605" s="57" t="s">
        <v>381</v>
      </c>
      <c r="O2605" s="57" t="s">
        <v>729</v>
      </c>
      <c r="P2605" s="57" t="s">
        <v>3473</v>
      </c>
      <c r="Q2605" s="57" t="s">
        <v>698</v>
      </c>
    </row>
    <row r="2606" s="50" customFormat="true" ht="14.25" hidden="false" customHeight="true" outlineLevel="0" collapsed="false">
      <c r="A2606" s="50" t="s">
        <v>727</v>
      </c>
      <c r="B2606" s="57" t="s">
        <v>727</v>
      </c>
      <c r="C2606" s="57" t="s">
        <v>415</v>
      </c>
      <c r="D2606" s="58" t="n">
        <v>46071.2839467593</v>
      </c>
      <c r="E2606" s="58" t="n">
        <v>46071.2839467593</v>
      </c>
      <c r="F2606" s="58" t="n">
        <v>46071.2845601852</v>
      </c>
      <c r="G2606" s="59" t="n">
        <f aca="false">F2606-E2606</f>
        <v>0.000613425902777778</v>
      </c>
      <c r="H2606" s="57" t="s">
        <v>252</v>
      </c>
      <c r="I2606" s="57"/>
      <c r="J2606" s="57" t="s">
        <v>333</v>
      </c>
      <c r="K2606" s="57" t="s">
        <v>334</v>
      </c>
      <c r="L2606" s="60" t="s">
        <v>3474</v>
      </c>
      <c r="M2606" s="57" t="s">
        <v>336</v>
      </c>
      <c r="N2606" s="57" t="s">
        <v>381</v>
      </c>
      <c r="O2606" s="57" t="s">
        <v>729</v>
      </c>
      <c r="P2606" s="57" t="s">
        <v>3475</v>
      </c>
      <c r="Q2606" s="57" t="s">
        <v>698</v>
      </c>
    </row>
    <row r="2607" s="50" customFormat="true" ht="14.25" hidden="false" customHeight="true" outlineLevel="0" collapsed="false">
      <c r="A2607" s="50" t="s">
        <v>727</v>
      </c>
      <c r="B2607" s="57" t="s">
        <v>727</v>
      </c>
      <c r="C2607" s="57" t="s">
        <v>415</v>
      </c>
      <c r="D2607" s="58" t="n">
        <v>46071.2700462963</v>
      </c>
      <c r="E2607" s="58" t="n">
        <v>46071.2700462963</v>
      </c>
      <c r="F2607" s="58" t="n">
        <v>46071.2706712963</v>
      </c>
      <c r="G2607" s="59" t="n">
        <f aca="false">F2607-E2607</f>
        <v>0.000625</v>
      </c>
      <c r="H2607" s="57" t="s">
        <v>252</v>
      </c>
      <c r="I2607" s="57"/>
      <c r="J2607" s="57" t="s">
        <v>333</v>
      </c>
      <c r="K2607" s="57" t="s">
        <v>334</v>
      </c>
      <c r="L2607" s="60" t="s">
        <v>3476</v>
      </c>
      <c r="M2607" s="57" t="s">
        <v>336</v>
      </c>
      <c r="N2607" s="57" t="s">
        <v>381</v>
      </c>
      <c r="O2607" s="57" t="s">
        <v>729</v>
      </c>
      <c r="P2607" s="57" t="s">
        <v>3477</v>
      </c>
      <c r="Q2607" s="57" t="s">
        <v>698</v>
      </c>
    </row>
    <row r="2608" s="50" customFormat="true" ht="14.25" hidden="false" customHeight="true" outlineLevel="0" collapsed="false">
      <c r="A2608" s="50" t="s">
        <v>727</v>
      </c>
      <c r="B2608" s="57" t="s">
        <v>727</v>
      </c>
      <c r="C2608" s="57" t="s">
        <v>415</v>
      </c>
      <c r="D2608" s="58" t="n">
        <v>46071.2594907407</v>
      </c>
      <c r="E2608" s="58" t="n">
        <v>46071.2594907407</v>
      </c>
      <c r="F2608" s="58" t="n">
        <v>46071.2600694444</v>
      </c>
      <c r="G2608" s="59" t="n">
        <f aca="false">F2608-E2608</f>
        <v>0.000578703703703704</v>
      </c>
      <c r="H2608" s="57" t="s">
        <v>252</v>
      </c>
      <c r="I2608" s="57"/>
      <c r="J2608" s="57" t="s">
        <v>333</v>
      </c>
      <c r="K2608" s="57" t="s">
        <v>334</v>
      </c>
      <c r="L2608" s="60" t="s">
        <v>3478</v>
      </c>
      <c r="M2608" s="57" t="s">
        <v>336</v>
      </c>
      <c r="N2608" s="57" t="s">
        <v>381</v>
      </c>
      <c r="O2608" s="57" t="s">
        <v>729</v>
      </c>
      <c r="P2608" s="57" t="s">
        <v>3479</v>
      </c>
      <c r="Q2608" s="57" t="s">
        <v>698</v>
      </c>
    </row>
    <row r="2609" s="50" customFormat="true" ht="14.25" hidden="false" customHeight="true" outlineLevel="0" collapsed="false">
      <c r="A2609" s="50" t="s">
        <v>727</v>
      </c>
      <c r="B2609" s="57" t="s">
        <v>727</v>
      </c>
      <c r="C2609" s="57" t="s">
        <v>415</v>
      </c>
      <c r="D2609" s="58" t="n">
        <v>46071.2398726852</v>
      </c>
      <c r="E2609" s="58" t="n">
        <v>46071.2398726852</v>
      </c>
      <c r="F2609" s="58" t="n">
        <v>46071.259212963</v>
      </c>
      <c r="G2609" s="59" t="n">
        <f aca="false">F2609-E2609</f>
        <v>0.0193402778009259</v>
      </c>
      <c r="H2609" s="57" t="s">
        <v>252</v>
      </c>
      <c r="I2609" s="57"/>
      <c r="J2609" s="57" t="s">
        <v>333</v>
      </c>
      <c r="K2609" s="57" t="s">
        <v>334</v>
      </c>
      <c r="L2609" s="60" t="s">
        <v>3480</v>
      </c>
      <c r="M2609" s="57" t="s">
        <v>336</v>
      </c>
      <c r="N2609" s="57" t="s">
        <v>381</v>
      </c>
      <c r="O2609" s="57" t="s">
        <v>729</v>
      </c>
      <c r="P2609" s="57" t="s">
        <v>3481</v>
      </c>
      <c r="Q2609" s="57" t="s">
        <v>698</v>
      </c>
    </row>
    <row r="2610" s="50" customFormat="true" ht="14.25" hidden="false" customHeight="true" outlineLevel="0" collapsed="false">
      <c r="A2610" s="50" t="s">
        <v>727</v>
      </c>
      <c r="B2610" s="57" t="s">
        <v>727</v>
      </c>
      <c r="C2610" s="57" t="s">
        <v>415</v>
      </c>
      <c r="D2610" s="58" t="n">
        <v>46071.2394907407</v>
      </c>
      <c r="E2610" s="58" t="n">
        <v>46071.2394907407</v>
      </c>
      <c r="F2610" s="58" t="n">
        <v>46071.259212963</v>
      </c>
      <c r="G2610" s="59" t="n">
        <f aca="false">F2610-E2610</f>
        <v>0.0197222223032407</v>
      </c>
      <c r="H2610" s="57" t="s">
        <v>252</v>
      </c>
      <c r="I2610" s="57"/>
      <c r="J2610" s="57" t="s">
        <v>333</v>
      </c>
      <c r="K2610" s="57" t="s">
        <v>334</v>
      </c>
      <c r="L2610" s="60" t="s">
        <v>3482</v>
      </c>
      <c r="M2610" s="57" t="s">
        <v>336</v>
      </c>
      <c r="N2610" s="57" t="s">
        <v>381</v>
      </c>
      <c r="O2610" s="57" t="s">
        <v>729</v>
      </c>
      <c r="P2610" s="57" t="s">
        <v>3483</v>
      </c>
      <c r="Q2610" s="57" t="s">
        <v>698</v>
      </c>
    </row>
    <row r="2611" s="50" customFormat="true" ht="14.25" hidden="false" customHeight="true" outlineLevel="0" collapsed="false">
      <c r="A2611" s="50" t="s">
        <v>727</v>
      </c>
      <c r="B2611" s="57" t="s">
        <v>727</v>
      </c>
      <c r="C2611" s="57" t="s">
        <v>415</v>
      </c>
      <c r="D2611" s="58" t="n">
        <v>46070.7348842593</v>
      </c>
      <c r="E2611" s="58" t="n">
        <v>46070.7348842593</v>
      </c>
      <c r="F2611" s="58" t="n">
        <v>46070.7869560185</v>
      </c>
      <c r="G2611" s="59" t="n">
        <f aca="false">F2611-E2611</f>
        <v>0.0520717592013889</v>
      </c>
      <c r="H2611" s="57" t="s">
        <v>252</v>
      </c>
      <c r="I2611" s="57"/>
      <c r="J2611" s="57" t="s">
        <v>333</v>
      </c>
      <c r="K2611" s="57" t="s">
        <v>334</v>
      </c>
      <c r="L2611" s="60" t="s">
        <v>3484</v>
      </c>
      <c r="M2611" s="57" t="s">
        <v>336</v>
      </c>
      <c r="N2611" s="57" t="s">
        <v>381</v>
      </c>
      <c r="O2611" s="57" t="s">
        <v>729</v>
      </c>
      <c r="P2611" s="57" t="s">
        <v>3485</v>
      </c>
      <c r="Q2611" s="57" t="s">
        <v>698</v>
      </c>
    </row>
    <row r="2612" s="50" customFormat="true" ht="14.25" hidden="false" customHeight="true" outlineLevel="0" collapsed="false">
      <c r="A2612" s="50" t="s">
        <v>727</v>
      </c>
      <c r="B2612" s="57" t="s">
        <v>727</v>
      </c>
      <c r="C2612" s="57" t="s">
        <v>415</v>
      </c>
      <c r="D2612" s="58" t="n">
        <v>46070.7275694445</v>
      </c>
      <c r="E2612" s="58" t="n">
        <v>46070.7275694445</v>
      </c>
      <c r="F2612" s="58" t="n">
        <v>46070.7281134259</v>
      </c>
      <c r="G2612" s="59" t="n">
        <f aca="false">F2612-E2612</f>
        <v>0.000543981400462963</v>
      </c>
      <c r="H2612" s="57" t="s">
        <v>252</v>
      </c>
      <c r="I2612" s="57"/>
      <c r="J2612" s="57" t="s">
        <v>333</v>
      </c>
      <c r="K2612" s="57" t="s">
        <v>334</v>
      </c>
      <c r="L2612" s="60" t="s">
        <v>3486</v>
      </c>
      <c r="M2612" s="57" t="s">
        <v>336</v>
      </c>
      <c r="N2612" s="57" t="s">
        <v>381</v>
      </c>
      <c r="O2612" s="57" t="s">
        <v>729</v>
      </c>
      <c r="P2612" s="57" t="s">
        <v>3487</v>
      </c>
      <c r="Q2612" s="57" t="s">
        <v>698</v>
      </c>
    </row>
    <row r="2613" s="50" customFormat="true" ht="14.25" hidden="false" customHeight="true" outlineLevel="0" collapsed="false">
      <c r="A2613" s="50" t="s">
        <v>727</v>
      </c>
      <c r="B2613" s="57" t="s">
        <v>727</v>
      </c>
      <c r="C2613" s="57" t="s">
        <v>415</v>
      </c>
      <c r="D2613" s="58" t="n">
        <v>46070.7081134259</v>
      </c>
      <c r="E2613" s="58" t="n">
        <v>46070.7081134259</v>
      </c>
      <c r="F2613" s="58" t="n">
        <v>46070.7152199074</v>
      </c>
      <c r="G2613" s="59" t="n">
        <f aca="false">F2613-E2613</f>
        <v>0.00710648149305556</v>
      </c>
      <c r="H2613" s="57" t="s">
        <v>252</v>
      </c>
      <c r="I2613" s="57"/>
      <c r="J2613" s="57" t="s">
        <v>333</v>
      </c>
      <c r="K2613" s="57" t="s">
        <v>334</v>
      </c>
      <c r="L2613" s="60" t="s">
        <v>3488</v>
      </c>
      <c r="M2613" s="57" t="s">
        <v>336</v>
      </c>
      <c r="N2613" s="57" t="s">
        <v>381</v>
      </c>
      <c r="O2613" s="57" t="s">
        <v>729</v>
      </c>
      <c r="P2613" s="57" t="s">
        <v>3489</v>
      </c>
      <c r="Q2613" s="57" t="s">
        <v>698</v>
      </c>
    </row>
    <row r="2614" s="50" customFormat="true" ht="14.25" hidden="false" customHeight="true" outlineLevel="0" collapsed="false">
      <c r="A2614" s="50" t="s">
        <v>727</v>
      </c>
      <c r="B2614" s="57" t="s">
        <v>727</v>
      </c>
      <c r="C2614" s="57" t="s">
        <v>415</v>
      </c>
      <c r="D2614" s="58" t="n">
        <v>46070.7029513889</v>
      </c>
      <c r="E2614" s="58" t="n">
        <v>46070.7029513889</v>
      </c>
      <c r="F2614" s="58" t="n">
        <v>46070.7035069445</v>
      </c>
      <c r="G2614" s="59" t="n">
        <f aca="false">F2614-E2614</f>
        <v>0.000555555601851852</v>
      </c>
      <c r="H2614" s="57" t="s">
        <v>252</v>
      </c>
      <c r="I2614" s="57"/>
      <c r="J2614" s="57" t="s">
        <v>333</v>
      </c>
      <c r="K2614" s="57" t="s">
        <v>334</v>
      </c>
      <c r="L2614" s="60" t="s">
        <v>3490</v>
      </c>
      <c r="M2614" s="57" t="s">
        <v>336</v>
      </c>
      <c r="N2614" s="57" t="s">
        <v>381</v>
      </c>
      <c r="O2614" s="57" t="s">
        <v>729</v>
      </c>
      <c r="P2614" s="57" t="s">
        <v>3491</v>
      </c>
      <c r="Q2614" s="57" t="s">
        <v>698</v>
      </c>
    </row>
    <row r="2615" s="50" customFormat="true" ht="14.25" hidden="false" customHeight="true" outlineLevel="0" collapsed="false">
      <c r="A2615" s="50" t="s">
        <v>727</v>
      </c>
      <c r="B2615" s="57" t="s">
        <v>727</v>
      </c>
      <c r="C2615" s="57" t="s">
        <v>415</v>
      </c>
      <c r="D2615" s="58" t="n">
        <v>46070.6803819445</v>
      </c>
      <c r="E2615" s="58" t="n">
        <v>46070.6803819445</v>
      </c>
      <c r="F2615" s="58" t="n">
        <v>46070.6814930556</v>
      </c>
      <c r="G2615" s="59" t="n">
        <f aca="false">F2615-E2615</f>
        <v>0.00111111111111111</v>
      </c>
      <c r="H2615" s="57" t="s">
        <v>252</v>
      </c>
      <c r="I2615" s="57"/>
      <c r="J2615" s="57" t="s">
        <v>333</v>
      </c>
      <c r="K2615" s="57" t="s">
        <v>334</v>
      </c>
      <c r="L2615" s="60" t="s">
        <v>3492</v>
      </c>
      <c r="M2615" s="57" t="s">
        <v>336</v>
      </c>
      <c r="N2615" s="57" t="s">
        <v>381</v>
      </c>
      <c r="O2615" s="57" t="s">
        <v>729</v>
      </c>
      <c r="P2615" s="57" t="s">
        <v>3493</v>
      </c>
      <c r="Q2615" s="57" t="s">
        <v>698</v>
      </c>
    </row>
    <row r="2616" s="50" customFormat="true" ht="14.25" hidden="false" customHeight="true" outlineLevel="0" collapsed="false">
      <c r="A2616" s="50" t="s">
        <v>727</v>
      </c>
      <c r="B2616" s="57" t="s">
        <v>727</v>
      </c>
      <c r="C2616" s="57" t="s">
        <v>415</v>
      </c>
      <c r="D2616" s="58" t="n">
        <v>46070.6417824074</v>
      </c>
      <c r="E2616" s="58" t="n">
        <v>46070.6417824074</v>
      </c>
      <c r="F2616" s="58" t="n">
        <v>46070.6468865741</v>
      </c>
      <c r="G2616" s="59" t="n">
        <f aca="false">F2616-E2616</f>
        <v>0.00510416670138889</v>
      </c>
      <c r="H2616" s="57" t="s">
        <v>252</v>
      </c>
      <c r="I2616" s="57"/>
      <c r="J2616" s="57" t="s">
        <v>333</v>
      </c>
      <c r="K2616" s="57" t="s">
        <v>334</v>
      </c>
      <c r="L2616" s="60" t="s">
        <v>3494</v>
      </c>
      <c r="M2616" s="57" t="s">
        <v>336</v>
      </c>
      <c r="N2616" s="57" t="s">
        <v>381</v>
      </c>
      <c r="O2616" s="57" t="s">
        <v>729</v>
      </c>
      <c r="P2616" s="57" t="s">
        <v>3495</v>
      </c>
      <c r="Q2616" s="57" t="s">
        <v>698</v>
      </c>
    </row>
    <row r="2617" s="50" customFormat="true" ht="14.25" hidden="false" customHeight="true" outlineLevel="0" collapsed="false">
      <c r="A2617" s="50" t="s">
        <v>727</v>
      </c>
      <c r="B2617" s="57" t="s">
        <v>727</v>
      </c>
      <c r="C2617" s="57" t="s">
        <v>415</v>
      </c>
      <c r="D2617" s="58" t="n">
        <v>46070.6377199074</v>
      </c>
      <c r="E2617" s="58" t="n">
        <v>46070.6377199074</v>
      </c>
      <c r="F2617" s="58" t="n">
        <v>46070.6387384259</v>
      </c>
      <c r="G2617" s="59" t="n">
        <f aca="false">F2617-E2617</f>
        <v>0.00101851850694444</v>
      </c>
      <c r="H2617" s="57" t="s">
        <v>252</v>
      </c>
      <c r="I2617" s="57"/>
      <c r="J2617" s="57" t="s">
        <v>333</v>
      </c>
      <c r="K2617" s="57" t="s">
        <v>334</v>
      </c>
      <c r="L2617" s="60" t="s">
        <v>3496</v>
      </c>
      <c r="M2617" s="57" t="s">
        <v>336</v>
      </c>
      <c r="N2617" s="57" t="s">
        <v>381</v>
      </c>
      <c r="O2617" s="57" t="s">
        <v>729</v>
      </c>
      <c r="P2617" s="57" t="s">
        <v>3497</v>
      </c>
      <c r="Q2617" s="57" t="s">
        <v>698</v>
      </c>
    </row>
    <row r="2618" s="50" customFormat="true" ht="14.25" hidden="false" customHeight="true" outlineLevel="0" collapsed="false">
      <c r="A2618" s="50" t="s">
        <v>727</v>
      </c>
      <c r="B2618" s="57" t="s">
        <v>727</v>
      </c>
      <c r="C2618" s="57" t="s">
        <v>415</v>
      </c>
      <c r="D2618" s="58" t="n">
        <v>46070.6008449074</v>
      </c>
      <c r="E2618" s="58" t="n">
        <v>46070.6008449074</v>
      </c>
      <c r="F2618" s="58" t="n">
        <v>46070.6019791667</v>
      </c>
      <c r="G2618" s="59" t="n">
        <f aca="false">F2618-E2618</f>
        <v>0.00113425929398148</v>
      </c>
      <c r="H2618" s="57" t="s">
        <v>252</v>
      </c>
      <c r="I2618" s="57"/>
      <c r="J2618" s="57" t="s">
        <v>333</v>
      </c>
      <c r="K2618" s="57" t="s">
        <v>334</v>
      </c>
      <c r="L2618" s="60" t="s">
        <v>3498</v>
      </c>
      <c r="M2618" s="57" t="s">
        <v>336</v>
      </c>
      <c r="N2618" s="57" t="s">
        <v>381</v>
      </c>
      <c r="O2618" s="57" t="s">
        <v>729</v>
      </c>
      <c r="P2618" s="57" t="s">
        <v>3499</v>
      </c>
      <c r="Q2618" s="57" t="s">
        <v>698</v>
      </c>
    </row>
    <row r="2619" s="50" customFormat="true" ht="14.25" hidden="false" customHeight="true" outlineLevel="0" collapsed="false">
      <c r="A2619" s="50" t="s">
        <v>727</v>
      </c>
      <c r="B2619" s="57" t="s">
        <v>727</v>
      </c>
      <c r="C2619" s="57" t="s">
        <v>415</v>
      </c>
      <c r="D2619" s="58" t="n">
        <v>46070.5832060185</v>
      </c>
      <c r="E2619" s="58" t="n">
        <v>46070.5832060185</v>
      </c>
      <c r="F2619" s="58" t="n">
        <v>46070.5889930556</v>
      </c>
      <c r="G2619" s="59" t="n">
        <f aca="false">F2619-E2619</f>
        <v>0.00578703710648148</v>
      </c>
      <c r="H2619" s="57" t="s">
        <v>252</v>
      </c>
      <c r="I2619" s="57"/>
      <c r="J2619" s="57" t="s">
        <v>333</v>
      </c>
      <c r="K2619" s="57" t="s">
        <v>334</v>
      </c>
      <c r="L2619" s="60" t="s">
        <v>3500</v>
      </c>
      <c r="M2619" s="57" t="s">
        <v>336</v>
      </c>
      <c r="N2619" s="57" t="s">
        <v>381</v>
      </c>
      <c r="O2619" s="57" t="s">
        <v>729</v>
      </c>
      <c r="P2619" s="57" t="s">
        <v>3501</v>
      </c>
      <c r="Q2619" s="57" t="s">
        <v>698</v>
      </c>
    </row>
    <row r="2620" s="50" customFormat="true" ht="14.25" hidden="false" customHeight="true" outlineLevel="0" collapsed="false">
      <c r="A2620" s="50" t="s">
        <v>727</v>
      </c>
      <c r="B2620" s="57" t="s">
        <v>727</v>
      </c>
      <c r="C2620" s="57" t="s">
        <v>415</v>
      </c>
      <c r="D2620" s="58" t="n">
        <v>46070.581412037</v>
      </c>
      <c r="E2620" s="58" t="n">
        <v>46070.581412037</v>
      </c>
      <c r="F2620" s="58" t="n">
        <v>46070.582662037</v>
      </c>
      <c r="G2620" s="59" t="n">
        <f aca="false">F2620-E2620</f>
        <v>0.00125</v>
      </c>
      <c r="H2620" s="57" t="s">
        <v>252</v>
      </c>
      <c r="I2620" s="57"/>
      <c r="J2620" s="57" t="s">
        <v>333</v>
      </c>
      <c r="K2620" s="57" t="s">
        <v>334</v>
      </c>
      <c r="L2620" s="60" t="s">
        <v>3502</v>
      </c>
      <c r="M2620" s="57" t="s">
        <v>336</v>
      </c>
      <c r="N2620" s="57" t="s">
        <v>381</v>
      </c>
      <c r="O2620" s="57" t="s">
        <v>729</v>
      </c>
      <c r="P2620" s="57" t="s">
        <v>3503</v>
      </c>
      <c r="Q2620" s="57" t="s">
        <v>698</v>
      </c>
    </row>
    <row r="2621" s="50" customFormat="true" ht="14.25" hidden="false" customHeight="true" outlineLevel="0" collapsed="false">
      <c r="A2621" s="50" t="s">
        <v>727</v>
      </c>
      <c r="B2621" s="57" t="s">
        <v>727</v>
      </c>
      <c r="C2621" s="57" t="s">
        <v>415</v>
      </c>
      <c r="D2621" s="58" t="n">
        <v>46070.5645949074</v>
      </c>
      <c r="E2621" s="58" t="n">
        <v>46070.5645949074</v>
      </c>
      <c r="F2621" s="58" t="n">
        <v>46070.565162037</v>
      </c>
      <c r="G2621" s="59" t="n">
        <f aca="false">F2621-E2621</f>
        <v>0.000567129594907407</v>
      </c>
      <c r="H2621" s="57" t="s">
        <v>252</v>
      </c>
      <c r="I2621" s="57"/>
      <c r="J2621" s="57" t="s">
        <v>333</v>
      </c>
      <c r="K2621" s="57" t="s">
        <v>334</v>
      </c>
      <c r="L2621" s="60" t="s">
        <v>3504</v>
      </c>
      <c r="M2621" s="57" t="s">
        <v>336</v>
      </c>
      <c r="N2621" s="57" t="s">
        <v>381</v>
      </c>
      <c r="O2621" s="57" t="s">
        <v>729</v>
      </c>
      <c r="P2621" s="57" t="s">
        <v>3505</v>
      </c>
      <c r="Q2621" s="57" t="s">
        <v>698</v>
      </c>
    </row>
    <row r="2622" s="50" customFormat="true" ht="14.25" hidden="false" customHeight="true" outlineLevel="0" collapsed="false">
      <c r="A2622" s="50" t="s">
        <v>727</v>
      </c>
      <c r="B2622" s="57" t="s">
        <v>727</v>
      </c>
      <c r="C2622" s="57" t="s">
        <v>415</v>
      </c>
      <c r="D2622" s="58" t="n">
        <v>46070.5537847222</v>
      </c>
      <c r="E2622" s="58" t="n">
        <v>46070.5537847222</v>
      </c>
      <c r="F2622" s="58" t="n">
        <v>46070.5554282407</v>
      </c>
      <c r="G2622" s="59" t="n">
        <f aca="false">F2622-E2622</f>
        <v>0.00164351850694444</v>
      </c>
      <c r="H2622" s="57" t="s">
        <v>252</v>
      </c>
      <c r="I2622" s="57"/>
      <c r="J2622" s="57" t="s">
        <v>333</v>
      </c>
      <c r="K2622" s="57" t="s">
        <v>334</v>
      </c>
      <c r="L2622" s="60" t="s">
        <v>3506</v>
      </c>
      <c r="M2622" s="57" t="s">
        <v>336</v>
      </c>
      <c r="N2622" s="57" t="s">
        <v>381</v>
      </c>
      <c r="O2622" s="57" t="s">
        <v>729</v>
      </c>
      <c r="P2622" s="57" t="s">
        <v>3507</v>
      </c>
      <c r="Q2622" s="57" t="s">
        <v>698</v>
      </c>
    </row>
    <row r="2623" s="50" customFormat="true" ht="14.25" hidden="false" customHeight="true" outlineLevel="0" collapsed="false">
      <c r="A2623" s="50" t="s">
        <v>727</v>
      </c>
      <c r="B2623" s="57" t="s">
        <v>727</v>
      </c>
      <c r="C2623" s="57" t="s">
        <v>415</v>
      </c>
      <c r="D2623" s="58" t="n">
        <v>46070.5489930556</v>
      </c>
      <c r="E2623" s="58" t="n">
        <v>46070.5489930556</v>
      </c>
      <c r="F2623" s="58" t="n">
        <v>46070.5495486111</v>
      </c>
      <c r="G2623" s="59" t="n">
        <f aca="false">F2623-E2623</f>
        <v>0.000555555509259259</v>
      </c>
      <c r="H2623" s="57" t="s">
        <v>252</v>
      </c>
      <c r="I2623" s="57"/>
      <c r="J2623" s="57" t="s">
        <v>333</v>
      </c>
      <c r="K2623" s="57" t="s">
        <v>334</v>
      </c>
      <c r="L2623" s="60" t="s">
        <v>3508</v>
      </c>
      <c r="M2623" s="57" t="s">
        <v>336</v>
      </c>
      <c r="N2623" s="57" t="s">
        <v>381</v>
      </c>
      <c r="O2623" s="57" t="s">
        <v>729</v>
      </c>
      <c r="P2623" s="57" t="s">
        <v>3509</v>
      </c>
      <c r="Q2623" s="57" t="s">
        <v>698</v>
      </c>
    </row>
    <row r="2624" s="50" customFormat="true" ht="14.25" hidden="false" customHeight="true" outlineLevel="0" collapsed="false">
      <c r="A2624" s="50" t="s">
        <v>727</v>
      </c>
      <c r="B2624" s="57" t="s">
        <v>727</v>
      </c>
      <c r="C2624" s="57" t="s">
        <v>415</v>
      </c>
      <c r="D2624" s="58" t="n">
        <v>46070.5270949074</v>
      </c>
      <c r="E2624" s="58" t="n">
        <v>46070.5270949074</v>
      </c>
      <c r="F2624" s="58" t="n">
        <v>46070.5353356482</v>
      </c>
      <c r="G2624" s="59" t="n">
        <f aca="false">F2624-E2624</f>
        <v>0.00824074081018518</v>
      </c>
      <c r="H2624" s="57" t="s">
        <v>252</v>
      </c>
      <c r="I2624" s="57"/>
      <c r="J2624" s="57" t="s">
        <v>333</v>
      </c>
      <c r="K2624" s="57" t="s">
        <v>334</v>
      </c>
      <c r="L2624" s="60" t="s">
        <v>3510</v>
      </c>
      <c r="M2624" s="57" t="s">
        <v>336</v>
      </c>
      <c r="N2624" s="57" t="s">
        <v>381</v>
      </c>
      <c r="O2624" s="57" t="s">
        <v>729</v>
      </c>
      <c r="P2624" s="57" t="s">
        <v>3511</v>
      </c>
      <c r="Q2624" s="57" t="s">
        <v>698</v>
      </c>
    </row>
    <row r="2625" s="50" customFormat="true" ht="14.25" hidden="false" customHeight="true" outlineLevel="0" collapsed="false">
      <c r="A2625" s="50" t="s">
        <v>727</v>
      </c>
      <c r="B2625" s="57" t="s">
        <v>727</v>
      </c>
      <c r="C2625" s="57" t="s">
        <v>415</v>
      </c>
      <c r="D2625" s="58" t="n">
        <v>46070.511412037</v>
      </c>
      <c r="E2625" s="58" t="n">
        <v>46070.511412037</v>
      </c>
      <c r="F2625" s="58" t="n">
        <v>46070.5127199074</v>
      </c>
      <c r="G2625" s="59" t="n">
        <f aca="false">F2625-E2625</f>
        <v>0.00130787040509259</v>
      </c>
      <c r="H2625" s="57" t="s">
        <v>252</v>
      </c>
      <c r="I2625" s="57"/>
      <c r="J2625" s="57" t="s">
        <v>333</v>
      </c>
      <c r="K2625" s="57" t="s">
        <v>334</v>
      </c>
      <c r="L2625" s="60" t="s">
        <v>3512</v>
      </c>
      <c r="M2625" s="57" t="s">
        <v>336</v>
      </c>
      <c r="N2625" s="57" t="s">
        <v>381</v>
      </c>
      <c r="O2625" s="57" t="s">
        <v>729</v>
      </c>
      <c r="P2625" s="57" t="s">
        <v>3513</v>
      </c>
      <c r="Q2625" s="57" t="s">
        <v>698</v>
      </c>
    </row>
    <row r="2626" s="50" customFormat="true" ht="14.25" hidden="false" customHeight="true" outlineLevel="0" collapsed="false">
      <c r="A2626" s="50" t="s">
        <v>727</v>
      </c>
      <c r="B2626" s="57" t="s">
        <v>727</v>
      </c>
      <c r="C2626" s="57" t="s">
        <v>415</v>
      </c>
      <c r="D2626" s="58" t="n">
        <v>46070.4851736111</v>
      </c>
      <c r="E2626" s="58" t="n">
        <v>46070.4851736111</v>
      </c>
      <c r="F2626" s="58" t="n">
        <v>46070.4866898148</v>
      </c>
      <c r="G2626" s="59" t="n">
        <f aca="false">F2626-E2626</f>
        <v>0.0015162037037037</v>
      </c>
      <c r="H2626" s="57" t="s">
        <v>252</v>
      </c>
      <c r="I2626" s="57"/>
      <c r="J2626" s="57" t="s">
        <v>333</v>
      </c>
      <c r="K2626" s="57" t="s">
        <v>334</v>
      </c>
      <c r="L2626" s="60" t="s">
        <v>3514</v>
      </c>
      <c r="M2626" s="57" t="s">
        <v>336</v>
      </c>
      <c r="N2626" s="57" t="s">
        <v>381</v>
      </c>
      <c r="O2626" s="57" t="s">
        <v>729</v>
      </c>
      <c r="P2626" s="57" t="s">
        <v>3515</v>
      </c>
      <c r="Q2626" s="57" t="s">
        <v>698</v>
      </c>
    </row>
    <row r="2627" s="50" customFormat="true" ht="14.25" hidden="false" customHeight="true" outlineLevel="0" collapsed="false">
      <c r="A2627" s="50" t="s">
        <v>727</v>
      </c>
      <c r="B2627" s="57" t="s">
        <v>727</v>
      </c>
      <c r="C2627" s="57" t="s">
        <v>415</v>
      </c>
      <c r="D2627" s="58" t="n">
        <v>46070.4830671296</v>
      </c>
      <c r="E2627" s="58" t="n">
        <v>46070.4830671296</v>
      </c>
      <c r="F2627" s="58" t="n">
        <v>46070.4847222222</v>
      </c>
      <c r="G2627" s="59" t="n">
        <f aca="false">F2627-E2627</f>
        <v>0.00165509259259259</v>
      </c>
      <c r="H2627" s="57" t="s">
        <v>252</v>
      </c>
      <c r="I2627" s="57"/>
      <c r="J2627" s="57" t="s">
        <v>333</v>
      </c>
      <c r="K2627" s="57" t="s">
        <v>334</v>
      </c>
      <c r="L2627" s="60" t="s">
        <v>3516</v>
      </c>
      <c r="M2627" s="57" t="s">
        <v>336</v>
      </c>
      <c r="N2627" s="57" t="s">
        <v>381</v>
      </c>
      <c r="O2627" s="57" t="s">
        <v>729</v>
      </c>
      <c r="P2627" s="57" t="s">
        <v>3517</v>
      </c>
      <c r="Q2627" s="57" t="s">
        <v>698</v>
      </c>
    </row>
    <row r="2628" s="50" customFormat="true" ht="14.25" hidden="false" customHeight="true" outlineLevel="0" collapsed="false">
      <c r="A2628" s="50" t="s">
        <v>727</v>
      </c>
      <c r="B2628" s="57" t="s">
        <v>727</v>
      </c>
      <c r="C2628" s="57" t="s">
        <v>415</v>
      </c>
      <c r="D2628" s="58" t="n">
        <v>46070.4813888889</v>
      </c>
      <c r="E2628" s="58" t="n">
        <v>46070.4813888889</v>
      </c>
      <c r="F2628" s="58" t="n">
        <v>46070.4825578704</v>
      </c>
      <c r="G2628" s="59" t="n">
        <f aca="false">F2628-E2628</f>
        <v>0.00116898150462963</v>
      </c>
      <c r="H2628" s="57" t="s">
        <v>252</v>
      </c>
      <c r="I2628" s="57"/>
      <c r="J2628" s="57" t="s">
        <v>333</v>
      </c>
      <c r="K2628" s="57" t="s">
        <v>334</v>
      </c>
      <c r="L2628" s="60" t="s">
        <v>3518</v>
      </c>
      <c r="M2628" s="57" t="s">
        <v>336</v>
      </c>
      <c r="N2628" s="57" t="s">
        <v>381</v>
      </c>
      <c r="O2628" s="57" t="s">
        <v>729</v>
      </c>
      <c r="P2628" s="57" t="s">
        <v>3519</v>
      </c>
      <c r="Q2628" s="57" t="s">
        <v>698</v>
      </c>
    </row>
    <row r="2629" s="50" customFormat="true" ht="14.25" hidden="false" customHeight="true" outlineLevel="0" collapsed="false">
      <c r="A2629" s="50" t="s">
        <v>727</v>
      </c>
      <c r="B2629" s="57" t="s">
        <v>727</v>
      </c>
      <c r="C2629" s="57" t="s">
        <v>415</v>
      </c>
      <c r="D2629" s="58" t="n">
        <v>46070.4688194444</v>
      </c>
      <c r="E2629" s="58" t="n">
        <v>46070.4688194444</v>
      </c>
      <c r="F2629" s="58" t="n">
        <v>46070.4711805556</v>
      </c>
      <c r="G2629" s="59" t="n">
        <f aca="false">F2629-E2629</f>
        <v>0.00236111119212963</v>
      </c>
      <c r="H2629" s="57" t="s">
        <v>252</v>
      </c>
      <c r="I2629" s="57"/>
      <c r="J2629" s="57" t="s">
        <v>333</v>
      </c>
      <c r="K2629" s="57" t="s">
        <v>334</v>
      </c>
      <c r="L2629" s="60" t="s">
        <v>3520</v>
      </c>
      <c r="M2629" s="57" t="s">
        <v>336</v>
      </c>
      <c r="N2629" s="57" t="s">
        <v>381</v>
      </c>
      <c r="O2629" s="57" t="s">
        <v>729</v>
      </c>
      <c r="P2629" s="57" t="s">
        <v>3521</v>
      </c>
      <c r="Q2629" s="57" t="s">
        <v>698</v>
      </c>
    </row>
    <row r="2630" s="50" customFormat="true" ht="14.25" hidden="false" customHeight="true" outlineLevel="0" collapsed="false">
      <c r="A2630" s="50" t="s">
        <v>727</v>
      </c>
      <c r="B2630" s="57" t="s">
        <v>727</v>
      </c>
      <c r="C2630" s="57" t="s">
        <v>415</v>
      </c>
      <c r="D2630" s="58" t="n">
        <v>46070.4659837963</v>
      </c>
      <c r="E2630" s="58" t="n">
        <v>46070.4659837963</v>
      </c>
      <c r="F2630" s="58" t="n">
        <v>46070.4682986111</v>
      </c>
      <c r="G2630" s="59" t="n">
        <f aca="false">F2630-E2630</f>
        <v>0.00231481480324074</v>
      </c>
      <c r="H2630" s="57" t="s">
        <v>252</v>
      </c>
      <c r="I2630" s="57"/>
      <c r="J2630" s="57" t="s">
        <v>333</v>
      </c>
      <c r="K2630" s="57" t="s">
        <v>334</v>
      </c>
      <c r="L2630" s="60" t="s">
        <v>3522</v>
      </c>
      <c r="M2630" s="57" t="s">
        <v>336</v>
      </c>
      <c r="N2630" s="57" t="s">
        <v>381</v>
      </c>
      <c r="O2630" s="57" t="s">
        <v>729</v>
      </c>
      <c r="P2630" s="57" t="s">
        <v>3523</v>
      </c>
      <c r="Q2630" s="57" t="s">
        <v>698</v>
      </c>
    </row>
    <row r="2631" s="50" customFormat="true" ht="14.25" hidden="false" customHeight="true" outlineLevel="0" collapsed="false">
      <c r="A2631" s="50" t="s">
        <v>727</v>
      </c>
      <c r="B2631" s="57" t="s">
        <v>727</v>
      </c>
      <c r="C2631" s="57" t="s">
        <v>415</v>
      </c>
      <c r="D2631" s="58" t="n">
        <v>46070.4577777778</v>
      </c>
      <c r="E2631" s="58" t="n">
        <v>46070.4577777778</v>
      </c>
      <c r="F2631" s="58" t="n">
        <v>46070.4591898148</v>
      </c>
      <c r="G2631" s="59" t="n">
        <f aca="false">F2631-E2631</f>
        <v>0.00141203699074074</v>
      </c>
      <c r="H2631" s="57" t="s">
        <v>252</v>
      </c>
      <c r="I2631" s="57"/>
      <c r="J2631" s="57" t="s">
        <v>333</v>
      </c>
      <c r="K2631" s="57" t="s">
        <v>334</v>
      </c>
      <c r="L2631" s="60" t="s">
        <v>3524</v>
      </c>
      <c r="M2631" s="57" t="s">
        <v>336</v>
      </c>
      <c r="N2631" s="57" t="s">
        <v>381</v>
      </c>
      <c r="O2631" s="57" t="s">
        <v>729</v>
      </c>
      <c r="P2631" s="57" t="s">
        <v>3525</v>
      </c>
      <c r="Q2631" s="57" t="s">
        <v>698</v>
      </c>
    </row>
    <row r="2632" s="50" customFormat="true" ht="14.25" hidden="false" customHeight="true" outlineLevel="0" collapsed="false">
      <c r="A2632" s="50" t="s">
        <v>727</v>
      </c>
      <c r="B2632" s="57" t="s">
        <v>727</v>
      </c>
      <c r="C2632" s="57" t="s">
        <v>415</v>
      </c>
      <c r="D2632" s="58" t="n">
        <v>46070.4496064815</v>
      </c>
      <c r="E2632" s="58" t="n">
        <v>46070.4496064815</v>
      </c>
      <c r="F2632" s="58" t="n">
        <v>46070.4514930556</v>
      </c>
      <c r="G2632" s="59" t="n">
        <f aca="false">F2632-E2632</f>
        <v>0.00188657409722222</v>
      </c>
      <c r="H2632" s="57" t="s">
        <v>252</v>
      </c>
      <c r="I2632" s="57"/>
      <c r="J2632" s="57" t="s">
        <v>333</v>
      </c>
      <c r="K2632" s="57" t="s">
        <v>334</v>
      </c>
      <c r="L2632" s="60" t="s">
        <v>3526</v>
      </c>
      <c r="M2632" s="57" t="s">
        <v>336</v>
      </c>
      <c r="N2632" s="57" t="s">
        <v>381</v>
      </c>
      <c r="O2632" s="57" t="s">
        <v>729</v>
      </c>
      <c r="P2632" s="57" t="s">
        <v>3527</v>
      </c>
      <c r="Q2632" s="57" t="s">
        <v>698</v>
      </c>
    </row>
    <row r="2633" s="50" customFormat="true" ht="14.25" hidden="false" customHeight="true" outlineLevel="0" collapsed="false">
      <c r="A2633" s="50" t="s">
        <v>727</v>
      </c>
      <c r="B2633" s="57" t="s">
        <v>727</v>
      </c>
      <c r="C2633" s="57" t="s">
        <v>415</v>
      </c>
      <c r="D2633" s="58" t="n">
        <v>46070.4472453704</v>
      </c>
      <c r="E2633" s="58" t="n">
        <v>46070.4472453704</v>
      </c>
      <c r="F2633" s="58" t="n">
        <v>46070.4494328704</v>
      </c>
      <c r="G2633" s="59" t="n">
        <f aca="false">F2633-E2633</f>
        <v>0.0021875</v>
      </c>
      <c r="H2633" s="57" t="s">
        <v>252</v>
      </c>
      <c r="I2633" s="57"/>
      <c r="J2633" s="57" t="s">
        <v>333</v>
      </c>
      <c r="K2633" s="57" t="s">
        <v>334</v>
      </c>
      <c r="L2633" s="60" t="s">
        <v>3528</v>
      </c>
      <c r="M2633" s="57" t="s">
        <v>336</v>
      </c>
      <c r="N2633" s="57" t="s">
        <v>381</v>
      </c>
      <c r="O2633" s="57" t="s">
        <v>729</v>
      </c>
      <c r="P2633" s="57" t="s">
        <v>3529</v>
      </c>
      <c r="Q2633" s="57" t="s">
        <v>698</v>
      </c>
    </row>
    <row r="2634" s="50" customFormat="true" ht="14.25" hidden="false" customHeight="true" outlineLevel="0" collapsed="false">
      <c r="A2634" s="50" t="s">
        <v>727</v>
      </c>
      <c r="B2634" s="57" t="s">
        <v>727</v>
      </c>
      <c r="C2634" s="57" t="s">
        <v>415</v>
      </c>
      <c r="D2634" s="58" t="n">
        <v>46070.4362731481</v>
      </c>
      <c r="E2634" s="58" t="n">
        <v>46070.4362731481</v>
      </c>
      <c r="F2634" s="58" t="n">
        <v>46070.4368287037</v>
      </c>
      <c r="G2634" s="59" t="n">
        <f aca="false">F2634-E2634</f>
        <v>0.000555555601851852</v>
      </c>
      <c r="H2634" s="57" t="s">
        <v>252</v>
      </c>
      <c r="I2634" s="57"/>
      <c r="J2634" s="57" t="s">
        <v>333</v>
      </c>
      <c r="K2634" s="57" t="s">
        <v>334</v>
      </c>
      <c r="L2634" s="60" t="s">
        <v>3530</v>
      </c>
      <c r="M2634" s="57" t="s">
        <v>336</v>
      </c>
      <c r="N2634" s="57" t="s">
        <v>381</v>
      </c>
      <c r="O2634" s="57" t="s">
        <v>729</v>
      </c>
      <c r="P2634" s="57" t="s">
        <v>3531</v>
      </c>
      <c r="Q2634" s="57" t="s">
        <v>698</v>
      </c>
    </row>
    <row r="2635" s="50" customFormat="true" ht="14.25" hidden="false" customHeight="true" outlineLevel="0" collapsed="false">
      <c r="A2635" s="50" t="s">
        <v>727</v>
      </c>
      <c r="B2635" s="57" t="s">
        <v>727</v>
      </c>
      <c r="C2635" s="57" t="s">
        <v>415</v>
      </c>
      <c r="D2635" s="58" t="n">
        <v>46070.4070138889</v>
      </c>
      <c r="E2635" s="58" t="n">
        <v>46070.4070138889</v>
      </c>
      <c r="F2635" s="58" t="n">
        <v>46070.4075578704</v>
      </c>
      <c r="G2635" s="59" t="n">
        <f aca="false">F2635-E2635</f>
        <v>0.00054398150462963</v>
      </c>
      <c r="H2635" s="57" t="s">
        <v>252</v>
      </c>
      <c r="I2635" s="57"/>
      <c r="J2635" s="57" t="s">
        <v>333</v>
      </c>
      <c r="K2635" s="57" t="s">
        <v>334</v>
      </c>
      <c r="L2635" s="60" t="s">
        <v>3532</v>
      </c>
      <c r="M2635" s="57" t="s">
        <v>336</v>
      </c>
      <c r="N2635" s="57" t="s">
        <v>381</v>
      </c>
      <c r="O2635" s="57" t="s">
        <v>729</v>
      </c>
      <c r="P2635" s="57" t="s">
        <v>3533</v>
      </c>
      <c r="Q2635" s="57" t="s">
        <v>698</v>
      </c>
    </row>
    <row r="2636" s="50" customFormat="true" ht="14.25" hidden="false" customHeight="true" outlineLevel="0" collapsed="false">
      <c r="A2636" s="50" t="s">
        <v>727</v>
      </c>
      <c r="B2636" s="57" t="s">
        <v>727</v>
      </c>
      <c r="C2636" s="57" t="s">
        <v>415</v>
      </c>
      <c r="D2636" s="58" t="n">
        <v>46070.3876388889</v>
      </c>
      <c r="E2636" s="58" t="n">
        <v>46070.3876388889</v>
      </c>
      <c r="F2636" s="58" t="n">
        <v>46070.3881944444</v>
      </c>
      <c r="G2636" s="59" t="n">
        <f aca="false">F2636-E2636</f>
        <v>0.000555555509259259</v>
      </c>
      <c r="H2636" s="57" t="s">
        <v>252</v>
      </c>
      <c r="I2636" s="57"/>
      <c r="J2636" s="57" t="s">
        <v>333</v>
      </c>
      <c r="K2636" s="57" t="s">
        <v>334</v>
      </c>
      <c r="L2636" s="60" t="s">
        <v>3534</v>
      </c>
      <c r="M2636" s="57" t="s">
        <v>336</v>
      </c>
      <c r="N2636" s="57" t="s">
        <v>381</v>
      </c>
      <c r="O2636" s="57" t="s">
        <v>729</v>
      </c>
      <c r="P2636" s="57" t="s">
        <v>3535</v>
      </c>
      <c r="Q2636" s="57" t="s">
        <v>698</v>
      </c>
    </row>
    <row r="2637" s="50" customFormat="true" ht="14.25" hidden="false" customHeight="true" outlineLevel="0" collapsed="false">
      <c r="A2637" s="50" t="s">
        <v>727</v>
      </c>
      <c r="B2637" s="57" t="s">
        <v>727</v>
      </c>
      <c r="C2637" s="57" t="s">
        <v>415</v>
      </c>
      <c r="D2637" s="58" t="n">
        <v>46070.3779861111</v>
      </c>
      <c r="E2637" s="58" t="n">
        <v>46070.3779861111</v>
      </c>
      <c r="F2637" s="58" t="n">
        <v>46070.3785300926</v>
      </c>
      <c r="G2637" s="59" t="n">
        <f aca="false">F2637-E2637</f>
        <v>0.00054398150462963</v>
      </c>
      <c r="H2637" s="57" t="s">
        <v>252</v>
      </c>
      <c r="I2637" s="57"/>
      <c r="J2637" s="57" t="s">
        <v>333</v>
      </c>
      <c r="K2637" s="57" t="s">
        <v>334</v>
      </c>
      <c r="L2637" s="60" t="s">
        <v>3536</v>
      </c>
      <c r="M2637" s="57" t="s">
        <v>336</v>
      </c>
      <c r="N2637" s="57" t="s">
        <v>381</v>
      </c>
      <c r="O2637" s="57" t="s">
        <v>729</v>
      </c>
      <c r="P2637" s="57" t="s">
        <v>3537</v>
      </c>
      <c r="Q2637" s="57" t="s">
        <v>698</v>
      </c>
    </row>
    <row r="2638" s="50" customFormat="true" ht="14.25" hidden="false" customHeight="true" outlineLevel="0" collapsed="false">
      <c r="A2638" s="50" t="s">
        <v>727</v>
      </c>
      <c r="B2638" s="57" t="s">
        <v>727</v>
      </c>
      <c r="C2638" s="57" t="s">
        <v>415</v>
      </c>
      <c r="D2638" s="58" t="n">
        <v>46070.367962963</v>
      </c>
      <c r="E2638" s="58" t="n">
        <v>46070.367962963</v>
      </c>
      <c r="F2638" s="58" t="n">
        <v>46070.3684953704</v>
      </c>
      <c r="G2638" s="59" t="n">
        <f aca="false">F2638-E2638</f>
        <v>0.000532407407407407</v>
      </c>
      <c r="H2638" s="57" t="s">
        <v>252</v>
      </c>
      <c r="I2638" s="57"/>
      <c r="J2638" s="57" t="s">
        <v>333</v>
      </c>
      <c r="K2638" s="57" t="s">
        <v>334</v>
      </c>
      <c r="L2638" s="60" t="s">
        <v>3538</v>
      </c>
      <c r="M2638" s="57" t="s">
        <v>336</v>
      </c>
      <c r="N2638" s="57" t="s">
        <v>381</v>
      </c>
      <c r="O2638" s="57" t="s">
        <v>729</v>
      </c>
      <c r="P2638" s="57" t="s">
        <v>3539</v>
      </c>
      <c r="Q2638" s="57" t="s">
        <v>698</v>
      </c>
    </row>
    <row r="2639" s="50" customFormat="true" ht="14.25" hidden="false" customHeight="true" outlineLevel="0" collapsed="false">
      <c r="A2639" s="50" t="s">
        <v>727</v>
      </c>
      <c r="B2639" s="57" t="s">
        <v>727</v>
      </c>
      <c r="C2639" s="57" t="s">
        <v>415</v>
      </c>
      <c r="D2639" s="58" t="n">
        <v>46070.3545949074</v>
      </c>
      <c r="E2639" s="58" t="n">
        <v>46070.3545949074</v>
      </c>
      <c r="F2639" s="58" t="n">
        <v>46070.3551388889</v>
      </c>
      <c r="G2639" s="59" t="n">
        <f aca="false">F2639-E2639</f>
        <v>0.00054398150462963</v>
      </c>
      <c r="H2639" s="57" t="s">
        <v>252</v>
      </c>
      <c r="I2639" s="57"/>
      <c r="J2639" s="57" t="s">
        <v>333</v>
      </c>
      <c r="K2639" s="57" t="s">
        <v>334</v>
      </c>
      <c r="L2639" s="60" t="s">
        <v>3540</v>
      </c>
      <c r="M2639" s="57" t="s">
        <v>336</v>
      </c>
      <c r="N2639" s="57" t="s">
        <v>381</v>
      </c>
      <c r="O2639" s="57" t="s">
        <v>729</v>
      </c>
      <c r="P2639" s="57" t="s">
        <v>3541</v>
      </c>
      <c r="Q2639" s="57" t="s">
        <v>698</v>
      </c>
    </row>
    <row r="2640" s="50" customFormat="true" ht="14.25" hidden="false" customHeight="true" outlineLevel="0" collapsed="false">
      <c r="A2640" s="50" t="s">
        <v>727</v>
      </c>
      <c r="B2640" s="57" t="s">
        <v>727</v>
      </c>
      <c r="C2640" s="57" t="s">
        <v>415</v>
      </c>
      <c r="D2640" s="58" t="n">
        <v>46070.3371643519</v>
      </c>
      <c r="E2640" s="58" t="n">
        <v>46070.3371643519</v>
      </c>
      <c r="F2640" s="58" t="n">
        <v>46070.3377083333</v>
      </c>
      <c r="G2640" s="59" t="n">
        <f aca="false">F2640-E2640</f>
        <v>0.000543981400462963</v>
      </c>
      <c r="H2640" s="57" t="s">
        <v>252</v>
      </c>
      <c r="I2640" s="57"/>
      <c r="J2640" s="57" t="s">
        <v>333</v>
      </c>
      <c r="K2640" s="57" t="s">
        <v>334</v>
      </c>
      <c r="L2640" s="60" t="s">
        <v>3542</v>
      </c>
      <c r="M2640" s="57" t="s">
        <v>336</v>
      </c>
      <c r="N2640" s="57" t="s">
        <v>381</v>
      </c>
      <c r="O2640" s="57" t="s">
        <v>729</v>
      </c>
      <c r="P2640" s="57" t="s">
        <v>3543</v>
      </c>
      <c r="Q2640" s="57" t="s">
        <v>698</v>
      </c>
    </row>
    <row r="2641" s="50" customFormat="true" ht="14.25" hidden="false" customHeight="true" outlineLevel="0" collapsed="false">
      <c r="A2641" s="50" t="s">
        <v>727</v>
      </c>
      <c r="B2641" s="57" t="s">
        <v>727</v>
      </c>
      <c r="C2641" s="57" t="s">
        <v>415</v>
      </c>
      <c r="D2641" s="58" t="n">
        <v>46070.3217708333</v>
      </c>
      <c r="E2641" s="58" t="n">
        <v>46070.3217708333</v>
      </c>
      <c r="F2641" s="58" t="n">
        <v>46070.3223148148</v>
      </c>
      <c r="G2641" s="59" t="n">
        <f aca="false">F2641-E2641</f>
        <v>0.00054398150462963</v>
      </c>
      <c r="H2641" s="57" t="s">
        <v>252</v>
      </c>
      <c r="I2641" s="57"/>
      <c r="J2641" s="57" t="s">
        <v>333</v>
      </c>
      <c r="K2641" s="57" t="s">
        <v>334</v>
      </c>
      <c r="L2641" s="60" t="s">
        <v>3544</v>
      </c>
      <c r="M2641" s="57" t="s">
        <v>336</v>
      </c>
      <c r="N2641" s="57" t="s">
        <v>381</v>
      </c>
      <c r="O2641" s="57" t="s">
        <v>729</v>
      </c>
      <c r="P2641" s="57" t="s">
        <v>3545</v>
      </c>
      <c r="Q2641" s="57" t="s">
        <v>698</v>
      </c>
    </row>
    <row r="2642" s="50" customFormat="true" ht="14.25" hidden="false" customHeight="true" outlineLevel="0" collapsed="false">
      <c r="A2642" s="50" t="s">
        <v>727</v>
      </c>
      <c r="B2642" s="57" t="s">
        <v>727</v>
      </c>
      <c r="C2642" s="57" t="s">
        <v>415</v>
      </c>
      <c r="D2642" s="58" t="n">
        <v>46070.3155555556</v>
      </c>
      <c r="E2642" s="58" t="n">
        <v>46070.3155555556</v>
      </c>
      <c r="F2642" s="58" t="n">
        <v>46070.3160532407</v>
      </c>
      <c r="G2642" s="59" t="n">
        <f aca="false">F2642-E2642</f>
        <v>0.000497685092592593</v>
      </c>
      <c r="H2642" s="57" t="s">
        <v>252</v>
      </c>
      <c r="I2642" s="57"/>
      <c r="J2642" s="57" t="s">
        <v>333</v>
      </c>
      <c r="K2642" s="57" t="s">
        <v>334</v>
      </c>
      <c r="L2642" s="60" t="s">
        <v>3546</v>
      </c>
      <c r="M2642" s="57" t="s">
        <v>336</v>
      </c>
      <c r="N2642" s="57" t="s">
        <v>381</v>
      </c>
      <c r="O2642" s="57" t="s">
        <v>729</v>
      </c>
      <c r="P2642" s="57" t="s">
        <v>3547</v>
      </c>
      <c r="Q2642" s="57" t="s">
        <v>698</v>
      </c>
    </row>
    <row r="2643" s="50" customFormat="true" ht="14.25" hidden="false" customHeight="true" outlineLevel="0" collapsed="false">
      <c r="A2643" s="50" t="s">
        <v>727</v>
      </c>
      <c r="B2643" s="57" t="s">
        <v>727</v>
      </c>
      <c r="C2643" s="57" t="s">
        <v>415</v>
      </c>
      <c r="D2643" s="58" t="n">
        <v>46070.3052083333</v>
      </c>
      <c r="E2643" s="58" t="n">
        <v>46070.3052083333</v>
      </c>
      <c r="F2643" s="58" t="n">
        <v>46070.3057291667</v>
      </c>
      <c r="G2643" s="59" t="n">
        <f aca="false">F2643-E2643</f>
        <v>0.000520833391203704</v>
      </c>
      <c r="H2643" s="57" t="s">
        <v>252</v>
      </c>
      <c r="I2643" s="57"/>
      <c r="J2643" s="57" t="s">
        <v>333</v>
      </c>
      <c r="K2643" s="57" t="s">
        <v>334</v>
      </c>
      <c r="L2643" s="60" t="s">
        <v>3548</v>
      </c>
      <c r="M2643" s="57" t="s">
        <v>336</v>
      </c>
      <c r="N2643" s="57" t="s">
        <v>381</v>
      </c>
      <c r="O2643" s="57" t="s">
        <v>729</v>
      </c>
      <c r="P2643" s="57" t="s">
        <v>3549</v>
      </c>
      <c r="Q2643" s="57" t="s">
        <v>698</v>
      </c>
    </row>
    <row r="2644" s="50" customFormat="true" ht="14.25" hidden="false" customHeight="true" outlineLevel="0" collapsed="false">
      <c r="A2644" s="50" t="s">
        <v>727</v>
      </c>
      <c r="B2644" s="57" t="s">
        <v>727</v>
      </c>
      <c r="C2644" s="57" t="s">
        <v>415</v>
      </c>
      <c r="D2644" s="58" t="n">
        <v>46070.2969328704</v>
      </c>
      <c r="E2644" s="58" t="n">
        <v>46070.2969328704</v>
      </c>
      <c r="F2644" s="58" t="n">
        <v>46070.2974421296</v>
      </c>
      <c r="G2644" s="59" t="n">
        <f aca="false">F2644-E2644</f>
        <v>0.000509259201388889</v>
      </c>
      <c r="H2644" s="57" t="s">
        <v>252</v>
      </c>
      <c r="I2644" s="57"/>
      <c r="J2644" s="57" t="s">
        <v>333</v>
      </c>
      <c r="K2644" s="57" t="s">
        <v>334</v>
      </c>
      <c r="L2644" s="60" t="s">
        <v>3550</v>
      </c>
      <c r="M2644" s="57" t="s">
        <v>336</v>
      </c>
      <c r="N2644" s="57" t="s">
        <v>381</v>
      </c>
      <c r="O2644" s="57" t="s">
        <v>729</v>
      </c>
      <c r="P2644" s="57" t="s">
        <v>3551</v>
      </c>
      <c r="Q2644" s="57" t="s">
        <v>698</v>
      </c>
    </row>
    <row r="2645" s="50" customFormat="true" ht="14.25" hidden="false" customHeight="true" outlineLevel="0" collapsed="false">
      <c r="A2645" s="50" t="s">
        <v>727</v>
      </c>
      <c r="B2645" s="57" t="s">
        <v>727</v>
      </c>
      <c r="C2645" s="57" t="s">
        <v>415</v>
      </c>
      <c r="D2645" s="58" t="n">
        <v>46070.2901967593</v>
      </c>
      <c r="E2645" s="58" t="n">
        <v>46070.2901967593</v>
      </c>
      <c r="F2645" s="58" t="n">
        <v>46070.290787037</v>
      </c>
      <c r="G2645" s="59" t="n">
        <f aca="false">F2645-E2645</f>
        <v>0.000590277708333333</v>
      </c>
      <c r="H2645" s="57" t="s">
        <v>252</v>
      </c>
      <c r="I2645" s="57"/>
      <c r="J2645" s="57" t="s">
        <v>333</v>
      </c>
      <c r="K2645" s="57" t="s">
        <v>334</v>
      </c>
      <c r="L2645" s="60" t="s">
        <v>3552</v>
      </c>
      <c r="M2645" s="57" t="s">
        <v>336</v>
      </c>
      <c r="N2645" s="57" t="s">
        <v>381</v>
      </c>
      <c r="O2645" s="57" t="s">
        <v>729</v>
      </c>
      <c r="P2645" s="57" t="s">
        <v>3553</v>
      </c>
      <c r="Q2645" s="57" t="s">
        <v>698</v>
      </c>
    </row>
    <row r="2646" s="50" customFormat="true" ht="14.25" hidden="false" customHeight="true" outlineLevel="0" collapsed="false">
      <c r="A2646" s="50" t="s">
        <v>727</v>
      </c>
      <c r="B2646" s="57" t="s">
        <v>727</v>
      </c>
      <c r="C2646" s="57" t="s">
        <v>415</v>
      </c>
      <c r="D2646" s="58" t="n">
        <v>46070.2831481482</v>
      </c>
      <c r="E2646" s="58" t="n">
        <v>46070.2831481482</v>
      </c>
      <c r="F2646" s="58" t="n">
        <v>46070.2837731482</v>
      </c>
      <c r="G2646" s="59" t="n">
        <f aca="false">F2646-E2646</f>
        <v>0.000625</v>
      </c>
      <c r="H2646" s="57" t="s">
        <v>252</v>
      </c>
      <c r="I2646" s="57"/>
      <c r="J2646" s="57" t="s">
        <v>333</v>
      </c>
      <c r="K2646" s="57" t="s">
        <v>334</v>
      </c>
      <c r="L2646" s="60" t="s">
        <v>3554</v>
      </c>
      <c r="M2646" s="57" t="s">
        <v>336</v>
      </c>
      <c r="N2646" s="57" t="s">
        <v>381</v>
      </c>
      <c r="O2646" s="57" t="s">
        <v>729</v>
      </c>
      <c r="P2646" s="57" t="s">
        <v>3555</v>
      </c>
      <c r="Q2646" s="57" t="s">
        <v>698</v>
      </c>
    </row>
    <row r="2647" s="50" customFormat="true" ht="14.25" hidden="false" customHeight="true" outlineLevel="0" collapsed="false">
      <c r="A2647" s="50" t="s">
        <v>727</v>
      </c>
      <c r="B2647" s="57" t="s">
        <v>727</v>
      </c>
      <c r="C2647" s="57" t="s">
        <v>415</v>
      </c>
      <c r="D2647" s="58" t="n">
        <v>46070.2777199074</v>
      </c>
      <c r="E2647" s="58" t="n">
        <v>46070.2777199074</v>
      </c>
      <c r="F2647" s="58" t="n">
        <v>46070.2782638889</v>
      </c>
      <c r="G2647" s="59" t="n">
        <f aca="false">F2647-E2647</f>
        <v>0.00054398150462963</v>
      </c>
      <c r="H2647" s="57" t="s">
        <v>252</v>
      </c>
      <c r="I2647" s="57"/>
      <c r="J2647" s="57" t="s">
        <v>333</v>
      </c>
      <c r="K2647" s="57" t="s">
        <v>334</v>
      </c>
      <c r="L2647" s="60" t="s">
        <v>3556</v>
      </c>
      <c r="M2647" s="57" t="s">
        <v>336</v>
      </c>
      <c r="N2647" s="57" t="s">
        <v>381</v>
      </c>
      <c r="O2647" s="57" t="s">
        <v>729</v>
      </c>
      <c r="P2647" s="57" t="s">
        <v>3557</v>
      </c>
      <c r="Q2647" s="57" t="s">
        <v>698</v>
      </c>
    </row>
    <row r="2648" s="50" customFormat="true" ht="14.25" hidden="false" customHeight="true" outlineLevel="0" collapsed="false">
      <c r="A2648" s="50" t="s">
        <v>727</v>
      </c>
      <c r="B2648" s="57" t="s">
        <v>727</v>
      </c>
      <c r="C2648" s="57" t="s">
        <v>415</v>
      </c>
      <c r="D2648" s="58" t="n">
        <v>46070.271875</v>
      </c>
      <c r="E2648" s="58" t="n">
        <v>46070.271875</v>
      </c>
      <c r="F2648" s="58" t="n">
        <v>46070.2723958333</v>
      </c>
      <c r="G2648" s="59" t="n">
        <f aca="false">F2648-E2648</f>
        <v>0.000520833298611111</v>
      </c>
      <c r="H2648" s="57" t="s">
        <v>252</v>
      </c>
      <c r="I2648" s="57"/>
      <c r="J2648" s="57" t="s">
        <v>333</v>
      </c>
      <c r="K2648" s="57" t="s">
        <v>334</v>
      </c>
      <c r="L2648" s="60" t="s">
        <v>3558</v>
      </c>
      <c r="M2648" s="57" t="s">
        <v>336</v>
      </c>
      <c r="N2648" s="57" t="s">
        <v>381</v>
      </c>
      <c r="O2648" s="57" t="s">
        <v>729</v>
      </c>
      <c r="P2648" s="57" t="s">
        <v>3559</v>
      </c>
      <c r="Q2648" s="57" t="s">
        <v>698</v>
      </c>
    </row>
    <row r="2649" s="50" customFormat="true" ht="14.25" hidden="false" customHeight="true" outlineLevel="0" collapsed="false">
      <c r="A2649" s="50" t="s">
        <v>727</v>
      </c>
      <c r="B2649" s="57" t="s">
        <v>727</v>
      </c>
      <c r="C2649" s="57" t="s">
        <v>415</v>
      </c>
      <c r="D2649" s="58" t="n">
        <v>46070.2678356482</v>
      </c>
      <c r="E2649" s="58" t="n">
        <v>46070.2678356482</v>
      </c>
      <c r="F2649" s="58" t="n">
        <v>46070.2683564815</v>
      </c>
      <c r="G2649" s="59" t="n">
        <f aca="false">F2649-E2649</f>
        <v>0.000520833298611111</v>
      </c>
      <c r="H2649" s="57" t="s">
        <v>252</v>
      </c>
      <c r="I2649" s="57"/>
      <c r="J2649" s="57" t="s">
        <v>333</v>
      </c>
      <c r="K2649" s="57" t="s">
        <v>334</v>
      </c>
      <c r="L2649" s="60" t="s">
        <v>3560</v>
      </c>
      <c r="M2649" s="57" t="s">
        <v>336</v>
      </c>
      <c r="N2649" s="57" t="s">
        <v>381</v>
      </c>
      <c r="O2649" s="57" t="s">
        <v>729</v>
      </c>
      <c r="P2649" s="57" t="s">
        <v>3561</v>
      </c>
      <c r="Q2649" s="57" t="s">
        <v>698</v>
      </c>
    </row>
    <row r="2650" s="50" customFormat="true" ht="14.25" hidden="false" customHeight="true" outlineLevel="0" collapsed="false">
      <c r="A2650" s="50" t="s">
        <v>727</v>
      </c>
      <c r="B2650" s="57" t="s">
        <v>727</v>
      </c>
      <c r="C2650" s="57" t="s">
        <v>415</v>
      </c>
      <c r="D2650" s="58" t="n">
        <v>46070.2572916667</v>
      </c>
      <c r="E2650" s="58" t="n">
        <v>46070.2572916667</v>
      </c>
      <c r="F2650" s="58" t="n">
        <v>46070.2578009259</v>
      </c>
      <c r="G2650" s="59" t="n">
        <f aca="false">F2650-E2650</f>
        <v>0.000509259201388889</v>
      </c>
      <c r="H2650" s="57" t="s">
        <v>252</v>
      </c>
      <c r="I2650" s="57"/>
      <c r="J2650" s="57" t="s">
        <v>333</v>
      </c>
      <c r="K2650" s="57" t="s">
        <v>334</v>
      </c>
      <c r="L2650" s="60" t="s">
        <v>3562</v>
      </c>
      <c r="M2650" s="57" t="s">
        <v>336</v>
      </c>
      <c r="N2650" s="57" t="s">
        <v>381</v>
      </c>
      <c r="O2650" s="57" t="s">
        <v>729</v>
      </c>
      <c r="P2650" s="57" t="s">
        <v>3563</v>
      </c>
      <c r="Q2650" s="57" t="s">
        <v>698</v>
      </c>
    </row>
    <row r="2651" s="50" customFormat="true" ht="14.25" hidden="false" customHeight="true" outlineLevel="0" collapsed="false">
      <c r="A2651" s="50" t="s">
        <v>727</v>
      </c>
      <c r="B2651" s="57" t="s">
        <v>727</v>
      </c>
      <c r="C2651" s="57" t="s">
        <v>415</v>
      </c>
      <c r="D2651" s="58" t="n">
        <v>46070.2566319444</v>
      </c>
      <c r="E2651" s="58" t="n">
        <v>46070.2566319444</v>
      </c>
      <c r="F2651" s="58" t="n">
        <v>46070.2571064815</v>
      </c>
      <c r="G2651" s="59" t="n">
        <f aca="false">F2651-E2651</f>
        <v>0.000474537094907407</v>
      </c>
      <c r="H2651" s="57" t="s">
        <v>252</v>
      </c>
      <c r="I2651" s="57"/>
      <c r="J2651" s="57" t="s">
        <v>333</v>
      </c>
      <c r="K2651" s="57" t="s">
        <v>334</v>
      </c>
      <c r="L2651" s="60" t="s">
        <v>3564</v>
      </c>
      <c r="M2651" s="57" t="s">
        <v>336</v>
      </c>
      <c r="N2651" s="57" t="s">
        <v>381</v>
      </c>
      <c r="O2651" s="57" t="s">
        <v>729</v>
      </c>
      <c r="P2651" s="57" t="s">
        <v>3565</v>
      </c>
      <c r="Q2651" s="57" t="s">
        <v>698</v>
      </c>
    </row>
    <row r="2652" s="50" customFormat="true" ht="14.25" hidden="false" customHeight="true" outlineLevel="0" collapsed="false">
      <c r="A2652" s="50" t="s">
        <v>727</v>
      </c>
      <c r="B2652" s="57" t="s">
        <v>727</v>
      </c>
      <c r="C2652" s="57" t="s">
        <v>415</v>
      </c>
      <c r="D2652" s="58" t="n">
        <v>46070.2371064815</v>
      </c>
      <c r="E2652" s="58" t="n">
        <v>46070.2371064815</v>
      </c>
      <c r="F2652" s="58" t="n">
        <v>46070.2564583333</v>
      </c>
      <c r="G2652" s="59" t="n">
        <f aca="false">F2652-E2652</f>
        <v>0.0193518517939815</v>
      </c>
      <c r="H2652" s="57" t="s">
        <v>252</v>
      </c>
      <c r="I2652" s="57"/>
      <c r="J2652" s="57" t="s">
        <v>333</v>
      </c>
      <c r="K2652" s="57" t="s">
        <v>334</v>
      </c>
      <c r="L2652" s="60" t="s">
        <v>3566</v>
      </c>
      <c r="M2652" s="57" t="s">
        <v>336</v>
      </c>
      <c r="N2652" s="57" t="s">
        <v>381</v>
      </c>
      <c r="O2652" s="57" t="s">
        <v>729</v>
      </c>
      <c r="P2652" s="57" t="s">
        <v>3567</v>
      </c>
      <c r="Q2652" s="57" t="s">
        <v>698</v>
      </c>
    </row>
    <row r="2653" s="50" customFormat="true" ht="14.25" hidden="false" customHeight="true" outlineLevel="0" collapsed="false">
      <c r="A2653" s="50" t="s">
        <v>727</v>
      </c>
      <c r="B2653" s="57" t="s">
        <v>727</v>
      </c>
      <c r="C2653" s="57" t="s">
        <v>415</v>
      </c>
      <c r="D2653" s="58" t="n">
        <v>46070.2366898148</v>
      </c>
      <c r="E2653" s="58" t="n">
        <v>46070.2366898148</v>
      </c>
      <c r="F2653" s="58" t="n">
        <v>46070.2564583333</v>
      </c>
      <c r="G2653" s="59" t="n">
        <f aca="false">F2653-E2653</f>
        <v>0.0197685184953704</v>
      </c>
      <c r="H2653" s="57" t="s">
        <v>252</v>
      </c>
      <c r="I2653" s="57"/>
      <c r="J2653" s="57" t="s">
        <v>333</v>
      </c>
      <c r="K2653" s="57" t="s">
        <v>334</v>
      </c>
      <c r="L2653" s="60" t="s">
        <v>3568</v>
      </c>
      <c r="M2653" s="57" t="s">
        <v>336</v>
      </c>
      <c r="N2653" s="57" t="s">
        <v>381</v>
      </c>
      <c r="O2653" s="57" t="s">
        <v>729</v>
      </c>
      <c r="P2653" s="57" t="s">
        <v>3569</v>
      </c>
      <c r="Q2653" s="57" t="s">
        <v>698</v>
      </c>
    </row>
    <row r="2654" s="50" customFormat="true" ht="14.25" hidden="false" customHeight="true" outlineLevel="0" collapsed="false">
      <c r="A2654" s="50" t="s">
        <v>727</v>
      </c>
      <c r="B2654" s="57" t="s">
        <v>727</v>
      </c>
      <c r="C2654" s="57" t="s">
        <v>415</v>
      </c>
      <c r="D2654" s="58" t="n">
        <v>46069.7632407407</v>
      </c>
      <c r="E2654" s="58" t="n">
        <v>46069.7632407407</v>
      </c>
      <c r="F2654" s="58" t="n">
        <v>46069.7881365741</v>
      </c>
      <c r="G2654" s="59" t="n">
        <f aca="false">F2654-E2654</f>
        <v>0.0248958334027778</v>
      </c>
      <c r="H2654" s="57" t="s">
        <v>252</v>
      </c>
      <c r="I2654" s="57"/>
      <c r="J2654" s="57" t="s">
        <v>333</v>
      </c>
      <c r="K2654" s="57" t="s">
        <v>334</v>
      </c>
      <c r="L2654" s="60" t="s">
        <v>3570</v>
      </c>
      <c r="M2654" s="57" t="s">
        <v>336</v>
      </c>
      <c r="N2654" s="57" t="s">
        <v>381</v>
      </c>
      <c r="O2654" s="57" t="s">
        <v>729</v>
      </c>
      <c r="P2654" s="57" t="s">
        <v>3571</v>
      </c>
      <c r="Q2654" s="57" t="s">
        <v>698</v>
      </c>
    </row>
    <row r="2655" s="50" customFormat="true" ht="14.25" hidden="false" customHeight="true" outlineLevel="0" collapsed="false">
      <c r="A2655" s="50" t="s">
        <v>727</v>
      </c>
      <c r="B2655" s="57" t="s">
        <v>727</v>
      </c>
      <c r="C2655" s="57" t="s">
        <v>415</v>
      </c>
      <c r="D2655" s="58" t="n">
        <v>46069.7625462963</v>
      </c>
      <c r="E2655" s="58" t="n">
        <v>46069.7625462963</v>
      </c>
      <c r="F2655" s="58" t="n">
        <v>46069.7630671296</v>
      </c>
      <c r="G2655" s="59" t="n">
        <f aca="false">F2655-E2655</f>
        <v>0.000520833298611111</v>
      </c>
      <c r="H2655" s="57" t="s">
        <v>252</v>
      </c>
      <c r="I2655" s="57"/>
      <c r="J2655" s="57" t="s">
        <v>333</v>
      </c>
      <c r="K2655" s="57" t="s">
        <v>334</v>
      </c>
      <c r="L2655" s="60" t="s">
        <v>3572</v>
      </c>
      <c r="M2655" s="57" t="s">
        <v>336</v>
      </c>
      <c r="N2655" s="57" t="s">
        <v>381</v>
      </c>
      <c r="O2655" s="57" t="s">
        <v>729</v>
      </c>
      <c r="P2655" s="57" t="s">
        <v>3573</v>
      </c>
      <c r="Q2655" s="57" t="s">
        <v>698</v>
      </c>
    </row>
    <row r="2656" s="50" customFormat="true" ht="14.25" hidden="false" customHeight="true" outlineLevel="0" collapsed="false">
      <c r="A2656" s="50" t="s">
        <v>727</v>
      </c>
      <c r="B2656" s="57" t="s">
        <v>727</v>
      </c>
      <c r="C2656" s="57" t="s">
        <v>415</v>
      </c>
      <c r="D2656" s="58" t="n">
        <v>46069.7618402778</v>
      </c>
      <c r="E2656" s="58" t="n">
        <v>46069.7618402778</v>
      </c>
      <c r="F2656" s="58" t="n">
        <v>46069.7623726852</v>
      </c>
      <c r="G2656" s="59" t="n">
        <f aca="false">F2656-E2656</f>
        <v>0.000532407407407407</v>
      </c>
      <c r="H2656" s="57" t="s">
        <v>252</v>
      </c>
      <c r="I2656" s="57"/>
      <c r="J2656" s="57" t="s">
        <v>333</v>
      </c>
      <c r="K2656" s="57" t="s">
        <v>334</v>
      </c>
      <c r="L2656" s="60" t="s">
        <v>3574</v>
      </c>
      <c r="M2656" s="57" t="s">
        <v>336</v>
      </c>
      <c r="N2656" s="57" t="s">
        <v>381</v>
      </c>
      <c r="O2656" s="57" t="s">
        <v>729</v>
      </c>
      <c r="P2656" s="57" t="s">
        <v>3575</v>
      </c>
      <c r="Q2656" s="57" t="s">
        <v>698</v>
      </c>
    </row>
    <row r="2657" s="50" customFormat="true" ht="14.25" hidden="false" customHeight="true" outlineLevel="0" collapsed="false">
      <c r="A2657" s="50" t="s">
        <v>727</v>
      </c>
      <c r="B2657" s="57" t="s">
        <v>727</v>
      </c>
      <c r="C2657" s="57" t="s">
        <v>415</v>
      </c>
      <c r="D2657" s="58" t="n">
        <v>46069.7611574074</v>
      </c>
      <c r="E2657" s="58" t="n">
        <v>46069.7611574074</v>
      </c>
      <c r="F2657" s="58" t="n">
        <v>46069.7616666667</v>
      </c>
      <c r="G2657" s="59" t="n">
        <f aca="false">F2657-E2657</f>
        <v>0.000509259293981482</v>
      </c>
      <c r="H2657" s="57" t="s">
        <v>252</v>
      </c>
      <c r="I2657" s="57"/>
      <c r="J2657" s="57" t="s">
        <v>333</v>
      </c>
      <c r="K2657" s="57" t="s">
        <v>334</v>
      </c>
      <c r="L2657" s="60" t="s">
        <v>3576</v>
      </c>
      <c r="M2657" s="57" t="s">
        <v>336</v>
      </c>
      <c r="N2657" s="57" t="s">
        <v>381</v>
      </c>
      <c r="O2657" s="57" t="s">
        <v>729</v>
      </c>
      <c r="P2657" s="57" t="s">
        <v>3577</v>
      </c>
      <c r="Q2657" s="57" t="s">
        <v>698</v>
      </c>
    </row>
    <row r="2658" s="50" customFormat="true" ht="14.25" hidden="false" customHeight="true" outlineLevel="0" collapsed="false">
      <c r="A2658" s="50" t="s">
        <v>727</v>
      </c>
      <c r="B2658" s="57" t="s">
        <v>727</v>
      </c>
      <c r="C2658" s="57" t="s">
        <v>415</v>
      </c>
      <c r="D2658" s="58" t="n">
        <v>46069.7604398148</v>
      </c>
      <c r="E2658" s="58" t="n">
        <v>46069.7604398148</v>
      </c>
      <c r="F2658" s="58" t="n">
        <v>46069.7609606482</v>
      </c>
      <c r="G2658" s="59" t="n">
        <f aca="false">F2658-E2658</f>
        <v>0.000520833391203704</v>
      </c>
      <c r="H2658" s="57" t="s">
        <v>252</v>
      </c>
      <c r="I2658" s="57"/>
      <c r="J2658" s="57" t="s">
        <v>333</v>
      </c>
      <c r="K2658" s="57" t="s">
        <v>334</v>
      </c>
      <c r="L2658" s="60" t="s">
        <v>3578</v>
      </c>
      <c r="M2658" s="57" t="s">
        <v>336</v>
      </c>
      <c r="N2658" s="57" t="s">
        <v>381</v>
      </c>
      <c r="O2658" s="57" t="s">
        <v>729</v>
      </c>
      <c r="P2658" s="57" t="s">
        <v>3579</v>
      </c>
      <c r="Q2658" s="57" t="s">
        <v>698</v>
      </c>
    </row>
    <row r="2659" s="50" customFormat="true" ht="14.25" hidden="false" customHeight="true" outlineLevel="0" collapsed="false">
      <c r="A2659" s="50" t="s">
        <v>727</v>
      </c>
      <c r="B2659" s="57" t="s">
        <v>727</v>
      </c>
      <c r="C2659" s="57" t="s">
        <v>415</v>
      </c>
      <c r="D2659" s="58" t="n">
        <v>46069.7103587963</v>
      </c>
      <c r="E2659" s="58" t="n">
        <v>46069.7103587963</v>
      </c>
      <c r="F2659" s="58" t="n">
        <v>46069.7109027778</v>
      </c>
      <c r="G2659" s="59" t="n">
        <f aca="false">F2659-E2659</f>
        <v>0.00054398150462963</v>
      </c>
      <c r="H2659" s="57" t="s">
        <v>252</v>
      </c>
      <c r="I2659" s="57"/>
      <c r="J2659" s="57" t="s">
        <v>333</v>
      </c>
      <c r="K2659" s="57" t="s">
        <v>334</v>
      </c>
      <c r="L2659" s="60" t="s">
        <v>3580</v>
      </c>
      <c r="M2659" s="57" t="s">
        <v>336</v>
      </c>
      <c r="N2659" s="57" t="s">
        <v>381</v>
      </c>
      <c r="O2659" s="57" t="s">
        <v>729</v>
      </c>
      <c r="P2659" s="57" t="s">
        <v>3581</v>
      </c>
      <c r="Q2659" s="57" t="s">
        <v>698</v>
      </c>
    </row>
    <row r="2660" s="50" customFormat="true" ht="14.25" hidden="false" customHeight="true" outlineLevel="0" collapsed="false">
      <c r="A2660" s="50" t="s">
        <v>727</v>
      </c>
      <c r="B2660" s="57" t="s">
        <v>727</v>
      </c>
      <c r="C2660" s="57" t="s">
        <v>415</v>
      </c>
      <c r="D2660" s="58" t="n">
        <v>46069.696724537</v>
      </c>
      <c r="E2660" s="58" t="n">
        <v>46069.696724537</v>
      </c>
      <c r="F2660" s="58" t="n">
        <v>46069.6972569445</v>
      </c>
      <c r="G2660" s="59" t="n">
        <f aca="false">F2660-E2660</f>
        <v>0.0005324075</v>
      </c>
      <c r="H2660" s="57" t="s">
        <v>252</v>
      </c>
      <c r="I2660" s="57"/>
      <c r="J2660" s="57" t="s">
        <v>333</v>
      </c>
      <c r="K2660" s="57" t="s">
        <v>334</v>
      </c>
      <c r="L2660" s="60" t="s">
        <v>3582</v>
      </c>
      <c r="M2660" s="57" t="s">
        <v>336</v>
      </c>
      <c r="N2660" s="57" t="s">
        <v>381</v>
      </c>
      <c r="O2660" s="57" t="s">
        <v>729</v>
      </c>
      <c r="P2660" s="57" t="s">
        <v>3583</v>
      </c>
      <c r="Q2660" s="57" t="s">
        <v>698</v>
      </c>
    </row>
    <row r="2661" s="50" customFormat="true" ht="14.25" hidden="false" customHeight="true" outlineLevel="0" collapsed="false">
      <c r="A2661" s="50" t="s">
        <v>727</v>
      </c>
      <c r="B2661" s="57" t="s">
        <v>727</v>
      </c>
      <c r="C2661" s="57" t="s">
        <v>415</v>
      </c>
      <c r="D2661" s="58" t="n">
        <v>46069.6817824074</v>
      </c>
      <c r="E2661" s="58" t="n">
        <v>46069.6817824074</v>
      </c>
      <c r="F2661" s="58" t="n">
        <v>46069.6823263889</v>
      </c>
      <c r="G2661" s="59" t="n">
        <f aca="false">F2661-E2661</f>
        <v>0.00054398150462963</v>
      </c>
      <c r="H2661" s="57" t="s">
        <v>252</v>
      </c>
      <c r="I2661" s="57"/>
      <c r="J2661" s="57" t="s">
        <v>333</v>
      </c>
      <c r="K2661" s="57" t="s">
        <v>334</v>
      </c>
      <c r="L2661" s="60" t="s">
        <v>3584</v>
      </c>
      <c r="M2661" s="57" t="s">
        <v>336</v>
      </c>
      <c r="N2661" s="57" t="s">
        <v>381</v>
      </c>
      <c r="O2661" s="57" t="s">
        <v>729</v>
      </c>
      <c r="P2661" s="57" t="s">
        <v>3585</v>
      </c>
      <c r="Q2661" s="57" t="s">
        <v>698</v>
      </c>
    </row>
    <row r="2662" s="50" customFormat="true" ht="14.25" hidden="false" customHeight="true" outlineLevel="0" collapsed="false">
      <c r="A2662" s="50" t="s">
        <v>727</v>
      </c>
      <c r="B2662" s="57" t="s">
        <v>727</v>
      </c>
      <c r="C2662" s="57" t="s">
        <v>415</v>
      </c>
      <c r="D2662" s="58" t="n">
        <v>46069.6672106482</v>
      </c>
      <c r="E2662" s="58" t="n">
        <v>46069.6672106482</v>
      </c>
      <c r="F2662" s="58" t="n">
        <v>46069.669525463</v>
      </c>
      <c r="G2662" s="59" t="n">
        <f aca="false">F2662-E2662</f>
        <v>0.00231481480324074</v>
      </c>
      <c r="H2662" s="57" t="s">
        <v>252</v>
      </c>
      <c r="I2662" s="57"/>
      <c r="J2662" s="57" t="s">
        <v>333</v>
      </c>
      <c r="K2662" s="57" t="s">
        <v>334</v>
      </c>
      <c r="L2662" s="60" t="s">
        <v>3586</v>
      </c>
      <c r="M2662" s="57" t="s">
        <v>336</v>
      </c>
      <c r="N2662" s="57" t="s">
        <v>381</v>
      </c>
      <c r="O2662" s="57" t="s">
        <v>729</v>
      </c>
      <c r="P2662" s="57" t="s">
        <v>3587</v>
      </c>
      <c r="Q2662" s="57" t="s">
        <v>698</v>
      </c>
    </row>
    <row r="2663" s="50" customFormat="true" ht="14.25" hidden="false" customHeight="true" outlineLevel="0" collapsed="false">
      <c r="A2663" s="50" t="s">
        <v>727</v>
      </c>
      <c r="B2663" s="57" t="s">
        <v>727</v>
      </c>
      <c r="C2663" s="57" t="s">
        <v>415</v>
      </c>
      <c r="D2663" s="58" t="n">
        <v>46069.6544212963</v>
      </c>
      <c r="E2663" s="58" t="n">
        <v>46069.6544212963</v>
      </c>
      <c r="F2663" s="58" t="n">
        <v>46069.6549652778</v>
      </c>
      <c r="G2663" s="59" t="n">
        <f aca="false">F2663-E2663</f>
        <v>0.00054398150462963</v>
      </c>
      <c r="H2663" s="57" t="s">
        <v>252</v>
      </c>
      <c r="I2663" s="57"/>
      <c r="J2663" s="57" t="s">
        <v>333</v>
      </c>
      <c r="K2663" s="57" t="s">
        <v>334</v>
      </c>
      <c r="L2663" s="60" t="s">
        <v>3588</v>
      </c>
      <c r="M2663" s="57" t="s">
        <v>336</v>
      </c>
      <c r="N2663" s="57" t="s">
        <v>381</v>
      </c>
      <c r="O2663" s="57" t="s">
        <v>729</v>
      </c>
      <c r="P2663" s="57" t="s">
        <v>3589</v>
      </c>
      <c r="Q2663" s="57" t="s">
        <v>698</v>
      </c>
    </row>
    <row r="2664" s="50" customFormat="true" ht="14.25" hidden="false" customHeight="true" outlineLevel="0" collapsed="false">
      <c r="A2664" s="50" t="s">
        <v>727</v>
      </c>
      <c r="B2664" s="57" t="s">
        <v>727</v>
      </c>
      <c r="C2664" s="57" t="s">
        <v>415</v>
      </c>
      <c r="D2664" s="58" t="n">
        <v>46069.6429861111</v>
      </c>
      <c r="E2664" s="58" t="n">
        <v>46069.6429861111</v>
      </c>
      <c r="F2664" s="58" t="n">
        <v>46069.6437731482</v>
      </c>
      <c r="G2664" s="59" t="n">
        <f aca="false">F2664-E2664</f>
        <v>0.000787037094907407</v>
      </c>
      <c r="H2664" s="57" t="s">
        <v>252</v>
      </c>
      <c r="I2664" s="57"/>
      <c r="J2664" s="57" t="s">
        <v>333</v>
      </c>
      <c r="K2664" s="57" t="s">
        <v>334</v>
      </c>
      <c r="L2664" s="60" t="s">
        <v>3590</v>
      </c>
      <c r="M2664" s="57" t="s">
        <v>336</v>
      </c>
      <c r="N2664" s="57" t="s">
        <v>381</v>
      </c>
      <c r="O2664" s="57" t="s">
        <v>729</v>
      </c>
      <c r="P2664" s="57" t="s">
        <v>3591</v>
      </c>
      <c r="Q2664" s="57" t="s">
        <v>698</v>
      </c>
    </row>
    <row r="2665" s="50" customFormat="true" ht="14.25" hidden="false" customHeight="true" outlineLevel="0" collapsed="false">
      <c r="A2665" s="50" t="s">
        <v>727</v>
      </c>
      <c r="B2665" s="57" t="s">
        <v>727</v>
      </c>
      <c r="C2665" s="57" t="s">
        <v>415</v>
      </c>
      <c r="D2665" s="58" t="n">
        <v>46069.6422453704</v>
      </c>
      <c r="E2665" s="58" t="n">
        <v>46069.6422453704</v>
      </c>
      <c r="F2665" s="58" t="n">
        <v>46069.6428009259</v>
      </c>
      <c r="G2665" s="59" t="n">
        <f aca="false">F2665-E2665</f>
        <v>0.000555555509259259</v>
      </c>
      <c r="H2665" s="57" t="s">
        <v>252</v>
      </c>
      <c r="I2665" s="57"/>
      <c r="J2665" s="57" t="s">
        <v>333</v>
      </c>
      <c r="K2665" s="57" t="s">
        <v>334</v>
      </c>
      <c r="L2665" s="60" t="s">
        <v>3592</v>
      </c>
      <c r="M2665" s="57" t="s">
        <v>336</v>
      </c>
      <c r="N2665" s="57" t="s">
        <v>381</v>
      </c>
      <c r="O2665" s="57" t="s">
        <v>729</v>
      </c>
      <c r="P2665" s="57" t="s">
        <v>3593</v>
      </c>
      <c r="Q2665" s="57" t="s">
        <v>698</v>
      </c>
    </row>
    <row r="2666" s="50" customFormat="true" ht="14.25" hidden="false" customHeight="true" outlineLevel="0" collapsed="false">
      <c r="A2666" s="50" t="s">
        <v>727</v>
      </c>
      <c r="B2666" s="57" t="s">
        <v>727</v>
      </c>
      <c r="C2666" s="57" t="s">
        <v>415</v>
      </c>
      <c r="D2666" s="58" t="n">
        <v>46069.6130671296</v>
      </c>
      <c r="E2666" s="58" t="n">
        <v>46069.6130671296</v>
      </c>
      <c r="F2666" s="58" t="n">
        <v>46069.6156597222</v>
      </c>
      <c r="G2666" s="59" t="n">
        <f aca="false">F2666-E2666</f>
        <v>0.00259259259259259</v>
      </c>
      <c r="H2666" s="57" t="s">
        <v>252</v>
      </c>
      <c r="I2666" s="57"/>
      <c r="J2666" s="57" t="s">
        <v>333</v>
      </c>
      <c r="K2666" s="57" t="s">
        <v>334</v>
      </c>
      <c r="L2666" s="60" t="s">
        <v>3594</v>
      </c>
      <c r="M2666" s="57" t="s">
        <v>336</v>
      </c>
      <c r="N2666" s="57" t="s">
        <v>381</v>
      </c>
      <c r="O2666" s="57" t="s">
        <v>729</v>
      </c>
      <c r="P2666" s="57" t="s">
        <v>3595</v>
      </c>
      <c r="Q2666" s="57" t="s">
        <v>698</v>
      </c>
    </row>
    <row r="2667" s="50" customFormat="true" ht="14.25" hidden="false" customHeight="true" outlineLevel="0" collapsed="false">
      <c r="A2667" s="50" t="s">
        <v>727</v>
      </c>
      <c r="B2667" s="57" t="s">
        <v>727</v>
      </c>
      <c r="C2667" s="57" t="s">
        <v>415</v>
      </c>
      <c r="D2667" s="58" t="n">
        <v>46069.6113425926</v>
      </c>
      <c r="E2667" s="58" t="n">
        <v>46069.6113425926</v>
      </c>
      <c r="F2667" s="58" t="n">
        <v>46069.6125347222</v>
      </c>
      <c r="G2667" s="59" t="n">
        <f aca="false">F2667-E2667</f>
        <v>0.00119212959490741</v>
      </c>
      <c r="H2667" s="57" t="s">
        <v>252</v>
      </c>
      <c r="I2667" s="57"/>
      <c r="J2667" s="57" t="s">
        <v>333</v>
      </c>
      <c r="K2667" s="57" t="s">
        <v>334</v>
      </c>
      <c r="L2667" s="60" t="s">
        <v>3596</v>
      </c>
      <c r="M2667" s="57" t="s">
        <v>336</v>
      </c>
      <c r="N2667" s="57" t="s">
        <v>381</v>
      </c>
      <c r="O2667" s="57" t="s">
        <v>729</v>
      </c>
      <c r="P2667" s="57" t="s">
        <v>3597</v>
      </c>
      <c r="Q2667" s="57" t="s">
        <v>698</v>
      </c>
    </row>
    <row r="2668" s="50" customFormat="true" ht="14.25" hidden="false" customHeight="true" outlineLevel="0" collapsed="false">
      <c r="A2668" s="50" t="s">
        <v>727</v>
      </c>
      <c r="B2668" s="57" t="s">
        <v>727</v>
      </c>
      <c r="C2668" s="57" t="s">
        <v>415</v>
      </c>
      <c r="D2668" s="58" t="n">
        <v>46069.5987847222</v>
      </c>
      <c r="E2668" s="58" t="n">
        <v>46069.5987847222</v>
      </c>
      <c r="F2668" s="58" t="n">
        <v>46069.5998611111</v>
      </c>
      <c r="G2668" s="59" t="n">
        <f aca="false">F2668-E2668</f>
        <v>0.00107638888888889</v>
      </c>
      <c r="H2668" s="57" t="s">
        <v>252</v>
      </c>
      <c r="I2668" s="57"/>
      <c r="J2668" s="57" t="s">
        <v>333</v>
      </c>
      <c r="K2668" s="57" t="s">
        <v>334</v>
      </c>
      <c r="L2668" s="60" t="s">
        <v>3598</v>
      </c>
      <c r="M2668" s="57" t="s">
        <v>336</v>
      </c>
      <c r="N2668" s="57" t="s">
        <v>381</v>
      </c>
      <c r="O2668" s="57" t="s">
        <v>729</v>
      </c>
      <c r="P2668" s="57" t="s">
        <v>3599</v>
      </c>
      <c r="Q2668" s="57" t="s">
        <v>698</v>
      </c>
    </row>
    <row r="2669" s="50" customFormat="true" ht="14.25" hidden="false" customHeight="true" outlineLevel="0" collapsed="false">
      <c r="A2669" s="50" t="s">
        <v>727</v>
      </c>
      <c r="B2669" s="57" t="s">
        <v>727</v>
      </c>
      <c r="C2669" s="57" t="s">
        <v>415</v>
      </c>
      <c r="D2669" s="58" t="n">
        <v>46069.5947222222</v>
      </c>
      <c r="E2669" s="58" t="n">
        <v>46069.5947222222</v>
      </c>
      <c r="F2669" s="58" t="n">
        <v>46069.5963657407</v>
      </c>
      <c r="G2669" s="59" t="n">
        <f aca="false">F2669-E2669</f>
        <v>0.00164351849537037</v>
      </c>
      <c r="H2669" s="57" t="s">
        <v>252</v>
      </c>
      <c r="I2669" s="57"/>
      <c r="J2669" s="57" t="s">
        <v>333</v>
      </c>
      <c r="K2669" s="57" t="s">
        <v>334</v>
      </c>
      <c r="L2669" s="60" t="s">
        <v>3600</v>
      </c>
      <c r="M2669" s="57" t="s">
        <v>336</v>
      </c>
      <c r="N2669" s="57" t="s">
        <v>381</v>
      </c>
      <c r="O2669" s="57" t="s">
        <v>729</v>
      </c>
      <c r="P2669" s="57" t="s">
        <v>3601</v>
      </c>
      <c r="Q2669" s="57" t="s">
        <v>698</v>
      </c>
    </row>
    <row r="2670" s="50" customFormat="true" ht="14.25" hidden="false" customHeight="true" outlineLevel="0" collapsed="false">
      <c r="A2670" s="50" t="s">
        <v>727</v>
      </c>
      <c r="B2670" s="57" t="s">
        <v>727</v>
      </c>
      <c r="C2670" s="57" t="s">
        <v>415</v>
      </c>
      <c r="D2670" s="58" t="n">
        <v>46069.5873032407</v>
      </c>
      <c r="E2670" s="58" t="n">
        <v>46069.5873032407</v>
      </c>
      <c r="F2670" s="58" t="n">
        <v>46069.5880671296</v>
      </c>
      <c r="G2670" s="59" t="n">
        <f aca="false">F2670-E2670</f>
        <v>0.000763888888888889</v>
      </c>
      <c r="H2670" s="57" t="s">
        <v>252</v>
      </c>
      <c r="I2670" s="57"/>
      <c r="J2670" s="57" t="s">
        <v>333</v>
      </c>
      <c r="K2670" s="57" t="s">
        <v>334</v>
      </c>
      <c r="L2670" s="60" t="s">
        <v>3602</v>
      </c>
      <c r="M2670" s="57" t="s">
        <v>336</v>
      </c>
      <c r="N2670" s="57" t="s">
        <v>381</v>
      </c>
      <c r="O2670" s="57" t="s">
        <v>729</v>
      </c>
      <c r="P2670" s="57" t="s">
        <v>3603</v>
      </c>
      <c r="Q2670" s="57" t="s">
        <v>698</v>
      </c>
    </row>
    <row r="2671" s="50" customFormat="true" ht="14.25" hidden="false" customHeight="true" outlineLevel="0" collapsed="false">
      <c r="A2671" s="50" t="s">
        <v>727</v>
      </c>
      <c r="B2671" s="57" t="s">
        <v>727</v>
      </c>
      <c r="C2671" s="57" t="s">
        <v>415</v>
      </c>
      <c r="D2671" s="58" t="n">
        <v>46069.5826388889</v>
      </c>
      <c r="E2671" s="58" t="n">
        <v>46069.5826388889</v>
      </c>
      <c r="F2671" s="58" t="n">
        <v>46069.5831828704</v>
      </c>
      <c r="G2671" s="59" t="n">
        <f aca="false">F2671-E2671</f>
        <v>0.00054398150462963</v>
      </c>
      <c r="H2671" s="57" t="s">
        <v>252</v>
      </c>
      <c r="I2671" s="57"/>
      <c r="J2671" s="57" t="s">
        <v>333</v>
      </c>
      <c r="K2671" s="57" t="s">
        <v>334</v>
      </c>
      <c r="L2671" s="60" t="s">
        <v>3604</v>
      </c>
      <c r="M2671" s="57" t="s">
        <v>336</v>
      </c>
      <c r="N2671" s="57" t="s">
        <v>381</v>
      </c>
      <c r="O2671" s="57" t="s">
        <v>729</v>
      </c>
      <c r="P2671" s="57" t="s">
        <v>3605</v>
      </c>
      <c r="Q2671" s="57" t="s">
        <v>698</v>
      </c>
    </row>
    <row r="2672" s="50" customFormat="true" ht="14.25" hidden="false" customHeight="true" outlineLevel="0" collapsed="false">
      <c r="A2672" s="50" t="s">
        <v>727</v>
      </c>
      <c r="B2672" s="57" t="s">
        <v>727</v>
      </c>
      <c r="C2672" s="57" t="s">
        <v>415</v>
      </c>
      <c r="D2672" s="58" t="n">
        <v>46069.5763194444</v>
      </c>
      <c r="E2672" s="58" t="n">
        <v>46069.5763194444</v>
      </c>
      <c r="F2672" s="58" t="n">
        <v>46069.5770138889</v>
      </c>
      <c r="G2672" s="59" t="n">
        <f aca="false">F2672-E2672</f>
        <v>0.000694444502314815</v>
      </c>
      <c r="H2672" s="57" t="s">
        <v>252</v>
      </c>
      <c r="I2672" s="57"/>
      <c r="J2672" s="57" t="s">
        <v>333</v>
      </c>
      <c r="K2672" s="57" t="s">
        <v>334</v>
      </c>
      <c r="L2672" s="60" t="s">
        <v>3606</v>
      </c>
      <c r="M2672" s="57" t="s">
        <v>336</v>
      </c>
      <c r="N2672" s="57" t="s">
        <v>381</v>
      </c>
      <c r="O2672" s="57" t="s">
        <v>729</v>
      </c>
      <c r="P2672" s="57" t="s">
        <v>3607</v>
      </c>
      <c r="Q2672" s="57" t="s">
        <v>698</v>
      </c>
    </row>
    <row r="2673" s="50" customFormat="true" ht="14.25" hidden="false" customHeight="true" outlineLevel="0" collapsed="false">
      <c r="A2673" s="50" t="s">
        <v>727</v>
      </c>
      <c r="B2673" s="57" t="s">
        <v>727</v>
      </c>
      <c r="C2673" s="57" t="s">
        <v>415</v>
      </c>
      <c r="D2673" s="58" t="n">
        <v>46069.5729166667</v>
      </c>
      <c r="E2673" s="58" t="n">
        <v>46069.5729166667</v>
      </c>
      <c r="F2673" s="58" t="n">
        <v>46069.5755208333</v>
      </c>
      <c r="G2673" s="59" t="n">
        <f aca="false">F2673-E2673</f>
        <v>0.00260416659722222</v>
      </c>
      <c r="H2673" s="57" t="s">
        <v>252</v>
      </c>
      <c r="I2673" s="57"/>
      <c r="J2673" s="57" t="s">
        <v>333</v>
      </c>
      <c r="K2673" s="57" t="s">
        <v>334</v>
      </c>
      <c r="L2673" s="60" t="s">
        <v>3608</v>
      </c>
      <c r="M2673" s="57" t="s">
        <v>336</v>
      </c>
      <c r="N2673" s="57" t="s">
        <v>381</v>
      </c>
      <c r="O2673" s="57" t="s">
        <v>729</v>
      </c>
      <c r="P2673" s="57" t="s">
        <v>3609</v>
      </c>
      <c r="Q2673" s="57" t="s">
        <v>698</v>
      </c>
    </row>
    <row r="2674" s="50" customFormat="true" ht="14.25" hidden="false" customHeight="true" outlineLevel="0" collapsed="false">
      <c r="A2674" s="50" t="s">
        <v>727</v>
      </c>
      <c r="B2674" s="57" t="s">
        <v>727</v>
      </c>
      <c r="C2674" s="57" t="s">
        <v>415</v>
      </c>
      <c r="D2674" s="58" t="n">
        <v>46069.566087963</v>
      </c>
      <c r="E2674" s="58" t="n">
        <v>46069.566087963</v>
      </c>
      <c r="F2674" s="58" t="n">
        <v>46069.5675115741</v>
      </c>
      <c r="G2674" s="59" t="n">
        <f aca="false">F2674-E2674</f>
        <v>0.00142361111111111</v>
      </c>
      <c r="H2674" s="57" t="s">
        <v>252</v>
      </c>
      <c r="I2674" s="57"/>
      <c r="J2674" s="57" t="s">
        <v>333</v>
      </c>
      <c r="K2674" s="57" t="s">
        <v>334</v>
      </c>
      <c r="L2674" s="60" t="s">
        <v>3610</v>
      </c>
      <c r="M2674" s="57" t="s">
        <v>336</v>
      </c>
      <c r="N2674" s="57" t="s">
        <v>381</v>
      </c>
      <c r="O2674" s="57" t="s">
        <v>729</v>
      </c>
      <c r="P2674" s="57" t="s">
        <v>3611</v>
      </c>
      <c r="Q2674" s="57" t="s">
        <v>698</v>
      </c>
    </row>
    <row r="2675" s="50" customFormat="true" ht="14.25" hidden="false" customHeight="true" outlineLevel="0" collapsed="false">
      <c r="A2675" s="50" t="s">
        <v>727</v>
      </c>
      <c r="B2675" s="57" t="s">
        <v>727</v>
      </c>
      <c r="C2675" s="57" t="s">
        <v>415</v>
      </c>
      <c r="D2675" s="58" t="n">
        <v>46069.5522222222</v>
      </c>
      <c r="E2675" s="58" t="n">
        <v>46069.5522222222</v>
      </c>
      <c r="F2675" s="58" t="n">
        <v>46069.5532175926</v>
      </c>
      <c r="G2675" s="59" t="n">
        <f aca="false">F2675-E2675</f>
        <v>0.000995370405092593</v>
      </c>
      <c r="H2675" s="57" t="s">
        <v>252</v>
      </c>
      <c r="I2675" s="57"/>
      <c r="J2675" s="57" t="s">
        <v>333</v>
      </c>
      <c r="K2675" s="57" t="s">
        <v>334</v>
      </c>
      <c r="L2675" s="60" t="s">
        <v>3612</v>
      </c>
      <c r="M2675" s="57" t="s">
        <v>336</v>
      </c>
      <c r="N2675" s="57" t="s">
        <v>381</v>
      </c>
      <c r="O2675" s="57" t="s">
        <v>729</v>
      </c>
      <c r="P2675" s="57" t="s">
        <v>3613</v>
      </c>
      <c r="Q2675" s="57" t="s">
        <v>698</v>
      </c>
    </row>
    <row r="2676" s="50" customFormat="true" ht="14.25" hidden="false" customHeight="true" outlineLevel="0" collapsed="false">
      <c r="A2676" s="50" t="s">
        <v>727</v>
      </c>
      <c r="B2676" s="57" t="s">
        <v>727</v>
      </c>
      <c r="C2676" s="57" t="s">
        <v>415</v>
      </c>
      <c r="D2676" s="58" t="n">
        <v>46069.5503587963</v>
      </c>
      <c r="E2676" s="58" t="n">
        <v>46069.5503587963</v>
      </c>
      <c r="F2676" s="58" t="n">
        <v>46069.5509027778</v>
      </c>
      <c r="G2676" s="59" t="n">
        <f aca="false">F2676-E2676</f>
        <v>0.00054398150462963</v>
      </c>
      <c r="H2676" s="57" t="s">
        <v>252</v>
      </c>
      <c r="I2676" s="57"/>
      <c r="J2676" s="57" t="s">
        <v>333</v>
      </c>
      <c r="K2676" s="57" t="s">
        <v>334</v>
      </c>
      <c r="L2676" s="60" t="s">
        <v>3614</v>
      </c>
      <c r="M2676" s="57" t="s">
        <v>336</v>
      </c>
      <c r="N2676" s="57" t="s">
        <v>381</v>
      </c>
      <c r="O2676" s="57" t="s">
        <v>729</v>
      </c>
      <c r="P2676" s="57" t="s">
        <v>3615</v>
      </c>
      <c r="Q2676" s="57" t="s">
        <v>698</v>
      </c>
    </row>
    <row r="2677" s="50" customFormat="true" ht="14.25" hidden="false" customHeight="true" outlineLevel="0" collapsed="false">
      <c r="A2677" s="50" t="s">
        <v>727</v>
      </c>
      <c r="B2677" s="57" t="s">
        <v>727</v>
      </c>
      <c r="C2677" s="57" t="s">
        <v>415</v>
      </c>
      <c r="D2677" s="58" t="n">
        <v>46069.5409259259</v>
      </c>
      <c r="E2677" s="58" t="n">
        <v>46069.5409259259</v>
      </c>
      <c r="F2677" s="58" t="n">
        <v>46069.5417013889</v>
      </c>
      <c r="G2677" s="59" t="n">
        <f aca="false">F2677-E2677</f>
        <v>0.000775462997685185</v>
      </c>
      <c r="H2677" s="57" t="s">
        <v>252</v>
      </c>
      <c r="I2677" s="57"/>
      <c r="J2677" s="57" t="s">
        <v>333</v>
      </c>
      <c r="K2677" s="57" t="s">
        <v>334</v>
      </c>
      <c r="L2677" s="60" t="s">
        <v>3616</v>
      </c>
      <c r="M2677" s="57" t="s">
        <v>336</v>
      </c>
      <c r="N2677" s="57" t="s">
        <v>381</v>
      </c>
      <c r="O2677" s="57" t="s">
        <v>729</v>
      </c>
      <c r="P2677" s="57" t="s">
        <v>3617</v>
      </c>
      <c r="Q2677" s="57" t="s">
        <v>698</v>
      </c>
    </row>
    <row r="2678" s="50" customFormat="true" ht="14.25" hidden="false" customHeight="true" outlineLevel="0" collapsed="false">
      <c r="A2678" s="50" t="s">
        <v>727</v>
      </c>
      <c r="B2678" s="57" t="s">
        <v>727</v>
      </c>
      <c r="C2678" s="57" t="s">
        <v>415</v>
      </c>
      <c r="D2678" s="58" t="n">
        <v>46069.5335532407</v>
      </c>
      <c r="E2678" s="58" t="n">
        <v>46069.5335532407</v>
      </c>
      <c r="F2678" s="58" t="n">
        <v>46069.5342361111</v>
      </c>
      <c r="G2678" s="59" t="n">
        <f aca="false">F2678-E2678</f>
        <v>0.000682870405092593</v>
      </c>
      <c r="H2678" s="57" t="s">
        <v>252</v>
      </c>
      <c r="I2678" s="57"/>
      <c r="J2678" s="57" t="s">
        <v>333</v>
      </c>
      <c r="K2678" s="57" t="s">
        <v>334</v>
      </c>
      <c r="L2678" s="60" t="s">
        <v>3618</v>
      </c>
      <c r="M2678" s="57" t="s">
        <v>336</v>
      </c>
      <c r="N2678" s="57" t="s">
        <v>381</v>
      </c>
      <c r="O2678" s="57" t="s">
        <v>729</v>
      </c>
      <c r="P2678" s="57" t="s">
        <v>3619</v>
      </c>
      <c r="Q2678" s="57" t="s">
        <v>698</v>
      </c>
    </row>
    <row r="2679" s="50" customFormat="true" ht="14.25" hidden="false" customHeight="true" outlineLevel="0" collapsed="false">
      <c r="A2679" s="50" t="s">
        <v>727</v>
      </c>
      <c r="B2679" s="57" t="s">
        <v>727</v>
      </c>
      <c r="C2679" s="57" t="s">
        <v>415</v>
      </c>
      <c r="D2679" s="58" t="n">
        <v>46069.5240393519</v>
      </c>
      <c r="E2679" s="58" t="n">
        <v>46069.5240393519</v>
      </c>
      <c r="F2679" s="58" t="n">
        <v>46069.5259375</v>
      </c>
      <c r="G2679" s="59" t="n">
        <f aca="false">F2679-E2679</f>
        <v>0.00189814810185185</v>
      </c>
      <c r="H2679" s="57" t="s">
        <v>252</v>
      </c>
      <c r="I2679" s="57"/>
      <c r="J2679" s="57" t="s">
        <v>333</v>
      </c>
      <c r="K2679" s="57" t="s">
        <v>334</v>
      </c>
      <c r="L2679" s="60" t="s">
        <v>3620</v>
      </c>
      <c r="M2679" s="57" t="s">
        <v>336</v>
      </c>
      <c r="N2679" s="57" t="s">
        <v>381</v>
      </c>
      <c r="O2679" s="57" t="s">
        <v>729</v>
      </c>
      <c r="P2679" s="57" t="s">
        <v>3621</v>
      </c>
      <c r="Q2679" s="57" t="s">
        <v>698</v>
      </c>
    </row>
    <row r="2680" s="50" customFormat="true" ht="14.25" hidden="false" customHeight="true" outlineLevel="0" collapsed="false">
      <c r="A2680" s="50" t="s">
        <v>727</v>
      </c>
      <c r="B2680" s="57" t="s">
        <v>727</v>
      </c>
      <c r="C2680" s="57" t="s">
        <v>415</v>
      </c>
      <c r="D2680" s="58" t="n">
        <v>46069.5022685185</v>
      </c>
      <c r="E2680" s="58" t="n">
        <v>46069.5022685185</v>
      </c>
      <c r="F2680" s="58" t="n">
        <v>46069.5029282407</v>
      </c>
      <c r="G2680" s="59" t="n">
        <f aca="false">F2680-E2680</f>
        <v>0.000659722199074074</v>
      </c>
      <c r="H2680" s="57" t="s">
        <v>252</v>
      </c>
      <c r="I2680" s="57"/>
      <c r="J2680" s="57" t="s">
        <v>333</v>
      </c>
      <c r="K2680" s="57" t="s">
        <v>334</v>
      </c>
      <c r="L2680" s="60" t="s">
        <v>3622</v>
      </c>
      <c r="M2680" s="57" t="s">
        <v>336</v>
      </c>
      <c r="N2680" s="57" t="s">
        <v>381</v>
      </c>
      <c r="O2680" s="57" t="s">
        <v>729</v>
      </c>
      <c r="P2680" s="57" t="s">
        <v>3623</v>
      </c>
      <c r="Q2680" s="57" t="s">
        <v>698</v>
      </c>
    </row>
    <row r="2681" s="50" customFormat="true" ht="14.25" hidden="false" customHeight="true" outlineLevel="0" collapsed="false">
      <c r="A2681" s="50" t="s">
        <v>727</v>
      </c>
      <c r="B2681" s="57" t="s">
        <v>727</v>
      </c>
      <c r="C2681" s="57" t="s">
        <v>415</v>
      </c>
      <c r="D2681" s="58" t="n">
        <v>46069.4889583333</v>
      </c>
      <c r="E2681" s="58" t="n">
        <v>46069.4889583333</v>
      </c>
      <c r="F2681" s="58" t="n">
        <v>46069.4895486111</v>
      </c>
      <c r="G2681" s="59" t="n">
        <f aca="false">F2681-E2681</f>
        <v>0.000590277800925926</v>
      </c>
      <c r="H2681" s="57" t="s">
        <v>252</v>
      </c>
      <c r="I2681" s="57"/>
      <c r="J2681" s="57" t="s">
        <v>333</v>
      </c>
      <c r="K2681" s="57" t="s">
        <v>334</v>
      </c>
      <c r="L2681" s="60" t="s">
        <v>3624</v>
      </c>
      <c r="M2681" s="57" t="s">
        <v>336</v>
      </c>
      <c r="N2681" s="57" t="s">
        <v>381</v>
      </c>
      <c r="O2681" s="57" t="s">
        <v>729</v>
      </c>
      <c r="P2681" s="57" t="s">
        <v>3625</v>
      </c>
      <c r="Q2681" s="57" t="s">
        <v>698</v>
      </c>
    </row>
    <row r="2682" s="50" customFormat="true" ht="14.25" hidden="false" customHeight="true" outlineLevel="0" collapsed="false">
      <c r="A2682" s="50" t="s">
        <v>727</v>
      </c>
      <c r="B2682" s="57" t="s">
        <v>727</v>
      </c>
      <c r="C2682" s="57" t="s">
        <v>415</v>
      </c>
      <c r="D2682" s="58" t="n">
        <v>46069.4766666667</v>
      </c>
      <c r="E2682" s="58" t="n">
        <v>46069.4766666667</v>
      </c>
      <c r="F2682" s="58" t="n">
        <v>46069.4780902778</v>
      </c>
      <c r="G2682" s="59" t="n">
        <f aca="false">F2682-E2682</f>
        <v>0.00142361111111111</v>
      </c>
      <c r="H2682" s="57" t="s">
        <v>252</v>
      </c>
      <c r="I2682" s="57"/>
      <c r="J2682" s="57" t="s">
        <v>333</v>
      </c>
      <c r="K2682" s="57" t="s">
        <v>334</v>
      </c>
      <c r="L2682" s="60" t="s">
        <v>3626</v>
      </c>
      <c r="M2682" s="57" t="s">
        <v>336</v>
      </c>
      <c r="N2682" s="57" t="s">
        <v>381</v>
      </c>
      <c r="O2682" s="57" t="s">
        <v>729</v>
      </c>
      <c r="P2682" s="57" t="s">
        <v>3627</v>
      </c>
      <c r="Q2682" s="57" t="s">
        <v>698</v>
      </c>
    </row>
    <row r="2683" s="50" customFormat="true" ht="14.25" hidden="false" customHeight="true" outlineLevel="0" collapsed="false">
      <c r="A2683" s="50" t="s">
        <v>727</v>
      </c>
      <c r="B2683" s="57" t="s">
        <v>727</v>
      </c>
      <c r="C2683" s="57" t="s">
        <v>415</v>
      </c>
      <c r="D2683" s="58" t="n">
        <v>46069.475162037</v>
      </c>
      <c r="E2683" s="58" t="n">
        <v>46069.475162037</v>
      </c>
      <c r="F2683" s="58" t="n">
        <v>46069.4763078704</v>
      </c>
      <c r="G2683" s="59" t="n">
        <f aca="false">F2683-E2683</f>
        <v>0.00114583340277778</v>
      </c>
      <c r="H2683" s="57" t="s">
        <v>252</v>
      </c>
      <c r="I2683" s="57"/>
      <c r="J2683" s="57" t="s">
        <v>333</v>
      </c>
      <c r="K2683" s="57" t="s">
        <v>334</v>
      </c>
      <c r="L2683" s="60" t="s">
        <v>3628</v>
      </c>
      <c r="M2683" s="57" t="s">
        <v>336</v>
      </c>
      <c r="N2683" s="57" t="s">
        <v>381</v>
      </c>
      <c r="O2683" s="57" t="s">
        <v>729</v>
      </c>
      <c r="P2683" s="57" t="s">
        <v>3629</v>
      </c>
      <c r="Q2683" s="57" t="s">
        <v>698</v>
      </c>
    </row>
    <row r="2684" s="50" customFormat="true" ht="14.25" hidden="false" customHeight="true" outlineLevel="0" collapsed="false">
      <c r="A2684" s="50" t="s">
        <v>727</v>
      </c>
      <c r="B2684" s="57" t="s">
        <v>727</v>
      </c>
      <c r="C2684" s="57" t="s">
        <v>415</v>
      </c>
      <c r="D2684" s="58" t="n">
        <v>46069.4706365741</v>
      </c>
      <c r="E2684" s="58" t="n">
        <v>46069.4706365741</v>
      </c>
      <c r="F2684" s="58" t="n">
        <v>46069.4711805556</v>
      </c>
      <c r="G2684" s="59" t="n">
        <f aca="false">F2684-E2684</f>
        <v>0.00054398150462963</v>
      </c>
      <c r="H2684" s="57" t="s">
        <v>252</v>
      </c>
      <c r="I2684" s="57"/>
      <c r="J2684" s="57" t="s">
        <v>333</v>
      </c>
      <c r="K2684" s="57" t="s">
        <v>334</v>
      </c>
      <c r="L2684" s="60" t="s">
        <v>3630</v>
      </c>
      <c r="M2684" s="57" t="s">
        <v>336</v>
      </c>
      <c r="N2684" s="57" t="s">
        <v>381</v>
      </c>
      <c r="O2684" s="57" t="s">
        <v>729</v>
      </c>
      <c r="P2684" s="57" t="s">
        <v>3631</v>
      </c>
      <c r="Q2684" s="57" t="s">
        <v>698</v>
      </c>
    </row>
    <row r="2685" s="50" customFormat="true" ht="14.25" hidden="false" customHeight="true" outlineLevel="0" collapsed="false">
      <c r="A2685" s="50" t="s">
        <v>727</v>
      </c>
      <c r="B2685" s="57" t="s">
        <v>727</v>
      </c>
      <c r="C2685" s="57" t="s">
        <v>415</v>
      </c>
      <c r="D2685" s="58" t="n">
        <v>46069.4695949074</v>
      </c>
      <c r="E2685" s="58" t="n">
        <v>46069.4695949074</v>
      </c>
      <c r="F2685" s="58" t="n">
        <v>46069.4705902778</v>
      </c>
      <c r="G2685" s="59" t="n">
        <f aca="false">F2685-E2685</f>
        <v>0.000995370405092593</v>
      </c>
      <c r="H2685" s="57" t="s">
        <v>252</v>
      </c>
      <c r="I2685" s="57"/>
      <c r="J2685" s="57" t="s">
        <v>333</v>
      </c>
      <c r="K2685" s="57" t="s">
        <v>334</v>
      </c>
      <c r="L2685" s="60" t="s">
        <v>3632</v>
      </c>
      <c r="M2685" s="57" t="s">
        <v>336</v>
      </c>
      <c r="N2685" s="57" t="s">
        <v>381</v>
      </c>
      <c r="O2685" s="57" t="s">
        <v>729</v>
      </c>
      <c r="P2685" s="57" t="s">
        <v>3633</v>
      </c>
      <c r="Q2685" s="57" t="s">
        <v>698</v>
      </c>
    </row>
    <row r="2686" s="50" customFormat="true" ht="14.25" hidden="false" customHeight="true" outlineLevel="0" collapsed="false">
      <c r="A2686" s="50" t="s">
        <v>727</v>
      </c>
      <c r="B2686" s="57" t="s">
        <v>727</v>
      </c>
      <c r="C2686" s="57" t="s">
        <v>415</v>
      </c>
      <c r="D2686" s="58" t="n">
        <v>46069.4650578704</v>
      </c>
      <c r="E2686" s="58" t="n">
        <v>46069.4650578704</v>
      </c>
      <c r="F2686" s="58" t="n">
        <v>46069.465625</v>
      </c>
      <c r="G2686" s="59" t="n">
        <f aca="false">F2686-E2686</f>
        <v>0.000567129594907407</v>
      </c>
      <c r="H2686" s="57" t="s">
        <v>252</v>
      </c>
      <c r="I2686" s="57"/>
      <c r="J2686" s="57" t="s">
        <v>333</v>
      </c>
      <c r="K2686" s="57" t="s">
        <v>334</v>
      </c>
      <c r="L2686" s="60" t="s">
        <v>3634</v>
      </c>
      <c r="M2686" s="57" t="s">
        <v>336</v>
      </c>
      <c r="N2686" s="57" t="s">
        <v>381</v>
      </c>
      <c r="O2686" s="57" t="s">
        <v>729</v>
      </c>
      <c r="P2686" s="57" t="s">
        <v>3635</v>
      </c>
      <c r="Q2686" s="57" t="s">
        <v>698</v>
      </c>
    </row>
    <row r="2687" s="50" customFormat="true" ht="14.25" hidden="false" customHeight="true" outlineLevel="0" collapsed="false">
      <c r="A2687" s="50" t="s">
        <v>727</v>
      </c>
      <c r="B2687" s="57" t="s">
        <v>727</v>
      </c>
      <c r="C2687" s="57" t="s">
        <v>415</v>
      </c>
      <c r="D2687" s="58" t="n">
        <v>46069.4533912037</v>
      </c>
      <c r="E2687" s="58" t="n">
        <v>46069.4533912037</v>
      </c>
      <c r="F2687" s="58" t="n">
        <v>46069.4539351852</v>
      </c>
      <c r="G2687" s="59" t="n">
        <f aca="false">F2687-E2687</f>
        <v>0.00054398150462963</v>
      </c>
      <c r="H2687" s="57" t="s">
        <v>252</v>
      </c>
      <c r="I2687" s="57"/>
      <c r="J2687" s="57" t="s">
        <v>333</v>
      </c>
      <c r="K2687" s="57" t="s">
        <v>334</v>
      </c>
      <c r="L2687" s="60" t="s">
        <v>3636</v>
      </c>
      <c r="M2687" s="57" t="s">
        <v>336</v>
      </c>
      <c r="N2687" s="57" t="s">
        <v>381</v>
      </c>
      <c r="O2687" s="57" t="s">
        <v>729</v>
      </c>
      <c r="P2687" s="57" t="s">
        <v>3637</v>
      </c>
      <c r="Q2687" s="57" t="s">
        <v>698</v>
      </c>
    </row>
    <row r="2688" s="50" customFormat="true" ht="14.25" hidden="false" customHeight="true" outlineLevel="0" collapsed="false">
      <c r="A2688" s="50" t="s">
        <v>727</v>
      </c>
      <c r="B2688" s="57" t="s">
        <v>727</v>
      </c>
      <c r="C2688" s="57" t="s">
        <v>415</v>
      </c>
      <c r="D2688" s="58" t="n">
        <v>46069.4440625</v>
      </c>
      <c r="E2688" s="58" t="n">
        <v>46069.4440625</v>
      </c>
      <c r="F2688" s="58" t="n">
        <v>46069.4457060185</v>
      </c>
      <c r="G2688" s="59" t="n">
        <f aca="false">F2688-E2688</f>
        <v>0.00164351850694444</v>
      </c>
      <c r="H2688" s="57" t="s">
        <v>252</v>
      </c>
      <c r="I2688" s="57"/>
      <c r="J2688" s="57" t="s">
        <v>333</v>
      </c>
      <c r="K2688" s="57" t="s">
        <v>334</v>
      </c>
      <c r="L2688" s="60" t="s">
        <v>3638</v>
      </c>
      <c r="M2688" s="57" t="s">
        <v>336</v>
      </c>
      <c r="N2688" s="57" t="s">
        <v>381</v>
      </c>
      <c r="O2688" s="57" t="s">
        <v>729</v>
      </c>
      <c r="P2688" s="57" t="s">
        <v>3639</v>
      </c>
      <c r="Q2688" s="57" t="s">
        <v>698</v>
      </c>
    </row>
    <row r="2689" s="50" customFormat="true" ht="14.25" hidden="false" customHeight="true" outlineLevel="0" collapsed="false">
      <c r="A2689" s="50" t="s">
        <v>727</v>
      </c>
      <c r="B2689" s="57" t="s">
        <v>727</v>
      </c>
      <c r="C2689" s="57" t="s">
        <v>415</v>
      </c>
      <c r="D2689" s="58" t="n">
        <v>46069.4399537037</v>
      </c>
      <c r="E2689" s="58" t="n">
        <v>46069.4399537037</v>
      </c>
      <c r="F2689" s="58" t="n">
        <v>46069.4404976852</v>
      </c>
      <c r="G2689" s="59" t="n">
        <f aca="false">F2689-E2689</f>
        <v>0.00054398150462963</v>
      </c>
      <c r="H2689" s="57" t="s">
        <v>252</v>
      </c>
      <c r="I2689" s="57"/>
      <c r="J2689" s="57" t="s">
        <v>333</v>
      </c>
      <c r="K2689" s="57" t="s">
        <v>334</v>
      </c>
      <c r="L2689" s="60" t="s">
        <v>3640</v>
      </c>
      <c r="M2689" s="57" t="s">
        <v>336</v>
      </c>
      <c r="N2689" s="57" t="s">
        <v>381</v>
      </c>
      <c r="O2689" s="57" t="s">
        <v>729</v>
      </c>
      <c r="P2689" s="57" t="s">
        <v>3641</v>
      </c>
      <c r="Q2689" s="57" t="s">
        <v>698</v>
      </c>
    </row>
    <row r="2690" s="50" customFormat="true" ht="14.25" hidden="false" customHeight="true" outlineLevel="0" collapsed="false">
      <c r="A2690" s="50" t="s">
        <v>727</v>
      </c>
      <c r="B2690" s="57" t="s">
        <v>727</v>
      </c>
      <c r="C2690" s="57" t="s">
        <v>415</v>
      </c>
      <c r="D2690" s="58" t="n">
        <v>46069.405162037</v>
      </c>
      <c r="E2690" s="58" t="n">
        <v>46069.405162037</v>
      </c>
      <c r="F2690" s="58" t="n">
        <v>46069.4057060185</v>
      </c>
      <c r="G2690" s="59" t="n">
        <f aca="false">F2690-E2690</f>
        <v>0.00054398150462963</v>
      </c>
      <c r="H2690" s="57" t="s">
        <v>252</v>
      </c>
      <c r="I2690" s="57"/>
      <c r="J2690" s="57" t="s">
        <v>333</v>
      </c>
      <c r="K2690" s="57" t="s">
        <v>334</v>
      </c>
      <c r="L2690" s="60" t="s">
        <v>3642</v>
      </c>
      <c r="M2690" s="57" t="s">
        <v>336</v>
      </c>
      <c r="N2690" s="57" t="s">
        <v>381</v>
      </c>
      <c r="O2690" s="57" t="s">
        <v>729</v>
      </c>
      <c r="P2690" s="57" t="s">
        <v>3643</v>
      </c>
      <c r="Q2690" s="57" t="s">
        <v>698</v>
      </c>
    </row>
    <row r="2691" s="50" customFormat="true" ht="14.25" hidden="false" customHeight="true" outlineLevel="0" collapsed="false">
      <c r="A2691" s="50" t="s">
        <v>727</v>
      </c>
      <c r="B2691" s="57" t="s">
        <v>727</v>
      </c>
      <c r="C2691" s="57" t="s">
        <v>415</v>
      </c>
      <c r="D2691" s="58" t="n">
        <v>46069.3832523148</v>
      </c>
      <c r="E2691" s="58" t="n">
        <v>46069.3832523148</v>
      </c>
      <c r="F2691" s="58" t="n">
        <v>46069.3837962963</v>
      </c>
      <c r="G2691" s="59" t="n">
        <f aca="false">F2691-E2691</f>
        <v>0.00054398150462963</v>
      </c>
      <c r="H2691" s="57" t="s">
        <v>252</v>
      </c>
      <c r="I2691" s="57"/>
      <c r="J2691" s="57" t="s">
        <v>333</v>
      </c>
      <c r="K2691" s="57" t="s">
        <v>334</v>
      </c>
      <c r="L2691" s="60" t="s">
        <v>3644</v>
      </c>
      <c r="M2691" s="57" t="s">
        <v>336</v>
      </c>
      <c r="N2691" s="57" t="s">
        <v>381</v>
      </c>
      <c r="O2691" s="57" t="s">
        <v>729</v>
      </c>
      <c r="P2691" s="57" t="s">
        <v>3645</v>
      </c>
      <c r="Q2691" s="57" t="s">
        <v>698</v>
      </c>
    </row>
    <row r="2692" s="50" customFormat="true" ht="14.25" hidden="false" customHeight="true" outlineLevel="0" collapsed="false">
      <c r="A2692" s="50" t="s">
        <v>727</v>
      </c>
      <c r="B2692" s="57" t="s">
        <v>727</v>
      </c>
      <c r="C2692" s="57" t="s">
        <v>415</v>
      </c>
      <c r="D2692" s="58" t="n">
        <v>46069.3608564815</v>
      </c>
      <c r="E2692" s="58" t="n">
        <v>46069.3608564815</v>
      </c>
      <c r="F2692" s="58" t="n">
        <v>46069.3613773148</v>
      </c>
      <c r="G2692" s="59" t="n">
        <f aca="false">F2692-E2692</f>
        <v>0.000520833298611111</v>
      </c>
      <c r="H2692" s="57" t="s">
        <v>252</v>
      </c>
      <c r="I2692" s="57"/>
      <c r="J2692" s="57" t="s">
        <v>333</v>
      </c>
      <c r="K2692" s="57" t="s">
        <v>334</v>
      </c>
      <c r="L2692" s="60" t="s">
        <v>3646</v>
      </c>
      <c r="M2692" s="57" t="s">
        <v>336</v>
      </c>
      <c r="N2692" s="57" t="s">
        <v>381</v>
      </c>
      <c r="O2692" s="57" t="s">
        <v>729</v>
      </c>
      <c r="P2692" s="57" t="s">
        <v>3647</v>
      </c>
      <c r="Q2692" s="57" t="s">
        <v>698</v>
      </c>
    </row>
    <row r="2693" s="50" customFormat="true" ht="14.25" hidden="false" customHeight="true" outlineLevel="0" collapsed="false">
      <c r="A2693" s="50" t="s">
        <v>727</v>
      </c>
      <c r="B2693" s="57" t="s">
        <v>727</v>
      </c>
      <c r="C2693" s="57" t="s">
        <v>415</v>
      </c>
      <c r="D2693" s="58" t="n">
        <v>46069.3502893519</v>
      </c>
      <c r="E2693" s="58" t="n">
        <v>46069.3502893519</v>
      </c>
      <c r="F2693" s="58" t="n">
        <v>46069.3508101852</v>
      </c>
      <c r="G2693" s="59" t="n">
        <f aca="false">F2693-E2693</f>
        <v>0.000520833298611111</v>
      </c>
      <c r="H2693" s="57" t="s">
        <v>252</v>
      </c>
      <c r="I2693" s="57"/>
      <c r="J2693" s="57" t="s">
        <v>333</v>
      </c>
      <c r="K2693" s="57" t="s">
        <v>334</v>
      </c>
      <c r="L2693" s="60" t="s">
        <v>3648</v>
      </c>
      <c r="M2693" s="57" t="s">
        <v>336</v>
      </c>
      <c r="N2693" s="57" t="s">
        <v>381</v>
      </c>
      <c r="O2693" s="57" t="s">
        <v>729</v>
      </c>
      <c r="P2693" s="57" t="s">
        <v>3649</v>
      </c>
      <c r="Q2693" s="57" t="s">
        <v>698</v>
      </c>
    </row>
    <row r="2694" s="50" customFormat="true" ht="14.25" hidden="false" customHeight="true" outlineLevel="0" collapsed="false">
      <c r="A2694" s="50" t="s">
        <v>727</v>
      </c>
      <c r="B2694" s="57" t="s">
        <v>727</v>
      </c>
      <c r="C2694" s="57" t="s">
        <v>415</v>
      </c>
      <c r="D2694" s="58" t="n">
        <v>46069.321724537</v>
      </c>
      <c r="E2694" s="58" t="n">
        <v>46069.321724537</v>
      </c>
      <c r="F2694" s="58" t="n">
        <v>46069.3222337963</v>
      </c>
      <c r="G2694" s="59" t="n">
        <f aca="false">F2694-E2694</f>
        <v>0.000509259293981482</v>
      </c>
      <c r="H2694" s="57" t="s">
        <v>252</v>
      </c>
      <c r="I2694" s="57"/>
      <c r="J2694" s="57" t="s">
        <v>333</v>
      </c>
      <c r="K2694" s="57" t="s">
        <v>334</v>
      </c>
      <c r="L2694" s="60" t="s">
        <v>3650</v>
      </c>
      <c r="M2694" s="57" t="s">
        <v>336</v>
      </c>
      <c r="N2694" s="57" t="s">
        <v>381</v>
      </c>
      <c r="O2694" s="57" t="s">
        <v>729</v>
      </c>
      <c r="P2694" s="57" t="s">
        <v>3651</v>
      </c>
      <c r="Q2694" s="57" t="s">
        <v>698</v>
      </c>
    </row>
    <row r="2695" s="50" customFormat="true" ht="14.25" hidden="false" customHeight="true" outlineLevel="0" collapsed="false">
      <c r="A2695" s="50" t="s">
        <v>727</v>
      </c>
      <c r="B2695" s="57" t="s">
        <v>727</v>
      </c>
      <c r="C2695" s="57" t="s">
        <v>415</v>
      </c>
      <c r="D2695" s="58" t="n">
        <v>46069.3140046296</v>
      </c>
      <c r="E2695" s="58" t="n">
        <v>46069.3140046296</v>
      </c>
      <c r="F2695" s="58" t="n">
        <v>46069.314525463</v>
      </c>
      <c r="G2695" s="59" t="n">
        <f aca="false">F2695-E2695</f>
        <v>0.000520833391203704</v>
      </c>
      <c r="H2695" s="57" t="s">
        <v>252</v>
      </c>
      <c r="I2695" s="57"/>
      <c r="J2695" s="57" t="s">
        <v>333</v>
      </c>
      <c r="K2695" s="57" t="s">
        <v>334</v>
      </c>
      <c r="L2695" s="60" t="s">
        <v>3652</v>
      </c>
      <c r="M2695" s="57" t="s">
        <v>336</v>
      </c>
      <c r="N2695" s="57" t="s">
        <v>381</v>
      </c>
      <c r="O2695" s="57" t="s">
        <v>729</v>
      </c>
      <c r="P2695" s="57" t="s">
        <v>3653</v>
      </c>
      <c r="Q2695" s="57" t="s">
        <v>698</v>
      </c>
    </row>
    <row r="2696" s="50" customFormat="true" ht="14.25" hidden="false" customHeight="true" outlineLevel="0" collapsed="false">
      <c r="A2696" s="50" t="s">
        <v>727</v>
      </c>
      <c r="B2696" s="57" t="s">
        <v>727</v>
      </c>
      <c r="C2696" s="57" t="s">
        <v>415</v>
      </c>
      <c r="D2696" s="58" t="n">
        <v>46069.3082523148</v>
      </c>
      <c r="E2696" s="58" t="n">
        <v>46069.3082523148</v>
      </c>
      <c r="F2696" s="58" t="n">
        <v>46069.3087731482</v>
      </c>
      <c r="G2696" s="59" t="n">
        <f aca="false">F2696-E2696</f>
        <v>0.000520833402777778</v>
      </c>
      <c r="H2696" s="57" t="s">
        <v>252</v>
      </c>
      <c r="I2696" s="57"/>
      <c r="J2696" s="57" t="s">
        <v>333</v>
      </c>
      <c r="K2696" s="57" t="s">
        <v>334</v>
      </c>
      <c r="L2696" s="60" t="s">
        <v>3654</v>
      </c>
      <c r="M2696" s="57" t="s">
        <v>336</v>
      </c>
      <c r="N2696" s="57" t="s">
        <v>381</v>
      </c>
      <c r="O2696" s="57" t="s">
        <v>729</v>
      </c>
      <c r="P2696" s="57" t="s">
        <v>3655</v>
      </c>
      <c r="Q2696" s="57" t="s">
        <v>698</v>
      </c>
    </row>
    <row r="2697" s="50" customFormat="true" ht="14.25" hidden="false" customHeight="true" outlineLevel="0" collapsed="false">
      <c r="A2697" s="50" t="s">
        <v>727</v>
      </c>
      <c r="B2697" s="57" t="s">
        <v>727</v>
      </c>
      <c r="C2697" s="57" t="s">
        <v>415</v>
      </c>
      <c r="D2697" s="58" t="n">
        <v>46069.3021990741</v>
      </c>
      <c r="E2697" s="58" t="n">
        <v>46069.3021990741</v>
      </c>
      <c r="F2697" s="58" t="n">
        <v>46069.3026967593</v>
      </c>
      <c r="G2697" s="59" t="n">
        <f aca="false">F2697-E2697</f>
        <v>0.000497685196759259</v>
      </c>
      <c r="H2697" s="57" t="s">
        <v>252</v>
      </c>
      <c r="I2697" s="57"/>
      <c r="J2697" s="57" t="s">
        <v>333</v>
      </c>
      <c r="K2697" s="57" t="s">
        <v>334</v>
      </c>
      <c r="L2697" s="60" t="s">
        <v>3656</v>
      </c>
      <c r="M2697" s="57" t="s">
        <v>336</v>
      </c>
      <c r="N2697" s="57" t="s">
        <v>381</v>
      </c>
      <c r="O2697" s="57" t="s">
        <v>729</v>
      </c>
      <c r="P2697" s="57" t="s">
        <v>3657</v>
      </c>
      <c r="Q2697" s="57" t="s">
        <v>698</v>
      </c>
    </row>
    <row r="2698" s="50" customFormat="true" ht="14.25" hidden="false" customHeight="true" outlineLevel="0" collapsed="false">
      <c r="A2698" s="50" t="s">
        <v>727</v>
      </c>
      <c r="B2698" s="57" t="s">
        <v>727</v>
      </c>
      <c r="C2698" s="57" t="s">
        <v>415</v>
      </c>
      <c r="D2698" s="58" t="n">
        <v>46069.2958912037</v>
      </c>
      <c r="E2698" s="58" t="n">
        <v>46069.2958912037</v>
      </c>
      <c r="F2698" s="58" t="n">
        <v>46069.296412037</v>
      </c>
      <c r="G2698" s="59" t="n">
        <f aca="false">F2698-E2698</f>
        <v>0.000520833298611111</v>
      </c>
      <c r="H2698" s="57" t="s">
        <v>252</v>
      </c>
      <c r="I2698" s="57"/>
      <c r="J2698" s="57" t="s">
        <v>333</v>
      </c>
      <c r="K2698" s="57" t="s">
        <v>334</v>
      </c>
      <c r="L2698" s="60" t="s">
        <v>3658</v>
      </c>
      <c r="M2698" s="57" t="s">
        <v>336</v>
      </c>
      <c r="N2698" s="57" t="s">
        <v>381</v>
      </c>
      <c r="O2698" s="57" t="s">
        <v>729</v>
      </c>
      <c r="P2698" s="57" t="s">
        <v>3659</v>
      </c>
      <c r="Q2698" s="57" t="s">
        <v>698</v>
      </c>
    </row>
    <row r="2699" s="50" customFormat="true" ht="14.25" hidden="false" customHeight="true" outlineLevel="0" collapsed="false">
      <c r="A2699" s="50" t="s">
        <v>727</v>
      </c>
      <c r="B2699" s="57" t="s">
        <v>727</v>
      </c>
      <c r="C2699" s="57" t="s">
        <v>415</v>
      </c>
      <c r="D2699" s="58" t="n">
        <v>46069.287662037</v>
      </c>
      <c r="E2699" s="58" t="n">
        <v>46069.287662037</v>
      </c>
      <c r="F2699" s="58" t="n">
        <v>46069.2881828704</v>
      </c>
      <c r="G2699" s="59" t="n">
        <f aca="false">F2699-E2699</f>
        <v>0.000520833391203704</v>
      </c>
      <c r="H2699" s="57" t="s">
        <v>252</v>
      </c>
      <c r="I2699" s="57"/>
      <c r="J2699" s="57" t="s">
        <v>333</v>
      </c>
      <c r="K2699" s="57" t="s">
        <v>334</v>
      </c>
      <c r="L2699" s="60" t="s">
        <v>3660</v>
      </c>
      <c r="M2699" s="57" t="s">
        <v>336</v>
      </c>
      <c r="N2699" s="57" t="s">
        <v>381</v>
      </c>
      <c r="O2699" s="57" t="s">
        <v>729</v>
      </c>
      <c r="P2699" s="57" t="s">
        <v>3661</v>
      </c>
      <c r="Q2699" s="57" t="s">
        <v>698</v>
      </c>
    </row>
    <row r="2700" s="50" customFormat="true" ht="14.25" hidden="false" customHeight="true" outlineLevel="0" collapsed="false">
      <c r="A2700" s="50" t="s">
        <v>727</v>
      </c>
      <c r="B2700" s="57" t="s">
        <v>727</v>
      </c>
      <c r="C2700" s="57" t="s">
        <v>415</v>
      </c>
      <c r="D2700" s="58" t="n">
        <v>46069.2733217593</v>
      </c>
      <c r="E2700" s="58" t="n">
        <v>46069.2733217593</v>
      </c>
      <c r="F2700" s="58" t="n">
        <v>46069.2738773148</v>
      </c>
      <c r="G2700" s="59" t="n">
        <f aca="false">F2700-E2700</f>
        <v>0.000555555509259259</v>
      </c>
      <c r="H2700" s="57" t="s">
        <v>252</v>
      </c>
      <c r="I2700" s="57"/>
      <c r="J2700" s="57" t="s">
        <v>333</v>
      </c>
      <c r="K2700" s="57" t="s">
        <v>334</v>
      </c>
      <c r="L2700" s="60" t="s">
        <v>3662</v>
      </c>
      <c r="M2700" s="57" t="s">
        <v>336</v>
      </c>
      <c r="N2700" s="57" t="s">
        <v>381</v>
      </c>
      <c r="O2700" s="57" t="s">
        <v>729</v>
      </c>
      <c r="P2700" s="57" t="s">
        <v>3663</v>
      </c>
      <c r="Q2700" s="57" t="s">
        <v>698</v>
      </c>
    </row>
    <row r="2701" s="50" customFormat="true" ht="14.25" hidden="false" customHeight="true" outlineLevel="0" collapsed="false">
      <c r="A2701" s="50" t="s">
        <v>727</v>
      </c>
      <c r="B2701" s="57" t="s">
        <v>727</v>
      </c>
      <c r="C2701" s="57" t="s">
        <v>415</v>
      </c>
      <c r="D2701" s="58" t="n">
        <v>46069.2578819444</v>
      </c>
      <c r="E2701" s="58" t="n">
        <v>46069.2578819444</v>
      </c>
      <c r="F2701" s="58" t="n">
        <v>46069.2584027778</v>
      </c>
      <c r="G2701" s="59" t="n">
        <f aca="false">F2701-E2701</f>
        <v>0.000520833391203704</v>
      </c>
      <c r="H2701" s="57" t="s">
        <v>252</v>
      </c>
      <c r="I2701" s="57"/>
      <c r="J2701" s="57" t="s">
        <v>333</v>
      </c>
      <c r="K2701" s="57" t="s">
        <v>334</v>
      </c>
      <c r="L2701" s="60" t="s">
        <v>3664</v>
      </c>
      <c r="M2701" s="57" t="s">
        <v>336</v>
      </c>
      <c r="N2701" s="57" t="s">
        <v>381</v>
      </c>
      <c r="O2701" s="57" t="s">
        <v>729</v>
      </c>
      <c r="P2701" s="57" t="s">
        <v>3665</v>
      </c>
      <c r="Q2701" s="57" t="s">
        <v>698</v>
      </c>
    </row>
    <row r="2702" s="50" customFormat="true" ht="14.25" hidden="false" customHeight="true" outlineLevel="0" collapsed="false">
      <c r="A2702" s="50" t="s">
        <v>727</v>
      </c>
      <c r="B2702" s="57" t="s">
        <v>727</v>
      </c>
      <c r="C2702" s="57" t="s">
        <v>415</v>
      </c>
      <c r="D2702" s="58" t="n">
        <v>46069.2567939815</v>
      </c>
      <c r="E2702" s="58" t="n">
        <v>46069.2567939815</v>
      </c>
      <c r="F2702" s="58" t="n">
        <v>46069.2573032407</v>
      </c>
      <c r="G2702" s="59" t="n">
        <f aca="false">F2702-E2702</f>
        <v>0.000509259201388889</v>
      </c>
      <c r="H2702" s="57" t="s">
        <v>252</v>
      </c>
      <c r="I2702" s="57"/>
      <c r="J2702" s="57" t="s">
        <v>333</v>
      </c>
      <c r="K2702" s="57" t="s">
        <v>334</v>
      </c>
      <c r="L2702" s="60" t="s">
        <v>3666</v>
      </c>
      <c r="M2702" s="57" t="s">
        <v>336</v>
      </c>
      <c r="N2702" s="57" t="s">
        <v>381</v>
      </c>
      <c r="O2702" s="57" t="s">
        <v>729</v>
      </c>
      <c r="P2702" s="57" t="s">
        <v>3667</v>
      </c>
      <c r="Q2702" s="57" t="s">
        <v>698</v>
      </c>
    </row>
    <row r="2703" s="50" customFormat="true" ht="14.25" hidden="false" customHeight="true" outlineLevel="0" collapsed="false">
      <c r="A2703" s="50" t="s">
        <v>727</v>
      </c>
      <c r="B2703" s="57" t="s">
        <v>727</v>
      </c>
      <c r="C2703" s="57" t="s">
        <v>415</v>
      </c>
      <c r="D2703" s="58" t="n">
        <v>46069.2366666667</v>
      </c>
      <c r="E2703" s="58" t="n">
        <v>46069.2366666667</v>
      </c>
      <c r="F2703" s="58" t="n">
        <v>46069.2565625</v>
      </c>
      <c r="G2703" s="59" t="n">
        <f aca="false">F2703-E2703</f>
        <v>0.0198958332986111</v>
      </c>
      <c r="H2703" s="57" t="s">
        <v>252</v>
      </c>
      <c r="I2703" s="57"/>
      <c r="J2703" s="57" t="s">
        <v>333</v>
      </c>
      <c r="K2703" s="57" t="s">
        <v>334</v>
      </c>
      <c r="L2703" s="60" t="s">
        <v>3668</v>
      </c>
      <c r="M2703" s="57" t="s">
        <v>336</v>
      </c>
      <c r="N2703" s="57" t="s">
        <v>381</v>
      </c>
      <c r="O2703" s="57" t="s">
        <v>729</v>
      </c>
      <c r="P2703" s="57" t="s">
        <v>3669</v>
      </c>
      <c r="Q2703" s="57" t="s">
        <v>698</v>
      </c>
    </row>
    <row r="2704" s="50" customFormat="true" ht="14.25" hidden="false" customHeight="true" outlineLevel="0" collapsed="false">
      <c r="A2704" s="50" t="s">
        <v>727</v>
      </c>
      <c r="B2704" s="57" t="s">
        <v>727</v>
      </c>
      <c r="C2704" s="57" t="s">
        <v>415</v>
      </c>
      <c r="D2704" s="58" t="n">
        <v>46069.23625</v>
      </c>
      <c r="E2704" s="58" t="n">
        <v>46069.23625</v>
      </c>
      <c r="F2704" s="58" t="n">
        <v>46069.2565625</v>
      </c>
      <c r="G2704" s="59" t="n">
        <f aca="false">F2704-E2704</f>
        <v>0.0203125</v>
      </c>
      <c r="H2704" s="57" t="s">
        <v>252</v>
      </c>
      <c r="I2704" s="57"/>
      <c r="J2704" s="57" t="s">
        <v>333</v>
      </c>
      <c r="K2704" s="57" t="s">
        <v>334</v>
      </c>
      <c r="L2704" s="60" t="s">
        <v>3670</v>
      </c>
      <c r="M2704" s="57" t="s">
        <v>336</v>
      </c>
      <c r="N2704" s="57" t="s">
        <v>381</v>
      </c>
      <c r="O2704" s="57" t="s">
        <v>729</v>
      </c>
      <c r="P2704" s="57" t="s">
        <v>3671</v>
      </c>
      <c r="Q2704" s="57" t="s">
        <v>698</v>
      </c>
    </row>
    <row r="2705" s="50" customFormat="true" ht="14.25" hidden="false" customHeight="true" outlineLevel="0" collapsed="false">
      <c r="A2705" s="50" t="s">
        <v>727</v>
      </c>
      <c r="B2705" s="57" t="s">
        <v>727</v>
      </c>
      <c r="C2705" s="57" t="s">
        <v>415</v>
      </c>
      <c r="D2705" s="58" t="n">
        <v>46068.763900463</v>
      </c>
      <c r="E2705" s="58" t="n">
        <v>46068.763900463</v>
      </c>
      <c r="F2705" s="58" t="n">
        <v>46068.7900347222</v>
      </c>
      <c r="G2705" s="59" t="n">
        <f aca="false">F2705-E2705</f>
        <v>0.0261342592013889</v>
      </c>
      <c r="H2705" s="57" t="s">
        <v>252</v>
      </c>
      <c r="I2705" s="57"/>
      <c r="J2705" s="57" t="s">
        <v>333</v>
      </c>
      <c r="K2705" s="57" t="s">
        <v>334</v>
      </c>
      <c r="L2705" s="60" t="s">
        <v>3672</v>
      </c>
      <c r="M2705" s="57" t="s">
        <v>336</v>
      </c>
      <c r="N2705" s="57" t="s">
        <v>381</v>
      </c>
      <c r="O2705" s="57" t="s">
        <v>729</v>
      </c>
      <c r="P2705" s="57" t="s">
        <v>3673</v>
      </c>
      <c r="Q2705" s="57" t="s">
        <v>698</v>
      </c>
    </row>
    <row r="2706" s="50" customFormat="true" ht="14.25" hidden="false" customHeight="true" outlineLevel="0" collapsed="false">
      <c r="A2706" s="50" t="s">
        <v>727</v>
      </c>
      <c r="B2706" s="57" t="s">
        <v>727</v>
      </c>
      <c r="C2706" s="57" t="s">
        <v>415</v>
      </c>
      <c r="D2706" s="58" t="n">
        <v>46068.7632060185</v>
      </c>
      <c r="E2706" s="58" t="n">
        <v>46068.7632060185</v>
      </c>
      <c r="F2706" s="58" t="n">
        <v>46068.7637152778</v>
      </c>
      <c r="G2706" s="59" t="n">
        <f aca="false">F2706-E2706</f>
        <v>0.000509259293981482</v>
      </c>
      <c r="H2706" s="57" t="s">
        <v>252</v>
      </c>
      <c r="I2706" s="57"/>
      <c r="J2706" s="57" t="s">
        <v>333</v>
      </c>
      <c r="K2706" s="57" t="s">
        <v>334</v>
      </c>
      <c r="L2706" s="60" t="s">
        <v>3674</v>
      </c>
      <c r="M2706" s="57" t="s">
        <v>336</v>
      </c>
      <c r="N2706" s="57" t="s">
        <v>381</v>
      </c>
      <c r="O2706" s="57" t="s">
        <v>729</v>
      </c>
      <c r="P2706" s="57" t="s">
        <v>3675</v>
      </c>
      <c r="Q2706" s="57" t="s">
        <v>698</v>
      </c>
    </row>
    <row r="2707" s="50" customFormat="true" ht="14.25" hidden="false" customHeight="true" outlineLevel="0" collapsed="false">
      <c r="A2707" s="50" t="s">
        <v>727</v>
      </c>
      <c r="B2707" s="57" t="s">
        <v>727</v>
      </c>
      <c r="C2707" s="57" t="s">
        <v>415</v>
      </c>
      <c r="D2707" s="58" t="n">
        <v>46068.7625115741</v>
      </c>
      <c r="E2707" s="58" t="n">
        <v>46068.7625115741</v>
      </c>
      <c r="F2707" s="58" t="n">
        <v>46068.7630324074</v>
      </c>
      <c r="G2707" s="59" t="n">
        <f aca="false">F2707-E2707</f>
        <v>0.000520833298611111</v>
      </c>
      <c r="H2707" s="57" t="s">
        <v>252</v>
      </c>
      <c r="I2707" s="57"/>
      <c r="J2707" s="57" t="s">
        <v>333</v>
      </c>
      <c r="K2707" s="57" t="s">
        <v>334</v>
      </c>
      <c r="L2707" s="60" t="s">
        <v>3676</v>
      </c>
      <c r="M2707" s="57" t="s">
        <v>336</v>
      </c>
      <c r="N2707" s="57" t="s">
        <v>381</v>
      </c>
      <c r="O2707" s="57" t="s">
        <v>729</v>
      </c>
      <c r="P2707" s="57" t="s">
        <v>3677</v>
      </c>
      <c r="Q2707" s="57" t="s">
        <v>698</v>
      </c>
    </row>
    <row r="2708" s="50" customFormat="true" ht="14.25" hidden="false" customHeight="true" outlineLevel="0" collapsed="false">
      <c r="A2708" s="50" t="s">
        <v>727</v>
      </c>
      <c r="B2708" s="57" t="s">
        <v>727</v>
      </c>
      <c r="C2708" s="57" t="s">
        <v>415</v>
      </c>
      <c r="D2708" s="58" t="n">
        <v>46068.7618171296</v>
      </c>
      <c r="E2708" s="58" t="n">
        <v>46068.7618171296</v>
      </c>
      <c r="F2708" s="58" t="n">
        <v>46068.762337963</v>
      </c>
      <c r="G2708" s="59" t="n">
        <f aca="false">F2708-E2708</f>
        <v>0.000520833402777778</v>
      </c>
      <c r="H2708" s="57" t="s">
        <v>252</v>
      </c>
      <c r="I2708" s="57"/>
      <c r="J2708" s="57" t="s">
        <v>333</v>
      </c>
      <c r="K2708" s="57" t="s">
        <v>334</v>
      </c>
      <c r="L2708" s="60" t="s">
        <v>3678</v>
      </c>
      <c r="M2708" s="57" t="s">
        <v>336</v>
      </c>
      <c r="N2708" s="57" t="s">
        <v>381</v>
      </c>
      <c r="O2708" s="57" t="s">
        <v>729</v>
      </c>
      <c r="P2708" s="57" t="s">
        <v>3679</v>
      </c>
      <c r="Q2708" s="57" t="s">
        <v>698</v>
      </c>
    </row>
    <row r="2709" s="50" customFormat="true" ht="14.25" hidden="false" customHeight="true" outlineLevel="0" collapsed="false">
      <c r="A2709" s="50" t="s">
        <v>727</v>
      </c>
      <c r="B2709" s="57" t="s">
        <v>727</v>
      </c>
      <c r="C2709" s="57" t="s">
        <v>415</v>
      </c>
      <c r="D2709" s="58" t="n">
        <v>46068.7611111111</v>
      </c>
      <c r="E2709" s="58" t="n">
        <v>46068.7611111111</v>
      </c>
      <c r="F2709" s="58" t="n">
        <v>46068.7616435185</v>
      </c>
      <c r="G2709" s="59" t="n">
        <f aca="false">F2709-E2709</f>
        <v>0.000532407407407407</v>
      </c>
      <c r="H2709" s="57" t="s">
        <v>252</v>
      </c>
      <c r="I2709" s="57"/>
      <c r="J2709" s="57" t="s">
        <v>333</v>
      </c>
      <c r="K2709" s="57" t="s">
        <v>334</v>
      </c>
      <c r="L2709" s="60" t="s">
        <v>3680</v>
      </c>
      <c r="M2709" s="57" t="s">
        <v>336</v>
      </c>
      <c r="N2709" s="57" t="s">
        <v>381</v>
      </c>
      <c r="O2709" s="57" t="s">
        <v>729</v>
      </c>
      <c r="P2709" s="57" t="s">
        <v>3681</v>
      </c>
      <c r="Q2709" s="57" t="s">
        <v>698</v>
      </c>
    </row>
    <row r="2710" s="50" customFormat="true" ht="14.25" hidden="false" customHeight="true" outlineLevel="0" collapsed="false">
      <c r="A2710" s="50" t="s">
        <v>727</v>
      </c>
      <c r="B2710" s="57" t="s">
        <v>727</v>
      </c>
      <c r="C2710" s="57" t="s">
        <v>415</v>
      </c>
      <c r="D2710" s="58" t="n">
        <v>46068.7604282407</v>
      </c>
      <c r="E2710" s="58" t="n">
        <v>46068.7604282407</v>
      </c>
      <c r="F2710" s="58" t="n">
        <v>46068.7609490741</v>
      </c>
      <c r="G2710" s="59" t="n">
        <f aca="false">F2710-E2710</f>
        <v>0.000520833402777778</v>
      </c>
      <c r="H2710" s="57" t="s">
        <v>252</v>
      </c>
      <c r="I2710" s="57"/>
      <c r="J2710" s="57" t="s">
        <v>333</v>
      </c>
      <c r="K2710" s="57" t="s">
        <v>334</v>
      </c>
      <c r="L2710" s="60" t="s">
        <v>3682</v>
      </c>
      <c r="M2710" s="57" t="s">
        <v>336</v>
      </c>
      <c r="N2710" s="57" t="s">
        <v>381</v>
      </c>
      <c r="O2710" s="57" t="s">
        <v>729</v>
      </c>
      <c r="P2710" s="57" t="s">
        <v>3683</v>
      </c>
      <c r="Q2710" s="57" t="s">
        <v>698</v>
      </c>
    </row>
    <row r="2711" s="50" customFormat="true" ht="14.25" hidden="false" customHeight="true" outlineLevel="0" collapsed="false">
      <c r="A2711" s="50" t="s">
        <v>727</v>
      </c>
      <c r="B2711" s="57" t="s">
        <v>727</v>
      </c>
      <c r="C2711" s="57" t="s">
        <v>415</v>
      </c>
      <c r="D2711" s="58" t="n">
        <v>46068.7201851852</v>
      </c>
      <c r="E2711" s="58" t="n">
        <v>46068.7201851852</v>
      </c>
      <c r="F2711" s="58" t="n">
        <v>46068.7207291667</v>
      </c>
      <c r="G2711" s="59" t="n">
        <f aca="false">F2711-E2711</f>
        <v>0.00054398150462963</v>
      </c>
      <c r="H2711" s="57" t="s">
        <v>252</v>
      </c>
      <c r="I2711" s="57"/>
      <c r="J2711" s="57" t="s">
        <v>333</v>
      </c>
      <c r="K2711" s="57" t="s">
        <v>334</v>
      </c>
      <c r="L2711" s="60" t="s">
        <v>3684</v>
      </c>
      <c r="M2711" s="57" t="s">
        <v>336</v>
      </c>
      <c r="N2711" s="57" t="s">
        <v>381</v>
      </c>
      <c r="O2711" s="57" t="s">
        <v>729</v>
      </c>
      <c r="P2711" s="57" t="s">
        <v>3685</v>
      </c>
      <c r="Q2711" s="57" t="s">
        <v>698</v>
      </c>
    </row>
    <row r="2712" s="50" customFormat="true" ht="14.25" hidden="false" customHeight="true" outlineLevel="0" collapsed="false">
      <c r="A2712" s="50" t="s">
        <v>727</v>
      </c>
      <c r="B2712" s="57" t="s">
        <v>727</v>
      </c>
      <c r="C2712" s="57" t="s">
        <v>415</v>
      </c>
      <c r="D2712" s="58" t="n">
        <v>46068.7042013889</v>
      </c>
      <c r="E2712" s="58" t="n">
        <v>46068.7042013889</v>
      </c>
      <c r="F2712" s="58" t="n">
        <v>46068.7053240741</v>
      </c>
      <c r="G2712" s="59" t="n">
        <f aca="false">F2712-E2712</f>
        <v>0.00112268519675926</v>
      </c>
      <c r="H2712" s="57" t="s">
        <v>252</v>
      </c>
      <c r="I2712" s="57"/>
      <c r="J2712" s="57" t="s">
        <v>333</v>
      </c>
      <c r="K2712" s="57" t="s">
        <v>334</v>
      </c>
      <c r="L2712" s="60" t="s">
        <v>3686</v>
      </c>
      <c r="M2712" s="57" t="s">
        <v>336</v>
      </c>
      <c r="N2712" s="57" t="s">
        <v>381</v>
      </c>
      <c r="O2712" s="57" t="s">
        <v>729</v>
      </c>
      <c r="P2712" s="57" t="s">
        <v>3687</v>
      </c>
      <c r="Q2712" s="57" t="s">
        <v>698</v>
      </c>
    </row>
    <row r="2713" s="50" customFormat="true" ht="14.25" hidden="false" customHeight="true" outlineLevel="0" collapsed="false">
      <c r="A2713" s="50" t="s">
        <v>727</v>
      </c>
      <c r="B2713" s="57" t="s">
        <v>727</v>
      </c>
      <c r="C2713" s="57" t="s">
        <v>415</v>
      </c>
      <c r="D2713" s="58" t="n">
        <v>46068.6622685185</v>
      </c>
      <c r="E2713" s="58" t="n">
        <v>46068.6622685185</v>
      </c>
      <c r="F2713" s="58" t="n">
        <v>46068.6655324074</v>
      </c>
      <c r="G2713" s="59" t="n">
        <f aca="false">F2713-E2713</f>
        <v>0.00326388890046296</v>
      </c>
      <c r="H2713" s="57" t="s">
        <v>252</v>
      </c>
      <c r="I2713" s="57"/>
      <c r="J2713" s="57" t="s">
        <v>333</v>
      </c>
      <c r="K2713" s="57" t="s">
        <v>334</v>
      </c>
      <c r="L2713" s="60" t="s">
        <v>3688</v>
      </c>
      <c r="M2713" s="57" t="s">
        <v>336</v>
      </c>
      <c r="N2713" s="57" t="s">
        <v>381</v>
      </c>
      <c r="O2713" s="57" t="s">
        <v>729</v>
      </c>
      <c r="P2713" s="57" t="s">
        <v>3689</v>
      </c>
      <c r="Q2713" s="57" t="s">
        <v>698</v>
      </c>
    </row>
    <row r="2714" s="50" customFormat="true" ht="14.25" hidden="false" customHeight="true" outlineLevel="0" collapsed="false">
      <c r="A2714" s="50" t="s">
        <v>727</v>
      </c>
      <c r="B2714" s="57" t="s">
        <v>727</v>
      </c>
      <c r="C2714" s="57" t="s">
        <v>415</v>
      </c>
      <c r="D2714" s="58" t="n">
        <v>46068.646400463</v>
      </c>
      <c r="E2714" s="58" t="n">
        <v>46068.646400463</v>
      </c>
      <c r="F2714" s="58" t="n">
        <v>46068.6469444444</v>
      </c>
      <c r="G2714" s="59" t="n">
        <f aca="false">F2714-E2714</f>
        <v>0.000543981400462963</v>
      </c>
      <c r="H2714" s="57" t="s">
        <v>252</v>
      </c>
      <c r="I2714" s="57"/>
      <c r="J2714" s="57" t="s">
        <v>333</v>
      </c>
      <c r="K2714" s="57" t="s">
        <v>334</v>
      </c>
      <c r="L2714" s="60" t="s">
        <v>3690</v>
      </c>
      <c r="M2714" s="57" t="s">
        <v>336</v>
      </c>
      <c r="N2714" s="57" t="s">
        <v>381</v>
      </c>
      <c r="O2714" s="57" t="s">
        <v>729</v>
      </c>
      <c r="P2714" s="57" t="s">
        <v>3691</v>
      </c>
      <c r="Q2714" s="57" t="s">
        <v>698</v>
      </c>
    </row>
    <row r="2715" s="50" customFormat="true" ht="14.25" hidden="false" customHeight="true" outlineLevel="0" collapsed="false">
      <c r="A2715" s="50" t="s">
        <v>727</v>
      </c>
      <c r="B2715" s="57" t="s">
        <v>727</v>
      </c>
      <c r="C2715" s="57" t="s">
        <v>415</v>
      </c>
      <c r="D2715" s="58" t="n">
        <v>46068.635162037</v>
      </c>
      <c r="E2715" s="58" t="n">
        <v>46068.635162037</v>
      </c>
      <c r="F2715" s="58" t="n">
        <v>46068.6358680556</v>
      </c>
      <c r="G2715" s="59" t="n">
        <f aca="false">F2715-E2715</f>
        <v>0.000706018599537037</v>
      </c>
      <c r="H2715" s="57" t="s">
        <v>252</v>
      </c>
      <c r="I2715" s="57"/>
      <c r="J2715" s="57" t="s">
        <v>333</v>
      </c>
      <c r="K2715" s="57" t="s">
        <v>334</v>
      </c>
      <c r="L2715" s="60" t="s">
        <v>3692</v>
      </c>
      <c r="M2715" s="57" t="s">
        <v>336</v>
      </c>
      <c r="N2715" s="57" t="s">
        <v>381</v>
      </c>
      <c r="O2715" s="57" t="s">
        <v>729</v>
      </c>
      <c r="P2715" s="57" t="s">
        <v>3693</v>
      </c>
      <c r="Q2715" s="57" t="s">
        <v>698</v>
      </c>
    </row>
    <row r="2716" s="50" customFormat="true" ht="14.25" hidden="false" customHeight="true" outlineLevel="0" collapsed="false">
      <c r="A2716" s="50" t="s">
        <v>727</v>
      </c>
      <c r="B2716" s="57" t="s">
        <v>727</v>
      </c>
      <c r="C2716" s="57" t="s">
        <v>415</v>
      </c>
      <c r="D2716" s="58" t="n">
        <v>46068.6181944445</v>
      </c>
      <c r="E2716" s="58" t="n">
        <v>46068.6181944445</v>
      </c>
      <c r="F2716" s="58" t="n">
        <v>46068.6187268519</v>
      </c>
      <c r="G2716" s="59" t="n">
        <f aca="false">F2716-E2716</f>
        <v>0.000532407407407407</v>
      </c>
      <c r="H2716" s="57" t="s">
        <v>252</v>
      </c>
      <c r="I2716" s="57"/>
      <c r="J2716" s="57" t="s">
        <v>333</v>
      </c>
      <c r="K2716" s="57" t="s">
        <v>334</v>
      </c>
      <c r="L2716" s="60" t="s">
        <v>3694</v>
      </c>
      <c r="M2716" s="57" t="s">
        <v>336</v>
      </c>
      <c r="N2716" s="57" t="s">
        <v>381</v>
      </c>
      <c r="O2716" s="57" t="s">
        <v>729</v>
      </c>
      <c r="P2716" s="57" t="s">
        <v>3695</v>
      </c>
      <c r="Q2716" s="57" t="s">
        <v>698</v>
      </c>
    </row>
    <row r="2717" s="50" customFormat="true" ht="14.25" hidden="false" customHeight="true" outlineLevel="0" collapsed="false">
      <c r="A2717" s="50" t="s">
        <v>727</v>
      </c>
      <c r="B2717" s="57" t="s">
        <v>727</v>
      </c>
      <c r="C2717" s="57" t="s">
        <v>415</v>
      </c>
      <c r="D2717" s="58" t="n">
        <v>46068.5962037037</v>
      </c>
      <c r="E2717" s="58" t="n">
        <v>46068.5962037037</v>
      </c>
      <c r="F2717" s="58" t="n">
        <v>46068.5967592593</v>
      </c>
      <c r="G2717" s="59" t="n">
        <f aca="false">F2717-E2717</f>
        <v>0.000555555601851852</v>
      </c>
      <c r="H2717" s="57" t="s">
        <v>252</v>
      </c>
      <c r="I2717" s="57"/>
      <c r="J2717" s="57" t="s">
        <v>333</v>
      </c>
      <c r="K2717" s="57" t="s">
        <v>334</v>
      </c>
      <c r="L2717" s="60" t="s">
        <v>3696</v>
      </c>
      <c r="M2717" s="57" t="s">
        <v>336</v>
      </c>
      <c r="N2717" s="57" t="s">
        <v>381</v>
      </c>
      <c r="O2717" s="57" t="s">
        <v>729</v>
      </c>
      <c r="P2717" s="57" t="s">
        <v>3697</v>
      </c>
      <c r="Q2717" s="57" t="s">
        <v>698</v>
      </c>
    </row>
    <row r="2718" s="50" customFormat="true" ht="14.25" hidden="false" customHeight="true" outlineLevel="0" collapsed="false">
      <c r="A2718" s="50" t="s">
        <v>727</v>
      </c>
      <c r="B2718" s="57" t="s">
        <v>727</v>
      </c>
      <c r="C2718" s="57" t="s">
        <v>415</v>
      </c>
      <c r="D2718" s="58" t="n">
        <v>46068.5877777778</v>
      </c>
      <c r="E2718" s="58" t="n">
        <v>46068.5877777778</v>
      </c>
      <c r="F2718" s="58" t="n">
        <v>46068.5900810185</v>
      </c>
      <c r="G2718" s="59" t="n">
        <f aca="false">F2718-E2718</f>
        <v>0.00230324069444444</v>
      </c>
      <c r="H2718" s="57" t="s">
        <v>252</v>
      </c>
      <c r="I2718" s="57"/>
      <c r="J2718" s="57" t="s">
        <v>333</v>
      </c>
      <c r="K2718" s="57" t="s">
        <v>334</v>
      </c>
      <c r="L2718" s="60" t="s">
        <v>3698</v>
      </c>
      <c r="M2718" s="57" t="s">
        <v>336</v>
      </c>
      <c r="N2718" s="57" t="s">
        <v>381</v>
      </c>
      <c r="O2718" s="57" t="s">
        <v>729</v>
      </c>
      <c r="P2718" s="57" t="s">
        <v>3699</v>
      </c>
      <c r="Q2718" s="57" t="s">
        <v>698</v>
      </c>
    </row>
    <row r="2719" s="50" customFormat="true" ht="14.25" hidden="false" customHeight="true" outlineLevel="0" collapsed="false">
      <c r="A2719" s="50" t="s">
        <v>727</v>
      </c>
      <c r="B2719" s="57" t="s">
        <v>727</v>
      </c>
      <c r="C2719" s="57" t="s">
        <v>415</v>
      </c>
      <c r="D2719" s="58" t="n">
        <v>46068.5817592593</v>
      </c>
      <c r="E2719" s="58" t="n">
        <v>46068.5817592593</v>
      </c>
      <c r="F2719" s="58" t="n">
        <v>46068.5822916667</v>
      </c>
      <c r="G2719" s="59" t="n">
        <f aca="false">F2719-E2719</f>
        <v>0.000532407407407407</v>
      </c>
      <c r="H2719" s="57" t="s">
        <v>252</v>
      </c>
      <c r="I2719" s="57"/>
      <c r="J2719" s="57" t="s">
        <v>333</v>
      </c>
      <c r="K2719" s="57" t="s">
        <v>334</v>
      </c>
      <c r="L2719" s="60" t="s">
        <v>3700</v>
      </c>
      <c r="M2719" s="57" t="s">
        <v>336</v>
      </c>
      <c r="N2719" s="57" t="s">
        <v>381</v>
      </c>
      <c r="O2719" s="57" t="s">
        <v>729</v>
      </c>
      <c r="P2719" s="57" t="s">
        <v>3701</v>
      </c>
      <c r="Q2719" s="57" t="s">
        <v>698</v>
      </c>
    </row>
    <row r="2720" s="50" customFormat="true" ht="14.25" hidden="false" customHeight="true" outlineLevel="0" collapsed="false">
      <c r="A2720" s="50" t="s">
        <v>727</v>
      </c>
      <c r="B2720" s="57" t="s">
        <v>727</v>
      </c>
      <c r="C2720" s="57" t="s">
        <v>415</v>
      </c>
      <c r="D2720" s="58" t="n">
        <v>46068.5671527778</v>
      </c>
      <c r="E2720" s="58" t="n">
        <v>46068.5671527778</v>
      </c>
      <c r="F2720" s="58" t="n">
        <v>46068.5677083333</v>
      </c>
      <c r="G2720" s="59" t="n">
        <f aca="false">F2720-E2720</f>
        <v>0.000555555497685185</v>
      </c>
      <c r="H2720" s="57" t="s">
        <v>252</v>
      </c>
      <c r="I2720" s="57"/>
      <c r="J2720" s="57" t="s">
        <v>333</v>
      </c>
      <c r="K2720" s="57" t="s">
        <v>334</v>
      </c>
      <c r="L2720" s="60" t="s">
        <v>3702</v>
      </c>
      <c r="M2720" s="57" t="s">
        <v>336</v>
      </c>
      <c r="N2720" s="57" t="s">
        <v>381</v>
      </c>
      <c r="O2720" s="57" t="s">
        <v>729</v>
      </c>
      <c r="P2720" s="57" t="s">
        <v>3703</v>
      </c>
      <c r="Q2720" s="57" t="s">
        <v>698</v>
      </c>
    </row>
    <row r="2721" s="50" customFormat="true" ht="14.25" hidden="false" customHeight="true" outlineLevel="0" collapsed="false">
      <c r="A2721" s="50" t="s">
        <v>727</v>
      </c>
      <c r="B2721" s="57" t="s">
        <v>727</v>
      </c>
      <c r="C2721" s="57" t="s">
        <v>415</v>
      </c>
      <c r="D2721" s="58" t="n">
        <v>46068.5494907407</v>
      </c>
      <c r="E2721" s="58" t="n">
        <v>46068.5494907407</v>
      </c>
      <c r="F2721" s="58" t="n">
        <v>46068.5500347222</v>
      </c>
      <c r="G2721" s="59" t="n">
        <f aca="false">F2721-E2721</f>
        <v>0.00054398150462963</v>
      </c>
      <c r="H2721" s="57" t="s">
        <v>252</v>
      </c>
      <c r="I2721" s="57"/>
      <c r="J2721" s="57" t="s">
        <v>333</v>
      </c>
      <c r="K2721" s="57" t="s">
        <v>334</v>
      </c>
      <c r="L2721" s="60" t="s">
        <v>3704</v>
      </c>
      <c r="M2721" s="57" t="s">
        <v>336</v>
      </c>
      <c r="N2721" s="57" t="s">
        <v>381</v>
      </c>
      <c r="O2721" s="57" t="s">
        <v>729</v>
      </c>
      <c r="P2721" s="57" t="s">
        <v>3705</v>
      </c>
      <c r="Q2721" s="57" t="s">
        <v>698</v>
      </c>
    </row>
    <row r="2722" s="50" customFormat="true" ht="14.25" hidden="false" customHeight="true" outlineLevel="0" collapsed="false">
      <c r="A2722" s="50" t="s">
        <v>727</v>
      </c>
      <c r="B2722" s="57" t="s">
        <v>727</v>
      </c>
      <c r="C2722" s="57" t="s">
        <v>415</v>
      </c>
      <c r="D2722" s="58" t="n">
        <v>46068.5405439815</v>
      </c>
      <c r="E2722" s="58" t="n">
        <v>46068.5405439815</v>
      </c>
      <c r="F2722" s="58" t="n">
        <v>46068.541087963</v>
      </c>
      <c r="G2722" s="59" t="n">
        <f aca="false">F2722-E2722</f>
        <v>0.00054398150462963</v>
      </c>
      <c r="H2722" s="57" t="s">
        <v>252</v>
      </c>
      <c r="I2722" s="57"/>
      <c r="J2722" s="57" t="s">
        <v>333</v>
      </c>
      <c r="K2722" s="57" t="s">
        <v>334</v>
      </c>
      <c r="L2722" s="60" t="s">
        <v>3706</v>
      </c>
      <c r="M2722" s="57" t="s">
        <v>336</v>
      </c>
      <c r="N2722" s="57" t="s">
        <v>381</v>
      </c>
      <c r="O2722" s="57" t="s">
        <v>729</v>
      </c>
      <c r="P2722" s="57" t="s">
        <v>3707</v>
      </c>
      <c r="Q2722" s="57" t="s">
        <v>698</v>
      </c>
    </row>
    <row r="2723" s="50" customFormat="true" ht="14.25" hidden="false" customHeight="true" outlineLevel="0" collapsed="false">
      <c r="A2723" s="50" t="s">
        <v>727</v>
      </c>
      <c r="B2723" s="57" t="s">
        <v>727</v>
      </c>
      <c r="C2723" s="57" t="s">
        <v>415</v>
      </c>
      <c r="D2723" s="58" t="n">
        <v>46068.5214236111</v>
      </c>
      <c r="E2723" s="58" t="n">
        <v>46068.5214236111</v>
      </c>
      <c r="F2723" s="58" t="n">
        <v>46068.5226388889</v>
      </c>
      <c r="G2723" s="59" t="n">
        <f aca="false">F2723-E2723</f>
        <v>0.00121527780092593</v>
      </c>
      <c r="H2723" s="57" t="s">
        <v>252</v>
      </c>
      <c r="I2723" s="57"/>
      <c r="J2723" s="57" t="s">
        <v>333</v>
      </c>
      <c r="K2723" s="57" t="s">
        <v>334</v>
      </c>
      <c r="L2723" s="60" t="s">
        <v>3708</v>
      </c>
      <c r="M2723" s="57" t="s">
        <v>336</v>
      </c>
      <c r="N2723" s="57" t="s">
        <v>381</v>
      </c>
      <c r="O2723" s="57" t="s">
        <v>729</v>
      </c>
      <c r="P2723" s="57" t="s">
        <v>3709</v>
      </c>
      <c r="Q2723" s="57" t="s">
        <v>698</v>
      </c>
    </row>
    <row r="2724" s="50" customFormat="true" ht="14.25" hidden="false" customHeight="true" outlineLevel="0" collapsed="false">
      <c r="A2724" s="50" t="s">
        <v>727</v>
      </c>
      <c r="B2724" s="57" t="s">
        <v>727</v>
      </c>
      <c r="C2724" s="57" t="s">
        <v>415</v>
      </c>
      <c r="D2724" s="58" t="n">
        <v>46068.515462963</v>
      </c>
      <c r="E2724" s="58" t="n">
        <v>46068.515462963</v>
      </c>
      <c r="F2724" s="58" t="n">
        <v>46068.5160416667</v>
      </c>
      <c r="G2724" s="59" t="n">
        <f aca="false">F2724-E2724</f>
        <v>0.000578703703703704</v>
      </c>
      <c r="H2724" s="57" t="s">
        <v>252</v>
      </c>
      <c r="I2724" s="57"/>
      <c r="J2724" s="57" t="s">
        <v>333</v>
      </c>
      <c r="K2724" s="57" t="s">
        <v>334</v>
      </c>
      <c r="L2724" s="60" t="s">
        <v>3710</v>
      </c>
      <c r="M2724" s="57" t="s">
        <v>336</v>
      </c>
      <c r="N2724" s="57" t="s">
        <v>381</v>
      </c>
      <c r="O2724" s="57" t="s">
        <v>729</v>
      </c>
      <c r="P2724" s="57" t="s">
        <v>3711</v>
      </c>
      <c r="Q2724" s="57" t="s">
        <v>698</v>
      </c>
    </row>
    <row r="2725" s="50" customFormat="true" ht="14.25" hidden="false" customHeight="true" outlineLevel="0" collapsed="false">
      <c r="A2725" s="50" t="s">
        <v>727</v>
      </c>
      <c r="B2725" s="57" t="s">
        <v>727</v>
      </c>
      <c r="C2725" s="57" t="s">
        <v>415</v>
      </c>
      <c r="D2725" s="58" t="n">
        <v>46068.4883564815</v>
      </c>
      <c r="E2725" s="58" t="n">
        <v>46068.4883564815</v>
      </c>
      <c r="F2725" s="58" t="n">
        <v>46068.4891666667</v>
      </c>
      <c r="G2725" s="59" t="n">
        <f aca="false">F2725-E2725</f>
        <v>0.000810185196759259</v>
      </c>
      <c r="H2725" s="57" t="s">
        <v>252</v>
      </c>
      <c r="I2725" s="57"/>
      <c r="J2725" s="57" t="s">
        <v>333</v>
      </c>
      <c r="K2725" s="57" t="s">
        <v>334</v>
      </c>
      <c r="L2725" s="60" t="s">
        <v>3712</v>
      </c>
      <c r="M2725" s="57" t="s">
        <v>336</v>
      </c>
      <c r="N2725" s="57" t="s">
        <v>381</v>
      </c>
      <c r="O2725" s="57" t="s">
        <v>729</v>
      </c>
      <c r="P2725" s="57" t="s">
        <v>3713</v>
      </c>
      <c r="Q2725" s="57" t="s">
        <v>698</v>
      </c>
    </row>
    <row r="2726" s="50" customFormat="true" ht="14.25" hidden="false" customHeight="true" outlineLevel="0" collapsed="false">
      <c r="A2726" s="50" t="s">
        <v>727</v>
      </c>
      <c r="B2726" s="57" t="s">
        <v>727</v>
      </c>
      <c r="C2726" s="57" t="s">
        <v>415</v>
      </c>
      <c r="D2726" s="58" t="n">
        <v>46068.4680439815</v>
      </c>
      <c r="E2726" s="58" t="n">
        <v>46068.4680439815</v>
      </c>
      <c r="F2726" s="58" t="n">
        <v>46068.4686342593</v>
      </c>
      <c r="G2726" s="59" t="n">
        <f aca="false">F2726-E2726</f>
        <v>0.000590277800925926</v>
      </c>
      <c r="H2726" s="57" t="s">
        <v>252</v>
      </c>
      <c r="I2726" s="57"/>
      <c r="J2726" s="57" t="s">
        <v>333</v>
      </c>
      <c r="K2726" s="57" t="s">
        <v>334</v>
      </c>
      <c r="L2726" s="60" t="s">
        <v>3714</v>
      </c>
      <c r="M2726" s="57" t="s">
        <v>336</v>
      </c>
      <c r="N2726" s="57" t="s">
        <v>381</v>
      </c>
      <c r="O2726" s="57" t="s">
        <v>729</v>
      </c>
      <c r="P2726" s="57" t="s">
        <v>3715</v>
      </c>
      <c r="Q2726" s="57" t="s">
        <v>698</v>
      </c>
    </row>
    <row r="2727" s="50" customFormat="true" ht="14.25" hidden="false" customHeight="true" outlineLevel="0" collapsed="false">
      <c r="A2727" s="50" t="s">
        <v>727</v>
      </c>
      <c r="B2727" s="57" t="s">
        <v>727</v>
      </c>
      <c r="C2727" s="57" t="s">
        <v>415</v>
      </c>
      <c r="D2727" s="58" t="n">
        <v>46068.4505324074</v>
      </c>
      <c r="E2727" s="58" t="n">
        <v>46068.4505324074</v>
      </c>
      <c r="F2727" s="58" t="n">
        <v>46068.4510763889</v>
      </c>
      <c r="G2727" s="59" t="n">
        <f aca="false">F2727-E2727</f>
        <v>0.00054398150462963</v>
      </c>
      <c r="H2727" s="57" t="s">
        <v>252</v>
      </c>
      <c r="I2727" s="57"/>
      <c r="J2727" s="57" t="s">
        <v>333</v>
      </c>
      <c r="K2727" s="57" t="s">
        <v>334</v>
      </c>
      <c r="L2727" s="60" t="s">
        <v>3716</v>
      </c>
      <c r="M2727" s="57" t="s">
        <v>336</v>
      </c>
      <c r="N2727" s="57" t="s">
        <v>381</v>
      </c>
      <c r="O2727" s="57" t="s">
        <v>729</v>
      </c>
      <c r="P2727" s="57" t="s">
        <v>3717</v>
      </c>
      <c r="Q2727" s="57" t="s">
        <v>698</v>
      </c>
    </row>
    <row r="2728" s="50" customFormat="true" ht="14.25" hidden="false" customHeight="true" outlineLevel="0" collapsed="false">
      <c r="A2728" s="50" t="s">
        <v>727</v>
      </c>
      <c r="B2728" s="57" t="s">
        <v>727</v>
      </c>
      <c r="C2728" s="57" t="s">
        <v>415</v>
      </c>
      <c r="D2728" s="58" t="n">
        <v>46068.4214467593</v>
      </c>
      <c r="E2728" s="58" t="n">
        <v>46068.4214467593</v>
      </c>
      <c r="F2728" s="58" t="n">
        <v>46068.4219791667</v>
      </c>
      <c r="G2728" s="59" t="n">
        <f aca="false">F2728-E2728</f>
        <v>0.000532407407407407</v>
      </c>
      <c r="H2728" s="57" t="s">
        <v>252</v>
      </c>
      <c r="I2728" s="57"/>
      <c r="J2728" s="57" t="s">
        <v>333</v>
      </c>
      <c r="K2728" s="57" t="s">
        <v>334</v>
      </c>
      <c r="L2728" s="60" t="s">
        <v>3718</v>
      </c>
      <c r="M2728" s="57" t="s">
        <v>336</v>
      </c>
      <c r="N2728" s="57" t="s">
        <v>381</v>
      </c>
      <c r="O2728" s="57" t="s">
        <v>729</v>
      </c>
      <c r="P2728" s="57" t="s">
        <v>3719</v>
      </c>
      <c r="Q2728" s="57" t="s">
        <v>698</v>
      </c>
    </row>
    <row r="2729" s="50" customFormat="true" ht="14.25" hidden="false" customHeight="true" outlineLevel="0" collapsed="false">
      <c r="A2729" s="50" t="s">
        <v>727</v>
      </c>
      <c r="B2729" s="57" t="s">
        <v>727</v>
      </c>
      <c r="C2729" s="57" t="s">
        <v>415</v>
      </c>
      <c r="D2729" s="58" t="n">
        <v>46068.3683680556</v>
      </c>
      <c r="E2729" s="58" t="n">
        <v>46068.3683680556</v>
      </c>
      <c r="F2729" s="58" t="n">
        <v>46068.368912037</v>
      </c>
      <c r="G2729" s="59" t="n">
        <f aca="false">F2729-E2729</f>
        <v>0.000543981400462963</v>
      </c>
      <c r="H2729" s="57" t="s">
        <v>252</v>
      </c>
      <c r="I2729" s="57"/>
      <c r="J2729" s="57" t="s">
        <v>333</v>
      </c>
      <c r="K2729" s="57" t="s">
        <v>334</v>
      </c>
      <c r="L2729" s="60" t="s">
        <v>3720</v>
      </c>
      <c r="M2729" s="57" t="s">
        <v>336</v>
      </c>
      <c r="N2729" s="57" t="s">
        <v>381</v>
      </c>
      <c r="O2729" s="57" t="s">
        <v>729</v>
      </c>
      <c r="P2729" s="57" t="s">
        <v>3721</v>
      </c>
      <c r="Q2729" s="57" t="s">
        <v>698</v>
      </c>
    </row>
    <row r="2730" s="50" customFormat="true" ht="14.25" hidden="false" customHeight="true" outlineLevel="0" collapsed="false">
      <c r="A2730" s="50" t="s">
        <v>727</v>
      </c>
      <c r="B2730" s="57" t="s">
        <v>727</v>
      </c>
      <c r="C2730" s="57" t="s">
        <v>415</v>
      </c>
      <c r="D2730" s="58" t="n">
        <v>46068.319224537</v>
      </c>
      <c r="E2730" s="58" t="n">
        <v>46068.319224537</v>
      </c>
      <c r="F2730" s="58" t="n">
        <v>46068.3197337963</v>
      </c>
      <c r="G2730" s="59" t="n">
        <f aca="false">F2730-E2730</f>
        <v>0.000509259293981482</v>
      </c>
      <c r="H2730" s="57" t="s">
        <v>252</v>
      </c>
      <c r="I2730" s="57"/>
      <c r="J2730" s="57" t="s">
        <v>333</v>
      </c>
      <c r="K2730" s="57" t="s">
        <v>334</v>
      </c>
      <c r="L2730" s="60" t="s">
        <v>3722</v>
      </c>
      <c r="M2730" s="57" t="s">
        <v>336</v>
      </c>
      <c r="N2730" s="57" t="s">
        <v>381</v>
      </c>
      <c r="O2730" s="57" t="s">
        <v>729</v>
      </c>
      <c r="P2730" s="57" t="s">
        <v>3723</v>
      </c>
      <c r="Q2730" s="57" t="s">
        <v>698</v>
      </c>
    </row>
    <row r="2731" s="50" customFormat="true" ht="14.25" hidden="false" customHeight="true" outlineLevel="0" collapsed="false">
      <c r="A2731" s="50" t="s">
        <v>727</v>
      </c>
      <c r="B2731" s="57" t="s">
        <v>727</v>
      </c>
      <c r="C2731" s="57" t="s">
        <v>415</v>
      </c>
      <c r="D2731" s="58" t="n">
        <v>46068.3112268519</v>
      </c>
      <c r="E2731" s="58" t="n">
        <v>46068.3112268519</v>
      </c>
      <c r="F2731" s="58" t="n">
        <v>46068.311724537</v>
      </c>
      <c r="G2731" s="59" t="n">
        <f aca="false">F2731-E2731</f>
        <v>0.000497685092592593</v>
      </c>
      <c r="H2731" s="57" t="s">
        <v>252</v>
      </c>
      <c r="I2731" s="57"/>
      <c r="J2731" s="57" t="s">
        <v>333</v>
      </c>
      <c r="K2731" s="57" t="s">
        <v>334</v>
      </c>
      <c r="L2731" s="60" t="s">
        <v>3724</v>
      </c>
      <c r="M2731" s="57" t="s">
        <v>336</v>
      </c>
      <c r="N2731" s="57" t="s">
        <v>381</v>
      </c>
      <c r="O2731" s="57" t="s">
        <v>729</v>
      </c>
      <c r="P2731" s="57" t="s">
        <v>3725</v>
      </c>
      <c r="Q2731" s="57" t="s">
        <v>698</v>
      </c>
    </row>
    <row r="2732" s="50" customFormat="true" ht="14.25" hidden="false" customHeight="true" outlineLevel="0" collapsed="false">
      <c r="A2732" s="50" t="s">
        <v>727</v>
      </c>
      <c r="B2732" s="57" t="s">
        <v>727</v>
      </c>
      <c r="C2732" s="57" t="s">
        <v>415</v>
      </c>
      <c r="D2732" s="58" t="n">
        <v>46068.3004282407</v>
      </c>
      <c r="E2732" s="58" t="n">
        <v>46068.3004282407</v>
      </c>
      <c r="F2732" s="58" t="n">
        <v>46068.3009490741</v>
      </c>
      <c r="G2732" s="59" t="n">
        <f aca="false">F2732-E2732</f>
        <v>0.000520833402777778</v>
      </c>
      <c r="H2732" s="57" t="s">
        <v>252</v>
      </c>
      <c r="I2732" s="57"/>
      <c r="J2732" s="57" t="s">
        <v>333</v>
      </c>
      <c r="K2732" s="57" t="s">
        <v>334</v>
      </c>
      <c r="L2732" s="60" t="s">
        <v>3726</v>
      </c>
      <c r="M2732" s="57" t="s">
        <v>336</v>
      </c>
      <c r="N2732" s="57" t="s">
        <v>381</v>
      </c>
      <c r="O2732" s="57" t="s">
        <v>729</v>
      </c>
      <c r="P2732" s="57" t="s">
        <v>3727</v>
      </c>
      <c r="Q2732" s="57" t="s">
        <v>698</v>
      </c>
    </row>
    <row r="2733" s="50" customFormat="true" ht="14.25" hidden="false" customHeight="true" outlineLevel="0" collapsed="false">
      <c r="A2733" s="50" t="s">
        <v>727</v>
      </c>
      <c r="B2733" s="57" t="s">
        <v>727</v>
      </c>
      <c r="C2733" s="57" t="s">
        <v>415</v>
      </c>
      <c r="D2733" s="58" t="n">
        <v>46068.2918055556</v>
      </c>
      <c r="E2733" s="58" t="n">
        <v>46068.2918055556</v>
      </c>
      <c r="F2733" s="58" t="n">
        <v>46068.2923148148</v>
      </c>
      <c r="G2733" s="59" t="n">
        <f aca="false">F2733-E2733</f>
        <v>0.000509259201388889</v>
      </c>
      <c r="H2733" s="57" t="s">
        <v>252</v>
      </c>
      <c r="I2733" s="57"/>
      <c r="J2733" s="57" t="s">
        <v>333</v>
      </c>
      <c r="K2733" s="57" t="s">
        <v>334</v>
      </c>
      <c r="L2733" s="60" t="s">
        <v>3728</v>
      </c>
      <c r="M2733" s="57" t="s">
        <v>336</v>
      </c>
      <c r="N2733" s="57" t="s">
        <v>381</v>
      </c>
      <c r="O2733" s="57" t="s">
        <v>729</v>
      </c>
      <c r="P2733" s="57" t="s">
        <v>3729</v>
      </c>
      <c r="Q2733" s="57" t="s">
        <v>698</v>
      </c>
    </row>
    <row r="2734" s="50" customFormat="true" ht="14.25" hidden="false" customHeight="true" outlineLevel="0" collapsed="false">
      <c r="A2734" s="50" t="s">
        <v>727</v>
      </c>
      <c r="B2734" s="57" t="s">
        <v>727</v>
      </c>
      <c r="C2734" s="57" t="s">
        <v>415</v>
      </c>
      <c r="D2734" s="58" t="n">
        <v>46068.2846527778</v>
      </c>
      <c r="E2734" s="58" t="n">
        <v>46068.2846527778</v>
      </c>
      <c r="F2734" s="58" t="n">
        <v>46068.2852083333</v>
      </c>
      <c r="G2734" s="59" t="n">
        <f aca="false">F2734-E2734</f>
        <v>0.000555555497685185</v>
      </c>
      <c r="H2734" s="57" t="s">
        <v>252</v>
      </c>
      <c r="I2734" s="57"/>
      <c r="J2734" s="57" t="s">
        <v>333</v>
      </c>
      <c r="K2734" s="57" t="s">
        <v>334</v>
      </c>
      <c r="L2734" s="60" t="s">
        <v>3730</v>
      </c>
      <c r="M2734" s="57" t="s">
        <v>336</v>
      </c>
      <c r="N2734" s="57" t="s">
        <v>381</v>
      </c>
      <c r="O2734" s="57" t="s">
        <v>729</v>
      </c>
      <c r="P2734" s="57" t="s">
        <v>3731</v>
      </c>
      <c r="Q2734" s="57" t="s">
        <v>698</v>
      </c>
    </row>
    <row r="2735" s="50" customFormat="true" ht="14.25" hidden="false" customHeight="true" outlineLevel="0" collapsed="false">
      <c r="A2735" s="50" t="s">
        <v>727</v>
      </c>
      <c r="B2735" s="57" t="s">
        <v>727</v>
      </c>
      <c r="C2735" s="57" t="s">
        <v>415</v>
      </c>
      <c r="D2735" s="58" t="n">
        <v>46068.279224537</v>
      </c>
      <c r="E2735" s="58" t="n">
        <v>46068.279224537</v>
      </c>
      <c r="F2735" s="58" t="n">
        <v>46068.2798263889</v>
      </c>
      <c r="G2735" s="59" t="n">
        <f aca="false">F2735-E2735</f>
        <v>0.000601851898148148</v>
      </c>
      <c r="H2735" s="57" t="s">
        <v>252</v>
      </c>
      <c r="I2735" s="57"/>
      <c r="J2735" s="57" t="s">
        <v>333</v>
      </c>
      <c r="K2735" s="57" t="s">
        <v>334</v>
      </c>
      <c r="L2735" s="60" t="s">
        <v>3732</v>
      </c>
      <c r="M2735" s="57" t="s">
        <v>336</v>
      </c>
      <c r="N2735" s="57" t="s">
        <v>381</v>
      </c>
      <c r="O2735" s="57" t="s">
        <v>729</v>
      </c>
      <c r="P2735" s="57" t="s">
        <v>3733</v>
      </c>
      <c r="Q2735" s="57" t="s">
        <v>698</v>
      </c>
    </row>
    <row r="2736" s="50" customFormat="true" ht="14.25" hidden="false" customHeight="true" outlineLevel="0" collapsed="false">
      <c r="A2736" s="50" t="s">
        <v>727</v>
      </c>
      <c r="B2736" s="57" t="s">
        <v>727</v>
      </c>
      <c r="C2736" s="57" t="s">
        <v>415</v>
      </c>
      <c r="D2736" s="58" t="n">
        <v>46068.2679398148</v>
      </c>
      <c r="E2736" s="58" t="n">
        <v>46068.2679398148</v>
      </c>
      <c r="F2736" s="58" t="n">
        <v>46068.2684837963</v>
      </c>
      <c r="G2736" s="59" t="n">
        <f aca="false">F2736-E2736</f>
        <v>0.00054398150462963</v>
      </c>
      <c r="H2736" s="57" t="s">
        <v>252</v>
      </c>
      <c r="I2736" s="57"/>
      <c r="J2736" s="57" t="s">
        <v>333</v>
      </c>
      <c r="K2736" s="57" t="s">
        <v>334</v>
      </c>
      <c r="L2736" s="60" t="s">
        <v>3734</v>
      </c>
      <c r="M2736" s="57" t="s">
        <v>336</v>
      </c>
      <c r="N2736" s="57" t="s">
        <v>381</v>
      </c>
      <c r="O2736" s="57" t="s">
        <v>729</v>
      </c>
      <c r="P2736" s="57" t="s">
        <v>3735</v>
      </c>
      <c r="Q2736" s="57" t="s">
        <v>698</v>
      </c>
    </row>
    <row r="2737" s="50" customFormat="true" ht="14.25" hidden="false" customHeight="true" outlineLevel="0" collapsed="false">
      <c r="A2737" s="50" t="s">
        <v>727</v>
      </c>
      <c r="B2737" s="57" t="s">
        <v>727</v>
      </c>
      <c r="C2737" s="57" t="s">
        <v>415</v>
      </c>
      <c r="D2737" s="58" t="n">
        <v>46068.2572800926</v>
      </c>
      <c r="E2737" s="58" t="n">
        <v>46068.2572800926</v>
      </c>
      <c r="F2737" s="58" t="n">
        <v>46068.2578009259</v>
      </c>
      <c r="G2737" s="59" t="n">
        <f aca="false">F2737-E2737</f>
        <v>0.000520833298611111</v>
      </c>
      <c r="H2737" s="57" t="s">
        <v>252</v>
      </c>
      <c r="I2737" s="57"/>
      <c r="J2737" s="57" t="s">
        <v>333</v>
      </c>
      <c r="K2737" s="57" t="s">
        <v>334</v>
      </c>
      <c r="L2737" s="60" t="s">
        <v>3736</v>
      </c>
      <c r="M2737" s="57" t="s">
        <v>336</v>
      </c>
      <c r="N2737" s="57" t="s">
        <v>381</v>
      </c>
      <c r="O2737" s="57" t="s">
        <v>729</v>
      </c>
      <c r="P2737" s="57" t="s">
        <v>3737</v>
      </c>
      <c r="Q2737" s="57" t="s">
        <v>698</v>
      </c>
    </row>
    <row r="2738" s="50" customFormat="true" ht="14.25" hidden="false" customHeight="true" outlineLevel="0" collapsed="false">
      <c r="A2738" s="50" t="s">
        <v>727</v>
      </c>
      <c r="B2738" s="57" t="s">
        <v>727</v>
      </c>
      <c r="C2738" s="57" t="s">
        <v>415</v>
      </c>
      <c r="D2738" s="58" t="n">
        <v>46068.2566087963</v>
      </c>
      <c r="E2738" s="58" t="n">
        <v>46068.2566087963</v>
      </c>
      <c r="F2738" s="58" t="n">
        <v>46068.2571064815</v>
      </c>
      <c r="G2738" s="59" t="n">
        <f aca="false">F2738-E2738</f>
        <v>0.000497685196759259</v>
      </c>
      <c r="H2738" s="57" t="s">
        <v>252</v>
      </c>
      <c r="I2738" s="57"/>
      <c r="J2738" s="57" t="s">
        <v>333</v>
      </c>
      <c r="K2738" s="57" t="s">
        <v>334</v>
      </c>
      <c r="L2738" s="60" t="s">
        <v>3738</v>
      </c>
      <c r="M2738" s="57" t="s">
        <v>336</v>
      </c>
      <c r="N2738" s="57" t="s">
        <v>381</v>
      </c>
      <c r="O2738" s="57" t="s">
        <v>729</v>
      </c>
      <c r="P2738" s="57" t="s">
        <v>3739</v>
      </c>
      <c r="Q2738" s="57" t="s">
        <v>698</v>
      </c>
    </row>
    <row r="2739" s="50" customFormat="true" ht="14.25" hidden="false" customHeight="true" outlineLevel="0" collapsed="false">
      <c r="A2739" s="50" t="s">
        <v>727</v>
      </c>
      <c r="B2739" s="57" t="s">
        <v>727</v>
      </c>
      <c r="C2739" s="57" t="s">
        <v>415</v>
      </c>
      <c r="D2739" s="58" t="n">
        <v>46068.2360185185</v>
      </c>
      <c r="E2739" s="58" t="n">
        <v>46068.2360185185</v>
      </c>
      <c r="F2739" s="58" t="n">
        <v>46068.2564236111</v>
      </c>
      <c r="G2739" s="59" t="n">
        <f aca="false">F2739-E2739</f>
        <v>0.0204050925925926</v>
      </c>
      <c r="H2739" s="57" t="s">
        <v>252</v>
      </c>
      <c r="I2739" s="57"/>
      <c r="J2739" s="57" t="s">
        <v>333</v>
      </c>
      <c r="K2739" s="57" t="s">
        <v>334</v>
      </c>
      <c r="L2739" s="60" t="s">
        <v>3740</v>
      </c>
      <c r="M2739" s="57" t="s">
        <v>336</v>
      </c>
      <c r="N2739" s="57" t="s">
        <v>381</v>
      </c>
      <c r="O2739" s="57" t="s">
        <v>729</v>
      </c>
      <c r="P2739" s="57" t="s">
        <v>3741</v>
      </c>
      <c r="Q2739" s="57" t="s">
        <v>698</v>
      </c>
    </row>
    <row r="2740" s="50" customFormat="true" ht="14.25" hidden="false" customHeight="true" outlineLevel="0" collapsed="false">
      <c r="A2740" s="50" t="s">
        <v>727</v>
      </c>
      <c r="B2740" s="57" t="s">
        <v>727</v>
      </c>
      <c r="C2740" s="57" t="s">
        <v>415</v>
      </c>
      <c r="D2740" s="58" t="n">
        <v>46068.235625</v>
      </c>
      <c r="E2740" s="58" t="n">
        <v>46068.235625</v>
      </c>
      <c r="F2740" s="58" t="n">
        <v>46068.2564236111</v>
      </c>
      <c r="G2740" s="59" t="n">
        <f aca="false">F2740-E2740</f>
        <v>0.020798611099537</v>
      </c>
      <c r="H2740" s="57" t="s">
        <v>252</v>
      </c>
      <c r="I2740" s="57"/>
      <c r="J2740" s="57" t="s">
        <v>333</v>
      </c>
      <c r="K2740" s="57" t="s">
        <v>334</v>
      </c>
      <c r="L2740" s="60" t="s">
        <v>3742</v>
      </c>
      <c r="M2740" s="57" t="s">
        <v>336</v>
      </c>
      <c r="N2740" s="57" t="s">
        <v>381</v>
      </c>
      <c r="O2740" s="57" t="s">
        <v>729</v>
      </c>
      <c r="P2740" s="57" t="s">
        <v>3743</v>
      </c>
      <c r="Q2740" s="57" t="s">
        <v>698</v>
      </c>
    </row>
    <row r="2741" s="50" customFormat="true" ht="14.25" hidden="false" customHeight="true" outlineLevel="0" collapsed="false">
      <c r="A2741" s="50" t="s">
        <v>727</v>
      </c>
      <c r="B2741" s="57" t="s">
        <v>727</v>
      </c>
      <c r="C2741" s="57" t="s">
        <v>415</v>
      </c>
      <c r="D2741" s="58" t="n">
        <v>46067.7640277778</v>
      </c>
      <c r="E2741" s="58" t="n">
        <v>46067.7640277778</v>
      </c>
      <c r="F2741" s="58" t="n">
        <v>46067.7893171296</v>
      </c>
      <c r="G2741" s="59" t="n">
        <f aca="false">F2741-E2741</f>
        <v>0.0252893518055556</v>
      </c>
      <c r="H2741" s="57" t="s">
        <v>252</v>
      </c>
      <c r="I2741" s="57"/>
      <c r="J2741" s="57" t="s">
        <v>333</v>
      </c>
      <c r="K2741" s="57" t="s">
        <v>334</v>
      </c>
      <c r="L2741" s="60" t="s">
        <v>3744</v>
      </c>
      <c r="M2741" s="57" t="s">
        <v>336</v>
      </c>
      <c r="N2741" s="57" t="s">
        <v>381</v>
      </c>
      <c r="O2741" s="57" t="s">
        <v>729</v>
      </c>
      <c r="P2741" s="57" t="s">
        <v>3745</v>
      </c>
      <c r="Q2741" s="57" t="s">
        <v>698</v>
      </c>
    </row>
    <row r="2742" s="50" customFormat="true" ht="14.25" hidden="false" customHeight="true" outlineLevel="0" collapsed="false">
      <c r="A2742" s="50" t="s">
        <v>727</v>
      </c>
      <c r="B2742" s="57" t="s">
        <v>727</v>
      </c>
      <c r="C2742" s="57" t="s">
        <v>415</v>
      </c>
      <c r="D2742" s="58" t="n">
        <v>46067.7633333333</v>
      </c>
      <c r="E2742" s="58" t="n">
        <v>46067.7633333333</v>
      </c>
      <c r="F2742" s="58" t="n">
        <v>46067.7638425926</v>
      </c>
      <c r="G2742" s="59" t="n">
        <f aca="false">F2742-E2742</f>
        <v>0.000509259293981482</v>
      </c>
      <c r="H2742" s="57" t="s">
        <v>252</v>
      </c>
      <c r="I2742" s="57"/>
      <c r="J2742" s="57" t="s">
        <v>333</v>
      </c>
      <c r="K2742" s="57" t="s">
        <v>334</v>
      </c>
      <c r="L2742" s="60" t="s">
        <v>3746</v>
      </c>
      <c r="M2742" s="57" t="s">
        <v>336</v>
      </c>
      <c r="N2742" s="57" t="s">
        <v>381</v>
      </c>
      <c r="O2742" s="57" t="s">
        <v>729</v>
      </c>
      <c r="P2742" s="57" t="s">
        <v>3747</v>
      </c>
      <c r="Q2742" s="57" t="s">
        <v>698</v>
      </c>
    </row>
    <row r="2743" s="50" customFormat="true" ht="14.25" hidden="false" customHeight="true" outlineLevel="0" collapsed="false">
      <c r="A2743" s="50" t="s">
        <v>727</v>
      </c>
      <c r="B2743" s="57" t="s">
        <v>727</v>
      </c>
      <c r="C2743" s="57" t="s">
        <v>415</v>
      </c>
      <c r="D2743" s="58" t="n">
        <v>46067.7626388889</v>
      </c>
      <c r="E2743" s="58" t="n">
        <v>46067.7626388889</v>
      </c>
      <c r="F2743" s="58" t="n">
        <v>46067.7631481482</v>
      </c>
      <c r="G2743" s="59" t="n">
        <f aca="false">F2743-E2743</f>
        <v>0.000509259305555556</v>
      </c>
      <c r="H2743" s="57" t="s">
        <v>252</v>
      </c>
      <c r="I2743" s="57"/>
      <c r="J2743" s="57" t="s">
        <v>333</v>
      </c>
      <c r="K2743" s="57" t="s">
        <v>334</v>
      </c>
      <c r="L2743" s="60" t="s">
        <v>3748</v>
      </c>
      <c r="M2743" s="57" t="s">
        <v>336</v>
      </c>
      <c r="N2743" s="57" t="s">
        <v>381</v>
      </c>
      <c r="O2743" s="57" t="s">
        <v>729</v>
      </c>
      <c r="P2743" s="57" t="s">
        <v>3749</v>
      </c>
      <c r="Q2743" s="57" t="s">
        <v>698</v>
      </c>
    </row>
    <row r="2744" s="50" customFormat="true" ht="14.25" hidden="false" customHeight="true" outlineLevel="0" collapsed="false">
      <c r="A2744" s="50" t="s">
        <v>727</v>
      </c>
      <c r="B2744" s="57" t="s">
        <v>727</v>
      </c>
      <c r="C2744" s="57" t="s">
        <v>415</v>
      </c>
      <c r="D2744" s="58" t="n">
        <v>46067.7619328704</v>
      </c>
      <c r="E2744" s="58" t="n">
        <v>46067.7619328704</v>
      </c>
      <c r="F2744" s="58" t="n">
        <v>46067.7624537037</v>
      </c>
      <c r="G2744" s="59" t="n">
        <f aca="false">F2744-E2744</f>
        <v>0.000520833298611111</v>
      </c>
      <c r="H2744" s="57" t="s">
        <v>252</v>
      </c>
      <c r="I2744" s="57"/>
      <c r="J2744" s="57" t="s">
        <v>333</v>
      </c>
      <c r="K2744" s="57" t="s">
        <v>334</v>
      </c>
      <c r="L2744" s="60" t="s">
        <v>3750</v>
      </c>
      <c r="M2744" s="57" t="s">
        <v>336</v>
      </c>
      <c r="N2744" s="57" t="s">
        <v>381</v>
      </c>
      <c r="O2744" s="57" t="s">
        <v>729</v>
      </c>
      <c r="P2744" s="57" t="s">
        <v>3751</v>
      </c>
      <c r="Q2744" s="57" t="s">
        <v>698</v>
      </c>
    </row>
    <row r="2745" s="50" customFormat="true" ht="14.25" hidden="false" customHeight="true" outlineLevel="0" collapsed="false">
      <c r="A2745" s="50" t="s">
        <v>727</v>
      </c>
      <c r="B2745" s="57" t="s">
        <v>727</v>
      </c>
      <c r="C2745" s="57" t="s">
        <v>415</v>
      </c>
      <c r="D2745" s="58" t="n">
        <v>46067.7612384259</v>
      </c>
      <c r="E2745" s="58" t="n">
        <v>46067.7612384259</v>
      </c>
      <c r="F2745" s="58" t="n">
        <v>46067.7617592593</v>
      </c>
      <c r="G2745" s="59" t="n">
        <f aca="false">F2745-E2745</f>
        <v>0.000520833402777778</v>
      </c>
      <c r="H2745" s="57" t="s">
        <v>252</v>
      </c>
      <c r="I2745" s="57"/>
      <c r="J2745" s="57" t="s">
        <v>333</v>
      </c>
      <c r="K2745" s="57" t="s">
        <v>334</v>
      </c>
      <c r="L2745" s="60" t="s">
        <v>3752</v>
      </c>
      <c r="M2745" s="57" t="s">
        <v>336</v>
      </c>
      <c r="N2745" s="57" t="s">
        <v>381</v>
      </c>
      <c r="O2745" s="57" t="s">
        <v>729</v>
      </c>
      <c r="P2745" s="57" t="s">
        <v>3753</v>
      </c>
      <c r="Q2745" s="57" t="s">
        <v>698</v>
      </c>
    </row>
    <row r="2746" s="50" customFormat="true" ht="14.25" hidden="false" customHeight="true" outlineLevel="0" collapsed="false">
      <c r="A2746" s="50" t="s">
        <v>727</v>
      </c>
      <c r="B2746" s="57" t="s">
        <v>727</v>
      </c>
      <c r="C2746" s="57" t="s">
        <v>415</v>
      </c>
      <c r="D2746" s="58" t="n">
        <v>46067.6836111111</v>
      </c>
      <c r="E2746" s="58" t="n">
        <v>46067.6836111111</v>
      </c>
      <c r="F2746" s="58" t="n">
        <v>46067.6841087963</v>
      </c>
      <c r="G2746" s="59" t="n">
        <f aca="false">F2746-E2746</f>
        <v>0.000497685196759259</v>
      </c>
      <c r="H2746" s="57" t="s">
        <v>252</v>
      </c>
      <c r="I2746" s="57"/>
      <c r="J2746" s="57" t="s">
        <v>333</v>
      </c>
      <c r="K2746" s="57" t="s">
        <v>334</v>
      </c>
      <c r="L2746" s="60" t="s">
        <v>3754</v>
      </c>
      <c r="M2746" s="57" t="s">
        <v>336</v>
      </c>
      <c r="N2746" s="57" t="s">
        <v>381</v>
      </c>
      <c r="O2746" s="57" t="s">
        <v>729</v>
      </c>
      <c r="P2746" s="57" t="s">
        <v>3755</v>
      </c>
      <c r="Q2746" s="57" t="s">
        <v>698</v>
      </c>
    </row>
    <row r="2747" s="50" customFormat="true" ht="14.25" hidden="false" customHeight="true" outlineLevel="0" collapsed="false">
      <c r="A2747" s="50" t="s">
        <v>727</v>
      </c>
      <c r="B2747" s="57" t="s">
        <v>727</v>
      </c>
      <c r="C2747" s="57" t="s">
        <v>415</v>
      </c>
      <c r="D2747" s="58" t="n">
        <v>46067.6835648148</v>
      </c>
      <c r="E2747" s="58" t="n">
        <v>46067.6835648148</v>
      </c>
      <c r="F2747" s="58" t="n">
        <v>46067.6836226852</v>
      </c>
      <c r="G2747" s="59" t="n">
        <f aca="false">F2747-E2747</f>
        <v>5.78704050925926E-005</v>
      </c>
      <c r="H2747" s="57" t="s">
        <v>252</v>
      </c>
      <c r="I2747" s="57"/>
      <c r="J2747" s="57" t="s">
        <v>333</v>
      </c>
      <c r="K2747" s="57" t="s">
        <v>334</v>
      </c>
      <c r="L2747" s="60" t="s">
        <v>3756</v>
      </c>
      <c r="M2747" s="57" t="s">
        <v>336</v>
      </c>
      <c r="N2747" s="57" t="s">
        <v>381</v>
      </c>
      <c r="O2747" s="57" t="s">
        <v>729</v>
      </c>
      <c r="P2747" s="57" t="s">
        <v>3757</v>
      </c>
      <c r="Q2747" s="57" t="s">
        <v>698</v>
      </c>
    </row>
    <row r="2748" s="50" customFormat="true" ht="14.25" hidden="false" customHeight="true" outlineLevel="0" collapsed="false">
      <c r="A2748" s="50" t="s">
        <v>727</v>
      </c>
      <c r="B2748" s="57" t="s">
        <v>727</v>
      </c>
      <c r="C2748" s="57" t="s">
        <v>415</v>
      </c>
      <c r="D2748" s="58" t="n">
        <v>46067.6750115741</v>
      </c>
      <c r="E2748" s="58" t="n">
        <v>46067.6750115741</v>
      </c>
      <c r="F2748" s="58" t="n">
        <v>46067.6773263889</v>
      </c>
      <c r="G2748" s="59" t="n">
        <f aca="false">F2748-E2748</f>
        <v>0.00231481479166667</v>
      </c>
      <c r="H2748" s="57" t="s">
        <v>252</v>
      </c>
      <c r="I2748" s="57"/>
      <c r="J2748" s="57" t="s">
        <v>333</v>
      </c>
      <c r="K2748" s="57" t="s">
        <v>334</v>
      </c>
      <c r="L2748" s="60" t="s">
        <v>3758</v>
      </c>
      <c r="M2748" s="57" t="s">
        <v>336</v>
      </c>
      <c r="N2748" s="57" t="s">
        <v>381</v>
      </c>
      <c r="O2748" s="57" t="s">
        <v>729</v>
      </c>
      <c r="P2748" s="57" t="s">
        <v>3759</v>
      </c>
      <c r="Q2748" s="57" t="s">
        <v>698</v>
      </c>
    </row>
    <row r="2749" s="50" customFormat="true" ht="14.25" hidden="false" customHeight="true" outlineLevel="0" collapsed="false">
      <c r="A2749" s="50" t="s">
        <v>727</v>
      </c>
      <c r="B2749" s="57" t="s">
        <v>727</v>
      </c>
      <c r="C2749" s="57" t="s">
        <v>415</v>
      </c>
      <c r="D2749" s="58" t="n">
        <v>46067.6587731482</v>
      </c>
      <c r="E2749" s="58" t="n">
        <v>46067.6587731482</v>
      </c>
      <c r="F2749" s="58" t="n">
        <v>46067.6593171296</v>
      </c>
      <c r="G2749" s="59" t="n">
        <f aca="false">F2749-E2749</f>
        <v>0.000543981400462963</v>
      </c>
      <c r="H2749" s="57" t="s">
        <v>252</v>
      </c>
      <c r="I2749" s="57"/>
      <c r="J2749" s="57" t="s">
        <v>333</v>
      </c>
      <c r="K2749" s="57" t="s">
        <v>334</v>
      </c>
      <c r="L2749" s="60" t="s">
        <v>3760</v>
      </c>
      <c r="M2749" s="57" t="s">
        <v>336</v>
      </c>
      <c r="N2749" s="57" t="s">
        <v>381</v>
      </c>
      <c r="O2749" s="57" t="s">
        <v>729</v>
      </c>
      <c r="P2749" s="57" t="s">
        <v>3761</v>
      </c>
      <c r="Q2749" s="57" t="s">
        <v>698</v>
      </c>
    </row>
    <row r="2750" s="50" customFormat="true" ht="14.25" hidden="false" customHeight="true" outlineLevel="0" collapsed="false">
      <c r="A2750" s="50" t="s">
        <v>727</v>
      </c>
      <c r="B2750" s="57" t="s">
        <v>727</v>
      </c>
      <c r="C2750" s="57" t="s">
        <v>415</v>
      </c>
      <c r="D2750" s="58" t="n">
        <v>46067.6340393519</v>
      </c>
      <c r="E2750" s="58" t="n">
        <v>46067.6340393519</v>
      </c>
      <c r="F2750" s="58" t="n">
        <v>46067.6345717593</v>
      </c>
      <c r="G2750" s="59" t="n">
        <f aca="false">F2750-E2750</f>
        <v>0.000532407407407407</v>
      </c>
      <c r="H2750" s="57" t="s">
        <v>252</v>
      </c>
      <c r="I2750" s="57"/>
      <c r="J2750" s="57" t="s">
        <v>333</v>
      </c>
      <c r="K2750" s="57" t="s">
        <v>334</v>
      </c>
      <c r="L2750" s="60" t="s">
        <v>3762</v>
      </c>
      <c r="M2750" s="57" t="s">
        <v>336</v>
      </c>
      <c r="N2750" s="57" t="s">
        <v>381</v>
      </c>
      <c r="O2750" s="57" t="s">
        <v>729</v>
      </c>
      <c r="P2750" s="57" t="s">
        <v>3763</v>
      </c>
      <c r="Q2750" s="57" t="s">
        <v>698</v>
      </c>
    </row>
    <row r="2751" s="50" customFormat="true" ht="14.25" hidden="false" customHeight="true" outlineLevel="0" collapsed="false">
      <c r="A2751" s="50" t="s">
        <v>727</v>
      </c>
      <c r="B2751" s="57" t="s">
        <v>727</v>
      </c>
      <c r="C2751" s="57" t="s">
        <v>415</v>
      </c>
      <c r="D2751" s="58" t="n">
        <v>46067.6000925926</v>
      </c>
      <c r="E2751" s="58" t="n">
        <v>46067.6000925926</v>
      </c>
      <c r="F2751" s="58" t="n">
        <v>46067.6006365741</v>
      </c>
      <c r="G2751" s="59" t="n">
        <f aca="false">F2751-E2751</f>
        <v>0.00054398150462963</v>
      </c>
      <c r="H2751" s="57" t="s">
        <v>252</v>
      </c>
      <c r="I2751" s="57"/>
      <c r="J2751" s="57" t="s">
        <v>333</v>
      </c>
      <c r="K2751" s="57" t="s">
        <v>334</v>
      </c>
      <c r="L2751" s="60" t="s">
        <v>3764</v>
      </c>
      <c r="M2751" s="57" t="s">
        <v>336</v>
      </c>
      <c r="N2751" s="57" t="s">
        <v>381</v>
      </c>
      <c r="O2751" s="57" t="s">
        <v>729</v>
      </c>
      <c r="P2751" s="57" t="s">
        <v>3765</v>
      </c>
      <c r="Q2751" s="57" t="s">
        <v>698</v>
      </c>
    </row>
    <row r="2752" s="50" customFormat="true" ht="14.25" hidden="false" customHeight="true" outlineLevel="0" collapsed="false">
      <c r="A2752" s="50" t="s">
        <v>727</v>
      </c>
      <c r="B2752" s="57" t="s">
        <v>727</v>
      </c>
      <c r="C2752" s="57" t="s">
        <v>415</v>
      </c>
      <c r="D2752" s="58" t="n">
        <v>46067.582662037</v>
      </c>
      <c r="E2752" s="58" t="n">
        <v>46067.582662037</v>
      </c>
      <c r="F2752" s="58" t="n">
        <v>46067.5832060185</v>
      </c>
      <c r="G2752" s="59" t="n">
        <f aca="false">F2752-E2752</f>
        <v>0.00054398150462963</v>
      </c>
      <c r="H2752" s="57" t="s">
        <v>252</v>
      </c>
      <c r="I2752" s="57"/>
      <c r="J2752" s="57" t="s">
        <v>333</v>
      </c>
      <c r="K2752" s="57" t="s">
        <v>334</v>
      </c>
      <c r="L2752" s="60" t="s">
        <v>3766</v>
      </c>
      <c r="M2752" s="57" t="s">
        <v>336</v>
      </c>
      <c r="N2752" s="57" t="s">
        <v>381</v>
      </c>
      <c r="O2752" s="57" t="s">
        <v>729</v>
      </c>
      <c r="P2752" s="57" t="s">
        <v>3767</v>
      </c>
      <c r="Q2752" s="57" t="s">
        <v>698</v>
      </c>
    </row>
    <row r="2753" s="50" customFormat="true" ht="14.25" hidden="false" customHeight="true" outlineLevel="0" collapsed="false">
      <c r="A2753" s="50" t="s">
        <v>727</v>
      </c>
      <c r="B2753" s="57" t="s">
        <v>727</v>
      </c>
      <c r="C2753" s="57" t="s">
        <v>415</v>
      </c>
      <c r="D2753" s="58" t="n">
        <v>46067.571099537</v>
      </c>
      <c r="E2753" s="58" t="n">
        <v>46067.571099537</v>
      </c>
      <c r="F2753" s="58" t="n">
        <v>46067.5734027778</v>
      </c>
      <c r="G2753" s="59" t="n">
        <f aca="false">F2753-E2753</f>
        <v>0.00230324079861111</v>
      </c>
      <c r="H2753" s="57" t="s">
        <v>252</v>
      </c>
      <c r="I2753" s="57"/>
      <c r="J2753" s="57" t="s">
        <v>333</v>
      </c>
      <c r="K2753" s="57" t="s">
        <v>334</v>
      </c>
      <c r="L2753" s="60" t="s">
        <v>3768</v>
      </c>
      <c r="M2753" s="57" t="s">
        <v>336</v>
      </c>
      <c r="N2753" s="57" t="s">
        <v>381</v>
      </c>
      <c r="O2753" s="57" t="s">
        <v>729</v>
      </c>
      <c r="P2753" s="57" t="s">
        <v>3769</v>
      </c>
      <c r="Q2753" s="57" t="s">
        <v>698</v>
      </c>
    </row>
    <row r="2754" s="50" customFormat="true" ht="14.25" hidden="false" customHeight="true" outlineLevel="0" collapsed="false">
      <c r="A2754" s="50" t="s">
        <v>727</v>
      </c>
      <c r="B2754" s="57" t="s">
        <v>727</v>
      </c>
      <c r="C2754" s="57" t="s">
        <v>415</v>
      </c>
      <c r="D2754" s="58" t="n">
        <v>46067.5571064815</v>
      </c>
      <c r="E2754" s="58" t="n">
        <v>46067.5571064815</v>
      </c>
      <c r="F2754" s="58" t="n">
        <v>46067.557650463</v>
      </c>
      <c r="G2754" s="59" t="n">
        <f aca="false">F2754-E2754</f>
        <v>0.00054398150462963</v>
      </c>
      <c r="H2754" s="57" t="s">
        <v>252</v>
      </c>
      <c r="I2754" s="57"/>
      <c r="J2754" s="57" t="s">
        <v>333</v>
      </c>
      <c r="K2754" s="57" t="s">
        <v>334</v>
      </c>
      <c r="L2754" s="60" t="s">
        <v>3770</v>
      </c>
      <c r="M2754" s="57" t="s">
        <v>336</v>
      </c>
      <c r="N2754" s="57" t="s">
        <v>381</v>
      </c>
      <c r="O2754" s="57" t="s">
        <v>729</v>
      </c>
      <c r="P2754" s="57" t="s">
        <v>3771</v>
      </c>
      <c r="Q2754" s="57" t="s">
        <v>698</v>
      </c>
    </row>
    <row r="2755" s="50" customFormat="true" ht="14.25" hidden="false" customHeight="true" outlineLevel="0" collapsed="false">
      <c r="A2755" s="50" t="s">
        <v>727</v>
      </c>
      <c r="B2755" s="57" t="s">
        <v>727</v>
      </c>
      <c r="C2755" s="57" t="s">
        <v>415</v>
      </c>
      <c r="D2755" s="58" t="n">
        <v>46067.5490162037</v>
      </c>
      <c r="E2755" s="58" t="n">
        <v>46067.5490162037</v>
      </c>
      <c r="F2755" s="58" t="n">
        <v>46067.5495601852</v>
      </c>
      <c r="G2755" s="59" t="n">
        <f aca="false">F2755-E2755</f>
        <v>0.00054398150462963</v>
      </c>
      <c r="H2755" s="57" t="s">
        <v>252</v>
      </c>
      <c r="I2755" s="57"/>
      <c r="J2755" s="57" t="s">
        <v>333</v>
      </c>
      <c r="K2755" s="57" t="s">
        <v>334</v>
      </c>
      <c r="L2755" s="60" t="s">
        <v>3772</v>
      </c>
      <c r="M2755" s="57" t="s">
        <v>336</v>
      </c>
      <c r="N2755" s="57" t="s">
        <v>381</v>
      </c>
      <c r="O2755" s="57" t="s">
        <v>729</v>
      </c>
      <c r="P2755" s="57" t="s">
        <v>3773</v>
      </c>
      <c r="Q2755" s="57" t="s">
        <v>698</v>
      </c>
    </row>
    <row r="2756" s="50" customFormat="true" ht="14.25" hidden="false" customHeight="true" outlineLevel="0" collapsed="false">
      <c r="A2756" s="50" t="s">
        <v>727</v>
      </c>
      <c r="B2756" s="57" t="s">
        <v>727</v>
      </c>
      <c r="C2756" s="57" t="s">
        <v>415</v>
      </c>
      <c r="D2756" s="58" t="n">
        <v>46067.5375694444</v>
      </c>
      <c r="E2756" s="58" t="n">
        <v>46067.5375694444</v>
      </c>
      <c r="F2756" s="58" t="n">
        <v>46067.5381481481</v>
      </c>
      <c r="G2756" s="59" t="n">
        <f aca="false">F2756-E2756</f>
        <v>0.000578703703703704</v>
      </c>
      <c r="H2756" s="57" t="s">
        <v>252</v>
      </c>
      <c r="I2756" s="57"/>
      <c r="J2756" s="57" t="s">
        <v>333</v>
      </c>
      <c r="K2756" s="57" t="s">
        <v>334</v>
      </c>
      <c r="L2756" s="60" t="s">
        <v>3774</v>
      </c>
      <c r="M2756" s="57" t="s">
        <v>336</v>
      </c>
      <c r="N2756" s="57" t="s">
        <v>381</v>
      </c>
      <c r="O2756" s="57" t="s">
        <v>729</v>
      </c>
      <c r="P2756" s="57" t="s">
        <v>3775</v>
      </c>
      <c r="Q2756" s="57" t="s">
        <v>698</v>
      </c>
    </row>
    <row r="2757" s="50" customFormat="true" ht="14.25" hidden="false" customHeight="true" outlineLevel="0" collapsed="false">
      <c r="A2757" s="50" t="s">
        <v>727</v>
      </c>
      <c r="B2757" s="57" t="s">
        <v>727</v>
      </c>
      <c r="C2757" s="57" t="s">
        <v>415</v>
      </c>
      <c r="D2757" s="58" t="n">
        <v>46067.5273726852</v>
      </c>
      <c r="E2757" s="58" t="n">
        <v>46067.5273726852</v>
      </c>
      <c r="F2757" s="58" t="n">
        <v>46067.5303125</v>
      </c>
      <c r="G2757" s="59" t="n">
        <f aca="false">F2757-E2757</f>
        <v>0.00293981479166667</v>
      </c>
      <c r="H2757" s="57" t="s">
        <v>252</v>
      </c>
      <c r="I2757" s="57"/>
      <c r="J2757" s="57" t="s">
        <v>333</v>
      </c>
      <c r="K2757" s="57" t="s">
        <v>334</v>
      </c>
      <c r="L2757" s="60" t="s">
        <v>3776</v>
      </c>
      <c r="M2757" s="57" t="s">
        <v>336</v>
      </c>
      <c r="N2757" s="57" t="s">
        <v>381</v>
      </c>
      <c r="O2757" s="57" t="s">
        <v>729</v>
      </c>
      <c r="P2757" s="57" t="s">
        <v>3777</v>
      </c>
      <c r="Q2757" s="57" t="s">
        <v>698</v>
      </c>
    </row>
    <row r="2758" s="50" customFormat="true" ht="14.25" hidden="false" customHeight="true" outlineLevel="0" collapsed="false">
      <c r="A2758" s="50" t="s">
        <v>727</v>
      </c>
      <c r="B2758" s="57" t="s">
        <v>727</v>
      </c>
      <c r="C2758" s="57" t="s">
        <v>415</v>
      </c>
      <c r="D2758" s="58" t="n">
        <v>46067.5266435185</v>
      </c>
      <c r="E2758" s="58" t="n">
        <v>46067.5266435185</v>
      </c>
      <c r="F2758" s="58" t="n">
        <v>46067.5271875</v>
      </c>
      <c r="G2758" s="59" t="n">
        <f aca="false">F2758-E2758</f>
        <v>0.00054398150462963</v>
      </c>
      <c r="H2758" s="57" t="s">
        <v>252</v>
      </c>
      <c r="I2758" s="57"/>
      <c r="J2758" s="57" t="s">
        <v>333</v>
      </c>
      <c r="K2758" s="57" t="s">
        <v>334</v>
      </c>
      <c r="L2758" s="60" t="s">
        <v>3778</v>
      </c>
      <c r="M2758" s="57" t="s">
        <v>336</v>
      </c>
      <c r="N2758" s="57" t="s">
        <v>381</v>
      </c>
      <c r="O2758" s="57" t="s">
        <v>729</v>
      </c>
      <c r="P2758" s="57" t="s">
        <v>3779</v>
      </c>
      <c r="Q2758" s="57" t="s">
        <v>698</v>
      </c>
    </row>
    <row r="2759" s="50" customFormat="true" ht="14.25" hidden="false" customHeight="true" outlineLevel="0" collapsed="false">
      <c r="A2759" s="50" t="s">
        <v>727</v>
      </c>
      <c r="B2759" s="57" t="s">
        <v>727</v>
      </c>
      <c r="C2759" s="57" t="s">
        <v>415</v>
      </c>
      <c r="D2759" s="58" t="n">
        <v>46067.5158333333</v>
      </c>
      <c r="E2759" s="58" t="n">
        <v>46067.5158333333</v>
      </c>
      <c r="F2759" s="58" t="n">
        <v>46067.5163657407</v>
      </c>
      <c r="G2759" s="59" t="n">
        <f aca="false">F2759-E2759</f>
        <v>0.000532407407407407</v>
      </c>
      <c r="H2759" s="57" t="s">
        <v>252</v>
      </c>
      <c r="I2759" s="57"/>
      <c r="J2759" s="57" t="s">
        <v>333</v>
      </c>
      <c r="K2759" s="57" t="s">
        <v>334</v>
      </c>
      <c r="L2759" s="60" t="s">
        <v>3780</v>
      </c>
      <c r="M2759" s="57" t="s">
        <v>336</v>
      </c>
      <c r="N2759" s="57" t="s">
        <v>381</v>
      </c>
      <c r="O2759" s="57" t="s">
        <v>729</v>
      </c>
      <c r="P2759" s="57" t="s">
        <v>3781</v>
      </c>
      <c r="Q2759" s="57" t="s">
        <v>698</v>
      </c>
    </row>
    <row r="2760" s="50" customFormat="true" ht="14.25" hidden="false" customHeight="true" outlineLevel="0" collapsed="false">
      <c r="A2760" s="50" t="s">
        <v>727</v>
      </c>
      <c r="B2760" s="57" t="s">
        <v>727</v>
      </c>
      <c r="C2760" s="57" t="s">
        <v>415</v>
      </c>
      <c r="D2760" s="58" t="n">
        <v>46067.5025231482</v>
      </c>
      <c r="E2760" s="58" t="n">
        <v>46067.5025231482</v>
      </c>
      <c r="F2760" s="58" t="n">
        <v>46067.5030555556</v>
      </c>
      <c r="G2760" s="59" t="n">
        <f aca="false">F2760-E2760</f>
        <v>0.000532407407407407</v>
      </c>
      <c r="H2760" s="57" t="s">
        <v>252</v>
      </c>
      <c r="I2760" s="57"/>
      <c r="J2760" s="57" t="s">
        <v>333</v>
      </c>
      <c r="K2760" s="57" t="s">
        <v>334</v>
      </c>
      <c r="L2760" s="60" t="s">
        <v>3782</v>
      </c>
      <c r="M2760" s="57" t="s">
        <v>336</v>
      </c>
      <c r="N2760" s="57" t="s">
        <v>381</v>
      </c>
      <c r="O2760" s="57" t="s">
        <v>729</v>
      </c>
      <c r="P2760" s="57" t="s">
        <v>3783</v>
      </c>
      <c r="Q2760" s="57" t="s">
        <v>698</v>
      </c>
    </row>
    <row r="2761" s="50" customFormat="true" ht="14.25" hidden="false" customHeight="true" outlineLevel="0" collapsed="false">
      <c r="A2761" s="50" t="s">
        <v>727</v>
      </c>
      <c r="B2761" s="57" t="s">
        <v>727</v>
      </c>
      <c r="C2761" s="57" t="s">
        <v>415</v>
      </c>
      <c r="D2761" s="58" t="n">
        <v>46067.489212963</v>
      </c>
      <c r="E2761" s="58" t="n">
        <v>46067.489212963</v>
      </c>
      <c r="F2761" s="58" t="n">
        <v>46067.4900115741</v>
      </c>
      <c r="G2761" s="59" t="n">
        <f aca="false">F2761-E2761</f>
        <v>0.000798611099537037</v>
      </c>
      <c r="H2761" s="57" t="s">
        <v>252</v>
      </c>
      <c r="I2761" s="57"/>
      <c r="J2761" s="57" t="s">
        <v>333</v>
      </c>
      <c r="K2761" s="57" t="s">
        <v>334</v>
      </c>
      <c r="L2761" s="60" t="s">
        <v>3784</v>
      </c>
      <c r="M2761" s="57" t="s">
        <v>336</v>
      </c>
      <c r="N2761" s="57" t="s">
        <v>381</v>
      </c>
      <c r="O2761" s="57" t="s">
        <v>729</v>
      </c>
      <c r="P2761" s="57" t="s">
        <v>3785</v>
      </c>
      <c r="Q2761" s="57" t="s">
        <v>698</v>
      </c>
    </row>
    <row r="2762" s="50" customFormat="true" ht="14.25" hidden="false" customHeight="true" outlineLevel="0" collapsed="false">
      <c r="A2762" s="50" t="s">
        <v>727</v>
      </c>
      <c r="B2762" s="57" t="s">
        <v>727</v>
      </c>
      <c r="C2762" s="57" t="s">
        <v>415</v>
      </c>
      <c r="D2762" s="58" t="n">
        <v>46067.4880555556</v>
      </c>
      <c r="E2762" s="58" t="n">
        <v>46067.4880555556</v>
      </c>
      <c r="F2762" s="58" t="n">
        <v>46067.488912037</v>
      </c>
      <c r="G2762" s="59" t="n">
        <f aca="false">F2762-E2762</f>
        <v>0.000856481400462963</v>
      </c>
      <c r="H2762" s="57" t="s">
        <v>252</v>
      </c>
      <c r="I2762" s="57"/>
      <c r="J2762" s="57" t="s">
        <v>333</v>
      </c>
      <c r="K2762" s="57" t="s">
        <v>334</v>
      </c>
      <c r="L2762" s="60" t="s">
        <v>3786</v>
      </c>
      <c r="M2762" s="57" t="s">
        <v>336</v>
      </c>
      <c r="N2762" s="57" t="s">
        <v>381</v>
      </c>
      <c r="O2762" s="57" t="s">
        <v>729</v>
      </c>
      <c r="P2762" s="57" t="s">
        <v>3787</v>
      </c>
      <c r="Q2762" s="57" t="s">
        <v>698</v>
      </c>
    </row>
    <row r="2763" s="50" customFormat="true" ht="14.25" hidden="false" customHeight="true" outlineLevel="0" collapsed="false">
      <c r="A2763" s="50" t="s">
        <v>727</v>
      </c>
      <c r="B2763" s="57" t="s">
        <v>727</v>
      </c>
      <c r="C2763" s="57" t="s">
        <v>415</v>
      </c>
      <c r="D2763" s="58" t="n">
        <v>46067.4684606481</v>
      </c>
      <c r="E2763" s="58" t="n">
        <v>46067.4684606481</v>
      </c>
      <c r="F2763" s="58" t="n">
        <v>46067.4690046296</v>
      </c>
      <c r="G2763" s="59" t="n">
        <f aca="false">F2763-E2763</f>
        <v>0.00054398150462963</v>
      </c>
      <c r="H2763" s="57" t="s">
        <v>252</v>
      </c>
      <c r="I2763" s="57"/>
      <c r="J2763" s="57" t="s">
        <v>333</v>
      </c>
      <c r="K2763" s="57" t="s">
        <v>334</v>
      </c>
      <c r="L2763" s="60" t="s">
        <v>3788</v>
      </c>
      <c r="M2763" s="57" t="s">
        <v>336</v>
      </c>
      <c r="N2763" s="57" t="s">
        <v>381</v>
      </c>
      <c r="O2763" s="57" t="s">
        <v>729</v>
      </c>
      <c r="P2763" s="57" t="s">
        <v>3789</v>
      </c>
      <c r="Q2763" s="57" t="s">
        <v>698</v>
      </c>
    </row>
    <row r="2764" s="50" customFormat="true" ht="14.25" hidden="false" customHeight="true" outlineLevel="0" collapsed="false">
      <c r="A2764" s="50" t="s">
        <v>727</v>
      </c>
      <c r="B2764" s="57" t="s">
        <v>727</v>
      </c>
      <c r="C2764" s="57" t="s">
        <v>415</v>
      </c>
      <c r="D2764" s="58" t="n">
        <v>46067.4588888889</v>
      </c>
      <c r="E2764" s="58" t="n">
        <v>46067.4588888889</v>
      </c>
      <c r="F2764" s="58" t="n">
        <v>46067.459525463</v>
      </c>
      <c r="G2764" s="59" t="n">
        <f aca="false">F2764-E2764</f>
        <v>0.000636574097222222</v>
      </c>
      <c r="H2764" s="57" t="s">
        <v>252</v>
      </c>
      <c r="I2764" s="57"/>
      <c r="J2764" s="57" t="s">
        <v>333</v>
      </c>
      <c r="K2764" s="57" t="s">
        <v>334</v>
      </c>
      <c r="L2764" s="60" t="s">
        <v>3790</v>
      </c>
      <c r="M2764" s="57" t="s">
        <v>336</v>
      </c>
      <c r="N2764" s="57" t="s">
        <v>381</v>
      </c>
      <c r="O2764" s="57" t="s">
        <v>729</v>
      </c>
      <c r="P2764" s="57" t="s">
        <v>3791</v>
      </c>
      <c r="Q2764" s="57" t="s">
        <v>698</v>
      </c>
    </row>
    <row r="2765" s="50" customFormat="true" ht="14.25" hidden="false" customHeight="true" outlineLevel="0" collapsed="false">
      <c r="A2765" s="50" t="s">
        <v>727</v>
      </c>
      <c r="B2765" s="57" t="s">
        <v>727</v>
      </c>
      <c r="C2765" s="57" t="s">
        <v>415</v>
      </c>
      <c r="D2765" s="58" t="n">
        <v>46067.4565625</v>
      </c>
      <c r="E2765" s="58" t="n">
        <v>46067.4565625</v>
      </c>
      <c r="F2765" s="58" t="n">
        <v>46067.4587152778</v>
      </c>
      <c r="G2765" s="59" t="n">
        <f aca="false">F2765-E2765</f>
        <v>0.00215277778935185</v>
      </c>
      <c r="H2765" s="57" t="s">
        <v>252</v>
      </c>
      <c r="I2765" s="57"/>
      <c r="J2765" s="57" t="s">
        <v>333</v>
      </c>
      <c r="K2765" s="57" t="s">
        <v>334</v>
      </c>
      <c r="L2765" s="60" t="s">
        <v>3792</v>
      </c>
      <c r="M2765" s="57" t="s">
        <v>336</v>
      </c>
      <c r="N2765" s="57" t="s">
        <v>381</v>
      </c>
      <c r="O2765" s="57" t="s">
        <v>729</v>
      </c>
      <c r="P2765" s="57" t="s">
        <v>3793</v>
      </c>
      <c r="Q2765" s="57" t="s">
        <v>698</v>
      </c>
    </row>
    <row r="2766" s="50" customFormat="true" ht="14.25" hidden="false" customHeight="true" outlineLevel="0" collapsed="false">
      <c r="A2766" s="50" t="s">
        <v>727</v>
      </c>
      <c r="B2766" s="57" t="s">
        <v>727</v>
      </c>
      <c r="C2766" s="57" t="s">
        <v>415</v>
      </c>
      <c r="D2766" s="58" t="n">
        <v>46067.4513541667</v>
      </c>
      <c r="E2766" s="58" t="n">
        <v>46067.4513541667</v>
      </c>
      <c r="F2766" s="58" t="n">
        <v>46067.4523611111</v>
      </c>
      <c r="G2766" s="59" t="n">
        <f aca="false">F2766-E2766</f>
        <v>0.00100694439814815</v>
      </c>
      <c r="H2766" s="57" t="s">
        <v>252</v>
      </c>
      <c r="I2766" s="57"/>
      <c r="J2766" s="57" t="s">
        <v>333</v>
      </c>
      <c r="K2766" s="57" t="s">
        <v>334</v>
      </c>
      <c r="L2766" s="60" t="s">
        <v>3794</v>
      </c>
      <c r="M2766" s="57" t="s">
        <v>336</v>
      </c>
      <c r="N2766" s="57" t="s">
        <v>381</v>
      </c>
      <c r="O2766" s="57" t="s">
        <v>729</v>
      </c>
      <c r="P2766" s="57" t="s">
        <v>3795</v>
      </c>
      <c r="Q2766" s="57" t="s">
        <v>698</v>
      </c>
    </row>
    <row r="2767" s="50" customFormat="true" ht="14.25" hidden="false" customHeight="true" outlineLevel="0" collapsed="false">
      <c r="A2767" s="50" t="s">
        <v>727</v>
      </c>
      <c r="B2767" s="57" t="s">
        <v>727</v>
      </c>
      <c r="C2767" s="57" t="s">
        <v>415</v>
      </c>
      <c r="D2767" s="58" t="n">
        <v>46067.4487268519</v>
      </c>
      <c r="E2767" s="58" t="n">
        <v>46067.4487268519</v>
      </c>
      <c r="F2767" s="58" t="n">
        <v>46067.4496064815</v>
      </c>
      <c r="G2767" s="59" t="n">
        <f aca="false">F2767-E2767</f>
        <v>0.000879629606481482</v>
      </c>
      <c r="H2767" s="57" t="s">
        <v>252</v>
      </c>
      <c r="I2767" s="57"/>
      <c r="J2767" s="57" t="s">
        <v>333</v>
      </c>
      <c r="K2767" s="57" t="s">
        <v>334</v>
      </c>
      <c r="L2767" s="60" t="s">
        <v>3796</v>
      </c>
      <c r="M2767" s="57" t="s">
        <v>336</v>
      </c>
      <c r="N2767" s="57" t="s">
        <v>381</v>
      </c>
      <c r="O2767" s="57" t="s">
        <v>729</v>
      </c>
      <c r="P2767" s="57" t="s">
        <v>3797</v>
      </c>
      <c r="Q2767" s="57" t="s">
        <v>698</v>
      </c>
    </row>
    <row r="2768" s="50" customFormat="true" ht="14.25" hidden="false" customHeight="true" outlineLevel="0" collapsed="false">
      <c r="A2768" s="50" t="s">
        <v>727</v>
      </c>
      <c r="B2768" s="57" t="s">
        <v>727</v>
      </c>
      <c r="C2768" s="57" t="s">
        <v>415</v>
      </c>
      <c r="D2768" s="58" t="n">
        <v>46067.4475578704</v>
      </c>
      <c r="E2768" s="58" t="n">
        <v>46067.4475578704</v>
      </c>
      <c r="F2768" s="58" t="n">
        <v>46067.4481018519</v>
      </c>
      <c r="G2768" s="59" t="n">
        <f aca="false">F2768-E2768</f>
        <v>0.00054398150462963</v>
      </c>
      <c r="H2768" s="57" t="s">
        <v>252</v>
      </c>
      <c r="I2768" s="57"/>
      <c r="J2768" s="57" t="s">
        <v>333</v>
      </c>
      <c r="K2768" s="57" t="s">
        <v>334</v>
      </c>
      <c r="L2768" s="60" t="s">
        <v>3798</v>
      </c>
      <c r="M2768" s="57" t="s">
        <v>336</v>
      </c>
      <c r="N2768" s="57" t="s">
        <v>381</v>
      </c>
      <c r="O2768" s="57" t="s">
        <v>729</v>
      </c>
      <c r="P2768" s="57" t="s">
        <v>3799</v>
      </c>
      <c r="Q2768" s="57" t="s">
        <v>698</v>
      </c>
    </row>
    <row r="2769" s="50" customFormat="true" ht="14.25" hidden="false" customHeight="true" outlineLevel="0" collapsed="false">
      <c r="A2769" s="50" t="s">
        <v>727</v>
      </c>
      <c r="B2769" s="57" t="s">
        <v>727</v>
      </c>
      <c r="C2769" s="57" t="s">
        <v>415</v>
      </c>
      <c r="D2769" s="58" t="n">
        <v>46067.4347453704</v>
      </c>
      <c r="E2769" s="58" t="n">
        <v>46067.4347453704</v>
      </c>
      <c r="F2769" s="58" t="n">
        <v>46067.4359027778</v>
      </c>
      <c r="G2769" s="59" t="n">
        <f aca="false">F2769-E2769</f>
        <v>0.00115740739583333</v>
      </c>
      <c r="H2769" s="57" t="s">
        <v>252</v>
      </c>
      <c r="I2769" s="57"/>
      <c r="J2769" s="57" t="s">
        <v>333</v>
      </c>
      <c r="K2769" s="57" t="s">
        <v>334</v>
      </c>
      <c r="L2769" s="60" t="s">
        <v>3800</v>
      </c>
      <c r="M2769" s="57" t="s">
        <v>336</v>
      </c>
      <c r="N2769" s="57" t="s">
        <v>381</v>
      </c>
      <c r="O2769" s="57" t="s">
        <v>729</v>
      </c>
      <c r="P2769" s="57" t="s">
        <v>3801</v>
      </c>
      <c r="Q2769" s="57" t="s">
        <v>698</v>
      </c>
    </row>
    <row r="2770" s="50" customFormat="true" ht="14.25" hidden="false" customHeight="true" outlineLevel="0" collapsed="false">
      <c r="A2770" s="50" t="s">
        <v>727</v>
      </c>
      <c r="B2770" s="57" t="s">
        <v>727</v>
      </c>
      <c r="C2770" s="57" t="s">
        <v>415</v>
      </c>
      <c r="D2770" s="58" t="n">
        <v>46067.4325578704</v>
      </c>
      <c r="E2770" s="58" t="n">
        <v>46067.4325578704</v>
      </c>
      <c r="F2770" s="58" t="n">
        <v>46067.4332175926</v>
      </c>
      <c r="G2770" s="59" t="n">
        <f aca="false">F2770-E2770</f>
        <v>0.000659722199074074</v>
      </c>
      <c r="H2770" s="57" t="s">
        <v>252</v>
      </c>
      <c r="I2770" s="57"/>
      <c r="J2770" s="57" t="s">
        <v>333</v>
      </c>
      <c r="K2770" s="57" t="s">
        <v>334</v>
      </c>
      <c r="L2770" s="60" t="s">
        <v>3802</v>
      </c>
      <c r="M2770" s="57" t="s">
        <v>336</v>
      </c>
      <c r="N2770" s="57" t="s">
        <v>381</v>
      </c>
      <c r="O2770" s="57" t="s">
        <v>729</v>
      </c>
      <c r="P2770" s="57" t="s">
        <v>3803</v>
      </c>
      <c r="Q2770" s="57" t="s">
        <v>698</v>
      </c>
    </row>
    <row r="2771" s="50" customFormat="true" ht="14.25" hidden="false" customHeight="true" outlineLevel="0" collapsed="false">
      <c r="A2771" s="50" t="s">
        <v>727</v>
      </c>
      <c r="B2771" s="57" t="s">
        <v>727</v>
      </c>
      <c r="C2771" s="57" t="s">
        <v>415</v>
      </c>
      <c r="D2771" s="58" t="n">
        <v>46067.4198263889</v>
      </c>
      <c r="E2771" s="58" t="n">
        <v>46067.4198263889</v>
      </c>
      <c r="F2771" s="58" t="n">
        <v>46067.4203703704</v>
      </c>
      <c r="G2771" s="59" t="n">
        <f aca="false">F2771-E2771</f>
        <v>0.00054398150462963</v>
      </c>
      <c r="H2771" s="57" t="s">
        <v>252</v>
      </c>
      <c r="I2771" s="57"/>
      <c r="J2771" s="57" t="s">
        <v>333</v>
      </c>
      <c r="K2771" s="57" t="s">
        <v>334</v>
      </c>
      <c r="L2771" s="60" t="s">
        <v>3804</v>
      </c>
      <c r="M2771" s="57" t="s">
        <v>336</v>
      </c>
      <c r="N2771" s="57" t="s">
        <v>381</v>
      </c>
      <c r="O2771" s="57" t="s">
        <v>729</v>
      </c>
      <c r="P2771" s="57" t="s">
        <v>3805</v>
      </c>
      <c r="Q2771" s="57" t="s">
        <v>698</v>
      </c>
    </row>
    <row r="2772" s="50" customFormat="true" ht="14.25" hidden="false" customHeight="true" outlineLevel="0" collapsed="false">
      <c r="A2772" s="50" t="s">
        <v>727</v>
      </c>
      <c r="B2772" s="57" t="s">
        <v>727</v>
      </c>
      <c r="C2772" s="57" t="s">
        <v>415</v>
      </c>
      <c r="D2772" s="58" t="n">
        <v>46067.4100115741</v>
      </c>
      <c r="E2772" s="58" t="n">
        <v>46067.4100115741</v>
      </c>
      <c r="F2772" s="58" t="n">
        <v>46067.4105671296</v>
      </c>
      <c r="G2772" s="59" t="n">
        <f aca="false">F2772-E2772</f>
        <v>0.000555555497685185</v>
      </c>
      <c r="H2772" s="57" t="s">
        <v>252</v>
      </c>
      <c r="I2772" s="57"/>
      <c r="J2772" s="57" t="s">
        <v>333</v>
      </c>
      <c r="K2772" s="57" t="s">
        <v>334</v>
      </c>
      <c r="L2772" s="60" t="s">
        <v>3806</v>
      </c>
      <c r="M2772" s="57" t="s">
        <v>336</v>
      </c>
      <c r="N2772" s="57" t="s">
        <v>381</v>
      </c>
      <c r="O2772" s="57" t="s">
        <v>729</v>
      </c>
      <c r="P2772" s="57" t="s">
        <v>3807</v>
      </c>
      <c r="Q2772" s="57" t="s">
        <v>698</v>
      </c>
    </row>
    <row r="2773" s="50" customFormat="true" ht="14.25" hidden="false" customHeight="true" outlineLevel="0" collapsed="false">
      <c r="A2773" s="50" t="s">
        <v>727</v>
      </c>
      <c r="B2773" s="57" t="s">
        <v>727</v>
      </c>
      <c r="C2773" s="57" t="s">
        <v>415</v>
      </c>
      <c r="D2773" s="58" t="n">
        <v>46067.4027777778</v>
      </c>
      <c r="E2773" s="58" t="n">
        <v>46067.4027777778</v>
      </c>
      <c r="F2773" s="58" t="n">
        <v>46067.4033217593</v>
      </c>
      <c r="G2773" s="59" t="n">
        <f aca="false">F2773-E2773</f>
        <v>0.00054398150462963</v>
      </c>
      <c r="H2773" s="57" t="s">
        <v>252</v>
      </c>
      <c r="I2773" s="57"/>
      <c r="J2773" s="57" t="s">
        <v>333</v>
      </c>
      <c r="K2773" s="57" t="s">
        <v>334</v>
      </c>
      <c r="L2773" s="60" t="s">
        <v>3808</v>
      </c>
      <c r="M2773" s="57" t="s">
        <v>336</v>
      </c>
      <c r="N2773" s="57" t="s">
        <v>381</v>
      </c>
      <c r="O2773" s="57" t="s">
        <v>729</v>
      </c>
      <c r="P2773" s="57" t="s">
        <v>3809</v>
      </c>
      <c r="Q2773" s="57" t="s">
        <v>698</v>
      </c>
    </row>
    <row r="2774" s="50" customFormat="true" ht="14.25" hidden="false" customHeight="true" outlineLevel="0" collapsed="false">
      <c r="A2774" s="50" t="s">
        <v>727</v>
      </c>
      <c r="B2774" s="57" t="s">
        <v>727</v>
      </c>
      <c r="C2774" s="57" t="s">
        <v>415</v>
      </c>
      <c r="D2774" s="58" t="n">
        <v>46067.39</v>
      </c>
      <c r="E2774" s="58" t="n">
        <v>46067.39</v>
      </c>
      <c r="F2774" s="58" t="n">
        <v>46067.3905555556</v>
      </c>
      <c r="G2774" s="59" t="n">
        <f aca="false">F2774-E2774</f>
        <v>0.000555555601851852</v>
      </c>
      <c r="H2774" s="57" t="s">
        <v>252</v>
      </c>
      <c r="I2774" s="57"/>
      <c r="J2774" s="57" t="s">
        <v>333</v>
      </c>
      <c r="K2774" s="57" t="s">
        <v>334</v>
      </c>
      <c r="L2774" s="60" t="s">
        <v>3810</v>
      </c>
      <c r="M2774" s="57" t="s">
        <v>336</v>
      </c>
      <c r="N2774" s="57" t="s">
        <v>381</v>
      </c>
      <c r="O2774" s="57" t="s">
        <v>729</v>
      </c>
      <c r="P2774" s="57" t="s">
        <v>3811</v>
      </c>
      <c r="Q2774" s="57" t="s">
        <v>698</v>
      </c>
    </row>
    <row r="2775" s="50" customFormat="true" ht="14.25" hidden="false" customHeight="true" outlineLevel="0" collapsed="false">
      <c r="A2775" s="50" t="s">
        <v>727</v>
      </c>
      <c r="B2775" s="57" t="s">
        <v>727</v>
      </c>
      <c r="C2775" s="57" t="s">
        <v>415</v>
      </c>
      <c r="D2775" s="58" t="n">
        <v>46067.3781481482</v>
      </c>
      <c r="E2775" s="58" t="n">
        <v>46067.3781481482</v>
      </c>
      <c r="F2775" s="58" t="n">
        <v>46067.3786805556</v>
      </c>
      <c r="G2775" s="59" t="n">
        <f aca="false">F2775-E2775</f>
        <v>0.000532407407407407</v>
      </c>
      <c r="H2775" s="57" t="s">
        <v>252</v>
      </c>
      <c r="I2775" s="57"/>
      <c r="J2775" s="57" t="s">
        <v>333</v>
      </c>
      <c r="K2775" s="57" t="s">
        <v>334</v>
      </c>
      <c r="L2775" s="60" t="s">
        <v>3812</v>
      </c>
      <c r="M2775" s="57" t="s">
        <v>336</v>
      </c>
      <c r="N2775" s="57" t="s">
        <v>381</v>
      </c>
      <c r="O2775" s="57" t="s">
        <v>729</v>
      </c>
      <c r="P2775" s="57" t="s">
        <v>3813</v>
      </c>
      <c r="Q2775" s="57" t="s">
        <v>698</v>
      </c>
    </row>
    <row r="2776" s="50" customFormat="true" ht="14.25" hidden="false" customHeight="true" outlineLevel="0" collapsed="false">
      <c r="A2776" s="50" t="s">
        <v>727</v>
      </c>
      <c r="B2776" s="57" t="s">
        <v>727</v>
      </c>
      <c r="C2776" s="57" t="s">
        <v>415</v>
      </c>
      <c r="D2776" s="58" t="n">
        <v>46067.3468402778</v>
      </c>
      <c r="E2776" s="58" t="n">
        <v>46067.3468402778</v>
      </c>
      <c r="F2776" s="58" t="n">
        <v>46067.3473958333</v>
      </c>
      <c r="G2776" s="59" t="n">
        <f aca="false">F2776-E2776</f>
        <v>0.000555555497685185</v>
      </c>
      <c r="H2776" s="57" t="s">
        <v>252</v>
      </c>
      <c r="I2776" s="57"/>
      <c r="J2776" s="57" t="s">
        <v>333</v>
      </c>
      <c r="K2776" s="57" t="s">
        <v>334</v>
      </c>
      <c r="L2776" s="60" t="s">
        <v>3814</v>
      </c>
      <c r="M2776" s="57" t="s">
        <v>336</v>
      </c>
      <c r="N2776" s="57" t="s">
        <v>381</v>
      </c>
      <c r="O2776" s="57" t="s">
        <v>729</v>
      </c>
      <c r="P2776" s="57" t="s">
        <v>3815</v>
      </c>
      <c r="Q2776" s="57" t="s">
        <v>698</v>
      </c>
    </row>
    <row r="2777" s="50" customFormat="true" ht="14.25" hidden="false" customHeight="true" outlineLevel="0" collapsed="false">
      <c r="A2777" s="50" t="s">
        <v>727</v>
      </c>
      <c r="B2777" s="57" t="s">
        <v>727</v>
      </c>
      <c r="C2777" s="57" t="s">
        <v>415</v>
      </c>
      <c r="D2777" s="58" t="n">
        <v>46067.335150463</v>
      </c>
      <c r="E2777" s="58" t="n">
        <v>46067.335150463</v>
      </c>
      <c r="F2777" s="58" t="n">
        <v>46067.3356597222</v>
      </c>
      <c r="G2777" s="59" t="n">
        <f aca="false">F2777-E2777</f>
        <v>0.000509259201388889</v>
      </c>
      <c r="H2777" s="57" t="s">
        <v>252</v>
      </c>
      <c r="I2777" s="57"/>
      <c r="J2777" s="57" t="s">
        <v>333</v>
      </c>
      <c r="K2777" s="57" t="s">
        <v>334</v>
      </c>
      <c r="L2777" s="60" t="s">
        <v>3816</v>
      </c>
      <c r="M2777" s="57" t="s">
        <v>336</v>
      </c>
      <c r="N2777" s="57" t="s">
        <v>381</v>
      </c>
      <c r="O2777" s="57" t="s">
        <v>729</v>
      </c>
      <c r="P2777" s="57" t="s">
        <v>3817</v>
      </c>
      <c r="Q2777" s="57" t="s">
        <v>698</v>
      </c>
    </row>
    <row r="2778" s="50" customFormat="true" ht="14.25" hidden="false" customHeight="true" outlineLevel="0" collapsed="false">
      <c r="A2778" s="50" t="s">
        <v>727</v>
      </c>
      <c r="B2778" s="57" t="s">
        <v>727</v>
      </c>
      <c r="C2778" s="57" t="s">
        <v>415</v>
      </c>
      <c r="D2778" s="58" t="n">
        <v>46067.3215277778</v>
      </c>
      <c r="E2778" s="58" t="n">
        <v>46067.3215277778</v>
      </c>
      <c r="F2778" s="58" t="n">
        <v>46067.322037037</v>
      </c>
      <c r="G2778" s="59" t="n">
        <f aca="false">F2778-E2778</f>
        <v>0.000509259201388889</v>
      </c>
      <c r="H2778" s="57" t="s">
        <v>252</v>
      </c>
      <c r="I2778" s="57"/>
      <c r="J2778" s="57" t="s">
        <v>333</v>
      </c>
      <c r="K2778" s="57" t="s">
        <v>334</v>
      </c>
      <c r="L2778" s="60" t="s">
        <v>3818</v>
      </c>
      <c r="M2778" s="57" t="s">
        <v>336</v>
      </c>
      <c r="N2778" s="57" t="s">
        <v>381</v>
      </c>
      <c r="O2778" s="57" t="s">
        <v>729</v>
      </c>
      <c r="P2778" s="57" t="s">
        <v>3819</v>
      </c>
      <c r="Q2778" s="57" t="s">
        <v>698</v>
      </c>
    </row>
    <row r="2779" s="50" customFormat="true" ht="14.25" hidden="false" customHeight="true" outlineLevel="0" collapsed="false">
      <c r="A2779" s="50" t="s">
        <v>727</v>
      </c>
      <c r="B2779" s="57" t="s">
        <v>727</v>
      </c>
      <c r="C2779" s="57" t="s">
        <v>415</v>
      </c>
      <c r="D2779" s="58" t="n">
        <v>46067.3129398148</v>
      </c>
      <c r="E2779" s="58" t="n">
        <v>46067.3129398148</v>
      </c>
      <c r="F2779" s="58" t="n">
        <v>46067.3134490741</v>
      </c>
      <c r="G2779" s="59" t="n">
        <f aca="false">F2779-E2779</f>
        <v>0.000509259293981482</v>
      </c>
      <c r="H2779" s="57" t="s">
        <v>252</v>
      </c>
      <c r="I2779" s="57"/>
      <c r="J2779" s="57" t="s">
        <v>333</v>
      </c>
      <c r="K2779" s="57" t="s">
        <v>334</v>
      </c>
      <c r="L2779" s="60" t="s">
        <v>3820</v>
      </c>
      <c r="M2779" s="57" t="s">
        <v>336</v>
      </c>
      <c r="N2779" s="57" t="s">
        <v>381</v>
      </c>
      <c r="O2779" s="57" t="s">
        <v>729</v>
      </c>
      <c r="P2779" s="57" t="s">
        <v>3821</v>
      </c>
      <c r="Q2779" s="57" t="s">
        <v>698</v>
      </c>
    </row>
    <row r="2780" s="50" customFormat="true" ht="14.25" hidden="false" customHeight="true" outlineLevel="0" collapsed="false">
      <c r="A2780" s="50" t="s">
        <v>727</v>
      </c>
      <c r="B2780" s="57" t="s">
        <v>727</v>
      </c>
      <c r="C2780" s="57" t="s">
        <v>415</v>
      </c>
      <c r="D2780" s="58" t="n">
        <v>46067.2964583333</v>
      </c>
      <c r="E2780" s="58" t="n">
        <v>46067.2964583333</v>
      </c>
      <c r="F2780" s="58" t="n">
        <v>46067.2969791667</v>
      </c>
      <c r="G2780" s="59" t="n">
        <f aca="false">F2780-E2780</f>
        <v>0.000520833391203704</v>
      </c>
      <c r="H2780" s="57" t="s">
        <v>252</v>
      </c>
      <c r="I2780" s="57"/>
      <c r="J2780" s="57" t="s">
        <v>333</v>
      </c>
      <c r="K2780" s="57" t="s">
        <v>334</v>
      </c>
      <c r="L2780" s="60" t="s">
        <v>3822</v>
      </c>
      <c r="M2780" s="57" t="s">
        <v>336</v>
      </c>
      <c r="N2780" s="57" t="s">
        <v>381</v>
      </c>
      <c r="O2780" s="57" t="s">
        <v>729</v>
      </c>
      <c r="P2780" s="57" t="s">
        <v>3823</v>
      </c>
      <c r="Q2780" s="57" t="s">
        <v>698</v>
      </c>
    </row>
    <row r="2781" s="50" customFormat="true" ht="14.25" hidden="false" customHeight="true" outlineLevel="0" collapsed="false">
      <c r="A2781" s="50" t="s">
        <v>727</v>
      </c>
      <c r="B2781" s="57" t="s">
        <v>727</v>
      </c>
      <c r="C2781" s="57" t="s">
        <v>415</v>
      </c>
      <c r="D2781" s="58" t="n">
        <v>46067.2874537037</v>
      </c>
      <c r="E2781" s="58" t="n">
        <v>46067.2874537037</v>
      </c>
      <c r="F2781" s="58" t="n">
        <v>46067.287974537</v>
      </c>
      <c r="G2781" s="59" t="n">
        <f aca="false">F2781-E2781</f>
        <v>0.000520833298611111</v>
      </c>
      <c r="H2781" s="57" t="s">
        <v>252</v>
      </c>
      <c r="I2781" s="57"/>
      <c r="J2781" s="57" t="s">
        <v>333</v>
      </c>
      <c r="K2781" s="57" t="s">
        <v>334</v>
      </c>
      <c r="L2781" s="60" t="s">
        <v>3824</v>
      </c>
      <c r="M2781" s="57" t="s">
        <v>336</v>
      </c>
      <c r="N2781" s="57" t="s">
        <v>381</v>
      </c>
      <c r="O2781" s="57" t="s">
        <v>729</v>
      </c>
      <c r="P2781" s="57" t="s">
        <v>3825</v>
      </c>
      <c r="Q2781" s="57" t="s">
        <v>698</v>
      </c>
    </row>
    <row r="2782" s="50" customFormat="true" ht="14.25" hidden="false" customHeight="true" outlineLevel="0" collapsed="false">
      <c r="A2782" s="50" t="s">
        <v>727</v>
      </c>
      <c r="B2782" s="57" t="s">
        <v>727</v>
      </c>
      <c r="C2782" s="57" t="s">
        <v>415</v>
      </c>
      <c r="D2782" s="58" t="n">
        <v>46067.2788078704</v>
      </c>
      <c r="E2782" s="58" t="n">
        <v>46067.2788078704</v>
      </c>
      <c r="F2782" s="58" t="n">
        <v>46067.2793402778</v>
      </c>
      <c r="G2782" s="59" t="n">
        <f aca="false">F2782-E2782</f>
        <v>0.000532407395833333</v>
      </c>
      <c r="H2782" s="57" t="s">
        <v>252</v>
      </c>
      <c r="I2782" s="57"/>
      <c r="J2782" s="57" t="s">
        <v>333</v>
      </c>
      <c r="K2782" s="57" t="s">
        <v>334</v>
      </c>
      <c r="L2782" s="60" t="s">
        <v>3826</v>
      </c>
      <c r="M2782" s="57" t="s">
        <v>336</v>
      </c>
      <c r="N2782" s="57" t="s">
        <v>381</v>
      </c>
      <c r="O2782" s="57" t="s">
        <v>729</v>
      </c>
      <c r="P2782" s="57" t="s">
        <v>3827</v>
      </c>
      <c r="Q2782" s="57" t="s">
        <v>698</v>
      </c>
    </row>
    <row r="2783" s="50" customFormat="true" ht="14.25" hidden="false" customHeight="true" outlineLevel="0" collapsed="false">
      <c r="A2783" s="50" t="s">
        <v>727</v>
      </c>
      <c r="B2783" s="57" t="s">
        <v>727</v>
      </c>
      <c r="C2783" s="57" t="s">
        <v>415</v>
      </c>
      <c r="D2783" s="58" t="n">
        <v>46067.2709490741</v>
      </c>
      <c r="E2783" s="58" t="n">
        <v>46067.2709490741</v>
      </c>
      <c r="F2783" s="58" t="n">
        <v>46067.2715162037</v>
      </c>
      <c r="G2783" s="59" t="n">
        <f aca="false">F2783-E2783</f>
        <v>0.000567129594907407</v>
      </c>
      <c r="H2783" s="57" t="s">
        <v>252</v>
      </c>
      <c r="I2783" s="57"/>
      <c r="J2783" s="57" t="s">
        <v>333</v>
      </c>
      <c r="K2783" s="57" t="s">
        <v>334</v>
      </c>
      <c r="L2783" s="60" t="s">
        <v>3828</v>
      </c>
      <c r="M2783" s="57" t="s">
        <v>336</v>
      </c>
      <c r="N2783" s="57" t="s">
        <v>381</v>
      </c>
      <c r="O2783" s="57" t="s">
        <v>729</v>
      </c>
      <c r="P2783" s="57" t="s">
        <v>3829</v>
      </c>
      <c r="Q2783" s="57" t="s">
        <v>698</v>
      </c>
    </row>
    <row r="2784" s="50" customFormat="true" ht="14.25" hidden="false" customHeight="true" outlineLevel="0" collapsed="false">
      <c r="A2784" s="50" t="s">
        <v>727</v>
      </c>
      <c r="B2784" s="57" t="s">
        <v>727</v>
      </c>
      <c r="C2784" s="57" t="s">
        <v>415</v>
      </c>
      <c r="D2784" s="58" t="n">
        <v>46067.2559375</v>
      </c>
      <c r="E2784" s="58" t="n">
        <v>46067.2559375</v>
      </c>
      <c r="F2784" s="58" t="n">
        <v>46067.2564583333</v>
      </c>
      <c r="G2784" s="59" t="n">
        <f aca="false">F2784-E2784</f>
        <v>0.000520833298611111</v>
      </c>
      <c r="H2784" s="57" t="s">
        <v>252</v>
      </c>
      <c r="I2784" s="57"/>
      <c r="J2784" s="57" t="s">
        <v>333</v>
      </c>
      <c r="K2784" s="57" t="s">
        <v>334</v>
      </c>
      <c r="L2784" s="60" t="s">
        <v>3830</v>
      </c>
      <c r="M2784" s="57" t="s">
        <v>336</v>
      </c>
      <c r="N2784" s="57" t="s">
        <v>381</v>
      </c>
      <c r="O2784" s="57" t="s">
        <v>729</v>
      </c>
      <c r="P2784" s="57" t="s">
        <v>3831</v>
      </c>
      <c r="Q2784" s="57" t="s">
        <v>698</v>
      </c>
    </row>
    <row r="2785" s="50" customFormat="true" ht="14.25" hidden="false" customHeight="true" outlineLevel="0" collapsed="false">
      <c r="A2785" s="50" t="s">
        <v>727</v>
      </c>
      <c r="B2785" s="57" t="s">
        <v>727</v>
      </c>
      <c r="C2785" s="57" t="s">
        <v>415</v>
      </c>
      <c r="D2785" s="58" t="n">
        <v>46067.2360416667</v>
      </c>
      <c r="E2785" s="58" t="n">
        <v>46067.2360416667</v>
      </c>
      <c r="F2785" s="58" t="n">
        <v>46067.2557638889</v>
      </c>
      <c r="G2785" s="59" t="n">
        <f aca="false">F2785-E2785</f>
        <v>0.0197222221990741</v>
      </c>
      <c r="H2785" s="57" t="s">
        <v>252</v>
      </c>
      <c r="I2785" s="57"/>
      <c r="J2785" s="57" t="s">
        <v>333</v>
      </c>
      <c r="K2785" s="57" t="s">
        <v>334</v>
      </c>
      <c r="L2785" s="60" t="s">
        <v>3832</v>
      </c>
      <c r="M2785" s="57" t="s">
        <v>336</v>
      </c>
      <c r="N2785" s="57" t="s">
        <v>381</v>
      </c>
      <c r="O2785" s="57" t="s">
        <v>729</v>
      </c>
      <c r="P2785" s="57" t="s">
        <v>3833</v>
      </c>
      <c r="Q2785" s="57" t="s">
        <v>698</v>
      </c>
    </row>
    <row r="2786" s="50" customFormat="true" ht="14.25" hidden="false" customHeight="true" outlineLevel="0" collapsed="false">
      <c r="A2786" s="50" t="s">
        <v>727</v>
      </c>
      <c r="B2786" s="57" t="s">
        <v>727</v>
      </c>
      <c r="C2786" s="57" t="s">
        <v>415</v>
      </c>
      <c r="D2786" s="58" t="n">
        <v>46067.235625</v>
      </c>
      <c r="E2786" s="58" t="n">
        <v>46067.235625</v>
      </c>
      <c r="F2786" s="58" t="n">
        <v>46067.2557638889</v>
      </c>
      <c r="G2786" s="59" t="n">
        <f aca="false">F2786-E2786</f>
        <v>0.0201388888888889</v>
      </c>
      <c r="H2786" s="57" t="s">
        <v>252</v>
      </c>
      <c r="I2786" s="57"/>
      <c r="J2786" s="57" t="s">
        <v>333</v>
      </c>
      <c r="K2786" s="57" t="s">
        <v>334</v>
      </c>
      <c r="L2786" s="60" t="s">
        <v>3834</v>
      </c>
      <c r="M2786" s="57" t="s">
        <v>336</v>
      </c>
      <c r="N2786" s="57" t="s">
        <v>381</v>
      </c>
      <c r="O2786" s="57" t="s">
        <v>729</v>
      </c>
      <c r="P2786" s="57" t="s">
        <v>3835</v>
      </c>
      <c r="Q2786" s="57" t="s">
        <v>698</v>
      </c>
    </row>
    <row r="2787" s="50" customFormat="true" ht="14.25" hidden="false" customHeight="true" outlineLevel="0" collapsed="false">
      <c r="A2787" s="50" t="s">
        <v>727</v>
      </c>
      <c r="B2787" s="57" t="s">
        <v>727</v>
      </c>
      <c r="C2787" s="57" t="s">
        <v>415</v>
      </c>
      <c r="D2787" s="58" t="n">
        <v>46066.7644212963</v>
      </c>
      <c r="E2787" s="58" t="n">
        <v>46066.7644212963</v>
      </c>
      <c r="F2787" s="58" t="n">
        <v>46066.7897453704</v>
      </c>
      <c r="G2787" s="59" t="n">
        <f aca="false">F2787-E2787</f>
        <v>0.0253240740972222</v>
      </c>
      <c r="H2787" s="57" t="s">
        <v>252</v>
      </c>
      <c r="I2787" s="57"/>
      <c r="J2787" s="57" t="s">
        <v>333</v>
      </c>
      <c r="K2787" s="57" t="s">
        <v>334</v>
      </c>
      <c r="L2787" s="60" t="s">
        <v>3836</v>
      </c>
      <c r="M2787" s="57" t="s">
        <v>336</v>
      </c>
      <c r="N2787" s="57" t="s">
        <v>381</v>
      </c>
      <c r="O2787" s="57" t="s">
        <v>729</v>
      </c>
      <c r="P2787" s="57" t="s">
        <v>3837</v>
      </c>
      <c r="Q2787" s="57" t="s">
        <v>698</v>
      </c>
    </row>
    <row r="2788" s="50" customFormat="true" ht="14.25" hidden="false" customHeight="true" outlineLevel="0" collapsed="false">
      <c r="A2788" s="50" t="s">
        <v>727</v>
      </c>
      <c r="B2788" s="57" t="s">
        <v>727</v>
      </c>
      <c r="C2788" s="57" t="s">
        <v>415</v>
      </c>
      <c r="D2788" s="58" t="n">
        <v>46066.7637384259</v>
      </c>
      <c r="E2788" s="58" t="n">
        <v>46066.7637384259</v>
      </c>
      <c r="F2788" s="58" t="n">
        <v>46066.7642361111</v>
      </c>
      <c r="G2788" s="59" t="n">
        <f aca="false">F2788-E2788</f>
        <v>0.000497685196759259</v>
      </c>
      <c r="H2788" s="57" t="s">
        <v>252</v>
      </c>
      <c r="I2788" s="57"/>
      <c r="J2788" s="57" t="s">
        <v>333</v>
      </c>
      <c r="K2788" s="57" t="s">
        <v>334</v>
      </c>
      <c r="L2788" s="60" t="s">
        <v>3838</v>
      </c>
      <c r="M2788" s="57" t="s">
        <v>336</v>
      </c>
      <c r="N2788" s="57" t="s">
        <v>381</v>
      </c>
      <c r="O2788" s="57" t="s">
        <v>729</v>
      </c>
      <c r="P2788" s="57" t="s">
        <v>3839</v>
      </c>
      <c r="Q2788" s="57" t="s">
        <v>698</v>
      </c>
    </row>
    <row r="2789" s="50" customFormat="true" ht="14.25" hidden="false" customHeight="true" outlineLevel="0" collapsed="false">
      <c r="A2789" s="50" t="s">
        <v>727</v>
      </c>
      <c r="B2789" s="57" t="s">
        <v>727</v>
      </c>
      <c r="C2789" s="57" t="s">
        <v>415</v>
      </c>
      <c r="D2789" s="58" t="n">
        <v>46066.7630439815</v>
      </c>
      <c r="E2789" s="58" t="n">
        <v>46066.7630439815</v>
      </c>
      <c r="F2789" s="58" t="n">
        <v>46066.7635763889</v>
      </c>
      <c r="G2789" s="59" t="n">
        <f aca="false">F2789-E2789</f>
        <v>0.000532407407407407</v>
      </c>
      <c r="H2789" s="57" t="s">
        <v>252</v>
      </c>
      <c r="I2789" s="57"/>
      <c r="J2789" s="57" t="s">
        <v>333</v>
      </c>
      <c r="K2789" s="57" t="s">
        <v>334</v>
      </c>
      <c r="L2789" s="60" t="s">
        <v>3840</v>
      </c>
      <c r="M2789" s="57" t="s">
        <v>336</v>
      </c>
      <c r="N2789" s="57" t="s">
        <v>381</v>
      </c>
      <c r="O2789" s="57" t="s">
        <v>729</v>
      </c>
      <c r="P2789" s="57" t="s">
        <v>3841</v>
      </c>
      <c r="Q2789" s="57" t="s">
        <v>698</v>
      </c>
    </row>
    <row r="2790" s="50" customFormat="true" ht="14.25" hidden="false" customHeight="true" outlineLevel="0" collapsed="false">
      <c r="A2790" s="50" t="s">
        <v>727</v>
      </c>
      <c r="B2790" s="57" t="s">
        <v>727</v>
      </c>
      <c r="C2790" s="57" t="s">
        <v>415</v>
      </c>
      <c r="D2790" s="58" t="n">
        <v>46066.7623726852</v>
      </c>
      <c r="E2790" s="58" t="n">
        <v>46066.7623726852</v>
      </c>
      <c r="F2790" s="58" t="n">
        <v>46066.7628703704</v>
      </c>
      <c r="G2790" s="59" t="n">
        <f aca="false">F2790-E2790</f>
        <v>0.000497685196759259</v>
      </c>
      <c r="H2790" s="57" t="s">
        <v>252</v>
      </c>
      <c r="I2790" s="57"/>
      <c r="J2790" s="57" t="s">
        <v>333</v>
      </c>
      <c r="K2790" s="57" t="s">
        <v>334</v>
      </c>
      <c r="L2790" s="60" t="s">
        <v>3842</v>
      </c>
      <c r="M2790" s="57" t="s">
        <v>336</v>
      </c>
      <c r="N2790" s="57" t="s">
        <v>381</v>
      </c>
      <c r="O2790" s="57" t="s">
        <v>729</v>
      </c>
      <c r="P2790" s="57" t="s">
        <v>3843</v>
      </c>
      <c r="Q2790" s="57" t="s">
        <v>698</v>
      </c>
    </row>
    <row r="2791" s="50" customFormat="true" ht="14.25" hidden="false" customHeight="true" outlineLevel="0" collapsed="false">
      <c r="A2791" s="50" t="s">
        <v>727</v>
      </c>
      <c r="B2791" s="57" t="s">
        <v>727</v>
      </c>
      <c r="C2791" s="57" t="s">
        <v>415</v>
      </c>
      <c r="D2791" s="58" t="n">
        <v>46066.7616666667</v>
      </c>
      <c r="E2791" s="58" t="n">
        <v>46066.7616666667</v>
      </c>
      <c r="F2791" s="58" t="n">
        <v>46066.7621875</v>
      </c>
      <c r="G2791" s="59" t="n">
        <f aca="false">F2791-E2791</f>
        <v>0.000520833298611111</v>
      </c>
      <c r="H2791" s="57" t="s">
        <v>252</v>
      </c>
      <c r="I2791" s="57"/>
      <c r="J2791" s="57" t="s">
        <v>333</v>
      </c>
      <c r="K2791" s="57" t="s">
        <v>334</v>
      </c>
      <c r="L2791" s="60" t="s">
        <v>3844</v>
      </c>
      <c r="M2791" s="57" t="s">
        <v>336</v>
      </c>
      <c r="N2791" s="57" t="s">
        <v>381</v>
      </c>
      <c r="O2791" s="57" t="s">
        <v>729</v>
      </c>
      <c r="P2791" s="57" t="s">
        <v>3845</v>
      </c>
      <c r="Q2791" s="57" t="s">
        <v>698</v>
      </c>
    </row>
    <row r="2792" s="50" customFormat="true" ht="14.25" hidden="false" customHeight="true" outlineLevel="0" collapsed="false">
      <c r="A2792" s="50" t="s">
        <v>727</v>
      </c>
      <c r="B2792" s="57" t="s">
        <v>727</v>
      </c>
      <c r="C2792" s="57" t="s">
        <v>415</v>
      </c>
      <c r="D2792" s="58" t="n">
        <v>46066.7609722222</v>
      </c>
      <c r="E2792" s="58" t="n">
        <v>46066.7609722222</v>
      </c>
      <c r="F2792" s="58" t="n">
        <v>46066.7615046296</v>
      </c>
      <c r="G2792" s="59" t="n">
        <f aca="false">F2792-E2792</f>
        <v>0.000532407407407407</v>
      </c>
      <c r="H2792" s="57" t="s">
        <v>252</v>
      </c>
      <c r="I2792" s="57"/>
      <c r="J2792" s="57" t="s">
        <v>333</v>
      </c>
      <c r="K2792" s="57" t="s">
        <v>334</v>
      </c>
      <c r="L2792" s="60" t="s">
        <v>3846</v>
      </c>
      <c r="M2792" s="57" t="s">
        <v>336</v>
      </c>
      <c r="N2792" s="57" t="s">
        <v>381</v>
      </c>
      <c r="O2792" s="57" t="s">
        <v>729</v>
      </c>
      <c r="P2792" s="57" t="s">
        <v>3847</v>
      </c>
      <c r="Q2792" s="57" t="s">
        <v>698</v>
      </c>
    </row>
    <row r="2793" s="50" customFormat="true" ht="14.25" hidden="false" customHeight="true" outlineLevel="0" collapsed="false">
      <c r="A2793" s="50" t="s">
        <v>727</v>
      </c>
      <c r="B2793" s="57" t="s">
        <v>727</v>
      </c>
      <c r="C2793" s="57" t="s">
        <v>415</v>
      </c>
      <c r="D2793" s="58" t="n">
        <v>46066.7109722222</v>
      </c>
      <c r="E2793" s="58" t="n">
        <v>46066.7109722222</v>
      </c>
      <c r="F2793" s="58" t="n">
        <v>46066.7115046296</v>
      </c>
      <c r="G2793" s="59" t="n">
        <f aca="false">F2793-E2793</f>
        <v>0.000532407407407407</v>
      </c>
      <c r="H2793" s="57" t="s">
        <v>252</v>
      </c>
      <c r="I2793" s="57"/>
      <c r="J2793" s="57" t="s">
        <v>333</v>
      </c>
      <c r="K2793" s="57" t="s">
        <v>334</v>
      </c>
      <c r="L2793" s="60" t="s">
        <v>3848</v>
      </c>
      <c r="M2793" s="57" t="s">
        <v>336</v>
      </c>
      <c r="N2793" s="57" t="s">
        <v>381</v>
      </c>
      <c r="O2793" s="57" t="s">
        <v>729</v>
      </c>
      <c r="P2793" s="57" t="s">
        <v>3849</v>
      </c>
      <c r="Q2793" s="57" t="s">
        <v>698</v>
      </c>
    </row>
    <row r="2794" s="50" customFormat="true" ht="14.25" hidden="false" customHeight="true" outlineLevel="0" collapsed="false">
      <c r="A2794" s="50" t="s">
        <v>727</v>
      </c>
      <c r="B2794" s="57" t="s">
        <v>727</v>
      </c>
      <c r="C2794" s="57" t="s">
        <v>415</v>
      </c>
      <c r="D2794" s="58" t="n">
        <v>46066.6706944444</v>
      </c>
      <c r="E2794" s="58" t="n">
        <v>46066.6706944444</v>
      </c>
      <c r="F2794" s="58" t="n">
        <v>46066.6741666667</v>
      </c>
      <c r="G2794" s="59" t="n">
        <f aca="false">F2794-E2794</f>
        <v>0.00347222230324074</v>
      </c>
      <c r="H2794" s="57" t="s">
        <v>252</v>
      </c>
      <c r="I2794" s="57"/>
      <c r="J2794" s="57" t="s">
        <v>333</v>
      </c>
      <c r="K2794" s="57" t="s">
        <v>334</v>
      </c>
      <c r="L2794" s="60" t="s">
        <v>3850</v>
      </c>
      <c r="M2794" s="57" t="s">
        <v>336</v>
      </c>
      <c r="N2794" s="57" t="s">
        <v>381</v>
      </c>
      <c r="O2794" s="57" t="s">
        <v>729</v>
      </c>
      <c r="P2794" s="57" t="s">
        <v>3851</v>
      </c>
      <c r="Q2794" s="57" t="s">
        <v>698</v>
      </c>
    </row>
    <row r="2795" s="50" customFormat="true" ht="14.25" hidden="false" customHeight="true" outlineLevel="0" collapsed="false">
      <c r="A2795" s="50" t="s">
        <v>727</v>
      </c>
      <c r="B2795" s="57" t="s">
        <v>727</v>
      </c>
      <c r="C2795" s="57" t="s">
        <v>415</v>
      </c>
      <c r="D2795" s="58" t="n">
        <v>46066.6366319444</v>
      </c>
      <c r="E2795" s="58" t="n">
        <v>46066.6366319444</v>
      </c>
      <c r="F2795" s="58" t="n">
        <v>46066.6371643519</v>
      </c>
      <c r="G2795" s="59" t="n">
        <f aca="false">F2795-E2795</f>
        <v>0.0005324075</v>
      </c>
      <c r="H2795" s="57" t="s">
        <v>252</v>
      </c>
      <c r="I2795" s="57"/>
      <c r="J2795" s="57" t="s">
        <v>333</v>
      </c>
      <c r="K2795" s="57" t="s">
        <v>334</v>
      </c>
      <c r="L2795" s="60" t="s">
        <v>3852</v>
      </c>
      <c r="M2795" s="57" t="s">
        <v>336</v>
      </c>
      <c r="N2795" s="57" t="s">
        <v>381</v>
      </c>
      <c r="O2795" s="57" t="s">
        <v>729</v>
      </c>
      <c r="P2795" s="57" t="s">
        <v>3853</v>
      </c>
      <c r="Q2795" s="57" t="s">
        <v>698</v>
      </c>
    </row>
    <row r="2796" s="50" customFormat="true" ht="14.25" hidden="false" customHeight="true" outlineLevel="0" collapsed="false">
      <c r="A2796" s="50" t="s">
        <v>727</v>
      </c>
      <c r="B2796" s="57" t="s">
        <v>727</v>
      </c>
      <c r="C2796" s="57" t="s">
        <v>415</v>
      </c>
      <c r="D2796" s="58" t="n">
        <v>46066.6240740741</v>
      </c>
      <c r="E2796" s="58" t="n">
        <v>46066.6240740741</v>
      </c>
      <c r="F2796" s="58" t="n">
        <v>46066.6283796296</v>
      </c>
      <c r="G2796" s="59" t="n">
        <f aca="false">F2796-E2796</f>
        <v>0.00430555549768519</v>
      </c>
      <c r="H2796" s="57" t="s">
        <v>252</v>
      </c>
      <c r="I2796" s="57"/>
      <c r="J2796" s="57" t="s">
        <v>333</v>
      </c>
      <c r="K2796" s="57" t="s">
        <v>334</v>
      </c>
      <c r="L2796" s="60" t="s">
        <v>3854</v>
      </c>
      <c r="M2796" s="57" t="s">
        <v>336</v>
      </c>
      <c r="N2796" s="57" t="s">
        <v>381</v>
      </c>
      <c r="O2796" s="57" t="s">
        <v>729</v>
      </c>
      <c r="P2796" s="57" t="s">
        <v>3855</v>
      </c>
      <c r="Q2796" s="57" t="s">
        <v>698</v>
      </c>
    </row>
    <row r="2797" s="50" customFormat="true" ht="14.25" hidden="false" customHeight="true" outlineLevel="0" collapsed="false">
      <c r="A2797" s="50" t="s">
        <v>727</v>
      </c>
      <c r="B2797" s="57" t="s">
        <v>727</v>
      </c>
      <c r="C2797" s="57" t="s">
        <v>415</v>
      </c>
      <c r="D2797" s="58" t="n">
        <v>46066.6208912037</v>
      </c>
      <c r="E2797" s="58" t="n">
        <v>46066.6208912037</v>
      </c>
      <c r="F2797" s="58" t="n">
        <v>46066.6222685185</v>
      </c>
      <c r="G2797" s="59" t="n">
        <f aca="false">F2797-E2797</f>
        <v>0.00137731480324074</v>
      </c>
      <c r="H2797" s="57" t="s">
        <v>252</v>
      </c>
      <c r="I2797" s="57"/>
      <c r="J2797" s="57" t="s">
        <v>333</v>
      </c>
      <c r="K2797" s="57" t="s">
        <v>334</v>
      </c>
      <c r="L2797" s="60" t="s">
        <v>3856</v>
      </c>
      <c r="M2797" s="57" t="s">
        <v>336</v>
      </c>
      <c r="N2797" s="57" t="s">
        <v>381</v>
      </c>
      <c r="O2797" s="57" t="s">
        <v>729</v>
      </c>
      <c r="P2797" s="57" t="s">
        <v>3857</v>
      </c>
      <c r="Q2797" s="57" t="s">
        <v>698</v>
      </c>
    </row>
    <row r="2798" s="50" customFormat="true" ht="14.25" hidden="false" customHeight="true" outlineLevel="0" collapsed="false">
      <c r="A2798" s="50" t="s">
        <v>727</v>
      </c>
      <c r="B2798" s="57" t="s">
        <v>727</v>
      </c>
      <c r="C2798" s="57" t="s">
        <v>415</v>
      </c>
      <c r="D2798" s="58" t="n">
        <v>46066.6182060185</v>
      </c>
      <c r="E2798" s="58" t="n">
        <v>46066.6182060185</v>
      </c>
      <c r="F2798" s="58" t="n">
        <v>46066.6200231482</v>
      </c>
      <c r="G2798" s="59" t="n">
        <f aca="false">F2798-E2798</f>
        <v>0.00181712969907407</v>
      </c>
      <c r="H2798" s="57" t="s">
        <v>252</v>
      </c>
      <c r="I2798" s="57"/>
      <c r="J2798" s="57" t="s">
        <v>333</v>
      </c>
      <c r="K2798" s="57" t="s">
        <v>334</v>
      </c>
      <c r="L2798" s="60" t="s">
        <v>3858</v>
      </c>
      <c r="M2798" s="57" t="s">
        <v>336</v>
      </c>
      <c r="N2798" s="57" t="s">
        <v>381</v>
      </c>
      <c r="O2798" s="57" t="s">
        <v>729</v>
      </c>
      <c r="P2798" s="57" t="s">
        <v>3859</v>
      </c>
      <c r="Q2798" s="57" t="s">
        <v>698</v>
      </c>
    </row>
    <row r="2799" s="50" customFormat="true" ht="14.25" hidden="false" customHeight="true" outlineLevel="0" collapsed="false">
      <c r="A2799" s="50" t="s">
        <v>727</v>
      </c>
      <c r="B2799" s="57" t="s">
        <v>727</v>
      </c>
      <c r="C2799" s="57" t="s">
        <v>415</v>
      </c>
      <c r="D2799" s="58" t="n">
        <v>46066.5997337963</v>
      </c>
      <c r="E2799" s="58" t="n">
        <v>46066.5997337963</v>
      </c>
      <c r="F2799" s="58" t="n">
        <v>46066.6018865741</v>
      </c>
      <c r="G2799" s="59" t="n">
        <f aca="false">F2799-E2799</f>
        <v>0.00215277780092593</v>
      </c>
      <c r="H2799" s="57" t="s">
        <v>252</v>
      </c>
      <c r="I2799" s="57"/>
      <c r="J2799" s="57" t="s">
        <v>333</v>
      </c>
      <c r="K2799" s="57" t="s">
        <v>334</v>
      </c>
      <c r="L2799" s="60" t="s">
        <v>3860</v>
      </c>
      <c r="M2799" s="57" t="s">
        <v>336</v>
      </c>
      <c r="N2799" s="57" t="s">
        <v>381</v>
      </c>
      <c r="O2799" s="57" t="s">
        <v>729</v>
      </c>
      <c r="P2799" s="57" t="s">
        <v>3861</v>
      </c>
      <c r="Q2799" s="57" t="s">
        <v>698</v>
      </c>
    </row>
    <row r="2800" s="50" customFormat="true" ht="14.25" hidden="false" customHeight="true" outlineLevel="0" collapsed="false">
      <c r="A2800" s="50" t="s">
        <v>727</v>
      </c>
      <c r="B2800" s="57" t="s">
        <v>727</v>
      </c>
      <c r="C2800" s="57" t="s">
        <v>415</v>
      </c>
      <c r="D2800" s="58" t="n">
        <v>46066.594837963</v>
      </c>
      <c r="E2800" s="58" t="n">
        <v>46066.594837963</v>
      </c>
      <c r="F2800" s="58" t="n">
        <v>46066.5953703704</v>
      </c>
      <c r="G2800" s="59" t="n">
        <f aca="false">F2800-E2800</f>
        <v>0.000532407407407407</v>
      </c>
      <c r="H2800" s="57" t="s">
        <v>252</v>
      </c>
      <c r="I2800" s="57"/>
      <c r="J2800" s="57" t="s">
        <v>333</v>
      </c>
      <c r="K2800" s="57" t="s">
        <v>334</v>
      </c>
      <c r="L2800" s="60" t="s">
        <v>3862</v>
      </c>
      <c r="M2800" s="57" t="s">
        <v>336</v>
      </c>
      <c r="N2800" s="57" t="s">
        <v>381</v>
      </c>
      <c r="O2800" s="57" t="s">
        <v>729</v>
      </c>
      <c r="P2800" s="57" t="s">
        <v>3863</v>
      </c>
      <c r="Q2800" s="57" t="s">
        <v>698</v>
      </c>
    </row>
    <row r="2801" s="50" customFormat="true" ht="14.25" hidden="false" customHeight="true" outlineLevel="0" collapsed="false">
      <c r="A2801" s="50" t="s">
        <v>727</v>
      </c>
      <c r="B2801" s="57" t="s">
        <v>727</v>
      </c>
      <c r="C2801" s="57" t="s">
        <v>415</v>
      </c>
      <c r="D2801" s="58" t="n">
        <v>46066.5674074074</v>
      </c>
      <c r="E2801" s="58" t="n">
        <v>46066.5674074074</v>
      </c>
      <c r="F2801" s="58" t="n">
        <v>46066.5679513889</v>
      </c>
      <c r="G2801" s="59" t="n">
        <f aca="false">F2801-E2801</f>
        <v>0.00054398150462963</v>
      </c>
      <c r="H2801" s="57" t="s">
        <v>252</v>
      </c>
      <c r="I2801" s="57"/>
      <c r="J2801" s="57" t="s">
        <v>333</v>
      </c>
      <c r="K2801" s="57" t="s">
        <v>334</v>
      </c>
      <c r="L2801" s="60" t="s">
        <v>3864</v>
      </c>
      <c r="M2801" s="57" t="s">
        <v>336</v>
      </c>
      <c r="N2801" s="57" t="s">
        <v>381</v>
      </c>
      <c r="O2801" s="57" t="s">
        <v>729</v>
      </c>
      <c r="P2801" s="57" t="s">
        <v>3865</v>
      </c>
      <c r="Q2801" s="57" t="s">
        <v>698</v>
      </c>
    </row>
    <row r="2802" s="50" customFormat="true" ht="14.25" hidden="false" customHeight="true" outlineLevel="0" collapsed="false">
      <c r="A2802" s="50" t="s">
        <v>727</v>
      </c>
      <c r="B2802" s="57" t="s">
        <v>727</v>
      </c>
      <c r="C2802" s="57" t="s">
        <v>415</v>
      </c>
      <c r="D2802" s="58" t="n">
        <v>46066.5523263889</v>
      </c>
      <c r="E2802" s="58" t="n">
        <v>46066.5523263889</v>
      </c>
      <c r="F2802" s="58" t="n">
        <v>46066.5555787037</v>
      </c>
      <c r="G2802" s="59" t="n">
        <f aca="false">F2802-E2802</f>
        <v>0.00325231481481481</v>
      </c>
      <c r="H2802" s="57" t="s">
        <v>252</v>
      </c>
      <c r="I2802" s="57"/>
      <c r="J2802" s="57" t="s">
        <v>333</v>
      </c>
      <c r="K2802" s="57" t="s">
        <v>334</v>
      </c>
      <c r="L2802" s="60" t="s">
        <v>3866</v>
      </c>
      <c r="M2802" s="57" t="s">
        <v>336</v>
      </c>
      <c r="N2802" s="57" t="s">
        <v>381</v>
      </c>
      <c r="O2802" s="57" t="s">
        <v>729</v>
      </c>
      <c r="P2802" s="57" t="s">
        <v>3867</v>
      </c>
      <c r="Q2802" s="57" t="s">
        <v>698</v>
      </c>
    </row>
    <row r="2803" s="50" customFormat="true" ht="14.25" hidden="false" customHeight="true" outlineLevel="0" collapsed="false">
      <c r="A2803" s="50" t="s">
        <v>727</v>
      </c>
      <c r="B2803" s="57" t="s">
        <v>727</v>
      </c>
      <c r="C2803" s="57" t="s">
        <v>415</v>
      </c>
      <c r="D2803" s="58" t="n">
        <v>46066.5496180556</v>
      </c>
      <c r="E2803" s="58" t="n">
        <v>46066.5496180556</v>
      </c>
      <c r="F2803" s="58" t="n">
        <v>46066.550150463</v>
      </c>
      <c r="G2803" s="59" t="n">
        <f aca="false">F2803-E2803</f>
        <v>0.000532407407407407</v>
      </c>
      <c r="H2803" s="57" t="s">
        <v>252</v>
      </c>
      <c r="I2803" s="57"/>
      <c r="J2803" s="57" t="s">
        <v>333</v>
      </c>
      <c r="K2803" s="57" t="s">
        <v>334</v>
      </c>
      <c r="L2803" s="60" t="s">
        <v>3868</v>
      </c>
      <c r="M2803" s="57" t="s">
        <v>336</v>
      </c>
      <c r="N2803" s="57" t="s">
        <v>381</v>
      </c>
      <c r="O2803" s="57" t="s">
        <v>729</v>
      </c>
      <c r="P2803" s="57" t="s">
        <v>3869</v>
      </c>
      <c r="Q2803" s="57" t="s">
        <v>698</v>
      </c>
    </row>
    <row r="2804" s="50" customFormat="true" ht="14.25" hidden="false" customHeight="true" outlineLevel="0" collapsed="false">
      <c r="A2804" s="50" t="s">
        <v>727</v>
      </c>
      <c r="B2804" s="57" t="s">
        <v>727</v>
      </c>
      <c r="C2804" s="57" t="s">
        <v>415</v>
      </c>
      <c r="D2804" s="58" t="n">
        <v>46066.538275463</v>
      </c>
      <c r="E2804" s="58" t="n">
        <v>46066.538275463</v>
      </c>
      <c r="F2804" s="58" t="n">
        <v>46066.5395138889</v>
      </c>
      <c r="G2804" s="59" t="n">
        <f aca="false">F2804-E2804</f>
        <v>0.00123842590277778</v>
      </c>
      <c r="H2804" s="57" t="s">
        <v>252</v>
      </c>
      <c r="I2804" s="57"/>
      <c r="J2804" s="57" t="s">
        <v>333</v>
      </c>
      <c r="K2804" s="57" t="s">
        <v>334</v>
      </c>
      <c r="L2804" s="60" t="s">
        <v>3870</v>
      </c>
      <c r="M2804" s="57" t="s">
        <v>336</v>
      </c>
      <c r="N2804" s="57" t="s">
        <v>381</v>
      </c>
      <c r="O2804" s="57" t="s">
        <v>729</v>
      </c>
      <c r="P2804" s="57" t="s">
        <v>3871</v>
      </c>
      <c r="Q2804" s="57" t="s">
        <v>698</v>
      </c>
    </row>
    <row r="2805" s="50" customFormat="true" ht="14.25" hidden="false" customHeight="true" outlineLevel="0" collapsed="false">
      <c r="A2805" s="50" t="s">
        <v>727</v>
      </c>
      <c r="B2805" s="57" t="s">
        <v>727</v>
      </c>
      <c r="C2805" s="57" t="s">
        <v>415</v>
      </c>
      <c r="D2805" s="58" t="n">
        <v>46066.5371064815</v>
      </c>
      <c r="E2805" s="58" t="n">
        <v>46066.5371064815</v>
      </c>
      <c r="F2805" s="58" t="n">
        <v>46066.5376736111</v>
      </c>
      <c r="G2805" s="59" t="n">
        <f aca="false">F2805-E2805</f>
        <v>0.000567129606481481</v>
      </c>
      <c r="H2805" s="57" t="s">
        <v>252</v>
      </c>
      <c r="I2805" s="57"/>
      <c r="J2805" s="57" t="s">
        <v>333</v>
      </c>
      <c r="K2805" s="57" t="s">
        <v>334</v>
      </c>
      <c r="L2805" s="60" t="s">
        <v>3872</v>
      </c>
      <c r="M2805" s="57" t="s">
        <v>336</v>
      </c>
      <c r="N2805" s="57" t="s">
        <v>381</v>
      </c>
      <c r="O2805" s="57" t="s">
        <v>729</v>
      </c>
      <c r="P2805" s="57" t="s">
        <v>3873</v>
      </c>
      <c r="Q2805" s="57" t="s">
        <v>698</v>
      </c>
    </row>
    <row r="2806" s="50" customFormat="true" ht="14.25" hidden="false" customHeight="true" outlineLevel="0" collapsed="false">
      <c r="A2806" s="50" t="s">
        <v>727</v>
      </c>
      <c r="B2806" s="57" t="s">
        <v>727</v>
      </c>
      <c r="C2806" s="57" t="s">
        <v>415</v>
      </c>
      <c r="D2806" s="58" t="n">
        <v>46066.5295023148</v>
      </c>
      <c r="E2806" s="58" t="n">
        <v>46066.5295023148</v>
      </c>
      <c r="F2806" s="58" t="n">
        <v>46066.5300578704</v>
      </c>
      <c r="G2806" s="59" t="n">
        <f aca="false">F2806-E2806</f>
        <v>0.000555555601851852</v>
      </c>
      <c r="H2806" s="57" t="s">
        <v>252</v>
      </c>
      <c r="I2806" s="57"/>
      <c r="J2806" s="57" t="s">
        <v>333</v>
      </c>
      <c r="K2806" s="57" t="s">
        <v>334</v>
      </c>
      <c r="L2806" s="60" t="s">
        <v>3874</v>
      </c>
      <c r="M2806" s="57" t="s">
        <v>336</v>
      </c>
      <c r="N2806" s="57" t="s">
        <v>381</v>
      </c>
      <c r="O2806" s="57" t="s">
        <v>729</v>
      </c>
      <c r="P2806" s="57" t="s">
        <v>3875</v>
      </c>
      <c r="Q2806" s="57" t="s">
        <v>698</v>
      </c>
    </row>
    <row r="2807" s="50" customFormat="true" ht="14.25" hidden="false" customHeight="true" outlineLevel="0" collapsed="false">
      <c r="A2807" s="50" t="s">
        <v>727</v>
      </c>
      <c r="B2807" s="57" t="s">
        <v>727</v>
      </c>
      <c r="C2807" s="57" t="s">
        <v>415</v>
      </c>
      <c r="D2807" s="58" t="n">
        <v>46066.4939236111</v>
      </c>
      <c r="E2807" s="58" t="n">
        <v>46066.4939236111</v>
      </c>
      <c r="F2807" s="58" t="n">
        <v>46066.4968634259</v>
      </c>
      <c r="G2807" s="59" t="n">
        <f aca="false">F2807-E2807</f>
        <v>0.00293981479166667</v>
      </c>
      <c r="H2807" s="57" t="s">
        <v>252</v>
      </c>
      <c r="I2807" s="57"/>
      <c r="J2807" s="57" t="s">
        <v>333</v>
      </c>
      <c r="K2807" s="57" t="s">
        <v>334</v>
      </c>
      <c r="L2807" s="60" t="s">
        <v>3876</v>
      </c>
      <c r="M2807" s="57" t="s">
        <v>336</v>
      </c>
      <c r="N2807" s="57" t="s">
        <v>381</v>
      </c>
      <c r="O2807" s="57" t="s">
        <v>729</v>
      </c>
      <c r="P2807" s="57" t="s">
        <v>3877</v>
      </c>
      <c r="Q2807" s="57" t="s">
        <v>698</v>
      </c>
    </row>
    <row r="2808" s="50" customFormat="true" ht="14.25" hidden="false" customHeight="true" outlineLevel="0" collapsed="false">
      <c r="A2808" s="50" t="s">
        <v>727</v>
      </c>
      <c r="B2808" s="57" t="s">
        <v>727</v>
      </c>
      <c r="C2808" s="57" t="s">
        <v>415</v>
      </c>
      <c r="D2808" s="58" t="n">
        <v>46066.4898263889</v>
      </c>
      <c r="E2808" s="58" t="n">
        <v>46066.4898263889</v>
      </c>
      <c r="F2808" s="58" t="n">
        <v>46066.4903703704</v>
      </c>
      <c r="G2808" s="59" t="n">
        <f aca="false">F2808-E2808</f>
        <v>0.00054398150462963</v>
      </c>
      <c r="H2808" s="57" t="s">
        <v>252</v>
      </c>
      <c r="I2808" s="57"/>
      <c r="J2808" s="57" t="s">
        <v>333</v>
      </c>
      <c r="K2808" s="57" t="s">
        <v>334</v>
      </c>
      <c r="L2808" s="60" t="s">
        <v>3878</v>
      </c>
      <c r="M2808" s="57" t="s">
        <v>336</v>
      </c>
      <c r="N2808" s="57" t="s">
        <v>381</v>
      </c>
      <c r="O2808" s="57" t="s">
        <v>729</v>
      </c>
      <c r="P2808" s="57" t="s">
        <v>3879</v>
      </c>
      <c r="Q2808" s="57" t="s">
        <v>698</v>
      </c>
    </row>
    <row r="2809" s="50" customFormat="true" ht="14.25" hidden="false" customHeight="true" outlineLevel="0" collapsed="false">
      <c r="A2809" s="50" t="s">
        <v>727</v>
      </c>
      <c r="B2809" s="57" t="s">
        <v>727</v>
      </c>
      <c r="C2809" s="57" t="s">
        <v>415</v>
      </c>
      <c r="D2809" s="58" t="n">
        <v>46066.4801273148</v>
      </c>
      <c r="E2809" s="58" t="n">
        <v>46066.4801273148</v>
      </c>
      <c r="F2809" s="58" t="n">
        <v>46066.4836458333</v>
      </c>
      <c r="G2809" s="59" t="n">
        <f aca="false">F2809-E2809</f>
        <v>0.00351851850694444</v>
      </c>
      <c r="H2809" s="57" t="s">
        <v>252</v>
      </c>
      <c r="I2809" s="57"/>
      <c r="J2809" s="57" t="s">
        <v>333</v>
      </c>
      <c r="K2809" s="57" t="s">
        <v>334</v>
      </c>
      <c r="L2809" s="60" t="s">
        <v>3880</v>
      </c>
      <c r="M2809" s="57" t="s">
        <v>336</v>
      </c>
      <c r="N2809" s="57" t="s">
        <v>381</v>
      </c>
      <c r="O2809" s="57" t="s">
        <v>729</v>
      </c>
      <c r="P2809" s="57" t="s">
        <v>3881</v>
      </c>
      <c r="Q2809" s="57" t="s">
        <v>698</v>
      </c>
    </row>
    <row r="2810" s="50" customFormat="true" ht="14.25" hidden="false" customHeight="true" outlineLevel="0" collapsed="false">
      <c r="A2810" s="50" t="s">
        <v>727</v>
      </c>
      <c r="B2810" s="57" t="s">
        <v>727</v>
      </c>
      <c r="C2810" s="57" t="s">
        <v>415</v>
      </c>
      <c r="D2810" s="58" t="n">
        <v>46066.445150463</v>
      </c>
      <c r="E2810" s="58" t="n">
        <v>46066.445150463</v>
      </c>
      <c r="F2810" s="58" t="n">
        <v>46066.4479050926</v>
      </c>
      <c r="G2810" s="59" t="n">
        <f aca="false">F2810-E2810</f>
        <v>0.00275462960648148</v>
      </c>
      <c r="H2810" s="57" t="s">
        <v>252</v>
      </c>
      <c r="I2810" s="57"/>
      <c r="J2810" s="57" t="s">
        <v>333</v>
      </c>
      <c r="K2810" s="57" t="s">
        <v>334</v>
      </c>
      <c r="L2810" s="60" t="s">
        <v>3882</v>
      </c>
      <c r="M2810" s="57" t="s">
        <v>336</v>
      </c>
      <c r="N2810" s="57" t="s">
        <v>381</v>
      </c>
      <c r="O2810" s="57" t="s">
        <v>729</v>
      </c>
      <c r="P2810" s="57" t="s">
        <v>3883</v>
      </c>
      <c r="Q2810" s="57" t="s">
        <v>698</v>
      </c>
    </row>
    <row r="2811" s="50" customFormat="true" ht="14.25" hidden="false" customHeight="true" outlineLevel="0" collapsed="false">
      <c r="A2811" s="50" t="s">
        <v>727</v>
      </c>
      <c r="B2811" s="57" t="s">
        <v>727</v>
      </c>
      <c r="C2811" s="57" t="s">
        <v>415</v>
      </c>
      <c r="D2811" s="58" t="n">
        <v>46066.4141435185</v>
      </c>
      <c r="E2811" s="58" t="n">
        <v>46066.4141435185</v>
      </c>
      <c r="F2811" s="58" t="n">
        <v>46066.4433564815</v>
      </c>
      <c r="G2811" s="59" t="n">
        <f aca="false">F2811-E2811</f>
        <v>0.0292129629976852</v>
      </c>
      <c r="H2811" s="57" t="s">
        <v>252</v>
      </c>
      <c r="I2811" s="57"/>
      <c r="J2811" s="57" t="s">
        <v>333</v>
      </c>
      <c r="K2811" s="57" t="s">
        <v>334</v>
      </c>
      <c r="L2811" s="60" t="s">
        <v>3884</v>
      </c>
      <c r="M2811" s="57" t="s">
        <v>336</v>
      </c>
      <c r="N2811" s="57" t="s">
        <v>381</v>
      </c>
      <c r="O2811" s="57" t="s">
        <v>729</v>
      </c>
      <c r="P2811" s="57" t="s">
        <v>3885</v>
      </c>
      <c r="Q2811" s="57" t="s">
        <v>698</v>
      </c>
    </row>
    <row r="2812" s="50" customFormat="true" ht="14.25" hidden="false" customHeight="true" outlineLevel="0" collapsed="false">
      <c r="A2812" s="50" t="s">
        <v>727</v>
      </c>
      <c r="B2812" s="57" t="s">
        <v>727</v>
      </c>
      <c r="C2812" s="57" t="s">
        <v>415</v>
      </c>
      <c r="D2812" s="58" t="n">
        <v>46066.4073958333</v>
      </c>
      <c r="E2812" s="58" t="n">
        <v>46066.4073958333</v>
      </c>
      <c r="F2812" s="58" t="n">
        <v>46066.4079398148</v>
      </c>
      <c r="G2812" s="59" t="n">
        <f aca="false">F2812-E2812</f>
        <v>0.00054398150462963</v>
      </c>
      <c r="H2812" s="57" t="s">
        <v>252</v>
      </c>
      <c r="I2812" s="57"/>
      <c r="J2812" s="57" t="s">
        <v>333</v>
      </c>
      <c r="K2812" s="57" t="s">
        <v>334</v>
      </c>
      <c r="L2812" s="60" t="s">
        <v>3886</v>
      </c>
      <c r="M2812" s="57" t="s">
        <v>336</v>
      </c>
      <c r="N2812" s="57" t="s">
        <v>381</v>
      </c>
      <c r="O2812" s="57" t="s">
        <v>729</v>
      </c>
      <c r="P2812" s="57" t="s">
        <v>3887</v>
      </c>
      <c r="Q2812" s="57" t="s">
        <v>698</v>
      </c>
    </row>
    <row r="2813" s="50" customFormat="true" ht="14.25" hidden="false" customHeight="true" outlineLevel="0" collapsed="false">
      <c r="A2813" s="50" t="s">
        <v>727</v>
      </c>
      <c r="B2813" s="57" t="s">
        <v>727</v>
      </c>
      <c r="C2813" s="57" t="s">
        <v>415</v>
      </c>
      <c r="D2813" s="58" t="n">
        <v>46066.3965046296</v>
      </c>
      <c r="E2813" s="58" t="n">
        <v>46066.3965046296</v>
      </c>
      <c r="F2813" s="58" t="n">
        <v>46066.3970601852</v>
      </c>
      <c r="G2813" s="59" t="n">
        <f aca="false">F2813-E2813</f>
        <v>0.000555555601851852</v>
      </c>
      <c r="H2813" s="57" t="s">
        <v>252</v>
      </c>
      <c r="I2813" s="57"/>
      <c r="J2813" s="57" t="s">
        <v>333</v>
      </c>
      <c r="K2813" s="57" t="s">
        <v>334</v>
      </c>
      <c r="L2813" s="60" t="s">
        <v>3888</v>
      </c>
      <c r="M2813" s="57" t="s">
        <v>336</v>
      </c>
      <c r="N2813" s="57" t="s">
        <v>381</v>
      </c>
      <c r="O2813" s="57" t="s">
        <v>729</v>
      </c>
      <c r="P2813" s="57" t="s">
        <v>3889</v>
      </c>
      <c r="Q2813" s="57" t="s">
        <v>698</v>
      </c>
    </row>
    <row r="2814" s="50" customFormat="true" ht="14.25" hidden="false" customHeight="true" outlineLevel="0" collapsed="false">
      <c r="A2814" s="50" t="s">
        <v>727</v>
      </c>
      <c r="B2814" s="57" t="s">
        <v>727</v>
      </c>
      <c r="C2814" s="57" t="s">
        <v>415</v>
      </c>
      <c r="D2814" s="58" t="n">
        <v>46066.3839814815</v>
      </c>
      <c r="E2814" s="58" t="n">
        <v>46066.3839814815</v>
      </c>
      <c r="F2814" s="58" t="n">
        <v>46066.384525463</v>
      </c>
      <c r="G2814" s="59" t="n">
        <f aca="false">F2814-E2814</f>
        <v>0.00054398150462963</v>
      </c>
      <c r="H2814" s="57" t="s">
        <v>252</v>
      </c>
      <c r="I2814" s="57"/>
      <c r="J2814" s="57" t="s">
        <v>333</v>
      </c>
      <c r="K2814" s="57" t="s">
        <v>334</v>
      </c>
      <c r="L2814" s="60" t="s">
        <v>3890</v>
      </c>
      <c r="M2814" s="57" t="s">
        <v>336</v>
      </c>
      <c r="N2814" s="57" t="s">
        <v>381</v>
      </c>
      <c r="O2814" s="57" t="s">
        <v>729</v>
      </c>
      <c r="P2814" s="57" t="s">
        <v>3891</v>
      </c>
      <c r="Q2814" s="57" t="s">
        <v>698</v>
      </c>
    </row>
    <row r="2815" s="50" customFormat="true" ht="14.25" hidden="false" customHeight="true" outlineLevel="0" collapsed="false">
      <c r="A2815" s="50" t="s">
        <v>727</v>
      </c>
      <c r="B2815" s="57" t="s">
        <v>727</v>
      </c>
      <c r="C2815" s="57" t="s">
        <v>415</v>
      </c>
      <c r="D2815" s="58" t="n">
        <v>46066.3749537037</v>
      </c>
      <c r="E2815" s="58" t="n">
        <v>46066.3749537037</v>
      </c>
      <c r="F2815" s="58" t="n">
        <v>46066.375462963</v>
      </c>
      <c r="G2815" s="59" t="n">
        <f aca="false">F2815-E2815</f>
        <v>0.000509259293981482</v>
      </c>
      <c r="H2815" s="57" t="s">
        <v>252</v>
      </c>
      <c r="I2815" s="57"/>
      <c r="J2815" s="57" t="s">
        <v>333</v>
      </c>
      <c r="K2815" s="57" t="s">
        <v>334</v>
      </c>
      <c r="L2815" s="60" t="s">
        <v>3892</v>
      </c>
      <c r="M2815" s="57" t="s">
        <v>336</v>
      </c>
      <c r="N2815" s="57" t="s">
        <v>381</v>
      </c>
      <c r="O2815" s="57" t="s">
        <v>729</v>
      </c>
      <c r="P2815" s="57" t="s">
        <v>3893</v>
      </c>
      <c r="Q2815" s="57" t="s">
        <v>698</v>
      </c>
    </row>
    <row r="2816" s="50" customFormat="true" ht="14.25" hidden="false" customHeight="true" outlineLevel="0" collapsed="false">
      <c r="A2816" s="50" t="s">
        <v>727</v>
      </c>
      <c r="B2816" s="57" t="s">
        <v>727</v>
      </c>
      <c r="C2816" s="57" t="s">
        <v>415</v>
      </c>
      <c r="D2816" s="58" t="n">
        <v>46066.366400463</v>
      </c>
      <c r="E2816" s="58" t="n">
        <v>46066.366400463</v>
      </c>
      <c r="F2816" s="58" t="n">
        <v>46066.3669097222</v>
      </c>
      <c r="G2816" s="59" t="n">
        <f aca="false">F2816-E2816</f>
        <v>0.000509259201388889</v>
      </c>
      <c r="H2816" s="57" t="s">
        <v>252</v>
      </c>
      <c r="I2816" s="57"/>
      <c r="J2816" s="57" t="s">
        <v>333</v>
      </c>
      <c r="K2816" s="57" t="s">
        <v>334</v>
      </c>
      <c r="L2816" s="60" t="s">
        <v>3894</v>
      </c>
      <c r="M2816" s="57" t="s">
        <v>336</v>
      </c>
      <c r="N2816" s="57" t="s">
        <v>381</v>
      </c>
      <c r="O2816" s="57" t="s">
        <v>729</v>
      </c>
      <c r="P2816" s="57" t="s">
        <v>3895</v>
      </c>
      <c r="Q2816" s="57" t="s">
        <v>698</v>
      </c>
    </row>
    <row r="2817" s="50" customFormat="true" ht="14.25" hidden="false" customHeight="true" outlineLevel="0" collapsed="false">
      <c r="A2817" s="50" t="s">
        <v>727</v>
      </c>
      <c r="B2817" s="57" t="s">
        <v>727</v>
      </c>
      <c r="C2817" s="57" t="s">
        <v>415</v>
      </c>
      <c r="D2817" s="58" t="n">
        <v>46066.3570601852</v>
      </c>
      <c r="E2817" s="58" t="n">
        <v>46066.3570601852</v>
      </c>
      <c r="F2817" s="58" t="n">
        <v>46066.3575694444</v>
      </c>
      <c r="G2817" s="59" t="n">
        <f aca="false">F2817-E2817</f>
        <v>0.000509259201388889</v>
      </c>
      <c r="H2817" s="57" t="s">
        <v>252</v>
      </c>
      <c r="I2817" s="57"/>
      <c r="J2817" s="57" t="s">
        <v>333</v>
      </c>
      <c r="K2817" s="57" t="s">
        <v>334</v>
      </c>
      <c r="L2817" s="60" t="s">
        <v>3896</v>
      </c>
      <c r="M2817" s="57" t="s">
        <v>336</v>
      </c>
      <c r="N2817" s="57" t="s">
        <v>381</v>
      </c>
      <c r="O2817" s="57" t="s">
        <v>729</v>
      </c>
      <c r="P2817" s="57" t="s">
        <v>3897</v>
      </c>
      <c r="Q2817" s="57" t="s">
        <v>698</v>
      </c>
    </row>
    <row r="2818" s="50" customFormat="true" ht="14.25" hidden="false" customHeight="true" outlineLevel="0" collapsed="false">
      <c r="A2818" s="50" t="s">
        <v>727</v>
      </c>
      <c r="B2818" s="57" t="s">
        <v>727</v>
      </c>
      <c r="C2818" s="57" t="s">
        <v>415</v>
      </c>
      <c r="D2818" s="58" t="n">
        <v>46066.3482175926</v>
      </c>
      <c r="E2818" s="58" t="n">
        <v>46066.3482175926</v>
      </c>
      <c r="F2818" s="58" t="n">
        <v>46066.3487152778</v>
      </c>
      <c r="G2818" s="59" t="n">
        <f aca="false">F2818-E2818</f>
        <v>0.000497685208333333</v>
      </c>
      <c r="H2818" s="57" t="s">
        <v>252</v>
      </c>
      <c r="I2818" s="57"/>
      <c r="J2818" s="57" t="s">
        <v>333</v>
      </c>
      <c r="K2818" s="57" t="s">
        <v>334</v>
      </c>
      <c r="L2818" s="60" t="s">
        <v>3898</v>
      </c>
      <c r="M2818" s="57" t="s">
        <v>336</v>
      </c>
      <c r="N2818" s="57" t="s">
        <v>381</v>
      </c>
      <c r="O2818" s="57" t="s">
        <v>729</v>
      </c>
      <c r="P2818" s="57" t="s">
        <v>3899</v>
      </c>
      <c r="Q2818" s="57" t="s">
        <v>698</v>
      </c>
    </row>
    <row r="2819" s="50" customFormat="true" ht="14.25" hidden="false" customHeight="true" outlineLevel="0" collapsed="false">
      <c r="A2819" s="50" t="s">
        <v>727</v>
      </c>
      <c r="B2819" s="57" t="s">
        <v>727</v>
      </c>
      <c r="C2819" s="57" t="s">
        <v>415</v>
      </c>
      <c r="D2819" s="58" t="n">
        <v>46066.3376157407</v>
      </c>
      <c r="E2819" s="58" t="n">
        <v>46066.3376157407</v>
      </c>
      <c r="F2819" s="58" t="n">
        <v>46066.3381365741</v>
      </c>
      <c r="G2819" s="59" t="n">
        <f aca="false">F2819-E2819</f>
        <v>0.000520833402777778</v>
      </c>
      <c r="H2819" s="57" t="s">
        <v>252</v>
      </c>
      <c r="I2819" s="57"/>
      <c r="J2819" s="57" t="s">
        <v>333</v>
      </c>
      <c r="K2819" s="57" t="s">
        <v>334</v>
      </c>
      <c r="L2819" s="60" t="s">
        <v>3900</v>
      </c>
      <c r="M2819" s="57" t="s">
        <v>336</v>
      </c>
      <c r="N2819" s="57" t="s">
        <v>381</v>
      </c>
      <c r="O2819" s="57" t="s">
        <v>729</v>
      </c>
      <c r="P2819" s="57" t="s">
        <v>3901</v>
      </c>
      <c r="Q2819" s="57" t="s">
        <v>698</v>
      </c>
    </row>
    <row r="2820" s="50" customFormat="true" ht="14.25" hidden="false" customHeight="true" outlineLevel="0" collapsed="false">
      <c r="A2820" s="50" t="s">
        <v>727</v>
      </c>
      <c r="B2820" s="57" t="s">
        <v>727</v>
      </c>
      <c r="C2820" s="57" t="s">
        <v>415</v>
      </c>
      <c r="D2820" s="58" t="n">
        <v>46066.3277199074</v>
      </c>
      <c r="E2820" s="58" t="n">
        <v>46066.3277199074</v>
      </c>
      <c r="F2820" s="58" t="n">
        <v>46066.3282407407</v>
      </c>
      <c r="G2820" s="59" t="n">
        <f aca="false">F2820-E2820</f>
        <v>0.000520833298611111</v>
      </c>
      <c r="H2820" s="57" t="s">
        <v>252</v>
      </c>
      <c r="I2820" s="57"/>
      <c r="J2820" s="57" t="s">
        <v>333</v>
      </c>
      <c r="K2820" s="57" t="s">
        <v>334</v>
      </c>
      <c r="L2820" s="60" t="s">
        <v>3902</v>
      </c>
      <c r="M2820" s="57" t="s">
        <v>336</v>
      </c>
      <c r="N2820" s="57" t="s">
        <v>381</v>
      </c>
      <c r="O2820" s="57" t="s">
        <v>729</v>
      </c>
      <c r="P2820" s="57" t="s">
        <v>3903</v>
      </c>
      <c r="Q2820" s="57" t="s">
        <v>698</v>
      </c>
    </row>
    <row r="2821" s="50" customFormat="true" ht="14.25" hidden="false" customHeight="true" outlineLevel="0" collapsed="false">
      <c r="A2821" s="50" t="s">
        <v>727</v>
      </c>
      <c r="B2821" s="57" t="s">
        <v>727</v>
      </c>
      <c r="C2821" s="57" t="s">
        <v>415</v>
      </c>
      <c r="D2821" s="58" t="n">
        <v>46066.3191435185</v>
      </c>
      <c r="E2821" s="58" t="n">
        <v>46066.3191435185</v>
      </c>
      <c r="F2821" s="58" t="n">
        <v>46066.3196527778</v>
      </c>
      <c r="G2821" s="59" t="n">
        <f aca="false">F2821-E2821</f>
        <v>0.000509259293981482</v>
      </c>
      <c r="H2821" s="57" t="s">
        <v>252</v>
      </c>
      <c r="I2821" s="57"/>
      <c r="J2821" s="57" t="s">
        <v>333</v>
      </c>
      <c r="K2821" s="57" t="s">
        <v>334</v>
      </c>
      <c r="L2821" s="60" t="s">
        <v>3904</v>
      </c>
      <c r="M2821" s="57" t="s">
        <v>336</v>
      </c>
      <c r="N2821" s="57" t="s">
        <v>381</v>
      </c>
      <c r="O2821" s="57" t="s">
        <v>729</v>
      </c>
      <c r="P2821" s="57" t="s">
        <v>3905</v>
      </c>
      <c r="Q2821" s="57" t="s">
        <v>698</v>
      </c>
    </row>
    <row r="2822" s="50" customFormat="true" ht="14.25" hidden="false" customHeight="true" outlineLevel="0" collapsed="false">
      <c r="A2822" s="50" t="s">
        <v>727</v>
      </c>
      <c r="B2822" s="57" t="s">
        <v>727</v>
      </c>
      <c r="C2822" s="57" t="s">
        <v>415</v>
      </c>
      <c r="D2822" s="58" t="n">
        <v>46066.3084837963</v>
      </c>
      <c r="E2822" s="58" t="n">
        <v>46066.3084837963</v>
      </c>
      <c r="F2822" s="58" t="n">
        <v>46066.3090046296</v>
      </c>
      <c r="G2822" s="59" t="n">
        <f aca="false">F2822-E2822</f>
        <v>0.000520833298611111</v>
      </c>
      <c r="H2822" s="57" t="s">
        <v>252</v>
      </c>
      <c r="I2822" s="57"/>
      <c r="J2822" s="57" t="s">
        <v>333</v>
      </c>
      <c r="K2822" s="57" t="s">
        <v>334</v>
      </c>
      <c r="L2822" s="60" t="s">
        <v>3906</v>
      </c>
      <c r="M2822" s="57" t="s">
        <v>336</v>
      </c>
      <c r="N2822" s="57" t="s">
        <v>381</v>
      </c>
      <c r="O2822" s="57" t="s">
        <v>729</v>
      </c>
      <c r="P2822" s="57" t="s">
        <v>3907</v>
      </c>
      <c r="Q2822" s="57" t="s">
        <v>698</v>
      </c>
    </row>
    <row r="2823" s="50" customFormat="true" ht="14.25" hidden="false" customHeight="true" outlineLevel="0" collapsed="false">
      <c r="A2823" s="50" t="s">
        <v>727</v>
      </c>
      <c r="B2823" s="57" t="s">
        <v>727</v>
      </c>
      <c r="C2823" s="57" t="s">
        <v>415</v>
      </c>
      <c r="D2823" s="58" t="n">
        <v>46066.3013888889</v>
      </c>
      <c r="E2823" s="58" t="n">
        <v>46066.3013888889</v>
      </c>
      <c r="F2823" s="58" t="n">
        <v>46066.3018981482</v>
      </c>
      <c r="G2823" s="59" t="n">
        <f aca="false">F2823-E2823</f>
        <v>0.000509259293981482</v>
      </c>
      <c r="H2823" s="57" t="s">
        <v>252</v>
      </c>
      <c r="I2823" s="57"/>
      <c r="J2823" s="57" t="s">
        <v>333</v>
      </c>
      <c r="K2823" s="57" t="s">
        <v>334</v>
      </c>
      <c r="L2823" s="60" t="s">
        <v>3908</v>
      </c>
      <c r="M2823" s="57" t="s">
        <v>336</v>
      </c>
      <c r="N2823" s="57" t="s">
        <v>381</v>
      </c>
      <c r="O2823" s="57" t="s">
        <v>729</v>
      </c>
      <c r="P2823" s="57" t="s">
        <v>3909</v>
      </c>
      <c r="Q2823" s="57" t="s">
        <v>698</v>
      </c>
    </row>
    <row r="2824" s="50" customFormat="true" ht="14.25" hidden="false" customHeight="true" outlineLevel="0" collapsed="false">
      <c r="A2824" s="50" t="s">
        <v>727</v>
      </c>
      <c r="B2824" s="57" t="s">
        <v>727</v>
      </c>
      <c r="C2824" s="57" t="s">
        <v>415</v>
      </c>
      <c r="D2824" s="58" t="n">
        <v>46066.2948032407</v>
      </c>
      <c r="E2824" s="58" t="n">
        <v>46066.2948032407</v>
      </c>
      <c r="F2824" s="58" t="n">
        <v>46066.295474537</v>
      </c>
      <c r="G2824" s="59" t="n">
        <f aca="false">F2824-E2824</f>
        <v>0.000671296296296296</v>
      </c>
      <c r="H2824" s="57" t="s">
        <v>252</v>
      </c>
      <c r="I2824" s="57"/>
      <c r="J2824" s="57" t="s">
        <v>333</v>
      </c>
      <c r="K2824" s="57" t="s">
        <v>334</v>
      </c>
      <c r="L2824" s="60" t="s">
        <v>3910</v>
      </c>
      <c r="M2824" s="57" t="s">
        <v>336</v>
      </c>
      <c r="N2824" s="57" t="s">
        <v>381</v>
      </c>
      <c r="O2824" s="57" t="s">
        <v>729</v>
      </c>
      <c r="P2824" s="57" t="s">
        <v>3911</v>
      </c>
      <c r="Q2824" s="57" t="s">
        <v>698</v>
      </c>
    </row>
    <row r="2825" s="50" customFormat="true" ht="14.25" hidden="false" customHeight="true" outlineLevel="0" collapsed="false">
      <c r="A2825" s="50" t="s">
        <v>727</v>
      </c>
      <c r="B2825" s="57" t="s">
        <v>727</v>
      </c>
      <c r="C2825" s="57" t="s">
        <v>415</v>
      </c>
      <c r="D2825" s="58" t="n">
        <v>46066.2888888889</v>
      </c>
      <c r="E2825" s="58" t="n">
        <v>46066.2888888889</v>
      </c>
      <c r="F2825" s="58" t="n">
        <v>46066.2895601852</v>
      </c>
      <c r="G2825" s="59" t="n">
        <f aca="false">F2825-E2825</f>
        <v>0.000671296296296296</v>
      </c>
      <c r="H2825" s="57" t="s">
        <v>252</v>
      </c>
      <c r="I2825" s="57"/>
      <c r="J2825" s="57" t="s">
        <v>333</v>
      </c>
      <c r="K2825" s="57" t="s">
        <v>334</v>
      </c>
      <c r="L2825" s="60" t="s">
        <v>3912</v>
      </c>
      <c r="M2825" s="57" t="s">
        <v>336</v>
      </c>
      <c r="N2825" s="57" t="s">
        <v>381</v>
      </c>
      <c r="O2825" s="57" t="s">
        <v>729</v>
      </c>
      <c r="P2825" s="57" t="s">
        <v>3913</v>
      </c>
      <c r="Q2825" s="57" t="s">
        <v>698</v>
      </c>
    </row>
    <row r="2826" s="50" customFormat="true" ht="14.25" hidden="false" customHeight="true" outlineLevel="0" collapsed="false">
      <c r="A2826" s="50" t="s">
        <v>727</v>
      </c>
      <c r="B2826" s="57" t="s">
        <v>727</v>
      </c>
      <c r="C2826" s="57" t="s">
        <v>415</v>
      </c>
      <c r="D2826" s="58" t="n">
        <v>46066.2831828704</v>
      </c>
      <c r="E2826" s="58" t="n">
        <v>46066.2831828704</v>
      </c>
      <c r="F2826" s="58" t="n">
        <v>46066.28375</v>
      </c>
      <c r="G2826" s="59" t="n">
        <f aca="false">F2826-E2826</f>
        <v>0.000567129606481481</v>
      </c>
      <c r="H2826" s="57" t="s">
        <v>252</v>
      </c>
      <c r="I2826" s="57"/>
      <c r="J2826" s="57" t="s">
        <v>333</v>
      </c>
      <c r="K2826" s="57" t="s">
        <v>334</v>
      </c>
      <c r="L2826" s="60" t="s">
        <v>3914</v>
      </c>
      <c r="M2826" s="57" t="s">
        <v>336</v>
      </c>
      <c r="N2826" s="57" t="s">
        <v>381</v>
      </c>
      <c r="O2826" s="57" t="s">
        <v>729</v>
      </c>
      <c r="P2826" s="57" t="s">
        <v>3915</v>
      </c>
      <c r="Q2826" s="57" t="s">
        <v>698</v>
      </c>
    </row>
    <row r="2827" s="50" customFormat="true" ht="14.25" hidden="false" customHeight="true" outlineLevel="0" collapsed="false">
      <c r="A2827" s="50" t="s">
        <v>727</v>
      </c>
      <c r="B2827" s="57" t="s">
        <v>727</v>
      </c>
      <c r="C2827" s="57" t="s">
        <v>415</v>
      </c>
      <c r="D2827" s="58" t="n">
        <v>46066.2769444444</v>
      </c>
      <c r="E2827" s="58" t="n">
        <v>46066.2769444444</v>
      </c>
      <c r="F2827" s="58" t="n">
        <v>46066.2774189815</v>
      </c>
      <c r="G2827" s="59" t="n">
        <f aca="false">F2827-E2827</f>
        <v>0.000474537106481482</v>
      </c>
      <c r="H2827" s="57" t="s">
        <v>252</v>
      </c>
      <c r="I2827" s="57"/>
      <c r="J2827" s="57" t="s">
        <v>333</v>
      </c>
      <c r="K2827" s="57" t="s">
        <v>334</v>
      </c>
      <c r="L2827" s="60" t="s">
        <v>3916</v>
      </c>
      <c r="M2827" s="57" t="s">
        <v>336</v>
      </c>
      <c r="N2827" s="57" t="s">
        <v>381</v>
      </c>
      <c r="O2827" s="57" t="s">
        <v>729</v>
      </c>
      <c r="P2827" s="57" t="s">
        <v>3917</v>
      </c>
      <c r="Q2827" s="57" t="s">
        <v>698</v>
      </c>
    </row>
    <row r="2828" s="50" customFormat="true" ht="14.25" hidden="false" customHeight="true" outlineLevel="0" collapsed="false">
      <c r="A2828" s="50" t="s">
        <v>727</v>
      </c>
      <c r="B2828" s="57" t="s">
        <v>727</v>
      </c>
      <c r="C2828" s="57" t="s">
        <v>415</v>
      </c>
      <c r="D2828" s="58" t="n">
        <v>46066.2358912037</v>
      </c>
      <c r="E2828" s="58" t="n">
        <v>46066.2358912037</v>
      </c>
      <c r="F2828" s="58" t="n">
        <v>46066.2593981482</v>
      </c>
      <c r="G2828" s="59" t="n">
        <f aca="false">F2828-E2828</f>
        <v>0.0235069445023148</v>
      </c>
      <c r="H2828" s="57" t="s">
        <v>252</v>
      </c>
      <c r="I2828" s="57"/>
      <c r="J2828" s="57" t="s">
        <v>333</v>
      </c>
      <c r="K2828" s="57" t="s">
        <v>334</v>
      </c>
      <c r="L2828" s="60" t="s">
        <v>3918</v>
      </c>
      <c r="M2828" s="57" t="s">
        <v>336</v>
      </c>
      <c r="N2828" s="57" t="s">
        <v>381</v>
      </c>
      <c r="O2828" s="57" t="s">
        <v>729</v>
      </c>
      <c r="P2828" s="57" t="s">
        <v>3919</v>
      </c>
      <c r="Q2828" s="57" t="s">
        <v>698</v>
      </c>
    </row>
    <row r="2829" s="50" customFormat="true" ht="14.25" hidden="false" customHeight="true" outlineLevel="0" collapsed="false">
      <c r="A2829" s="50" t="s">
        <v>727</v>
      </c>
      <c r="B2829" s="57" t="s">
        <v>727</v>
      </c>
      <c r="C2829" s="57" t="s">
        <v>415</v>
      </c>
      <c r="D2829" s="58" t="n">
        <v>46066.2354861111</v>
      </c>
      <c r="E2829" s="58" t="n">
        <v>46066.2354861111</v>
      </c>
      <c r="F2829" s="58" t="n">
        <v>46066.2593981482</v>
      </c>
      <c r="G2829" s="59" t="n">
        <f aca="false">F2829-E2829</f>
        <v>0.0239120370949074</v>
      </c>
      <c r="H2829" s="57" t="s">
        <v>252</v>
      </c>
      <c r="I2829" s="57"/>
      <c r="J2829" s="57" t="s">
        <v>333</v>
      </c>
      <c r="K2829" s="57" t="s">
        <v>334</v>
      </c>
      <c r="L2829" s="60" t="s">
        <v>3920</v>
      </c>
      <c r="M2829" s="57" t="s">
        <v>336</v>
      </c>
      <c r="N2829" s="57" t="s">
        <v>381</v>
      </c>
      <c r="O2829" s="57" t="s">
        <v>729</v>
      </c>
      <c r="P2829" s="57" t="s">
        <v>3921</v>
      </c>
      <c r="Q2829" s="57" t="s">
        <v>698</v>
      </c>
    </row>
    <row r="2830" s="50" customFormat="true" ht="14.25" hidden="false" customHeight="true" outlineLevel="0" collapsed="false">
      <c r="A2830" s="50" t="s">
        <v>727</v>
      </c>
      <c r="B2830" s="57" t="s">
        <v>727</v>
      </c>
      <c r="C2830" s="57" t="s">
        <v>415</v>
      </c>
      <c r="D2830" s="58" t="n">
        <v>46065.7868865741</v>
      </c>
      <c r="E2830" s="58" t="n">
        <v>46065.7868865741</v>
      </c>
      <c r="F2830" s="58" t="n">
        <v>46065.788587963</v>
      </c>
      <c r="G2830" s="59" t="n">
        <f aca="false">F2830-E2830</f>
        <v>0.00170138890046296</v>
      </c>
      <c r="H2830" s="57" t="s">
        <v>252</v>
      </c>
      <c r="I2830" s="57"/>
      <c r="J2830" s="57" t="s">
        <v>333</v>
      </c>
      <c r="K2830" s="57" t="s">
        <v>334</v>
      </c>
      <c r="L2830" s="60" t="s">
        <v>3922</v>
      </c>
      <c r="M2830" s="57" t="s">
        <v>336</v>
      </c>
      <c r="N2830" s="57" t="s">
        <v>381</v>
      </c>
      <c r="O2830" s="57" t="s">
        <v>729</v>
      </c>
      <c r="P2830" s="57" t="s">
        <v>3923</v>
      </c>
      <c r="Q2830" s="57" t="s">
        <v>698</v>
      </c>
    </row>
    <row r="2831" s="50" customFormat="true" ht="14.25" hidden="false" customHeight="true" outlineLevel="0" collapsed="false">
      <c r="A2831" s="50" t="s">
        <v>727</v>
      </c>
      <c r="B2831" s="57" t="s">
        <v>727</v>
      </c>
      <c r="C2831" s="57" t="s">
        <v>415</v>
      </c>
      <c r="D2831" s="58" t="n">
        <v>46065.7510300926</v>
      </c>
      <c r="E2831" s="58" t="n">
        <v>46065.7510300926</v>
      </c>
      <c r="F2831" s="58" t="n">
        <v>46065.788587963</v>
      </c>
      <c r="G2831" s="59" t="n">
        <f aca="false">F2831-E2831</f>
        <v>0.0375578703935185</v>
      </c>
      <c r="H2831" s="57" t="s">
        <v>252</v>
      </c>
      <c r="I2831" s="57"/>
      <c r="J2831" s="57" t="s">
        <v>333</v>
      </c>
      <c r="K2831" s="57" t="s">
        <v>334</v>
      </c>
      <c r="L2831" s="60" t="s">
        <v>3924</v>
      </c>
      <c r="M2831" s="57" t="s">
        <v>336</v>
      </c>
      <c r="N2831" s="57" t="s">
        <v>381</v>
      </c>
      <c r="O2831" s="57" t="s">
        <v>729</v>
      </c>
      <c r="P2831" s="57" t="s">
        <v>3925</v>
      </c>
      <c r="Q2831" s="57" t="s">
        <v>698</v>
      </c>
    </row>
    <row r="2832" s="50" customFormat="true" ht="14.25" hidden="false" customHeight="true" outlineLevel="0" collapsed="false">
      <c r="A2832" s="50" t="s">
        <v>727</v>
      </c>
      <c r="B2832" s="57" t="s">
        <v>727</v>
      </c>
      <c r="C2832" s="57" t="s">
        <v>415</v>
      </c>
      <c r="D2832" s="58" t="n">
        <v>46065.7510300926</v>
      </c>
      <c r="E2832" s="58" t="n">
        <v>46065.7510300926</v>
      </c>
      <c r="F2832" s="58" t="n">
        <v>46065.7784259259</v>
      </c>
      <c r="G2832" s="59" t="n">
        <f aca="false">F2832-E2832</f>
        <v>0.0273958332986111</v>
      </c>
      <c r="H2832" s="57" t="s">
        <v>252</v>
      </c>
      <c r="I2832" s="57"/>
      <c r="J2832" s="57" t="s">
        <v>333</v>
      </c>
      <c r="K2832" s="57" t="s">
        <v>334</v>
      </c>
      <c r="L2832" s="60" t="s">
        <v>3926</v>
      </c>
      <c r="M2832" s="57" t="s">
        <v>336</v>
      </c>
      <c r="N2832" s="57" t="s">
        <v>381</v>
      </c>
      <c r="O2832" s="57" t="s">
        <v>729</v>
      </c>
      <c r="P2832" s="57" t="s">
        <v>3927</v>
      </c>
      <c r="Q2832" s="57" t="s">
        <v>698</v>
      </c>
    </row>
    <row r="2833" s="50" customFormat="true" ht="14.25" hidden="false" customHeight="true" outlineLevel="0" collapsed="false">
      <c r="A2833" s="50" t="s">
        <v>727</v>
      </c>
      <c r="B2833" s="57" t="s">
        <v>727</v>
      </c>
      <c r="C2833" s="57" t="s">
        <v>415</v>
      </c>
      <c r="D2833" s="58" t="n">
        <v>46065.7266087963</v>
      </c>
      <c r="E2833" s="58" t="n">
        <v>46065.7266087963</v>
      </c>
      <c r="F2833" s="58" t="n">
        <v>46065.7271296296</v>
      </c>
      <c r="G2833" s="59" t="n">
        <f aca="false">F2833-E2833</f>
        <v>0.000520833298611111</v>
      </c>
      <c r="H2833" s="57" t="s">
        <v>252</v>
      </c>
      <c r="I2833" s="57"/>
      <c r="J2833" s="57" t="s">
        <v>333</v>
      </c>
      <c r="K2833" s="57" t="s">
        <v>334</v>
      </c>
      <c r="L2833" s="60" t="s">
        <v>3928</v>
      </c>
      <c r="M2833" s="57" t="s">
        <v>336</v>
      </c>
      <c r="N2833" s="57" t="s">
        <v>381</v>
      </c>
      <c r="O2833" s="57" t="s">
        <v>729</v>
      </c>
      <c r="P2833" s="57" t="s">
        <v>3929</v>
      </c>
      <c r="Q2833" s="57" t="s">
        <v>698</v>
      </c>
    </row>
    <row r="2834" s="50" customFormat="true" ht="14.25" hidden="false" customHeight="true" outlineLevel="0" collapsed="false">
      <c r="A2834" s="50" t="s">
        <v>727</v>
      </c>
      <c r="B2834" s="57" t="s">
        <v>727</v>
      </c>
      <c r="C2834" s="57" t="s">
        <v>415</v>
      </c>
      <c r="D2834" s="58" t="n">
        <v>46065.7201967593</v>
      </c>
      <c r="E2834" s="58" t="n">
        <v>46065.7201967593</v>
      </c>
      <c r="F2834" s="58" t="n">
        <v>46065.7207060185</v>
      </c>
      <c r="G2834" s="59" t="n">
        <f aca="false">F2834-E2834</f>
        <v>0.000509259201388889</v>
      </c>
      <c r="H2834" s="57" t="s">
        <v>252</v>
      </c>
      <c r="I2834" s="57"/>
      <c r="J2834" s="57" t="s">
        <v>333</v>
      </c>
      <c r="K2834" s="57" t="s">
        <v>334</v>
      </c>
      <c r="L2834" s="60" t="s">
        <v>3930</v>
      </c>
      <c r="M2834" s="57" t="s">
        <v>336</v>
      </c>
      <c r="N2834" s="57" t="s">
        <v>381</v>
      </c>
      <c r="O2834" s="57" t="s">
        <v>729</v>
      </c>
      <c r="P2834" s="57" t="s">
        <v>3931</v>
      </c>
      <c r="Q2834" s="57" t="s">
        <v>698</v>
      </c>
    </row>
    <row r="2835" s="50" customFormat="true" ht="14.25" hidden="false" customHeight="true" outlineLevel="0" collapsed="false">
      <c r="A2835" s="50" t="s">
        <v>727</v>
      </c>
      <c r="B2835" s="57" t="s">
        <v>727</v>
      </c>
      <c r="C2835" s="57" t="s">
        <v>415</v>
      </c>
      <c r="D2835" s="58" t="n">
        <v>46065.7115162037</v>
      </c>
      <c r="E2835" s="58" t="n">
        <v>46065.7115162037</v>
      </c>
      <c r="F2835" s="58" t="n">
        <v>46065.712037037</v>
      </c>
      <c r="G2835" s="59" t="n">
        <f aca="false">F2835-E2835</f>
        <v>0.000520833298611111</v>
      </c>
      <c r="H2835" s="57" t="s">
        <v>252</v>
      </c>
      <c r="I2835" s="57"/>
      <c r="J2835" s="57" t="s">
        <v>333</v>
      </c>
      <c r="K2835" s="57" t="s">
        <v>334</v>
      </c>
      <c r="L2835" s="60" t="s">
        <v>3932</v>
      </c>
      <c r="M2835" s="57" t="s">
        <v>336</v>
      </c>
      <c r="N2835" s="57" t="s">
        <v>381</v>
      </c>
      <c r="O2835" s="57" t="s">
        <v>729</v>
      </c>
      <c r="P2835" s="57" t="s">
        <v>3933</v>
      </c>
      <c r="Q2835" s="57" t="s">
        <v>698</v>
      </c>
    </row>
    <row r="2836" s="50" customFormat="true" ht="14.25" hidden="false" customHeight="true" outlineLevel="0" collapsed="false">
      <c r="A2836" s="50" t="s">
        <v>727</v>
      </c>
      <c r="B2836" s="57" t="s">
        <v>727</v>
      </c>
      <c r="C2836" s="57" t="s">
        <v>415</v>
      </c>
      <c r="D2836" s="58" t="n">
        <v>46065.7035532407</v>
      </c>
      <c r="E2836" s="58" t="n">
        <v>46065.7035532407</v>
      </c>
      <c r="F2836" s="58" t="n">
        <v>46065.7040972222</v>
      </c>
      <c r="G2836" s="59" t="n">
        <f aca="false">F2836-E2836</f>
        <v>0.00054398150462963</v>
      </c>
      <c r="H2836" s="57" t="s">
        <v>252</v>
      </c>
      <c r="I2836" s="57"/>
      <c r="J2836" s="57" t="s">
        <v>333</v>
      </c>
      <c r="K2836" s="57" t="s">
        <v>334</v>
      </c>
      <c r="L2836" s="60" t="s">
        <v>3934</v>
      </c>
      <c r="M2836" s="57" t="s">
        <v>336</v>
      </c>
      <c r="N2836" s="57" t="s">
        <v>381</v>
      </c>
      <c r="O2836" s="57" t="s">
        <v>729</v>
      </c>
      <c r="P2836" s="57" t="s">
        <v>3935</v>
      </c>
      <c r="Q2836" s="57" t="s">
        <v>698</v>
      </c>
    </row>
    <row r="2837" s="50" customFormat="true" ht="14.25" hidden="false" customHeight="true" outlineLevel="0" collapsed="false">
      <c r="A2837" s="50" t="s">
        <v>727</v>
      </c>
      <c r="B2837" s="57" t="s">
        <v>727</v>
      </c>
      <c r="C2837" s="57" t="s">
        <v>415</v>
      </c>
      <c r="D2837" s="58" t="n">
        <v>46065.6941435185</v>
      </c>
      <c r="E2837" s="58" t="n">
        <v>46065.6941435185</v>
      </c>
      <c r="F2837" s="58" t="n">
        <v>46065.6946990741</v>
      </c>
      <c r="G2837" s="59" t="n">
        <f aca="false">F2837-E2837</f>
        <v>0.000555555601851852</v>
      </c>
      <c r="H2837" s="57" t="s">
        <v>252</v>
      </c>
      <c r="I2837" s="57"/>
      <c r="J2837" s="57" t="s">
        <v>333</v>
      </c>
      <c r="K2837" s="57" t="s">
        <v>334</v>
      </c>
      <c r="L2837" s="60" t="s">
        <v>3936</v>
      </c>
      <c r="M2837" s="57" t="s">
        <v>336</v>
      </c>
      <c r="N2837" s="57" t="s">
        <v>381</v>
      </c>
      <c r="O2837" s="57" t="s">
        <v>729</v>
      </c>
      <c r="P2837" s="57" t="s">
        <v>3937</v>
      </c>
      <c r="Q2837" s="57" t="s">
        <v>698</v>
      </c>
    </row>
    <row r="2838" s="50" customFormat="true" ht="14.25" hidden="false" customHeight="true" outlineLevel="0" collapsed="false">
      <c r="A2838" s="50" t="s">
        <v>727</v>
      </c>
      <c r="B2838" s="57" t="s">
        <v>727</v>
      </c>
      <c r="C2838" s="57" t="s">
        <v>415</v>
      </c>
      <c r="D2838" s="58" t="n">
        <v>46065.6851041667</v>
      </c>
      <c r="E2838" s="58" t="n">
        <v>46065.6851041667</v>
      </c>
      <c r="F2838" s="58" t="n">
        <v>46065.6856365741</v>
      </c>
      <c r="G2838" s="59" t="n">
        <f aca="false">F2838-E2838</f>
        <v>0.000532407395833333</v>
      </c>
      <c r="H2838" s="57" t="s">
        <v>252</v>
      </c>
      <c r="I2838" s="57"/>
      <c r="J2838" s="57" t="s">
        <v>333</v>
      </c>
      <c r="K2838" s="57" t="s">
        <v>334</v>
      </c>
      <c r="L2838" s="60" t="s">
        <v>3938</v>
      </c>
      <c r="M2838" s="57" t="s">
        <v>336</v>
      </c>
      <c r="N2838" s="57" t="s">
        <v>381</v>
      </c>
      <c r="O2838" s="57" t="s">
        <v>729</v>
      </c>
      <c r="P2838" s="57" t="s">
        <v>3939</v>
      </c>
      <c r="Q2838" s="57" t="s">
        <v>698</v>
      </c>
    </row>
    <row r="2839" s="50" customFormat="true" ht="14.25" hidden="false" customHeight="true" outlineLevel="0" collapsed="false">
      <c r="A2839" s="50" t="s">
        <v>727</v>
      </c>
      <c r="B2839" s="57" t="s">
        <v>727</v>
      </c>
      <c r="C2839" s="57" t="s">
        <v>415</v>
      </c>
      <c r="D2839" s="58" t="n">
        <v>46065.6718634259</v>
      </c>
      <c r="E2839" s="58" t="n">
        <v>46065.6718634259</v>
      </c>
      <c r="F2839" s="58" t="n">
        <v>46065.6724074074</v>
      </c>
      <c r="G2839" s="59" t="n">
        <f aca="false">F2839-E2839</f>
        <v>0.00054398150462963</v>
      </c>
      <c r="H2839" s="57" t="s">
        <v>252</v>
      </c>
      <c r="I2839" s="57"/>
      <c r="J2839" s="57" t="s">
        <v>333</v>
      </c>
      <c r="K2839" s="57" t="s">
        <v>334</v>
      </c>
      <c r="L2839" s="60" t="s">
        <v>3940</v>
      </c>
      <c r="M2839" s="57" t="s">
        <v>336</v>
      </c>
      <c r="N2839" s="57" t="s">
        <v>381</v>
      </c>
      <c r="O2839" s="57" t="s">
        <v>729</v>
      </c>
      <c r="P2839" s="57" t="s">
        <v>3941</v>
      </c>
      <c r="Q2839" s="57" t="s">
        <v>698</v>
      </c>
    </row>
    <row r="2840" s="50" customFormat="true" ht="14.25" hidden="false" customHeight="true" outlineLevel="0" collapsed="false">
      <c r="A2840" s="50" t="s">
        <v>727</v>
      </c>
      <c r="B2840" s="57" t="s">
        <v>727</v>
      </c>
      <c r="C2840" s="57" t="s">
        <v>415</v>
      </c>
      <c r="D2840" s="58" t="n">
        <v>46065.6640625</v>
      </c>
      <c r="E2840" s="58" t="n">
        <v>46065.6640625</v>
      </c>
      <c r="F2840" s="58" t="n">
        <v>46065.6645717593</v>
      </c>
      <c r="G2840" s="59" t="n">
        <f aca="false">F2840-E2840</f>
        <v>0.000509259293981482</v>
      </c>
      <c r="H2840" s="57" t="s">
        <v>252</v>
      </c>
      <c r="I2840" s="57"/>
      <c r="J2840" s="57" t="s">
        <v>333</v>
      </c>
      <c r="K2840" s="57" t="s">
        <v>334</v>
      </c>
      <c r="L2840" s="60" t="s">
        <v>3942</v>
      </c>
      <c r="M2840" s="57" t="s">
        <v>336</v>
      </c>
      <c r="N2840" s="57" t="s">
        <v>381</v>
      </c>
      <c r="O2840" s="57" t="s">
        <v>729</v>
      </c>
      <c r="P2840" s="57" t="s">
        <v>3943</v>
      </c>
      <c r="Q2840" s="57" t="s">
        <v>698</v>
      </c>
    </row>
    <row r="2841" s="50" customFormat="true" ht="14.25" hidden="false" customHeight="true" outlineLevel="0" collapsed="false">
      <c r="A2841" s="50" t="s">
        <v>727</v>
      </c>
      <c r="B2841" s="57" t="s">
        <v>727</v>
      </c>
      <c r="C2841" s="57" t="s">
        <v>415</v>
      </c>
      <c r="D2841" s="58" t="n">
        <v>46065.6564814815</v>
      </c>
      <c r="E2841" s="58" t="n">
        <v>46065.6564814815</v>
      </c>
      <c r="F2841" s="58" t="n">
        <v>46065.6570023148</v>
      </c>
      <c r="G2841" s="59" t="n">
        <f aca="false">F2841-E2841</f>
        <v>0.000520833298611111</v>
      </c>
      <c r="H2841" s="57" t="s">
        <v>252</v>
      </c>
      <c r="I2841" s="57"/>
      <c r="J2841" s="57" t="s">
        <v>333</v>
      </c>
      <c r="K2841" s="57" t="s">
        <v>334</v>
      </c>
      <c r="L2841" s="60" t="s">
        <v>3944</v>
      </c>
      <c r="M2841" s="57" t="s">
        <v>336</v>
      </c>
      <c r="N2841" s="57" t="s">
        <v>381</v>
      </c>
      <c r="O2841" s="57" t="s">
        <v>729</v>
      </c>
      <c r="P2841" s="57" t="s">
        <v>3945</v>
      </c>
      <c r="Q2841" s="57" t="s">
        <v>698</v>
      </c>
    </row>
    <row r="2842" s="50" customFormat="true" ht="14.25" hidden="false" customHeight="true" outlineLevel="0" collapsed="false">
      <c r="A2842" s="50" t="s">
        <v>727</v>
      </c>
      <c r="B2842" s="57" t="s">
        <v>727</v>
      </c>
      <c r="C2842" s="57" t="s">
        <v>415</v>
      </c>
      <c r="D2842" s="58" t="n">
        <v>46065.6477546296</v>
      </c>
      <c r="E2842" s="58" t="n">
        <v>46065.6477546296</v>
      </c>
      <c r="F2842" s="58" t="n">
        <v>46065.648275463</v>
      </c>
      <c r="G2842" s="59" t="n">
        <f aca="false">F2842-E2842</f>
        <v>0.000520833391203704</v>
      </c>
      <c r="H2842" s="57" t="s">
        <v>252</v>
      </c>
      <c r="I2842" s="57"/>
      <c r="J2842" s="57" t="s">
        <v>333</v>
      </c>
      <c r="K2842" s="57" t="s">
        <v>334</v>
      </c>
      <c r="L2842" s="60" t="s">
        <v>3946</v>
      </c>
      <c r="M2842" s="57" t="s">
        <v>336</v>
      </c>
      <c r="N2842" s="57" t="s">
        <v>381</v>
      </c>
      <c r="O2842" s="57" t="s">
        <v>729</v>
      </c>
      <c r="P2842" s="57" t="s">
        <v>3947</v>
      </c>
      <c r="Q2842" s="57" t="s">
        <v>698</v>
      </c>
    </row>
    <row r="2843" s="50" customFormat="true" ht="14.25" hidden="false" customHeight="true" outlineLevel="0" collapsed="false">
      <c r="A2843" s="50" t="s">
        <v>727</v>
      </c>
      <c r="B2843" s="57" t="s">
        <v>727</v>
      </c>
      <c r="C2843" s="57" t="s">
        <v>415</v>
      </c>
      <c r="D2843" s="58" t="n">
        <v>46065.6346527778</v>
      </c>
      <c r="E2843" s="58" t="n">
        <v>46065.6346527778</v>
      </c>
      <c r="F2843" s="58" t="n">
        <v>46065.635162037</v>
      </c>
      <c r="G2843" s="59" t="n">
        <f aca="false">F2843-E2843</f>
        <v>0.000509259201388889</v>
      </c>
      <c r="H2843" s="57" t="s">
        <v>252</v>
      </c>
      <c r="I2843" s="57"/>
      <c r="J2843" s="57" t="s">
        <v>333</v>
      </c>
      <c r="K2843" s="57" t="s">
        <v>334</v>
      </c>
      <c r="L2843" s="60" t="s">
        <v>3948</v>
      </c>
      <c r="M2843" s="57" t="s">
        <v>336</v>
      </c>
      <c r="N2843" s="57" t="s">
        <v>381</v>
      </c>
      <c r="O2843" s="57" t="s">
        <v>729</v>
      </c>
      <c r="P2843" s="57" t="s">
        <v>3949</v>
      </c>
      <c r="Q2843" s="57" t="s">
        <v>698</v>
      </c>
    </row>
    <row r="2844" s="50" customFormat="true" ht="14.25" hidden="false" customHeight="true" outlineLevel="0" collapsed="false">
      <c r="A2844" s="50" t="s">
        <v>727</v>
      </c>
      <c r="B2844" s="57" t="s">
        <v>727</v>
      </c>
      <c r="C2844" s="57" t="s">
        <v>415</v>
      </c>
      <c r="D2844" s="58" t="n">
        <v>46065.6247569444</v>
      </c>
      <c r="E2844" s="58" t="n">
        <v>46065.6247569444</v>
      </c>
      <c r="F2844" s="58" t="n">
        <v>46065.6252777778</v>
      </c>
      <c r="G2844" s="59" t="n">
        <f aca="false">F2844-E2844</f>
        <v>0.000520833391203704</v>
      </c>
      <c r="H2844" s="57" t="s">
        <v>252</v>
      </c>
      <c r="I2844" s="57"/>
      <c r="J2844" s="57" t="s">
        <v>333</v>
      </c>
      <c r="K2844" s="57" t="s">
        <v>334</v>
      </c>
      <c r="L2844" s="60" t="s">
        <v>3950</v>
      </c>
      <c r="M2844" s="57" t="s">
        <v>336</v>
      </c>
      <c r="N2844" s="57" t="s">
        <v>381</v>
      </c>
      <c r="O2844" s="57" t="s">
        <v>729</v>
      </c>
      <c r="P2844" s="57" t="s">
        <v>3951</v>
      </c>
      <c r="Q2844" s="57" t="s">
        <v>698</v>
      </c>
    </row>
    <row r="2845" s="50" customFormat="true" ht="14.25" hidden="false" customHeight="true" outlineLevel="0" collapsed="false">
      <c r="A2845" s="50" t="s">
        <v>727</v>
      </c>
      <c r="B2845" s="57" t="s">
        <v>727</v>
      </c>
      <c r="C2845" s="57" t="s">
        <v>415</v>
      </c>
      <c r="D2845" s="58" t="n">
        <v>46065.6177199074</v>
      </c>
      <c r="E2845" s="58" t="n">
        <v>46065.6177199074</v>
      </c>
      <c r="F2845" s="58" t="n">
        <v>46065.6182407407</v>
      </c>
      <c r="G2845" s="59" t="n">
        <f aca="false">F2845-E2845</f>
        <v>0.000520833298611111</v>
      </c>
      <c r="H2845" s="57" t="s">
        <v>252</v>
      </c>
      <c r="I2845" s="57"/>
      <c r="J2845" s="57" t="s">
        <v>333</v>
      </c>
      <c r="K2845" s="57" t="s">
        <v>334</v>
      </c>
      <c r="L2845" s="60" t="s">
        <v>3952</v>
      </c>
      <c r="M2845" s="57" t="s">
        <v>336</v>
      </c>
      <c r="N2845" s="57" t="s">
        <v>381</v>
      </c>
      <c r="O2845" s="57" t="s">
        <v>729</v>
      </c>
      <c r="P2845" s="57" t="s">
        <v>3953</v>
      </c>
      <c r="Q2845" s="57" t="s">
        <v>698</v>
      </c>
    </row>
    <row r="2846" s="50" customFormat="true" ht="14.25" hidden="false" customHeight="true" outlineLevel="0" collapsed="false">
      <c r="A2846" s="50" t="s">
        <v>727</v>
      </c>
      <c r="B2846" s="57" t="s">
        <v>727</v>
      </c>
      <c r="C2846" s="57" t="s">
        <v>415</v>
      </c>
      <c r="D2846" s="58" t="n">
        <v>46065.608599537</v>
      </c>
      <c r="E2846" s="58" t="n">
        <v>46065.608599537</v>
      </c>
      <c r="F2846" s="58" t="n">
        <v>46065.6091203704</v>
      </c>
      <c r="G2846" s="59" t="n">
        <f aca="false">F2846-E2846</f>
        <v>0.000520833391203704</v>
      </c>
      <c r="H2846" s="57" t="s">
        <v>252</v>
      </c>
      <c r="I2846" s="57"/>
      <c r="J2846" s="57" t="s">
        <v>333</v>
      </c>
      <c r="K2846" s="57" t="s">
        <v>334</v>
      </c>
      <c r="L2846" s="60" t="s">
        <v>3954</v>
      </c>
      <c r="M2846" s="57" t="s">
        <v>336</v>
      </c>
      <c r="N2846" s="57" t="s">
        <v>381</v>
      </c>
      <c r="O2846" s="57" t="s">
        <v>729</v>
      </c>
      <c r="P2846" s="57" t="s">
        <v>3955</v>
      </c>
      <c r="Q2846" s="57" t="s">
        <v>698</v>
      </c>
    </row>
    <row r="2847" s="50" customFormat="true" ht="14.25" hidden="false" customHeight="true" outlineLevel="0" collapsed="false">
      <c r="A2847" s="50" t="s">
        <v>727</v>
      </c>
      <c r="B2847" s="57" t="s">
        <v>727</v>
      </c>
      <c r="C2847" s="57" t="s">
        <v>415</v>
      </c>
      <c r="D2847" s="58" t="n">
        <v>46065.601400463</v>
      </c>
      <c r="E2847" s="58" t="n">
        <v>46065.601400463</v>
      </c>
      <c r="F2847" s="58" t="n">
        <v>46065.6019560185</v>
      </c>
      <c r="G2847" s="59" t="n">
        <f aca="false">F2847-E2847</f>
        <v>0.000555555509259259</v>
      </c>
      <c r="H2847" s="57" t="s">
        <v>252</v>
      </c>
      <c r="I2847" s="57"/>
      <c r="J2847" s="57" t="s">
        <v>333</v>
      </c>
      <c r="K2847" s="57" t="s">
        <v>334</v>
      </c>
      <c r="L2847" s="60" t="s">
        <v>3956</v>
      </c>
      <c r="M2847" s="57" t="s">
        <v>336</v>
      </c>
      <c r="N2847" s="57" t="s">
        <v>381</v>
      </c>
      <c r="O2847" s="57" t="s">
        <v>729</v>
      </c>
      <c r="P2847" s="57" t="s">
        <v>3957</v>
      </c>
      <c r="Q2847" s="57" t="s">
        <v>698</v>
      </c>
    </row>
    <row r="2848" s="50" customFormat="true" ht="14.25" hidden="false" customHeight="true" outlineLevel="0" collapsed="false">
      <c r="A2848" s="50" t="s">
        <v>727</v>
      </c>
      <c r="B2848" s="57" t="s">
        <v>727</v>
      </c>
      <c r="C2848" s="57" t="s">
        <v>415</v>
      </c>
      <c r="D2848" s="58" t="n">
        <v>46065.594837963</v>
      </c>
      <c r="E2848" s="58" t="n">
        <v>46065.594837963</v>
      </c>
      <c r="F2848" s="58" t="n">
        <v>46065.5953703704</v>
      </c>
      <c r="G2848" s="59" t="n">
        <f aca="false">F2848-E2848</f>
        <v>0.000532407407407407</v>
      </c>
      <c r="H2848" s="57" t="s">
        <v>252</v>
      </c>
      <c r="I2848" s="57"/>
      <c r="J2848" s="57" t="s">
        <v>333</v>
      </c>
      <c r="K2848" s="57" t="s">
        <v>334</v>
      </c>
      <c r="L2848" s="60" t="s">
        <v>3958</v>
      </c>
      <c r="M2848" s="57" t="s">
        <v>336</v>
      </c>
      <c r="N2848" s="57" t="s">
        <v>381</v>
      </c>
      <c r="O2848" s="57" t="s">
        <v>729</v>
      </c>
      <c r="P2848" s="57" t="s">
        <v>3959</v>
      </c>
      <c r="Q2848" s="57" t="s">
        <v>698</v>
      </c>
    </row>
    <row r="2849" s="50" customFormat="true" ht="14.25" hidden="false" customHeight="true" outlineLevel="0" collapsed="false">
      <c r="A2849" s="50" t="s">
        <v>727</v>
      </c>
      <c r="B2849" s="57" t="s">
        <v>727</v>
      </c>
      <c r="C2849" s="57" t="s">
        <v>415</v>
      </c>
      <c r="D2849" s="58" t="n">
        <v>46065.5826157407</v>
      </c>
      <c r="E2849" s="58" t="n">
        <v>46065.5826157407</v>
      </c>
      <c r="F2849" s="58" t="n">
        <v>46065.5831365741</v>
      </c>
      <c r="G2849" s="59" t="n">
        <f aca="false">F2849-E2849</f>
        <v>0.000520833402777778</v>
      </c>
      <c r="H2849" s="57" t="s">
        <v>252</v>
      </c>
      <c r="I2849" s="57"/>
      <c r="J2849" s="57" t="s">
        <v>333</v>
      </c>
      <c r="K2849" s="57" t="s">
        <v>334</v>
      </c>
      <c r="L2849" s="60" t="s">
        <v>3960</v>
      </c>
      <c r="M2849" s="57" t="s">
        <v>336</v>
      </c>
      <c r="N2849" s="57" t="s">
        <v>381</v>
      </c>
      <c r="O2849" s="57" t="s">
        <v>729</v>
      </c>
      <c r="P2849" s="57" t="s">
        <v>3961</v>
      </c>
      <c r="Q2849" s="57" t="s">
        <v>698</v>
      </c>
    </row>
    <row r="2850" s="50" customFormat="true" ht="14.25" hidden="false" customHeight="true" outlineLevel="0" collapsed="false">
      <c r="A2850" s="50" t="s">
        <v>727</v>
      </c>
      <c r="B2850" s="57" t="s">
        <v>727</v>
      </c>
      <c r="C2850" s="57" t="s">
        <v>415</v>
      </c>
      <c r="D2850" s="58" t="n">
        <v>46065.5746643519</v>
      </c>
      <c r="E2850" s="58" t="n">
        <v>46065.5746643519</v>
      </c>
      <c r="F2850" s="58" t="n">
        <v>46065.5752083333</v>
      </c>
      <c r="G2850" s="59" t="n">
        <f aca="false">F2850-E2850</f>
        <v>0.000543981400462963</v>
      </c>
      <c r="H2850" s="57" t="s">
        <v>252</v>
      </c>
      <c r="I2850" s="57"/>
      <c r="J2850" s="57" t="s">
        <v>333</v>
      </c>
      <c r="K2850" s="57" t="s">
        <v>334</v>
      </c>
      <c r="L2850" s="60" t="s">
        <v>3962</v>
      </c>
      <c r="M2850" s="57" t="s">
        <v>336</v>
      </c>
      <c r="N2850" s="57" t="s">
        <v>381</v>
      </c>
      <c r="O2850" s="57" t="s">
        <v>729</v>
      </c>
      <c r="P2850" s="57" t="s">
        <v>3963</v>
      </c>
      <c r="Q2850" s="57" t="s">
        <v>698</v>
      </c>
    </row>
    <row r="2851" s="50" customFormat="true" ht="14.25" hidden="false" customHeight="true" outlineLevel="0" collapsed="false">
      <c r="A2851" s="50" t="s">
        <v>727</v>
      </c>
      <c r="B2851" s="57" t="s">
        <v>727</v>
      </c>
      <c r="C2851" s="57" t="s">
        <v>415</v>
      </c>
      <c r="D2851" s="58" t="n">
        <v>46065.5528009259</v>
      </c>
      <c r="E2851" s="58" t="n">
        <v>46065.5528009259</v>
      </c>
      <c r="F2851" s="58" t="n">
        <v>46065.5546527778</v>
      </c>
      <c r="G2851" s="59" t="n">
        <f aca="false">F2851-E2851</f>
        <v>0.00185185189814815</v>
      </c>
      <c r="H2851" s="57" t="s">
        <v>252</v>
      </c>
      <c r="I2851" s="57"/>
      <c r="J2851" s="57" t="s">
        <v>333</v>
      </c>
      <c r="K2851" s="57" t="s">
        <v>334</v>
      </c>
      <c r="L2851" s="60" t="s">
        <v>3964</v>
      </c>
      <c r="M2851" s="57" t="s">
        <v>336</v>
      </c>
      <c r="N2851" s="57" t="s">
        <v>381</v>
      </c>
      <c r="O2851" s="57" t="s">
        <v>729</v>
      </c>
      <c r="P2851" s="57" t="s">
        <v>3965</v>
      </c>
      <c r="Q2851" s="57" t="s">
        <v>698</v>
      </c>
    </row>
    <row r="2852" s="50" customFormat="true" ht="14.25" hidden="false" customHeight="true" outlineLevel="0" collapsed="false">
      <c r="A2852" s="50" t="s">
        <v>727</v>
      </c>
      <c r="B2852" s="57" t="s">
        <v>727</v>
      </c>
      <c r="C2852" s="57" t="s">
        <v>415</v>
      </c>
      <c r="D2852" s="58" t="n">
        <v>46065.551087963</v>
      </c>
      <c r="E2852" s="58" t="n">
        <v>46065.551087963</v>
      </c>
      <c r="F2852" s="58" t="n">
        <v>46065.5516319444</v>
      </c>
      <c r="G2852" s="59" t="n">
        <f aca="false">F2852-E2852</f>
        <v>0.000543981400462963</v>
      </c>
      <c r="H2852" s="57" t="s">
        <v>252</v>
      </c>
      <c r="I2852" s="57"/>
      <c r="J2852" s="57" t="s">
        <v>333</v>
      </c>
      <c r="K2852" s="57" t="s">
        <v>334</v>
      </c>
      <c r="L2852" s="60" t="s">
        <v>3966</v>
      </c>
      <c r="M2852" s="57" t="s">
        <v>336</v>
      </c>
      <c r="N2852" s="57" t="s">
        <v>381</v>
      </c>
      <c r="O2852" s="57" t="s">
        <v>729</v>
      </c>
      <c r="P2852" s="57" t="s">
        <v>3967</v>
      </c>
      <c r="Q2852" s="57" t="s">
        <v>698</v>
      </c>
    </row>
    <row r="2853" s="50" customFormat="true" ht="14.25" hidden="false" customHeight="true" outlineLevel="0" collapsed="false">
      <c r="A2853" s="50" t="s">
        <v>727</v>
      </c>
      <c r="B2853" s="57" t="s">
        <v>727</v>
      </c>
      <c r="C2853" s="57" t="s">
        <v>415</v>
      </c>
      <c r="D2853" s="58" t="n">
        <v>46065.537349537</v>
      </c>
      <c r="E2853" s="58" t="n">
        <v>46065.537349537</v>
      </c>
      <c r="F2853" s="58" t="n">
        <v>46065.5378935185</v>
      </c>
      <c r="G2853" s="59" t="n">
        <f aca="false">F2853-E2853</f>
        <v>0.00054398150462963</v>
      </c>
      <c r="H2853" s="57" t="s">
        <v>252</v>
      </c>
      <c r="I2853" s="57"/>
      <c r="J2853" s="57" t="s">
        <v>333</v>
      </c>
      <c r="K2853" s="57" t="s">
        <v>334</v>
      </c>
      <c r="L2853" s="60" t="s">
        <v>3968</v>
      </c>
      <c r="M2853" s="57" t="s">
        <v>336</v>
      </c>
      <c r="N2853" s="57" t="s">
        <v>381</v>
      </c>
      <c r="O2853" s="57" t="s">
        <v>729</v>
      </c>
      <c r="P2853" s="57" t="s">
        <v>3969</v>
      </c>
      <c r="Q2853" s="57" t="s">
        <v>698</v>
      </c>
    </row>
    <row r="2854" s="50" customFormat="true" ht="14.25" hidden="false" customHeight="true" outlineLevel="0" collapsed="false">
      <c r="A2854" s="50" t="s">
        <v>727</v>
      </c>
      <c r="B2854" s="57" t="s">
        <v>727</v>
      </c>
      <c r="C2854" s="57" t="s">
        <v>415</v>
      </c>
      <c r="D2854" s="58" t="n">
        <v>46065.5265393519</v>
      </c>
      <c r="E2854" s="58" t="n">
        <v>46065.5265393519</v>
      </c>
      <c r="F2854" s="58" t="n">
        <v>46065.5270833333</v>
      </c>
      <c r="G2854" s="59" t="n">
        <f aca="false">F2854-E2854</f>
        <v>0.000543981400462963</v>
      </c>
      <c r="H2854" s="57" t="s">
        <v>252</v>
      </c>
      <c r="I2854" s="57"/>
      <c r="J2854" s="57" t="s">
        <v>333</v>
      </c>
      <c r="K2854" s="57" t="s">
        <v>334</v>
      </c>
      <c r="L2854" s="60" t="s">
        <v>3970</v>
      </c>
      <c r="M2854" s="57" t="s">
        <v>336</v>
      </c>
      <c r="N2854" s="57" t="s">
        <v>381</v>
      </c>
      <c r="O2854" s="57" t="s">
        <v>729</v>
      </c>
      <c r="P2854" s="57" t="s">
        <v>3971</v>
      </c>
      <c r="Q2854" s="57" t="s">
        <v>698</v>
      </c>
    </row>
    <row r="2855" s="50" customFormat="true" ht="14.25" hidden="false" customHeight="true" outlineLevel="0" collapsed="false">
      <c r="A2855" s="50" t="s">
        <v>727</v>
      </c>
      <c r="B2855" s="57" t="s">
        <v>727</v>
      </c>
      <c r="C2855" s="57" t="s">
        <v>415</v>
      </c>
      <c r="D2855" s="58" t="n">
        <v>46065.517037037</v>
      </c>
      <c r="E2855" s="58" t="n">
        <v>46065.517037037</v>
      </c>
      <c r="F2855" s="58" t="n">
        <v>46065.5194560185</v>
      </c>
      <c r="G2855" s="59" t="n">
        <f aca="false">F2855-E2855</f>
        <v>0.00241898149305556</v>
      </c>
      <c r="H2855" s="57" t="s">
        <v>252</v>
      </c>
      <c r="I2855" s="57"/>
      <c r="J2855" s="57" t="s">
        <v>333</v>
      </c>
      <c r="K2855" s="57" t="s">
        <v>334</v>
      </c>
      <c r="L2855" s="60" t="s">
        <v>3972</v>
      </c>
      <c r="M2855" s="57" t="s">
        <v>336</v>
      </c>
      <c r="N2855" s="57" t="s">
        <v>381</v>
      </c>
      <c r="O2855" s="57" t="s">
        <v>729</v>
      </c>
      <c r="P2855" s="57" t="s">
        <v>3973</v>
      </c>
      <c r="Q2855" s="57" t="s">
        <v>698</v>
      </c>
    </row>
    <row r="2856" s="50" customFormat="true" ht="14.25" hidden="false" customHeight="true" outlineLevel="0" collapsed="false">
      <c r="A2856" s="50" t="s">
        <v>727</v>
      </c>
      <c r="B2856" s="57" t="s">
        <v>727</v>
      </c>
      <c r="C2856" s="57" t="s">
        <v>415</v>
      </c>
      <c r="D2856" s="58" t="n">
        <v>46065.511087963</v>
      </c>
      <c r="E2856" s="58" t="n">
        <v>46065.511087963</v>
      </c>
      <c r="F2856" s="58" t="n">
        <v>46065.5116435185</v>
      </c>
      <c r="G2856" s="59" t="n">
        <f aca="false">F2856-E2856</f>
        <v>0.000555555497685185</v>
      </c>
      <c r="H2856" s="57" t="s">
        <v>252</v>
      </c>
      <c r="I2856" s="57"/>
      <c r="J2856" s="57" t="s">
        <v>333</v>
      </c>
      <c r="K2856" s="57" t="s">
        <v>334</v>
      </c>
      <c r="L2856" s="60" t="s">
        <v>3974</v>
      </c>
      <c r="M2856" s="57" t="s">
        <v>336</v>
      </c>
      <c r="N2856" s="57" t="s">
        <v>381</v>
      </c>
      <c r="O2856" s="57" t="s">
        <v>729</v>
      </c>
      <c r="P2856" s="57" t="s">
        <v>3975</v>
      </c>
      <c r="Q2856" s="57" t="s">
        <v>698</v>
      </c>
    </row>
    <row r="2857" s="50" customFormat="true" ht="14.25" hidden="false" customHeight="true" outlineLevel="0" collapsed="false">
      <c r="A2857" s="50" t="s">
        <v>727</v>
      </c>
      <c r="B2857" s="57" t="s">
        <v>727</v>
      </c>
      <c r="C2857" s="57" t="s">
        <v>415</v>
      </c>
      <c r="D2857" s="58" t="n">
        <v>46065.4986805556</v>
      </c>
      <c r="E2857" s="58" t="n">
        <v>46065.4986805556</v>
      </c>
      <c r="F2857" s="58" t="n">
        <v>46065.499224537</v>
      </c>
      <c r="G2857" s="59" t="n">
        <f aca="false">F2857-E2857</f>
        <v>0.000543981400462963</v>
      </c>
      <c r="H2857" s="57" t="s">
        <v>252</v>
      </c>
      <c r="I2857" s="57"/>
      <c r="J2857" s="57" t="s">
        <v>333</v>
      </c>
      <c r="K2857" s="57" t="s">
        <v>334</v>
      </c>
      <c r="L2857" s="60" t="s">
        <v>3976</v>
      </c>
      <c r="M2857" s="57" t="s">
        <v>336</v>
      </c>
      <c r="N2857" s="57" t="s">
        <v>381</v>
      </c>
      <c r="O2857" s="57" t="s">
        <v>729</v>
      </c>
      <c r="P2857" s="57" t="s">
        <v>3977</v>
      </c>
      <c r="Q2857" s="57" t="s">
        <v>698</v>
      </c>
    </row>
    <row r="2858" s="50" customFormat="true" ht="14.25" hidden="false" customHeight="true" outlineLevel="0" collapsed="false">
      <c r="A2858" s="50" t="s">
        <v>727</v>
      </c>
      <c r="B2858" s="57" t="s">
        <v>727</v>
      </c>
      <c r="C2858" s="57" t="s">
        <v>415</v>
      </c>
      <c r="D2858" s="58" t="n">
        <v>46065.4798148148</v>
      </c>
      <c r="E2858" s="58" t="n">
        <v>46065.4798148148</v>
      </c>
      <c r="F2858" s="58" t="n">
        <v>46065.4803472222</v>
      </c>
      <c r="G2858" s="59" t="n">
        <f aca="false">F2858-E2858</f>
        <v>0.000532407407407407</v>
      </c>
      <c r="H2858" s="57" t="s">
        <v>252</v>
      </c>
      <c r="I2858" s="57"/>
      <c r="J2858" s="57" t="s">
        <v>333</v>
      </c>
      <c r="K2858" s="57" t="s">
        <v>334</v>
      </c>
      <c r="L2858" s="60" t="s">
        <v>3978</v>
      </c>
      <c r="M2858" s="57" t="s">
        <v>336</v>
      </c>
      <c r="N2858" s="57" t="s">
        <v>381</v>
      </c>
      <c r="O2858" s="57" t="s">
        <v>729</v>
      </c>
      <c r="P2858" s="57" t="s">
        <v>3979</v>
      </c>
      <c r="Q2858" s="57" t="s">
        <v>698</v>
      </c>
    </row>
    <row r="2859" s="50" customFormat="true" ht="14.25" hidden="false" customHeight="true" outlineLevel="0" collapsed="false">
      <c r="A2859" s="50" t="s">
        <v>727</v>
      </c>
      <c r="B2859" s="57" t="s">
        <v>727</v>
      </c>
      <c r="C2859" s="57" t="s">
        <v>415</v>
      </c>
      <c r="D2859" s="58" t="n">
        <v>46065.4661689815</v>
      </c>
      <c r="E2859" s="58" t="n">
        <v>46065.4661689815</v>
      </c>
      <c r="F2859" s="58" t="n">
        <v>46065.466712963</v>
      </c>
      <c r="G2859" s="59" t="n">
        <f aca="false">F2859-E2859</f>
        <v>0.00054398150462963</v>
      </c>
      <c r="H2859" s="57" t="s">
        <v>252</v>
      </c>
      <c r="I2859" s="57"/>
      <c r="J2859" s="57" t="s">
        <v>333</v>
      </c>
      <c r="K2859" s="57" t="s">
        <v>334</v>
      </c>
      <c r="L2859" s="60" t="s">
        <v>3980</v>
      </c>
      <c r="M2859" s="57" t="s">
        <v>336</v>
      </c>
      <c r="N2859" s="57" t="s">
        <v>381</v>
      </c>
      <c r="O2859" s="57" t="s">
        <v>729</v>
      </c>
      <c r="P2859" s="57" t="s">
        <v>3981</v>
      </c>
      <c r="Q2859" s="57" t="s">
        <v>698</v>
      </c>
    </row>
    <row r="2860" s="50" customFormat="true" ht="14.25" hidden="false" customHeight="true" outlineLevel="0" collapsed="false">
      <c r="A2860" s="50" t="s">
        <v>727</v>
      </c>
      <c r="B2860" s="57" t="s">
        <v>727</v>
      </c>
      <c r="C2860" s="57" t="s">
        <v>415</v>
      </c>
      <c r="D2860" s="58" t="n">
        <v>46065.4570717593</v>
      </c>
      <c r="E2860" s="58" t="n">
        <v>46065.4570717593</v>
      </c>
      <c r="F2860" s="58" t="n">
        <v>46065.4576157407</v>
      </c>
      <c r="G2860" s="59" t="n">
        <f aca="false">F2860-E2860</f>
        <v>0.000543981400462963</v>
      </c>
      <c r="H2860" s="57" t="s">
        <v>252</v>
      </c>
      <c r="I2860" s="57"/>
      <c r="J2860" s="57" t="s">
        <v>333</v>
      </c>
      <c r="K2860" s="57" t="s">
        <v>334</v>
      </c>
      <c r="L2860" s="60" t="s">
        <v>3982</v>
      </c>
      <c r="M2860" s="57" t="s">
        <v>336</v>
      </c>
      <c r="N2860" s="57" t="s">
        <v>381</v>
      </c>
      <c r="O2860" s="57" t="s">
        <v>729</v>
      </c>
      <c r="P2860" s="57" t="s">
        <v>3983</v>
      </c>
      <c r="Q2860" s="57" t="s">
        <v>698</v>
      </c>
    </row>
    <row r="2861" s="50" customFormat="true" ht="14.25" hidden="false" customHeight="true" outlineLevel="0" collapsed="false">
      <c r="A2861" s="50" t="s">
        <v>727</v>
      </c>
      <c r="B2861" s="57" t="s">
        <v>727</v>
      </c>
      <c r="C2861" s="57" t="s">
        <v>415</v>
      </c>
      <c r="D2861" s="58" t="n">
        <v>46065.4430787037</v>
      </c>
      <c r="E2861" s="58" t="n">
        <v>46065.4430787037</v>
      </c>
      <c r="F2861" s="58" t="n">
        <v>46065.4436342593</v>
      </c>
      <c r="G2861" s="59" t="n">
        <f aca="false">F2861-E2861</f>
        <v>0.000555555601851852</v>
      </c>
      <c r="H2861" s="57" t="s">
        <v>252</v>
      </c>
      <c r="I2861" s="57"/>
      <c r="J2861" s="57" t="s">
        <v>333</v>
      </c>
      <c r="K2861" s="57" t="s">
        <v>334</v>
      </c>
      <c r="L2861" s="60" t="s">
        <v>3984</v>
      </c>
      <c r="M2861" s="57" t="s">
        <v>336</v>
      </c>
      <c r="N2861" s="57" t="s">
        <v>381</v>
      </c>
      <c r="O2861" s="57" t="s">
        <v>729</v>
      </c>
      <c r="P2861" s="57" t="s">
        <v>3985</v>
      </c>
      <c r="Q2861" s="57" t="s">
        <v>698</v>
      </c>
    </row>
    <row r="2862" s="50" customFormat="true" ht="14.25" hidden="false" customHeight="true" outlineLevel="0" collapsed="false">
      <c r="A2862" s="50" t="s">
        <v>727</v>
      </c>
      <c r="B2862" s="57" t="s">
        <v>727</v>
      </c>
      <c r="C2862" s="57" t="s">
        <v>415</v>
      </c>
      <c r="D2862" s="58" t="n">
        <v>46065.4413541667</v>
      </c>
      <c r="E2862" s="58" t="n">
        <v>46065.4413541667</v>
      </c>
      <c r="F2862" s="58" t="n">
        <v>46065.4425925926</v>
      </c>
      <c r="G2862" s="59" t="n">
        <f aca="false">F2862-E2862</f>
        <v>0.0012384258912037</v>
      </c>
      <c r="H2862" s="57" t="s">
        <v>252</v>
      </c>
      <c r="I2862" s="57"/>
      <c r="J2862" s="57" t="s">
        <v>333</v>
      </c>
      <c r="K2862" s="57" t="s">
        <v>334</v>
      </c>
      <c r="L2862" s="60" t="s">
        <v>3986</v>
      </c>
      <c r="M2862" s="57" t="s">
        <v>336</v>
      </c>
      <c r="N2862" s="57" t="s">
        <v>381</v>
      </c>
      <c r="O2862" s="57" t="s">
        <v>729</v>
      </c>
      <c r="P2862" s="57" t="s">
        <v>3987</v>
      </c>
      <c r="Q2862" s="57" t="s">
        <v>698</v>
      </c>
    </row>
    <row r="2863" s="50" customFormat="true" ht="14.25" hidden="false" customHeight="true" outlineLevel="0" collapsed="false">
      <c r="A2863" s="50" t="s">
        <v>727</v>
      </c>
      <c r="B2863" s="57" t="s">
        <v>727</v>
      </c>
      <c r="C2863" s="57" t="s">
        <v>415</v>
      </c>
      <c r="D2863" s="58" t="n">
        <v>46065.4386805556</v>
      </c>
      <c r="E2863" s="58" t="n">
        <v>46065.4386805556</v>
      </c>
      <c r="F2863" s="58" t="n">
        <v>46065.4395486111</v>
      </c>
      <c r="G2863" s="59" t="n">
        <f aca="false">F2863-E2863</f>
        <v>0.000868055509259259</v>
      </c>
      <c r="H2863" s="57" t="s">
        <v>252</v>
      </c>
      <c r="I2863" s="57"/>
      <c r="J2863" s="57" t="s">
        <v>333</v>
      </c>
      <c r="K2863" s="57" t="s">
        <v>334</v>
      </c>
      <c r="L2863" s="60" t="s">
        <v>3988</v>
      </c>
      <c r="M2863" s="57" t="s">
        <v>336</v>
      </c>
      <c r="N2863" s="57" t="s">
        <v>381</v>
      </c>
      <c r="O2863" s="57" t="s">
        <v>729</v>
      </c>
      <c r="P2863" s="57" t="s">
        <v>3989</v>
      </c>
      <c r="Q2863" s="57" t="s">
        <v>698</v>
      </c>
    </row>
    <row r="2864" s="50" customFormat="true" ht="14.25" hidden="false" customHeight="true" outlineLevel="0" collapsed="false">
      <c r="A2864" s="50" t="s">
        <v>727</v>
      </c>
      <c r="B2864" s="57" t="s">
        <v>727</v>
      </c>
      <c r="C2864" s="57" t="s">
        <v>415</v>
      </c>
      <c r="D2864" s="58" t="n">
        <v>46065.4359490741</v>
      </c>
      <c r="E2864" s="58" t="n">
        <v>46065.4359490741</v>
      </c>
      <c r="F2864" s="58" t="n">
        <v>46065.4383333333</v>
      </c>
      <c r="G2864" s="59" t="n">
        <f aca="false">F2864-E2864</f>
        <v>0.00238425920138889</v>
      </c>
      <c r="H2864" s="57" t="s">
        <v>252</v>
      </c>
      <c r="I2864" s="57"/>
      <c r="J2864" s="57" t="s">
        <v>333</v>
      </c>
      <c r="K2864" s="57" t="s">
        <v>334</v>
      </c>
      <c r="L2864" s="60" t="s">
        <v>3990</v>
      </c>
      <c r="M2864" s="57" t="s">
        <v>336</v>
      </c>
      <c r="N2864" s="57" t="s">
        <v>381</v>
      </c>
      <c r="O2864" s="57" t="s">
        <v>729</v>
      </c>
      <c r="P2864" s="57" t="s">
        <v>3991</v>
      </c>
      <c r="Q2864" s="57" t="s">
        <v>698</v>
      </c>
    </row>
    <row r="2865" s="50" customFormat="true" ht="14.25" hidden="false" customHeight="true" outlineLevel="0" collapsed="false">
      <c r="A2865" s="50" t="s">
        <v>727</v>
      </c>
      <c r="B2865" s="57" t="s">
        <v>727</v>
      </c>
      <c r="C2865" s="57" t="s">
        <v>415</v>
      </c>
      <c r="D2865" s="58" t="n">
        <v>46065.4359375</v>
      </c>
      <c r="E2865" s="58" t="n">
        <v>46065.4359375</v>
      </c>
      <c r="F2865" s="58" t="n">
        <v>46065.4383449074</v>
      </c>
      <c r="G2865" s="59" t="n">
        <f aca="false">F2865-E2865</f>
        <v>0.00240740740740741</v>
      </c>
      <c r="H2865" s="57" t="s">
        <v>252</v>
      </c>
      <c r="I2865" s="57"/>
      <c r="J2865" s="57" t="s">
        <v>333</v>
      </c>
      <c r="K2865" s="57" t="s">
        <v>334</v>
      </c>
      <c r="L2865" s="60" t="s">
        <v>3992</v>
      </c>
      <c r="M2865" s="57" t="s">
        <v>336</v>
      </c>
      <c r="N2865" s="57" t="s">
        <v>381</v>
      </c>
      <c r="O2865" s="57" t="s">
        <v>729</v>
      </c>
      <c r="P2865" s="57" t="s">
        <v>3993</v>
      </c>
      <c r="Q2865" s="57" t="s">
        <v>698</v>
      </c>
    </row>
    <row r="2866" s="50" customFormat="true" ht="14.25" hidden="false" customHeight="true" outlineLevel="0" collapsed="false">
      <c r="A2866" s="50" t="s">
        <v>727</v>
      </c>
      <c r="B2866" s="57" t="s">
        <v>727</v>
      </c>
      <c r="C2866" s="57" t="s">
        <v>415</v>
      </c>
      <c r="D2866" s="58" t="n">
        <v>46065.4356018519</v>
      </c>
      <c r="E2866" s="58" t="n">
        <v>46065.4356018519</v>
      </c>
      <c r="F2866" s="58" t="n">
        <v>46065.4383449074</v>
      </c>
      <c r="G2866" s="59" t="n">
        <f aca="false">F2866-E2866</f>
        <v>0.00274305549768519</v>
      </c>
      <c r="H2866" s="57" t="s">
        <v>252</v>
      </c>
      <c r="I2866" s="57"/>
      <c r="J2866" s="57" t="s">
        <v>333</v>
      </c>
      <c r="K2866" s="57" t="s">
        <v>334</v>
      </c>
      <c r="L2866" s="60" t="s">
        <v>3994</v>
      </c>
      <c r="M2866" s="57" t="s">
        <v>336</v>
      </c>
      <c r="N2866" s="57" t="s">
        <v>381</v>
      </c>
      <c r="O2866" s="57" t="s">
        <v>729</v>
      </c>
      <c r="P2866" s="57" t="s">
        <v>3995</v>
      </c>
      <c r="Q2866" s="57" t="s">
        <v>698</v>
      </c>
    </row>
    <row r="2867" s="50" customFormat="true" ht="14.25" hidden="false" customHeight="true" outlineLevel="0" collapsed="false">
      <c r="A2867" s="50" t="s">
        <v>727</v>
      </c>
      <c r="B2867" s="57" t="s">
        <v>727</v>
      </c>
      <c r="C2867" s="57" t="s">
        <v>415</v>
      </c>
      <c r="D2867" s="58" t="n">
        <v>46065.4335069444</v>
      </c>
      <c r="E2867" s="58" t="n">
        <v>46065.4335069444</v>
      </c>
      <c r="F2867" s="58" t="n">
        <v>46065.4340625</v>
      </c>
      <c r="G2867" s="59" t="n">
        <f aca="false">F2867-E2867</f>
        <v>0.000555555601851852</v>
      </c>
      <c r="H2867" s="57" t="s">
        <v>252</v>
      </c>
      <c r="I2867" s="57"/>
      <c r="J2867" s="57" t="s">
        <v>333</v>
      </c>
      <c r="K2867" s="57" t="s">
        <v>334</v>
      </c>
      <c r="L2867" s="60" t="s">
        <v>3996</v>
      </c>
      <c r="M2867" s="57" t="s">
        <v>336</v>
      </c>
      <c r="N2867" s="57" t="s">
        <v>381</v>
      </c>
      <c r="O2867" s="57" t="s">
        <v>729</v>
      </c>
      <c r="P2867" s="57" t="s">
        <v>3997</v>
      </c>
      <c r="Q2867" s="57" t="s">
        <v>698</v>
      </c>
    </row>
    <row r="2868" s="50" customFormat="true" ht="14.25" hidden="false" customHeight="true" outlineLevel="0" collapsed="false">
      <c r="A2868" s="50" t="s">
        <v>727</v>
      </c>
      <c r="B2868" s="57" t="s">
        <v>727</v>
      </c>
      <c r="C2868" s="57" t="s">
        <v>415</v>
      </c>
      <c r="D2868" s="58" t="n">
        <v>46065.4231018519</v>
      </c>
      <c r="E2868" s="58" t="n">
        <v>46065.4231018519</v>
      </c>
      <c r="F2868" s="58" t="n">
        <v>46065.4236342593</v>
      </c>
      <c r="G2868" s="59" t="n">
        <f aca="false">F2868-E2868</f>
        <v>0.000532407407407407</v>
      </c>
      <c r="H2868" s="57" t="s">
        <v>252</v>
      </c>
      <c r="I2868" s="57"/>
      <c r="J2868" s="57" t="s">
        <v>333</v>
      </c>
      <c r="K2868" s="57" t="s">
        <v>334</v>
      </c>
      <c r="L2868" s="60" t="s">
        <v>3998</v>
      </c>
      <c r="M2868" s="57" t="s">
        <v>336</v>
      </c>
      <c r="N2868" s="57" t="s">
        <v>381</v>
      </c>
      <c r="O2868" s="57" t="s">
        <v>729</v>
      </c>
      <c r="P2868" s="57" t="s">
        <v>3999</v>
      </c>
      <c r="Q2868" s="57" t="s">
        <v>698</v>
      </c>
    </row>
    <row r="2869" s="50" customFormat="true" ht="14.25" hidden="false" customHeight="true" outlineLevel="0" collapsed="false">
      <c r="A2869" s="50" t="s">
        <v>727</v>
      </c>
      <c r="B2869" s="57" t="s">
        <v>727</v>
      </c>
      <c r="C2869" s="57" t="s">
        <v>415</v>
      </c>
      <c r="D2869" s="58" t="n">
        <v>46065.4075347222</v>
      </c>
      <c r="E2869" s="58" t="n">
        <v>46065.4075347222</v>
      </c>
      <c r="F2869" s="58" t="n">
        <v>46065.4089583333</v>
      </c>
      <c r="G2869" s="59" t="n">
        <f aca="false">F2869-E2869</f>
        <v>0.00142361109953704</v>
      </c>
      <c r="H2869" s="57" t="s">
        <v>252</v>
      </c>
      <c r="I2869" s="57"/>
      <c r="J2869" s="57" t="s">
        <v>333</v>
      </c>
      <c r="K2869" s="57" t="s">
        <v>334</v>
      </c>
      <c r="L2869" s="60" t="s">
        <v>4000</v>
      </c>
      <c r="M2869" s="57" t="s">
        <v>336</v>
      </c>
      <c r="N2869" s="57" t="s">
        <v>381</v>
      </c>
      <c r="O2869" s="57" t="s">
        <v>729</v>
      </c>
      <c r="P2869" s="57" t="s">
        <v>4001</v>
      </c>
      <c r="Q2869" s="57" t="s">
        <v>698</v>
      </c>
    </row>
    <row r="2870" s="50" customFormat="true" ht="14.25" hidden="false" customHeight="true" outlineLevel="0" collapsed="false">
      <c r="A2870" s="50" t="s">
        <v>727</v>
      </c>
      <c r="B2870" s="57" t="s">
        <v>727</v>
      </c>
      <c r="C2870" s="57" t="s">
        <v>415</v>
      </c>
      <c r="D2870" s="58" t="n">
        <v>46065.3883449074</v>
      </c>
      <c r="E2870" s="58" t="n">
        <v>46065.3883449074</v>
      </c>
      <c r="F2870" s="58" t="n">
        <v>46065.3894791667</v>
      </c>
      <c r="G2870" s="59" t="n">
        <f aca="false">F2870-E2870</f>
        <v>0.00113425929398148</v>
      </c>
      <c r="H2870" s="57" t="s">
        <v>252</v>
      </c>
      <c r="I2870" s="57"/>
      <c r="J2870" s="57" t="s">
        <v>333</v>
      </c>
      <c r="K2870" s="57" t="s">
        <v>334</v>
      </c>
      <c r="L2870" s="60" t="s">
        <v>4002</v>
      </c>
      <c r="M2870" s="57" t="s">
        <v>336</v>
      </c>
      <c r="N2870" s="57" t="s">
        <v>381</v>
      </c>
      <c r="O2870" s="57" t="s">
        <v>729</v>
      </c>
      <c r="P2870" s="57" t="s">
        <v>4003</v>
      </c>
      <c r="Q2870" s="57" t="s">
        <v>698</v>
      </c>
    </row>
    <row r="2871" s="50" customFormat="true" ht="14.25" hidden="false" customHeight="true" outlineLevel="0" collapsed="false">
      <c r="A2871" s="50" t="s">
        <v>727</v>
      </c>
      <c r="B2871" s="57" t="s">
        <v>727</v>
      </c>
      <c r="C2871" s="57" t="s">
        <v>415</v>
      </c>
      <c r="D2871" s="58" t="n">
        <v>46065.3690625</v>
      </c>
      <c r="E2871" s="58" t="n">
        <v>46065.3690625</v>
      </c>
      <c r="F2871" s="58" t="n">
        <v>46065.3704282407</v>
      </c>
      <c r="G2871" s="59" t="n">
        <f aca="false">F2871-E2871</f>
        <v>0.00136574069444444</v>
      </c>
      <c r="H2871" s="57" t="s">
        <v>252</v>
      </c>
      <c r="I2871" s="57"/>
      <c r="J2871" s="57" t="s">
        <v>333</v>
      </c>
      <c r="K2871" s="57" t="s">
        <v>334</v>
      </c>
      <c r="L2871" s="60" t="s">
        <v>4004</v>
      </c>
      <c r="M2871" s="57" t="s">
        <v>336</v>
      </c>
      <c r="N2871" s="57" t="s">
        <v>381</v>
      </c>
      <c r="O2871" s="57" t="s">
        <v>729</v>
      </c>
      <c r="P2871" s="57" t="s">
        <v>4005</v>
      </c>
      <c r="Q2871" s="57" t="s">
        <v>698</v>
      </c>
    </row>
    <row r="2872" s="50" customFormat="true" ht="14.25" hidden="false" customHeight="true" outlineLevel="0" collapsed="false">
      <c r="A2872" s="50" t="s">
        <v>727</v>
      </c>
      <c r="B2872" s="57" t="s">
        <v>727</v>
      </c>
      <c r="C2872" s="57" t="s">
        <v>415</v>
      </c>
      <c r="D2872" s="58" t="n">
        <v>46065.3482407407</v>
      </c>
      <c r="E2872" s="58" t="n">
        <v>46065.3482407407</v>
      </c>
      <c r="F2872" s="58" t="n">
        <v>46065.3487847222</v>
      </c>
      <c r="G2872" s="59" t="n">
        <f aca="false">F2872-E2872</f>
        <v>0.00054398150462963</v>
      </c>
      <c r="H2872" s="57" t="s">
        <v>252</v>
      </c>
      <c r="I2872" s="57"/>
      <c r="J2872" s="57" t="s">
        <v>333</v>
      </c>
      <c r="K2872" s="57" t="s">
        <v>334</v>
      </c>
      <c r="L2872" s="60" t="s">
        <v>4006</v>
      </c>
      <c r="M2872" s="57" t="s">
        <v>336</v>
      </c>
      <c r="N2872" s="57" t="s">
        <v>381</v>
      </c>
      <c r="O2872" s="57" t="s">
        <v>729</v>
      </c>
      <c r="P2872" s="57" t="s">
        <v>4007</v>
      </c>
      <c r="Q2872" s="57" t="s">
        <v>698</v>
      </c>
    </row>
    <row r="2873" s="50" customFormat="true" ht="14.25" hidden="false" customHeight="true" outlineLevel="0" collapsed="false">
      <c r="A2873" s="50" t="s">
        <v>727</v>
      </c>
      <c r="B2873" s="57" t="s">
        <v>727</v>
      </c>
      <c r="C2873" s="57" t="s">
        <v>415</v>
      </c>
      <c r="D2873" s="58" t="n">
        <v>46065.3340046296</v>
      </c>
      <c r="E2873" s="58" t="n">
        <v>46065.3340046296</v>
      </c>
      <c r="F2873" s="58" t="n">
        <v>46065.3345138889</v>
      </c>
      <c r="G2873" s="59" t="n">
        <f aca="false">F2873-E2873</f>
        <v>0.000509259293981482</v>
      </c>
      <c r="H2873" s="57" t="s">
        <v>252</v>
      </c>
      <c r="I2873" s="57"/>
      <c r="J2873" s="57" t="s">
        <v>333</v>
      </c>
      <c r="K2873" s="57" t="s">
        <v>334</v>
      </c>
      <c r="L2873" s="60" t="s">
        <v>4008</v>
      </c>
      <c r="M2873" s="57" t="s">
        <v>336</v>
      </c>
      <c r="N2873" s="57" t="s">
        <v>381</v>
      </c>
      <c r="O2873" s="57" t="s">
        <v>729</v>
      </c>
      <c r="P2873" s="57" t="s">
        <v>4009</v>
      </c>
      <c r="Q2873" s="57" t="s">
        <v>698</v>
      </c>
    </row>
    <row r="2874" s="50" customFormat="true" ht="14.25" hidden="false" customHeight="true" outlineLevel="0" collapsed="false">
      <c r="A2874" s="50" t="s">
        <v>727</v>
      </c>
      <c r="B2874" s="57" t="s">
        <v>727</v>
      </c>
      <c r="C2874" s="57" t="s">
        <v>415</v>
      </c>
      <c r="D2874" s="58" t="n">
        <v>46065.3161458333</v>
      </c>
      <c r="E2874" s="58" t="n">
        <v>46065.3161458333</v>
      </c>
      <c r="F2874" s="58" t="n">
        <v>46065.3166666667</v>
      </c>
      <c r="G2874" s="59" t="n">
        <f aca="false">F2874-E2874</f>
        <v>0.000520833402777778</v>
      </c>
      <c r="H2874" s="57" t="s">
        <v>252</v>
      </c>
      <c r="I2874" s="57"/>
      <c r="J2874" s="57" t="s">
        <v>333</v>
      </c>
      <c r="K2874" s="57" t="s">
        <v>334</v>
      </c>
      <c r="L2874" s="60" t="s">
        <v>4010</v>
      </c>
      <c r="M2874" s="57" t="s">
        <v>336</v>
      </c>
      <c r="N2874" s="57" t="s">
        <v>381</v>
      </c>
      <c r="O2874" s="57" t="s">
        <v>729</v>
      </c>
      <c r="P2874" s="57" t="s">
        <v>4011</v>
      </c>
      <c r="Q2874" s="57" t="s">
        <v>698</v>
      </c>
    </row>
    <row r="2875" s="50" customFormat="true" ht="14.25" hidden="false" customHeight="true" outlineLevel="0" collapsed="false">
      <c r="A2875" s="50" t="s">
        <v>727</v>
      </c>
      <c r="B2875" s="57" t="s">
        <v>727</v>
      </c>
      <c r="C2875" s="57" t="s">
        <v>415</v>
      </c>
      <c r="D2875" s="58" t="n">
        <v>46065.3089583333</v>
      </c>
      <c r="E2875" s="58" t="n">
        <v>46065.3089583333</v>
      </c>
      <c r="F2875" s="58" t="n">
        <v>46065.309525463</v>
      </c>
      <c r="G2875" s="59" t="n">
        <f aca="false">F2875-E2875</f>
        <v>0.000567129699074074</v>
      </c>
      <c r="H2875" s="57" t="s">
        <v>252</v>
      </c>
      <c r="I2875" s="57"/>
      <c r="J2875" s="57" t="s">
        <v>333</v>
      </c>
      <c r="K2875" s="57" t="s">
        <v>334</v>
      </c>
      <c r="L2875" s="60" t="s">
        <v>4012</v>
      </c>
      <c r="M2875" s="57" t="s">
        <v>336</v>
      </c>
      <c r="N2875" s="57" t="s">
        <v>381</v>
      </c>
      <c r="O2875" s="57" t="s">
        <v>729</v>
      </c>
      <c r="P2875" s="57" t="s">
        <v>4013</v>
      </c>
      <c r="Q2875" s="57" t="s">
        <v>698</v>
      </c>
    </row>
    <row r="2876" s="50" customFormat="true" ht="14.25" hidden="false" customHeight="true" outlineLevel="0" collapsed="false">
      <c r="A2876" s="50" t="s">
        <v>727</v>
      </c>
      <c r="B2876" s="57" t="s">
        <v>727</v>
      </c>
      <c r="C2876" s="57" t="s">
        <v>415</v>
      </c>
      <c r="D2876" s="58" t="n">
        <v>46065.3017476852</v>
      </c>
      <c r="E2876" s="58" t="n">
        <v>46065.3017476852</v>
      </c>
      <c r="F2876" s="58" t="n">
        <v>46065.3025</v>
      </c>
      <c r="G2876" s="59" t="n">
        <f aca="false">F2876-E2876</f>
        <v>0.000752314803240741</v>
      </c>
      <c r="H2876" s="57" t="s">
        <v>252</v>
      </c>
      <c r="I2876" s="57"/>
      <c r="J2876" s="57" t="s">
        <v>333</v>
      </c>
      <c r="K2876" s="57" t="s">
        <v>334</v>
      </c>
      <c r="L2876" s="60" t="s">
        <v>4014</v>
      </c>
      <c r="M2876" s="57" t="s">
        <v>336</v>
      </c>
      <c r="N2876" s="57" t="s">
        <v>381</v>
      </c>
      <c r="O2876" s="57" t="s">
        <v>729</v>
      </c>
      <c r="P2876" s="57" t="s">
        <v>4015</v>
      </c>
      <c r="Q2876" s="57" t="s">
        <v>698</v>
      </c>
    </row>
    <row r="2877" s="50" customFormat="true" ht="14.25" hidden="false" customHeight="true" outlineLevel="0" collapsed="false">
      <c r="A2877" s="50" t="s">
        <v>727</v>
      </c>
      <c r="B2877" s="57" t="s">
        <v>727</v>
      </c>
      <c r="C2877" s="57" t="s">
        <v>415</v>
      </c>
      <c r="D2877" s="58" t="n">
        <v>46065.2902546296</v>
      </c>
      <c r="E2877" s="58" t="n">
        <v>46065.2902546296</v>
      </c>
      <c r="F2877" s="58" t="n">
        <v>46065.2908449074</v>
      </c>
      <c r="G2877" s="59" t="n">
        <f aca="false">F2877-E2877</f>
        <v>0.000590277800925926</v>
      </c>
      <c r="H2877" s="57" t="s">
        <v>252</v>
      </c>
      <c r="I2877" s="57"/>
      <c r="J2877" s="57" t="s">
        <v>333</v>
      </c>
      <c r="K2877" s="57" t="s">
        <v>334</v>
      </c>
      <c r="L2877" s="60" t="s">
        <v>4016</v>
      </c>
      <c r="M2877" s="57" t="s">
        <v>336</v>
      </c>
      <c r="N2877" s="57" t="s">
        <v>381</v>
      </c>
      <c r="O2877" s="57" t="s">
        <v>729</v>
      </c>
      <c r="P2877" s="57" t="s">
        <v>4017</v>
      </c>
      <c r="Q2877" s="57" t="s">
        <v>698</v>
      </c>
    </row>
    <row r="2878" s="50" customFormat="true" ht="14.25" hidden="false" customHeight="true" outlineLevel="0" collapsed="false">
      <c r="A2878" s="50" t="s">
        <v>727</v>
      </c>
      <c r="B2878" s="57" t="s">
        <v>727</v>
      </c>
      <c r="C2878" s="57" t="s">
        <v>415</v>
      </c>
      <c r="D2878" s="58" t="n">
        <v>46065.2735532407</v>
      </c>
      <c r="E2878" s="58" t="n">
        <v>46065.2735532407</v>
      </c>
      <c r="F2878" s="58" t="n">
        <v>46065.2740277778</v>
      </c>
      <c r="G2878" s="59" t="n">
        <f aca="false">F2878-E2878</f>
        <v>0.000474537094907407</v>
      </c>
      <c r="H2878" s="57" t="s">
        <v>252</v>
      </c>
      <c r="I2878" s="57"/>
      <c r="J2878" s="57" t="s">
        <v>333</v>
      </c>
      <c r="K2878" s="57" t="s">
        <v>334</v>
      </c>
      <c r="L2878" s="60" t="s">
        <v>4018</v>
      </c>
      <c r="M2878" s="57" t="s">
        <v>336</v>
      </c>
      <c r="N2878" s="57" t="s">
        <v>381</v>
      </c>
      <c r="O2878" s="57" t="s">
        <v>729</v>
      </c>
      <c r="P2878" s="57" t="s">
        <v>4019</v>
      </c>
      <c r="Q2878" s="57" t="s">
        <v>698</v>
      </c>
    </row>
    <row r="2879" s="50" customFormat="true" ht="14.25" hidden="false" customHeight="true" outlineLevel="0" collapsed="false">
      <c r="A2879" s="50" t="s">
        <v>727</v>
      </c>
      <c r="B2879" s="57" t="s">
        <v>727</v>
      </c>
      <c r="C2879" s="57" t="s">
        <v>415</v>
      </c>
      <c r="D2879" s="58" t="n">
        <v>46065.2578240741</v>
      </c>
      <c r="E2879" s="58" t="n">
        <v>46065.2578240741</v>
      </c>
      <c r="F2879" s="58" t="n">
        <v>46065.2583333333</v>
      </c>
      <c r="G2879" s="59" t="n">
        <f aca="false">F2879-E2879</f>
        <v>0.000509259201388889</v>
      </c>
      <c r="H2879" s="57" t="s">
        <v>252</v>
      </c>
      <c r="I2879" s="57"/>
      <c r="J2879" s="57" t="s">
        <v>333</v>
      </c>
      <c r="K2879" s="57" t="s">
        <v>334</v>
      </c>
      <c r="L2879" s="60" t="s">
        <v>4020</v>
      </c>
      <c r="M2879" s="57" t="s">
        <v>336</v>
      </c>
      <c r="N2879" s="57" t="s">
        <v>381</v>
      </c>
      <c r="O2879" s="57" t="s">
        <v>729</v>
      </c>
      <c r="P2879" s="57" t="s">
        <v>4021</v>
      </c>
      <c r="Q2879" s="57" t="s">
        <v>698</v>
      </c>
    </row>
    <row r="2880" s="50" customFormat="true" ht="14.25" hidden="false" customHeight="true" outlineLevel="0" collapsed="false">
      <c r="A2880" s="50" t="s">
        <v>727</v>
      </c>
      <c r="B2880" s="57" t="s">
        <v>727</v>
      </c>
      <c r="C2880" s="57" t="s">
        <v>415</v>
      </c>
      <c r="D2880" s="58" t="n">
        <v>46065.2390740741</v>
      </c>
      <c r="E2880" s="58" t="n">
        <v>46065.2390740741</v>
      </c>
      <c r="F2880" s="58" t="n">
        <v>46065.2537037037</v>
      </c>
      <c r="G2880" s="59" t="n">
        <f aca="false">F2880-E2880</f>
        <v>0.0146296295949074</v>
      </c>
      <c r="H2880" s="57" t="s">
        <v>252</v>
      </c>
      <c r="I2880" s="57"/>
      <c r="J2880" s="57" t="s">
        <v>333</v>
      </c>
      <c r="K2880" s="57" t="s">
        <v>334</v>
      </c>
      <c r="L2880" s="60" t="s">
        <v>4022</v>
      </c>
      <c r="M2880" s="57" t="s">
        <v>336</v>
      </c>
      <c r="N2880" s="57" t="s">
        <v>381</v>
      </c>
      <c r="O2880" s="57" t="s">
        <v>729</v>
      </c>
      <c r="P2880" s="57" t="s">
        <v>4023</v>
      </c>
      <c r="Q2880" s="57" t="s">
        <v>698</v>
      </c>
    </row>
    <row r="2881" s="50" customFormat="true" ht="14.25" hidden="false" customHeight="true" outlineLevel="0" collapsed="false">
      <c r="A2881" s="50" t="s">
        <v>727</v>
      </c>
      <c r="B2881" s="57" t="s">
        <v>727</v>
      </c>
      <c r="C2881" s="57" t="s">
        <v>415</v>
      </c>
      <c r="D2881" s="58" t="n">
        <v>46065.2386689815</v>
      </c>
      <c r="E2881" s="58" t="n">
        <v>46065.2386689815</v>
      </c>
      <c r="F2881" s="58" t="n">
        <v>46065.2537037037</v>
      </c>
      <c r="G2881" s="59" t="n">
        <f aca="false">F2881-E2881</f>
        <v>0.0150347221990741</v>
      </c>
      <c r="H2881" s="57" t="s">
        <v>252</v>
      </c>
      <c r="I2881" s="57"/>
      <c r="J2881" s="57" t="s">
        <v>333</v>
      </c>
      <c r="K2881" s="57" t="s">
        <v>334</v>
      </c>
      <c r="L2881" s="60" t="s">
        <v>4024</v>
      </c>
      <c r="M2881" s="57" t="s">
        <v>336</v>
      </c>
      <c r="N2881" s="57" t="s">
        <v>381</v>
      </c>
      <c r="O2881" s="57" t="s">
        <v>729</v>
      </c>
      <c r="P2881" s="57" t="s">
        <v>4025</v>
      </c>
      <c r="Q2881" s="57" t="s">
        <v>698</v>
      </c>
    </row>
    <row r="2882" s="50" customFormat="true" ht="14.25" hidden="false" customHeight="true" outlineLevel="0" collapsed="false">
      <c r="A2882" s="50" t="s">
        <v>727</v>
      </c>
      <c r="B2882" s="57" t="s">
        <v>727</v>
      </c>
      <c r="C2882" s="57" t="s">
        <v>415</v>
      </c>
      <c r="D2882" s="58" t="n">
        <v>46064.7837037037</v>
      </c>
      <c r="E2882" s="58" t="n">
        <v>46064.7837037037</v>
      </c>
      <c r="F2882" s="58" t="n">
        <v>46064.7857060185</v>
      </c>
      <c r="G2882" s="59" t="n">
        <f aca="false">F2882-E2882</f>
        <v>0.00200231479166667</v>
      </c>
      <c r="H2882" s="57" t="s">
        <v>252</v>
      </c>
      <c r="I2882" s="57"/>
      <c r="J2882" s="57" t="s">
        <v>333</v>
      </c>
      <c r="K2882" s="57" t="s">
        <v>334</v>
      </c>
      <c r="L2882" s="60" t="s">
        <v>4026</v>
      </c>
      <c r="M2882" s="57" t="s">
        <v>336</v>
      </c>
      <c r="N2882" s="57" t="s">
        <v>381</v>
      </c>
      <c r="O2882" s="57" t="s">
        <v>729</v>
      </c>
      <c r="P2882" s="57" t="s">
        <v>4027</v>
      </c>
      <c r="Q2882" s="57" t="s">
        <v>698</v>
      </c>
    </row>
    <row r="2883" s="50" customFormat="true" ht="14.25" hidden="false" customHeight="true" outlineLevel="0" collapsed="false">
      <c r="A2883" s="50" t="s">
        <v>727</v>
      </c>
      <c r="B2883" s="57" t="s">
        <v>727</v>
      </c>
      <c r="C2883" s="57" t="s">
        <v>415</v>
      </c>
      <c r="D2883" s="58" t="n">
        <v>46064.7530208333</v>
      </c>
      <c r="E2883" s="58" t="n">
        <v>46064.7530208333</v>
      </c>
      <c r="F2883" s="58" t="n">
        <v>46064.7857060185</v>
      </c>
      <c r="G2883" s="59" t="n">
        <f aca="false">F2883-E2883</f>
        <v>0.0326851851967593</v>
      </c>
      <c r="H2883" s="57" t="s">
        <v>252</v>
      </c>
      <c r="I2883" s="57"/>
      <c r="J2883" s="57" t="s">
        <v>333</v>
      </c>
      <c r="K2883" s="57" t="s">
        <v>334</v>
      </c>
      <c r="L2883" s="60" t="s">
        <v>4028</v>
      </c>
      <c r="M2883" s="57" t="s">
        <v>336</v>
      </c>
      <c r="N2883" s="57" t="s">
        <v>381</v>
      </c>
      <c r="O2883" s="57" t="s">
        <v>729</v>
      </c>
      <c r="P2883" s="57" t="s">
        <v>4029</v>
      </c>
      <c r="Q2883" s="57" t="s">
        <v>698</v>
      </c>
    </row>
    <row r="2884" s="50" customFormat="true" ht="14.25" hidden="false" customHeight="true" outlineLevel="0" collapsed="false">
      <c r="A2884" s="50" t="s">
        <v>727</v>
      </c>
      <c r="B2884" s="57" t="s">
        <v>727</v>
      </c>
      <c r="C2884" s="57" t="s">
        <v>415</v>
      </c>
      <c r="D2884" s="58" t="n">
        <v>46064.7190740741</v>
      </c>
      <c r="E2884" s="58" t="n">
        <v>46064.7190740741</v>
      </c>
      <c r="F2884" s="58" t="n">
        <v>46064.7195833333</v>
      </c>
      <c r="G2884" s="59" t="n">
        <f aca="false">F2884-E2884</f>
        <v>0.000509259201388889</v>
      </c>
      <c r="H2884" s="57" t="s">
        <v>252</v>
      </c>
      <c r="I2884" s="57"/>
      <c r="J2884" s="57" t="s">
        <v>333</v>
      </c>
      <c r="K2884" s="57" t="s">
        <v>334</v>
      </c>
      <c r="L2884" s="60" t="s">
        <v>4030</v>
      </c>
      <c r="M2884" s="57" t="s">
        <v>336</v>
      </c>
      <c r="N2884" s="57" t="s">
        <v>381</v>
      </c>
      <c r="O2884" s="57" t="s">
        <v>729</v>
      </c>
      <c r="P2884" s="57" t="s">
        <v>4031</v>
      </c>
      <c r="Q2884" s="57" t="s">
        <v>698</v>
      </c>
    </row>
    <row r="2885" s="50" customFormat="true" ht="14.25" hidden="false" customHeight="true" outlineLevel="0" collapsed="false">
      <c r="A2885" s="50" t="s">
        <v>727</v>
      </c>
      <c r="B2885" s="57" t="s">
        <v>727</v>
      </c>
      <c r="C2885" s="57" t="s">
        <v>415</v>
      </c>
      <c r="D2885" s="58" t="n">
        <v>46064.706087963</v>
      </c>
      <c r="E2885" s="58" t="n">
        <v>46064.706087963</v>
      </c>
      <c r="F2885" s="58" t="n">
        <v>46064.7065856482</v>
      </c>
      <c r="G2885" s="59" t="n">
        <f aca="false">F2885-E2885</f>
        <v>0.000497685196759259</v>
      </c>
      <c r="H2885" s="57" t="s">
        <v>252</v>
      </c>
      <c r="I2885" s="57"/>
      <c r="J2885" s="57" t="s">
        <v>333</v>
      </c>
      <c r="K2885" s="57" t="s">
        <v>334</v>
      </c>
      <c r="L2885" s="60" t="s">
        <v>4032</v>
      </c>
      <c r="M2885" s="57" t="s">
        <v>336</v>
      </c>
      <c r="N2885" s="57" t="s">
        <v>381</v>
      </c>
      <c r="O2885" s="57" t="s">
        <v>729</v>
      </c>
      <c r="P2885" s="57" t="s">
        <v>4033</v>
      </c>
      <c r="Q2885" s="57" t="s">
        <v>698</v>
      </c>
    </row>
    <row r="2886" s="50" customFormat="true" ht="14.25" hidden="false" customHeight="true" outlineLevel="0" collapsed="false">
      <c r="A2886" s="50" t="s">
        <v>727</v>
      </c>
      <c r="B2886" s="57" t="s">
        <v>727</v>
      </c>
      <c r="C2886" s="57" t="s">
        <v>415</v>
      </c>
      <c r="D2886" s="58" t="n">
        <v>46064.6888773148</v>
      </c>
      <c r="E2886" s="58" t="n">
        <v>46064.6888773148</v>
      </c>
      <c r="F2886" s="58" t="n">
        <v>46064.6961226852</v>
      </c>
      <c r="G2886" s="59" t="n">
        <f aca="false">F2886-E2886</f>
        <v>0.00724537039351852</v>
      </c>
      <c r="H2886" s="57" t="s">
        <v>252</v>
      </c>
      <c r="I2886" s="57"/>
      <c r="J2886" s="57" t="s">
        <v>333</v>
      </c>
      <c r="K2886" s="57" t="s">
        <v>334</v>
      </c>
      <c r="L2886" s="60" t="s">
        <v>4034</v>
      </c>
      <c r="M2886" s="57" t="s">
        <v>336</v>
      </c>
      <c r="N2886" s="57" t="s">
        <v>381</v>
      </c>
      <c r="O2886" s="57" t="s">
        <v>729</v>
      </c>
      <c r="P2886" s="57" t="s">
        <v>4035</v>
      </c>
      <c r="Q2886" s="57" t="s">
        <v>698</v>
      </c>
    </row>
    <row r="2887" s="50" customFormat="true" ht="14.25" hidden="false" customHeight="true" outlineLevel="0" collapsed="false">
      <c r="A2887" s="50" t="s">
        <v>727</v>
      </c>
      <c r="B2887" s="57" t="s">
        <v>727</v>
      </c>
      <c r="C2887" s="57" t="s">
        <v>415</v>
      </c>
      <c r="D2887" s="58" t="n">
        <v>46064.6725347222</v>
      </c>
      <c r="E2887" s="58" t="n">
        <v>46064.6725347222</v>
      </c>
      <c r="F2887" s="58" t="n">
        <v>46064.6796990741</v>
      </c>
      <c r="G2887" s="59" t="n">
        <f aca="false">F2887-E2887</f>
        <v>0.00716435189814815</v>
      </c>
      <c r="H2887" s="57" t="s">
        <v>252</v>
      </c>
      <c r="I2887" s="57"/>
      <c r="J2887" s="57" t="s">
        <v>333</v>
      </c>
      <c r="K2887" s="57" t="s">
        <v>334</v>
      </c>
      <c r="L2887" s="60" t="s">
        <v>4036</v>
      </c>
      <c r="M2887" s="57" t="s">
        <v>336</v>
      </c>
      <c r="N2887" s="57" t="s">
        <v>381</v>
      </c>
      <c r="O2887" s="57" t="s">
        <v>729</v>
      </c>
      <c r="P2887" s="57" t="s">
        <v>4037</v>
      </c>
      <c r="Q2887" s="57" t="s">
        <v>698</v>
      </c>
    </row>
    <row r="2888" s="50" customFormat="true" ht="14.25" hidden="false" customHeight="true" outlineLevel="0" collapsed="false">
      <c r="A2888" s="50" t="s">
        <v>727</v>
      </c>
      <c r="B2888" s="57" t="s">
        <v>727</v>
      </c>
      <c r="C2888" s="57" t="s">
        <v>415</v>
      </c>
      <c r="D2888" s="58" t="n">
        <v>46064.6602430556</v>
      </c>
      <c r="E2888" s="58" t="n">
        <v>46064.6602430556</v>
      </c>
      <c r="F2888" s="58" t="n">
        <v>46064.660775463</v>
      </c>
      <c r="G2888" s="59" t="n">
        <f aca="false">F2888-E2888</f>
        <v>0.000532407407407407</v>
      </c>
      <c r="H2888" s="57" t="s">
        <v>252</v>
      </c>
      <c r="I2888" s="57"/>
      <c r="J2888" s="57" t="s">
        <v>333</v>
      </c>
      <c r="K2888" s="57" t="s">
        <v>334</v>
      </c>
      <c r="L2888" s="60" t="s">
        <v>4038</v>
      </c>
      <c r="M2888" s="57" t="s">
        <v>336</v>
      </c>
      <c r="N2888" s="57" t="s">
        <v>381</v>
      </c>
      <c r="O2888" s="57" t="s">
        <v>729</v>
      </c>
      <c r="P2888" s="57" t="s">
        <v>4039</v>
      </c>
      <c r="Q2888" s="57" t="s">
        <v>698</v>
      </c>
    </row>
    <row r="2889" s="50" customFormat="true" ht="14.25" hidden="false" customHeight="true" outlineLevel="0" collapsed="false">
      <c r="A2889" s="50" t="s">
        <v>727</v>
      </c>
      <c r="B2889" s="57" t="s">
        <v>727</v>
      </c>
      <c r="C2889" s="57" t="s">
        <v>415</v>
      </c>
      <c r="D2889" s="58" t="n">
        <v>46064.6511574074</v>
      </c>
      <c r="E2889" s="58" t="n">
        <v>46064.6511574074</v>
      </c>
      <c r="F2889" s="58" t="n">
        <v>46064.6516782407</v>
      </c>
      <c r="G2889" s="59" t="n">
        <f aca="false">F2889-E2889</f>
        <v>0.000520833298611111</v>
      </c>
      <c r="H2889" s="57" t="s">
        <v>252</v>
      </c>
      <c r="I2889" s="57"/>
      <c r="J2889" s="57" t="s">
        <v>333</v>
      </c>
      <c r="K2889" s="57" t="s">
        <v>334</v>
      </c>
      <c r="L2889" s="60" t="s">
        <v>4040</v>
      </c>
      <c r="M2889" s="57" t="s">
        <v>336</v>
      </c>
      <c r="N2889" s="57" t="s">
        <v>381</v>
      </c>
      <c r="O2889" s="57" t="s">
        <v>729</v>
      </c>
      <c r="P2889" s="57" t="s">
        <v>4041</v>
      </c>
      <c r="Q2889" s="57" t="s">
        <v>698</v>
      </c>
    </row>
    <row r="2890" s="50" customFormat="true" ht="14.25" hidden="false" customHeight="true" outlineLevel="0" collapsed="false">
      <c r="A2890" s="50" t="s">
        <v>727</v>
      </c>
      <c r="B2890" s="57" t="s">
        <v>727</v>
      </c>
      <c r="C2890" s="57" t="s">
        <v>415</v>
      </c>
      <c r="D2890" s="58" t="n">
        <v>46064.6268865741</v>
      </c>
      <c r="E2890" s="58" t="n">
        <v>46064.6268865741</v>
      </c>
      <c r="F2890" s="58" t="n">
        <v>46064.6273958333</v>
      </c>
      <c r="G2890" s="59" t="n">
        <f aca="false">F2890-E2890</f>
        <v>0.000509259201388889</v>
      </c>
      <c r="H2890" s="57" t="s">
        <v>252</v>
      </c>
      <c r="I2890" s="57"/>
      <c r="J2890" s="57" t="s">
        <v>333</v>
      </c>
      <c r="K2890" s="57" t="s">
        <v>334</v>
      </c>
      <c r="L2890" s="60" t="s">
        <v>4042</v>
      </c>
      <c r="M2890" s="57" t="s">
        <v>336</v>
      </c>
      <c r="N2890" s="57" t="s">
        <v>381</v>
      </c>
      <c r="O2890" s="57" t="s">
        <v>729</v>
      </c>
      <c r="P2890" s="57" t="s">
        <v>4043</v>
      </c>
      <c r="Q2890" s="57" t="s">
        <v>698</v>
      </c>
    </row>
    <row r="2891" s="50" customFormat="true" ht="14.25" hidden="false" customHeight="true" outlineLevel="0" collapsed="false">
      <c r="A2891" s="50" t="s">
        <v>727</v>
      </c>
      <c r="B2891" s="57" t="s">
        <v>727</v>
      </c>
      <c r="C2891" s="57" t="s">
        <v>415</v>
      </c>
      <c r="D2891" s="58" t="n">
        <v>46064.6056712963</v>
      </c>
      <c r="E2891" s="58" t="n">
        <v>46064.6056712963</v>
      </c>
      <c r="F2891" s="58" t="n">
        <v>46064.6065162037</v>
      </c>
      <c r="G2891" s="59" t="n">
        <f aca="false">F2891-E2891</f>
        <v>0.000844907395833333</v>
      </c>
      <c r="H2891" s="57" t="s">
        <v>252</v>
      </c>
      <c r="I2891" s="57"/>
      <c r="J2891" s="57" t="s">
        <v>333</v>
      </c>
      <c r="K2891" s="57" t="s">
        <v>334</v>
      </c>
      <c r="L2891" s="60" t="s">
        <v>4044</v>
      </c>
      <c r="M2891" s="57" t="s">
        <v>336</v>
      </c>
      <c r="N2891" s="57" t="s">
        <v>381</v>
      </c>
      <c r="O2891" s="57" t="s">
        <v>729</v>
      </c>
      <c r="P2891" s="57" t="s">
        <v>4045</v>
      </c>
      <c r="Q2891" s="57" t="s">
        <v>698</v>
      </c>
    </row>
    <row r="2892" s="50" customFormat="true" ht="14.25" hidden="false" customHeight="true" outlineLevel="0" collapsed="false">
      <c r="A2892" s="50" t="s">
        <v>727</v>
      </c>
      <c r="B2892" s="57" t="s">
        <v>727</v>
      </c>
      <c r="C2892" s="57" t="s">
        <v>415</v>
      </c>
      <c r="D2892" s="58" t="n">
        <v>46064.5875578704</v>
      </c>
      <c r="E2892" s="58" t="n">
        <v>46064.5875578704</v>
      </c>
      <c r="F2892" s="58" t="n">
        <v>46064.5881018519</v>
      </c>
      <c r="G2892" s="59" t="n">
        <f aca="false">F2892-E2892</f>
        <v>0.00054398150462963</v>
      </c>
      <c r="H2892" s="57" t="s">
        <v>252</v>
      </c>
      <c r="I2892" s="57"/>
      <c r="J2892" s="57" t="s">
        <v>333</v>
      </c>
      <c r="K2892" s="57" t="s">
        <v>334</v>
      </c>
      <c r="L2892" s="60" t="s">
        <v>4046</v>
      </c>
      <c r="M2892" s="57" t="s">
        <v>336</v>
      </c>
      <c r="N2892" s="57" t="s">
        <v>381</v>
      </c>
      <c r="O2892" s="57" t="s">
        <v>729</v>
      </c>
      <c r="P2892" s="57" t="s">
        <v>4047</v>
      </c>
      <c r="Q2892" s="57" t="s">
        <v>698</v>
      </c>
    </row>
    <row r="2893" s="50" customFormat="true" ht="14.25" hidden="false" customHeight="true" outlineLevel="0" collapsed="false">
      <c r="A2893" s="50" t="s">
        <v>727</v>
      </c>
      <c r="B2893" s="57" t="s">
        <v>727</v>
      </c>
      <c r="C2893" s="57" t="s">
        <v>415</v>
      </c>
      <c r="D2893" s="58" t="n">
        <v>46064.5767013889</v>
      </c>
      <c r="E2893" s="58" t="n">
        <v>46064.5767013889</v>
      </c>
      <c r="F2893" s="58" t="n">
        <v>46064.5772685185</v>
      </c>
      <c r="G2893" s="59" t="n">
        <f aca="false">F2893-E2893</f>
        <v>0.000567129606481481</v>
      </c>
      <c r="H2893" s="57" t="s">
        <v>252</v>
      </c>
      <c r="I2893" s="57"/>
      <c r="J2893" s="57" t="s">
        <v>333</v>
      </c>
      <c r="K2893" s="57" t="s">
        <v>334</v>
      </c>
      <c r="L2893" s="60" t="s">
        <v>4048</v>
      </c>
      <c r="M2893" s="57" t="s">
        <v>336</v>
      </c>
      <c r="N2893" s="57" t="s">
        <v>381</v>
      </c>
      <c r="O2893" s="57" t="s">
        <v>729</v>
      </c>
      <c r="P2893" s="57" t="s">
        <v>4049</v>
      </c>
      <c r="Q2893" s="57" t="s">
        <v>698</v>
      </c>
    </row>
    <row r="2894" s="50" customFormat="true" ht="14.25" hidden="false" customHeight="true" outlineLevel="0" collapsed="false">
      <c r="A2894" s="50" t="s">
        <v>727</v>
      </c>
      <c r="B2894" s="57" t="s">
        <v>727</v>
      </c>
      <c r="C2894" s="57" t="s">
        <v>415</v>
      </c>
      <c r="D2894" s="58" t="n">
        <v>46064.5625115741</v>
      </c>
      <c r="E2894" s="58" t="n">
        <v>46064.5625115741</v>
      </c>
      <c r="F2894" s="58" t="n">
        <v>46064.5630324074</v>
      </c>
      <c r="G2894" s="59" t="n">
        <f aca="false">F2894-E2894</f>
        <v>0.000520833298611111</v>
      </c>
      <c r="H2894" s="57" t="s">
        <v>252</v>
      </c>
      <c r="I2894" s="57"/>
      <c r="J2894" s="57" t="s">
        <v>333</v>
      </c>
      <c r="K2894" s="57" t="s">
        <v>334</v>
      </c>
      <c r="L2894" s="60" t="s">
        <v>4050</v>
      </c>
      <c r="M2894" s="57" t="s">
        <v>336</v>
      </c>
      <c r="N2894" s="57" t="s">
        <v>381</v>
      </c>
      <c r="O2894" s="57" t="s">
        <v>729</v>
      </c>
      <c r="P2894" s="57" t="s">
        <v>4051</v>
      </c>
      <c r="Q2894" s="57" t="s">
        <v>698</v>
      </c>
    </row>
    <row r="2895" s="50" customFormat="true" ht="14.25" hidden="false" customHeight="true" outlineLevel="0" collapsed="false">
      <c r="A2895" s="50" t="s">
        <v>727</v>
      </c>
      <c r="B2895" s="57" t="s">
        <v>727</v>
      </c>
      <c r="C2895" s="57" t="s">
        <v>415</v>
      </c>
      <c r="D2895" s="58" t="n">
        <v>46064.5535300926</v>
      </c>
      <c r="E2895" s="58" t="n">
        <v>46064.5535300926</v>
      </c>
      <c r="F2895" s="58" t="n">
        <v>46064.5540393519</v>
      </c>
      <c r="G2895" s="59" t="n">
        <f aca="false">F2895-E2895</f>
        <v>0.000509259293981482</v>
      </c>
      <c r="H2895" s="57" t="s">
        <v>252</v>
      </c>
      <c r="I2895" s="57"/>
      <c r="J2895" s="57" t="s">
        <v>333</v>
      </c>
      <c r="K2895" s="57" t="s">
        <v>334</v>
      </c>
      <c r="L2895" s="60" t="s">
        <v>4052</v>
      </c>
      <c r="M2895" s="57" t="s">
        <v>336</v>
      </c>
      <c r="N2895" s="57" t="s">
        <v>381</v>
      </c>
      <c r="O2895" s="57" t="s">
        <v>729</v>
      </c>
      <c r="P2895" s="57" t="s">
        <v>4053</v>
      </c>
      <c r="Q2895" s="57" t="s">
        <v>698</v>
      </c>
    </row>
    <row r="2896" s="50" customFormat="true" ht="14.25" hidden="false" customHeight="true" outlineLevel="0" collapsed="false">
      <c r="A2896" s="50" t="s">
        <v>727</v>
      </c>
      <c r="B2896" s="57" t="s">
        <v>727</v>
      </c>
      <c r="C2896" s="57" t="s">
        <v>415</v>
      </c>
      <c r="D2896" s="58" t="n">
        <v>46064.5354050926</v>
      </c>
      <c r="E2896" s="58" t="n">
        <v>46064.5354050926</v>
      </c>
      <c r="F2896" s="58" t="n">
        <v>46064.5359490741</v>
      </c>
      <c r="G2896" s="59" t="n">
        <f aca="false">F2896-E2896</f>
        <v>0.00054398150462963</v>
      </c>
      <c r="H2896" s="57" t="s">
        <v>252</v>
      </c>
      <c r="I2896" s="57"/>
      <c r="J2896" s="57" t="s">
        <v>333</v>
      </c>
      <c r="K2896" s="57" t="s">
        <v>334</v>
      </c>
      <c r="L2896" s="60" t="s">
        <v>4054</v>
      </c>
      <c r="M2896" s="57" t="s">
        <v>336</v>
      </c>
      <c r="N2896" s="57" t="s">
        <v>381</v>
      </c>
      <c r="O2896" s="57" t="s">
        <v>729</v>
      </c>
      <c r="P2896" s="57" t="s">
        <v>4055</v>
      </c>
      <c r="Q2896" s="57" t="s">
        <v>698</v>
      </c>
    </row>
    <row r="2897" s="50" customFormat="true" ht="14.25" hidden="false" customHeight="true" outlineLevel="0" collapsed="false">
      <c r="A2897" s="50" t="s">
        <v>727</v>
      </c>
      <c r="B2897" s="57" t="s">
        <v>727</v>
      </c>
      <c r="C2897" s="57" t="s">
        <v>415</v>
      </c>
      <c r="D2897" s="58" t="n">
        <v>46064.5255208333</v>
      </c>
      <c r="E2897" s="58" t="n">
        <v>46064.5255208333</v>
      </c>
      <c r="F2897" s="58" t="n">
        <v>46064.5263078704</v>
      </c>
      <c r="G2897" s="59" t="n">
        <f aca="false">F2897-E2897</f>
        <v>0.000787037106481482</v>
      </c>
      <c r="H2897" s="57" t="s">
        <v>252</v>
      </c>
      <c r="I2897" s="57"/>
      <c r="J2897" s="57" t="s">
        <v>333</v>
      </c>
      <c r="K2897" s="57" t="s">
        <v>334</v>
      </c>
      <c r="L2897" s="60" t="s">
        <v>4056</v>
      </c>
      <c r="M2897" s="57" t="s">
        <v>336</v>
      </c>
      <c r="N2897" s="57" t="s">
        <v>381</v>
      </c>
      <c r="O2897" s="57" t="s">
        <v>729</v>
      </c>
      <c r="P2897" s="57" t="s">
        <v>4057</v>
      </c>
      <c r="Q2897" s="57" t="s">
        <v>698</v>
      </c>
    </row>
    <row r="2898" s="50" customFormat="true" ht="14.25" hidden="false" customHeight="true" outlineLevel="0" collapsed="false">
      <c r="A2898" s="50" t="s">
        <v>727</v>
      </c>
      <c r="B2898" s="57" t="s">
        <v>727</v>
      </c>
      <c r="C2898" s="57" t="s">
        <v>415</v>
      </c>
      <c r="D2898" s="58" t="n">
        <v>46064.5164467593</v>
      </c>
      <c r="E2898" s="58" t="n">
        <v>46064.5164467593</v>
      </c>
      <c r="F2898" s="58" t="n">
        <v>46064.5174537037</v>
      </c>
      <c r="G2898" s="59" t="n">
        <f aca="false">F2898-E2898</f>
        <v>0.00100694439814815</v>
      </c>
      <c r="H2898" s="57" t="s">
        <v>252</v>
      </c>
      <c r="I2898" s="57"/>
      <c r="J2898" s="57" t="s">
        <v>333</v>
      </c>
      <c r="K2898" s="57" t="s">
        <v>334</v>
      </c>
      <c r="L2898" s="60" t="s">
        <v>4058</v>
      </c>
      <c r="M2898" s="57" t="s">
        <v>336</v>
      </c>
      <c r="N2898" s="57" t="s">
        <v>381</v>
      </c>
      <c r="O2898" s="57" t="s">
        <v>729</v>
      </c>
      <c r="P2898" s="57" t="s">
        <v>4059</v>
      </c>
      <c r="Q2898" s="57" t="s">
        <v>698</v>
      </c>
    </row>
    <row r="2899" s="50" customFormat="true" ht="14.25" hidden="false" customHeight="true" outlineLevel="0" collapsed="false">
      <c r="A2899" s="50" t="s">
        <v>727</v>
      </c>
      <c r="B2899" s="57" t="s">
        <v>727</v>
      </c>
      <c r="C2899" s="57" t="s">
        <v>415</v>
      </c>
      <c r="D2899" s="58" t="n">
        <v>46064.5090625</v>
      </c>
      <c r="E2899" s="58" t="n">
        <v>46064.5090625</v>
      </c>
      <c r="F2899" s="58" t="n">
        <v>46064.5095717593</v>
      </c>
      <c r="G2899" s="59" t="n">
        <f aca="false">F2899-E2899</f>
        <v>0.000509259293981482</v>
      </c>
      <c r="H2899" s="57" t="s">
        <v>252</v>
      </c>
      <c r="I2899" s="57"/>
      <c r="J2899" s="57" t="s">
        <v>333</v>
      </c>
      <c r="K2899" s="57" t="s">
        <v>334</v>
      </c>
      <c r="L2899" s="60" t="s">
        <v>4060</v>
      </c>
      <c r="M2899" s="57" t="s">
        <v>336</v>
      </c>
      <c r="N2899" s="57" t="s">
        <v>381</v>
      </c>
      <c r="O2899" s="57" t="s">
        <v>729</v>
      </c>
      <c r="P2899" s="57" t="s">
        <v>4061</v>
      </c>
      <c r="Q2899" s="57" t="s">
        <v>698</v>
      </c>
    </row>
    <row r="2900" s="50" customFormat="true" ht="14.25" hidden="false" customHeight="true" outlineLevel="0" collapsed="false">
      <c r="A2900" s="50" t="s">
        <v>727</v>
      </c>
      <c r="B2900" s="57" t="s">
        <v>727</v>
      </c>
      <c r="C2900" s="57" t="s">
        <v>415</v>
      </c>
      <c r="D2900" s="58" t="n">
        <v>46064.4978240741</v>
      </c>
      <c r="E2900" s="58" t="n">
        <v>46064.4978240741</v>
      </c>
      <c r="F2900" s="58" t="n">
        <v>46064.4983564815</v>
      </c>
      <c r="G2900" s="59" t="n">
        <f aca="false">F2900-E2900</f>
        <v>0.000532407407407407</v>
      </c>
      <c r="H2900" s="57" t="s">
        <v>252</v>
      </c>
      <c r="I2900" s="57"/>
      <c r="J2900" s="57" t="s">
        <v>333</v>
      </c>
      <c r="K2900" s="57" t="s">
        <v>334</v>
      </c>
      <c r="L2900" s="60" t="s">
        <v>4062</v>
      </c>
      <c r="M2900" s="57" t="s">
        <v>336</v>
      </c>
      <c r="N2900" s="57" t="s">
        <v>381</v>
      </c>
      <c r="O2900" s="57" t="s">
        <v>729</v>
      </c>
      <c r="P2900" s="57" t="s">
        <v>4063</v>
      </c>
      <c r="Q2900" s="57" t="s">
        <v>698</v>
      </c>
    </row>
    <row r="2901" s="50" customFormat="true" ht="14.25" hidden="false" customHeight="true" outlineLevel="0" collapsed="false">
      <c r="A2901" s="50" t="s">
        <v>727</v>
      </c>
      <c r="B2901" s="57" t="s">
        <v>727</v>
      </c>
      <c r="C2901" s="57" t="s">
        <v>415</v>
      </c>
      <c r="D2901" s="58" t="n">
        <v>46064.4890509259</v>
      </c>
      <c r="E2901" s="58" t="n">
        <v>46064.4890509259</v>
      </c>
      <c r="F2901" s="58" t="n">
        <v>46064.4895717593</v>
      </c>
      <c r="G2901" s="59" t="n">
        <f aca="false">F2901-E2901</f>
        <v>0.000520833402777778</v>
      </c>
      <c r="H2901" s="57" t="s">
        <v>252</v>
      </c>
      <c r="I2901" s="57"/>
      <c r="J2901" s="57" t="s">
        <v>333</v>
      </c>
      <c r="K2901" s="57" t="s">
        <v>334</v>
      </c>
      <c r="L2901" s="60" t="s">
        <v>4064</v>
      </c>
      <c r="M2901" s="57" t="s">
        <v>336</v>
      </c>
      <c r="N2901" s="57" t="s">
        <v>381</v>
      </c>
      <c r="O2901" s="57" t="s">
        <v>729</v>
      </c>
      <c r="P2901" s="57" t="s">
        <v>4065</v>
      </c>
      <c r="Q2901" s="57" t="s">
        <v>698</v>
      </c>
    </row>
    <row r="2902" s="50" customFormat="true" ht="14.25" hidden="false" customHeight="true" outlineLevel="0" collapsed="false">
      <c r="A2902" s="50" t="s">
        <v>727</v>
      </c>
      <c r="B2902" s="57" t="s">
        <v>727</v>
      </c>
      <c r="C2902" s="57" t="s">
        <v>415</v>
      </c>
      <c r="D2902" s="58" t="n">
        <v>46064.4703472222</v>
      </c>
      <c r="E2902" s="58" t="n">
        <v>46064.4703472222</v>
      </c>
      <c r="F2902" s="58" t="n">
        <v>46064.4708912037</v>
      </c>
      <c r="G2902" s="59" t="n">
        <f aca="false">F2902-E2902</f>
        <v>0.00054398150462963</v>
      </c>
      <c r="H2902" s="57" t="s">
        <v>252</v>
      </c>
      <c r="I2902" s="57"/>
      <c r="J2902" s="57" t="s">
        <v>333</v>
      </c>
      <c r="K2902" s="57" t="s">
        <v>334</v>
      </c>
      <c r="L2902" s="60" t="s">
        <v>4066</v>
      </c>
      <c r="M2902" s="57" t="s">
        <v>336</v>
      </c>
      <c r="N2902" s="57" t="s">
        <v>381</v>
      </c>
      <c r="O2902" s="57" t="s">
        <v>729</v>
      </c>
      <c r="P2902" s="57" t="s">
        <v>4067</v>
      </c>
      <c r="Q2902" s="57" t="s">
        <v>698</v>
      </c>
    </row>
    <row r="2903" s="50" customFormat="true" ht="14.25" hidden="false" customHeight="true" outlineLevel="0" collapsed="false">
      <c r="A2903" s="50" t="s">
        <v>727</v>
      </c>
      <c r="B2903" s="57" t="s">
        <v>727</v>
      </c>
      <c r="C2903" s="57" t="s">
        <v>415</v>
      </c>
      <c r="D2903" s="58" t="n">
        <v>46064.4602314815</v>
      </c>
      <c r="E2903" s="58" t="n">
        <v>46064.4602314815</v>
      </c>
      <c r="F2903" s="58" t="n">
        <v>46064.460775463</v>
      </c>
      <c r="G2903" s="59" t="n">
        <f aca="false">F2903-E2903</f>
        <v>0.00054398150462963</v>
      </c>
      <c r="H2903" s="57" t="s">
        <v>252</v>
      </c>
      <c r="I2903" s="57"/>
      <c r="J2903" s="57" t="s">
        <v>333</v>
      </c>
      <c r="K2903" s="57" t="s">
        <v>334</v>
      </c>
      <c r="L2903" s="60" t="s">
        <v>4068</v>
      </c>
      <c r="M2903" s="57" t="s">
        <v>336</v>
      </c>
      <c r="N2903" s="57" t="s">
        <v>381</v>
      </c>
      <c r="O2903" s="57" t="s">
        <v>729</v>
      </c>
      <c r="P2903" s="57" t="s">
        <v>4069</v>
      </c>
      <c r="Q2903" s="57" t="s">
        <v>698</v>
      </c>
    </row>
    <row r="2904" s="50" customFormat="true" ht="14.25" hidden="false" customHeight="true" outlineLevel="0" collapsed="false">
      <c r="A2904" s="50" t="s">
        <v>727</v>
      </c>
      <c r="B2904" s="57" t="s">
        <v>727</v>
      </c>
      <c r="C2904" s="57" t="s">
        <v>415</v>
      </c>
      <c r="D2904" s="58" t="n">
        <v>46064.4507523148</v>
      </c>
      <c r="E2904" s="58" t="n">
        <v>46064.4507523148</v>
      </c>
      <c r="F2904" s="58" t="n">
        <v>46064.4512731481</v>
      </c>
      <c r="G2904" s="59" t="n">
        <f aca="false">F2904-E2904</f>
        <v>0.000520833298611111</v>
      </c>
      <c r="H2904" s="57" t="s">
        <v>252</v>
      </c>
      <c r="I2904" s="57"/>
      <c r="J2904" s="57" t="s">
        <v>333</v>
      </c>
      <c r="K2904" s="57" t="s">
        <v>334</v>
      </c>
      <c r="L2904" s="60" t="s">
        <v>4070</v>
      </c>
      <c r="M2904" s="57" t="s">
        <v>336</v>
      </c>
      <c r="N2904" s="57" t="s">
        <v>381</v>
      </c>
      <c r="O2904" s="57" t="s">
        <v>729</v>
      </c>
      <c r="P2904" s="57" t="s">
        <v>4071</v>
      </c>
      <c r="Q2904" s="57" t="s">
        <v>698</v>
      </c>
    </row>
    <row r="2905" s="50" customFormat="true" ht="14.25" hidden="false" customHeight="true" outlineLevel="0" collapsed="false">
      <c r="A2905" s="50" t="s">
        <v>727</v>
      </c>
      <c r="B2905" s="57" t="s">
        <v>727</v>
      </c>
      <c r="C2905" s="57" t="s">
        <v>415</v>
      </c>
      <c r="D2905" s="58" t="n">
        <v>46064.442337963</v>
      </c>
      <c r="E2905" s="58" t="n">
        <v>46064.442337963</v>
      </c>
      <c r="F2905" s="58" t="n">
        <v>46064.4428587963</v>
      </c>
      <c r="G2905" s="59" t="n">
        <f aca="false">F2905-E2905</f>
        <v>0.000520833298611111</v>
      </c>
      <c r="H2905" s="57" t="s">
        <v>252</v>
      </c>
      <c r="I2905" s="57"/>
      <c r="J2905" s="57" t="s">
        <v>333</v>
      </c>
      <c r="K2905" s="57" t="s">
        <v>334</v>
      </c>
      <c r="L2905" s="60" t="s">
        <v>4072</v>
      </c>
      <c r="M2905" s="57" t="s">
        <v>336</v>
      </c>
      <c r="N2905" s="57" t="s">
        <v>381</v>
      </c>
      <c r="O2905" s="57" t="s">
        <v>729</v>
      </c>
      <c r="P2905" s="57" t="s">
        <v>4073</v>
      </c>
      <c r="Q2905" s="57" t="s">
        <v>698</v>
      </c>
    </row>
    <row r="2906" s="50" customFormat="true" ht="14.25" hidden="false" customHeight="true" outlineLevel="0" collapsed="false">
      <c r="A2906" s="50" t="s">
        <v>727</v>
      </c>
      <c r="B2906" s="57" t="s">
        <v>727</v>
      </c>
      <c r="C2906" s="57" t="s">
        <v>415</v>
      </c>
      <c r="D2906" s="58" t="n">
        <v>46064.4265625</v>
      </c>
      <c r="E2906" s="58" t="n">
        <v>46064.4265625</v>
      </c>
      <c r="F2906" s="58" t="n">
        <v>46064.4270717593</v>
      </c>
      <c r="G2906" s="59" t="n">
        <f aca="false">F2906-E2906</f>
        <v>0.000509259305555556</v>
      </c>
      <c r="H2906" s="57" t="s">
        <v>252</v>
      </c>
      <c r="I2906" s="57"/>
      <c r="J2906" s="57" t="s">
        <v>333</v>
      </c>
      <c r="K2906" s="57" t="s">
        <v>334</v>
      </c>
      <c r="L2906" s="60" t="s">
        <v>4074</v>
      </c>
      <c r="M2906" s="57" t="s">
        <v>336</v>
      </c>
      <c r="N2906" s="57" t="s">
        <v>381</v>
      </c>
      <c r="O2906" s="57" t="s">
        <v>729</v>
      </c>
      <c r="P2906" s="57" t="s">
        <v>4075</v>
      </c>
      <c r="Q2906" s="57" t="s">
        <v>698</v>
      </c>
    </row>
    <row r="2907" s="50" customFormat="true" ht="14.25" hidden="false" customHeight="true" outlineLevel="0" collapsed="false">
      <c r="A2907" s="50" t="s">
        <v>727</v>
      </c>
      <c r="B2907" s="57" t="s">
        <v>727</v>
      </c>
      <c r="C2907" s="57" t="s">
        <v>415</v>
      </c>
      <c r="D2907" s="58" t="n">
        <v>46064.4185532407</v>
      </c>
      <c r="E2907" s="58" t="n">
        <v>46064.4185532407</v>
      </c>
      <c r="F2907" s="58" t="n">
        <v>46064.4190625</v>
      </c>
      <c r="G2907" s="59" t="n">
        <f aca="false">F2907-E2907</f>
        <v>0.000509259293981482</v>
      </c>
      <c r="H2907" s="57" t="s">
        <v>252</v>
      </c>
      <c r="I2907" s="57"/>
      <c r="J2907" s="57" t="s">
        <v>333</v>
      </c>
      <c r="K2907" s="57" t="s">
        <v>334</v>
      </c>
      <c r="L2907" s="60" t="s">
        <v>4076</v>
      </c>
      <c r="M2907" s="57" t="s">
        <v>336</v>
      </c>
      <c r="N2907" s="57" t="s">
        <v>381</v>
      </c>
      <c r="O2907" s="57" t="s">
        <v>729</v>
      </c>
      <c r="P2907" s="57" t="s">
        <v>4077</v>
      </c>
      <c r="Q2907" s="57" t="s">
        <v>698</v>
      </c>
    </row>
    <row r="2908" s="50" customFormat="true" ht="14.25" hidden="false" customHeight="true" outlineLevel="0" collapsed="false">
      <c r="A2908" s="50" t="s">
        <v>727</v>
      </c>
      <c r="B2908" s="57" t="s">
        <v>727</v>
      </c>
      <c r="C2908" s="57" t="s">
        <v>415</v>
      </c>
      <c r="D2908" s="58" t="n">
        <v>46064.4095717593</v>
      </c>
      <c r="E2908" s="58" t="n">
        <v>46064.4095717593</v>
      </c>
      <c r="F2908" s="58" t="n">
        <v>46064.4101157407</v>
      </c>
      <c r="G2908" s="59" t="n">
        <f aca="false">F2908-E2908</f>
        <v>0.000543981400462963</v>
      </c>
      <c r="H2908" s="57" t="s">
        <v>252</v>
      </c>
      <c r="I2908" s="57"/>
      <c r="J2908" s="57" t="s">
        <v>333</v>
      </c>
      <c r="K2908" s="57" t="s">
        <v>334</v>
      </c>
      <c r="L2908" s="60" t="s">
        <v>4078</v>
      </c>
      <c r="M2908" s="57" t="s">
        <v>336</v>
      </c>
      <c r="N2908" s="57" t="s">
        <v>381</v>
      </c>
      <c r="O2908" s="57" t="s">
        <v>729</v>
      </c>
      <c r="P2908" s="57" t="s">
        <v>4079</v>
      </c>
      <c r="Q2908" s="57" t="s">
        <v>698</v>
      </c>
    </row>
    <row r="2909" s="50" customFormat="true" ht="14.25" hidden="false" customHeight="true" outlineLevel="0" collapsed="false">
      <c r="A2909" s="50" t="s">
        <v>727</v>
      </c>
      <c r="B2909" s="57" t="s">
        <v>727</v>
      </c>
      <c r="C2909" s="57" t="s">
        <v>415</v>
      </c>
      <c r="D2909" s="58" t="n">
        <v>46064.3961111111</v>
      </c>
      <c r="E2909" s="58" t="n">
        <v>46064.3961111111</v>
      </c>
      <c r="F2909" s="58" t="n">
        <v>46064.3966319444</v>
      </c>
      <c r="G2909" s="59" t="n">
        <f aca="false">F2909-E2909</f>
        <v>0.000520833298611111</v>
      </c>
      <c r="H2909" s="57" t="s">
        <v>252</v>
      </c>
      <c r="I2909" s="57"/>
      <c r="J2909" s="57" t="s">
        <v>333</v>
      </c>
      <c r="K2909" s="57" t="s">
        <v>334</v>
      </c>
      <c r="L2909" s="60" t="s">
        <v>4080</v>
      </c>
      <c r="M2909" s="57" t="s">
        <v>336</v>
      </c>
      <c r="N2909" s="57" t="s">
        <v>381</v>
      </c>
      <c r="O2909" s="57" t="s">
        <v>729</v>
      </c>
      <c r="P2909" s="57" t="s">
        <v>4081</v>
      </c>
      <c r="Q2909" s="57" t="s">
        <v>698</v>
      </c>
    </row>
    <row r="2910" s="50" customFormat="true" ht="14.25" hidden="false" customHeight="true" outlineLevel="0" collapsed="false">
      <c r="A2910" s="50" t="s">
        <v>727</v>
      </c>
      <c r="B2910" s="57" t="s">
        <v>727</v>
      </c>
      <c r="C2910" s="57" t="s">
        <v>415</v>
      </c>
      <c r="D2910" s="58" t="n">
        <v>46064.3878472222</v>
      </c>
      <c r="E2910" s="58" t="n">
        <v>46064.3878472222</v>
      </c>
      <c r="F2910" s="58" t="n">
        <v>46064.3883680556</v>
      </c>
      <c r="G2910" s="59" t="n">
        <f aca="false">F2910-E2910</f>
        <v>0.000520833402777778</v>
      </c>
      <c r="H2910" s="57" t="s">
        <v>252</v>
      </c>
      <c r="I2910" s="57"/>
      <c r="J2910" s="57" t="s">
        <v>333</v>
      </c>
      <c r="K2910" s="57" t="s">
        <v>334</v>
      </c>
      <c r="L2910" s="60" t="s">
        <v>4082</v>
      </c>
      <c r="M2910" s="57" t="s">
        <v>336</v>
      </c>
      <c r="N2910" s="57" t="s">
        <v>381</v>
      </c>
      <c r="O2910" s="57" t="s">
        <v>729</v>
      </c>
      <c r="P2910" s="57" t="s">
        <v>4083</v>
      </c>
      <c r="Q2910" s="57" t="s">
        <v>698</v>
      </c>
    </row>
    <row r="2911" s="50" customFormat="true" ht="14.25" hidden="false" customHeight="true" outlineLevel="0" collapsed="false">
      <c r="A2911" s="50" t="s">
        <v>727</v>
      </c>
      <c r="B2911" s="57" t="s">
        <v>727</v>
      </c>
      <c r="C2911" s="57" t="s">
        <v>415</v>
      </c>
      <c r="D2911" s="58" t="n">
        <v>46064.3780092593</v>
      </c>
      <c r="E2911" s="58" t="n">
        <v>46064.3780092593</v>
      </c>
      <c r="F2911" s="58" t="n">
        <v>46064.3785185185</v>
      </c>
      <c r="G2911" s="59" t="n">
        <f aca="false">F2911-E2911</f>
        <v>0.000509259201388889</v>
      </c>
      <c r="H2911" s="57" t="s">
        <v>252</v>
      </c>
      <c r="I2911" s="57"/>
      <c r="J2911" s="57" t="s">
        <v>333</v>
      </c>
      <c r="K2911" s="57" t="s">
        <v>334</v>
      </c>
      <c r="L2911" s="60" t="s">
        <v>4084</v>
      </c>
      <c r="M2911" s="57" t="s">
        <v>336</v>
      </c>
      <c r="N2911" s="57" t="s">
        <v>381</v>
      </c>
      <c r="O2911" s="57" t="s">
        <v>729</v>
      </c>
      <c r="P2911" s="57" t="s">
        <v>4085</v>
      </c>
      <c r="Q2911" s="57" t="s">
        <v>698</v>
      </c>
    </row>
    <row r="2912" s="50" customFormat="true" ht="14.25" hidden="false" customHeight="true" outlineLevel="0" collapsed="false">
      <c r="A2912" s="50" t="s">
        <v>727</v>
      </c>
      <c r="B2912" s="57" t="s">
        <v>727</v>
      </c>
      <c r="C2912" s="57" t="s">
        <v>415</v>
      </c>
      <c r="D2912" s="58" t="n">
        <v>46064.368287037</v>
      </c>
      <c r="E2912" s="58" t="n">
        <v>46064.368287037</v>
      </c>
      <c r="F2912" s="58" t="n">
        <v>46064.3688078704</v>
      </c>
      <c r="G2912" s="59" t="n">
        <f aca="false">F2912-E2912</f>
        <v>0.000520833391203704</v>
      </c>
      <c r="H2912" s="57" t="s">
        <v>252</v>
      </c>
      <c r="I2912" s="57"/>
      <c r="J2912" s="57" t="s">
        <v>333</v>
      </c>
      <c r="K2912" s="57" t="s">
        <v>334</v>
      </c>
      <c r="L2912" s="60" t="s">
        <v>4086</v>
      </c>
      <c r="M2912" s="57" t="s">
        <v>336</v>
      </c>
      <c r="N2912" s="57" t="s">
        <v>381</v>
      </c>
      <c r="O2912" s="57" t="s">
        <v>729</v>
      </c>
      <c r="P2912" s="57" t="s">
        <v>4087</v>
      </c>
      <c r="Q2912" s="57" t="s">
        <v>698</v>
      </c>
    </row>
    <row r="2913" s="50" customFormat="true" ht="14.25" hidden="false" customHeight="true" outlineLevel="0" collapsed="false">
      <c r="A2913" s="50" t="s">
        <v>727</v>
      </c>
      <c r="B2913" s="57" t="s">
        <v>727</v>
      </c>
      <c r="C2913" s="57" t="s">
        <v>415</v>
      </c>
      <c r="D2913" s="58" t="n">
        <v>46064.3588078704</v>
      </c>
      <c r="E2913" s="58" t="n">
        <v>46064.3588078704</v>
      </c>
      <c r="F2913" s="58" t="n">
        <v>46064.3593402778</v>
      </c>
      <c r="G2913" s="59" t="n">
        <f aca="false">F2913-E2913</f>
        <v>0.000532407407407407</v>
      </c>
      <c r="H2913" s="57" t="s">
        <v>252</v>
      </c>
      <c r="I2913" s="57"/>
      <c r="J2913" s="57" t="s">
        <v>333</v>
      </c>
      <c r="K2913" s="57" t="s">
        <v>334</v>
      </c>
      <c r="L2913" s="60" t="s">
        <v>4088</v>
      </c>
      <c r="M2913" s="57" t="s">
        <v>336</v>
      </c>
      <c r="N2913" s="57" t="s">
        <v>381</v>
      </c>
      <c r="O2913" s="57" t="s">
        <v>729</v>
      </c>
      <c r="P2913" s="57" t="s">
        <v>4089</v>
      </c>
      <c r="Q2913" s="57" t="s">
        <v>698</v>
      </c>
    </row>
    <row r="2914" s="50" customFormat="true" ht="14.25" hidden="false" customHeight="true" outlineLevel="0" collapsed="false">
      <c r="A2914" s="50" t="s">
        <v>727</v>
      </c>
      <c r="B2914" s="57" t="s">
        <v>727</v>
      </c>
      <c r="C2914" s="57" t="s">
        <v>415</v>
      </c>
      <c r="D2914" s="58" t="n">
        <v>46064.3343402778</v>
      </c>
      <c r="E2914" s="58" t="n">
        <v>46064.3343402778</v>
      </c>
      <c r="F2914" s="58" t="n">
        <v>46064.3348726852</v>
      </c>
      <c r="G2914" s="59" t="n">
        <f aca="false">F2914-E2914</f>
        <v>0.000532407407407407</v>
      </c>
      <c r="H2914" s="57" t="s">
        <v>252</v>
      </c>
      <c r="I2914" s="57"/>
      <c r="J2914" s="57" t="s">
        <v>333</v>
      </c>
      <c r="K2914" s="57" t="s">
        <v>334</v>
      </c>
      <c r="L2914" s="60" t="s">
        <v>4090</v>
      </c>
      <c r="M2914" s="57" t="s">
        <v>336</v>
      </c>
      <c r="N2914" s="57" t="s">
        <v>381</v>
      </c>
      <c r="O2914" s="57" t="s">
        <v>729</v>
      </c>
      <c r="P2914" s="57" t="s">
        <v>4091</v>
      </c>
      <c r="Q2914" s="57" t="s">
        <v>698</v>
      </c>
    </row>
    <row r="2915" s="50" customFormat="true" ht="14.25" hidden="false" customHeight="true" outlineLevel="0" collapsed="false">
      <c r="A2915" s="50" t="s">
        <v>727</v>
      </c>
      <c r="B2915" s="57" t="s">
        <v>727</v>
      </c>
      <c r="C2915" s="57" t="s">
        <v>415</v>
      </c>
      <c r="D2915" s="58" t="n">
        <v>46064.2829513889</v>
      </c>
      <c r="E2915" s="58" t="n">
        <v>46064.2829513889</v>
      </c>
      <c r="F2915" s="58" t="n">
        <v>46064.2875115741</v>
      </c>
      <c r="G2915" s="59" t="n">
        <f aca="false">F2915-E2915</f>
        <v>0.00456018518518519</v>
      </c>
      <c r="H2915" s="57" t="s">
        <v>252</v>
      </c>
      <c r="I2915" s="57"/>
      <c r="J2915" s="57" t="s">
        <v>333</v>
      </c>
      <c r="K2915" s="57" t="s">
        <v>334</v>
      </c>
      <c r="L2915" s="60" t="s">
        <v>4092</v>
      </c>
      <c r="M2915" s="57" t="s">
        <v>336</v>
      </c>
      <c r="N2915" s="57" t="s">
        <v>381</v>
      </c>
      <c r="O2915" s="57" t="s">
        <v>729</v>
      </c>
      <c r="P2915" s="57" t="s">
        <v>4093</v>
      </c>
      <c r="Q2915" s="57" t="s">
        <v>698</v>
      </c>
    </row>
    <row r="2916" s="50" customFormat="true" ht="14.25" hidden="false" customHeight="true" outlineLevel="0" collapsed="false">
      <c r="A2916" s="50" t="s">
        <v>727</v>
      </c>
      <c r="B2916" s="57" t="s">
        <v>727</v>
      </c>
      <c r="C2916" s="57" t="s">
        <v>415</v>
      </c>
      <c r="D2916" s="58" t="n">
        <v>46064.2445833333</v>
      </c>
      <c r="E2916" s="58" t="n">
        <v>46064.2445833333</v>
      </c>
      <c r="F2916" s="58" t="n">
        <v>46064.2798842593</v>
      </c>
      <c r="G2916" s="59" t="n">
        <f aca="false">F2916-E2916</f>
        <v>0.0353009259953704</v>
      </c>
      <c r="H2916" s="57" t="s">
        <v>252</v>
      </c>
      <c r="I2916" s="57"/>
      <c r="J2916" s="57" t="s">
        <v>333</v>
      </c>
      <c r="K2916" s="57" t="s">
        <v>334</v>
      </c>
      <c r="L2916" s="60" t="s">
        <v>4094</v>
      </c>
      <c r="M2916" s="57" t="s">
        <v>336</v>
      </c>
      <c r="N2916" s="57" t="s">
        <v>381</v>
      </c>
      <c r="O2916" s="57" t="s">
        <v>729</v>
      </c>
      <c r="P2916" s="57" t="s">
        <v>4095</v>
      </c>
      <c r="Q2916" s="57" t="s">
        <v>698</v>
      </c>
    </row>
    <row r="2917" s="50" customFormat="true" ht="14.25" hidden="false" customHeight="true" outlineLevel="0" collapsed="false">
      <c r="A2917" s="50" t="s">
        <v>727</v>
      </c>
      <c r="B2917" s="57" t="s">
        <v>727</v>
      </c>
      <c r="C2917" s="57" t="s">
        <v>415</v>
      </c>
      <c r="D2917" s="58" t="n">
        <v>46064.2444791667</v>
      </c>
      <c r="E2917" s="58" t="n">
        <v>46064.2444791667</v>
      </c>
      <c r="F2917" s="58" t="n">
        <v>46064.2798842593</v>
      </c>
      <c r="G2917" s="59" t="n">
        <f aca="false">F2917-E2917</f>
        <v>0.0354050925925926</v>
      </c>
      <c r="H2917" s="57" t="s">
        <v>252</v>
      </c>
      <c r="I2917" s="57"/>
      <c r="J2917" s="57" t="s">
        <v>333</v>
      </c>
      <c r="K2917" s="57" t="s">
        <v>334</v>
      </c>
      <c r="L2917" s="60" t="s">
        <v>4096</v>
      </c>
      <c r="M2917" s="57" t="s">
        <v>336</v>
      </c>
      <c r="N2917" s="57" t="s">
        <v>381</v>
      </c>
      <c r="O2917" s="57" t="s">
        <v>729</v>
      </c>
      <c r="P2917" s="57" t="s">
        <v>4097</v>
      </c>
      <c r="Q2917" s="57" t="s">
        <v>698</v>
      </c>
    </row>
    <row r="2918" s="50" customFormat="true" ht="14.25" hidden="false" customHeight="true" outlineLevel="0" collapsed="false">
      <c r="A2918" s="50" t="s">
        <v>727</v>
      </c>
      <c r="B2918" s="57" t="s">
        <v>727</v>
      </c>
      <c r="C2918" s="57" t="s">
        <v>415</v>
      </c>
      <c r="D2918" s="58" t="n">
        <v>46063.7651273148</v>
      </c>
      <c r="E2918" s="58" t="n">
        <v>46063.7651273148</v>
      </c>
      <c r="F2918" s="58" t="n">
        <v>46063.7697685185</v>
      </c>
      <c r="G2918" s="59" t="n">
        <f aca="false">F2918-E2918</f>
        <v>0.0046412037037037</v>
      </c>
      <c r="H2918" s="57" t="s">
        <v>252</v>
      </c>
      <c r="I2918" s="57"/>
      <c r="J2918" s="57" t="s">
        <v>333</v>
      </c>
      <c r="K2918" s="57" t="s">
        <v>334</v>
      </c>
      <c r="L2918" s="60" t="s">
        <v>4098</v>
      </c>
      <c r="M2918" s="57" t="s">
        <v>336</v>
      </c>
      <c r="N2918" s="57" t="s">
        <v>381</v>
      </c>
      <c r="O2918" s="57" t="s">
        <v>729</v>
      </c>
      <c r="P2918" s="57" t="s">
        <v>4099</v>
      </c>
      <c r="Q2918" s="57" t="s">
        <v>698</v>
      </c>
    </row>
    <row r="2919" s="50" customFormat="true" ht="14.25" hidden="false" customHeight="true" outlineLevel="0" collapsed="false">
      <c r="A2919" s="50" t="s">
        <v>727</v>
      </c>
      <c r="B2919" s="57" t="s">
        <v>727</v>
      </c>
      <c r="C2919" s="57" t="s">
        <v>415</v>
      </c>
      <c r="D2919" s="58" t="n">
        <v>46063.7644328704</v>
      </c>
      <c r="E2919" s="58" t="n">
        <v>46063.7644328704</v>
      </c>
      <c r="F2919" s="58" t="n">
        <v>46063.7649421296</v>
      </c>
      <c r="G2919" s="59" t="n">
        <f aca="false">F2919-E2919</f>
        <v>0.000509259201388889</v>
      </c>
      <c r="H2919" s="57" t="s">
        <v>252</v>
      </c>
      <c r="I2919" s="57"/>
      <c r="J2919" s="57" t="s">
        <v>333</v>
      </c>
      <c r="K2919" s="57" t="s">
        <v>334</v>
      </c>
      <c r="L2919" s="60" t="s">
        <v>4100</v>
      </c>
      <c r="M2919" s="57" t="s">
        <v>336</v>
      </c>
      <c r="N2919" s="57" t="s">
        <v>381</v>
      </c>
      <c r="O2919" s="57" t="s">
        <v>729</v>
      </c>
      <c r="P2919" s="57" t="s">
        <v>4101</v>
      </c>
      <c r="Q2919" s="57" t="s">
        <v>698</v>
      </c>
    </row>
    <row r="2920" s="50" customFormat="true" ht="14.25" hidden="false" customHeight="true" outlineLevel="0" collapsed="false">
      <c r="A2920" s="50" t="s">
        <v>727</v>
      </c>
      <c r="B2920" s="57" t="s">
        <v>727</v>
      </c>
      <c r="C2920" s="57" t="s">
        <v>415</v>
      </c>
      <c r="D2920" s="58" t="n">
        <v>46063.7625115741</v>
      </c>
      <c r="E2920" s="58" t="n">
        <v>46063.7625115741</v>
      </c>
      <c r="F2920" s="58" t="n">
        <v>46063.7630439815</v>
      </c>
      <c r="G2920" s="59" t="n">
        <f aca="false">F2920-E2920</f>
        <v>0.000532407395833333</v>
      </c>
      <c r="H2920" s="57" t="s">
        <v>252</v>
      </c>
      <c r="I2920" s="57"/>
      <c r="J2920" s="57" t="s">
        <v>333</v>
      </c>
      <c r="K2920" s="57" t="s">
        <v>334</v>
      </c>
      <c r="L2920" s="60" t="s">
        <v>4102</v>
      </c>
      <c r="M2920" s="57" t="s">
        <v>336</v>
      </c>
      <c r="N2920" s="57" t="s">
        <v>381</v>
      </c>
      <c r="O2920" s="57" t="s">
        <v>729</v>
      </c>
      <c r="P2920" s="57" t="s">
        <v>4103</v>
      </c>
      <c r="Q2920" s="57" t="s">
        <v>698</v>
      </c>
    </row>
    <row r="2921" s="50" customFormat="true" ht="14.25" hidden="false" customHeight="true" outlineLevel="0" collapsed="false">
      <c r="A2921" s="50" t="s">
        <v>727</v>
      </c>
      <c r="B2921" s="57" t="s">
        <v>727</v>
      </c>
      <c r="C2921" s="57" t="s">
        <v>415</v>
      </c>
      <c r="D2921" s="58" t="n">
        <v>46063.746400463</v>
      </c>
      <c r="E2921" s="58" t="n">
        <v>46063.746400463</v>
      </c>
      <c r="F2921" s="58" t="n">
        <v>46063.7469212963</v>
      </c>
      <c r="G2921" s="59" t="n">
        <f aca="false">F2921-E2921</f>
        <v>0.000520833298611111</v>
      </c>
      <c r="H2921" s="57" t="s">
        <v>252</v>
      </c>
      <c r="I2921" s="57"/>
      <c r="J2921" s="57" t="s">
        <v>333</v>
      </c>
      <c r="K2921" s="57" t="s">
        <v>334</v>
      </c>
      <c r="L2921" s="60" t="s">
        <v>4104</v>
      </c>
      <c r="M2921" s="57" t="s">
        <v>336</v>
      </c>
      <c r="N2921" s="57" t="s">
        <v>381</v>
      </c>
      <c r="O2921" s="57" t="s">
        <v>729</v>
      </c>
      <c r="P2921" s="57" t="s">
        <v>4105</v>
      </c>
      <c r="Q2921" s="57" t="s">
        <v>698</v>
      </c>
    </row>
    <row r="2922" s="50" customFormat="true" ht="14.25" hidden="false" customHeight="true" outlineLevel="0" collapsed="false">
      <c r="A2922" s="50" t="s">
        <v>727</v>
      </c>
      <c r="B2922" s="57" t="s">
        <v>727</v>
      </c>
      <c r="C2922" s="57" t="s">
        <v>415</v>
      </c>
      <c r="D2922" s="58" t="n">
        <v>46063.7077199074</v>
      </c>
      <c r="E2922" s="58" t="n">
        <v>46063.7077199074</v>
      </c>
      <c r="F2922" s="58" t="n">
        <v>46063.7082407407</v>
      </c>
      <c r="G2922" s="59" t="n">
        <f aca="false">F2922-E2922</f>
        <v>0.000520833298611111</v>
      </c>
      <c r="H2922" s="57" t="s">
        <v>252</v>
      </c>
      <c r="I2922" s="57"/>
      <c r="J2922" s="57" t="s">
        <v>333</v>
      </c>
      <c r="K2922" s="57" t="s">
        <v>334</v>
      </c>
      <c r="L2922" s="60" t="s">
        <v>4106</v>
      </c>
      <c r="M2922" s="57" t="s">
        <v>336</v>
      </c>
      <c r="N2922" s="57" t="s">
        <v>381</v>
      </c>
      <c r="O2922" s="57" t="s">
        <v>729</v>
      </c>
      <c r="P2922" s="57" t="s">
        <v>4107</v>
      </c>
      <c r="Q2922" s="57" t="s">
        <v>698</v>
      </c>
    </row>
    <row r="2923" s="50" customFormat="true" ht="14.25" hidden="false" customHeight="true" outlineLevel="0" collapsed="false">
      <c r="A2923" s="50" t="s">
        <v>727</v>
      </c>
      <c r="B2923" s="57" t="s">
        <v>727</v>
      </c>
      <c r="C2923" s="57" t="s">
        <v>415</v>
      </c>
      <c r="D2923" s="58" t="n">
        <v>46063.695787037</v>
      </c>
      <c r="E2923" s="58" t="n">
        <v>46063.695787037</v>
      </c>
      <c r="F2923" s="58" t="n">
        <v>46063.6963078704</v>
      </c>
      <c r="G2923" s="59" t="n">
        <f aca="false">F2923-E2923</f>
        <v>0.000520833391203704</v>
      </c>
      <c r="H2923" s="57" t="s">
        <v>252</v>
      </c>
      <c r="I2923" s="57"/>
      <c r="J2923" s="57" t="s">
        <v>333</v>
      </c>
      <c r="K2923" s="57" t="s">
        <v>334</v>
      </c>
      <c r="L2923" s="60" t="s">
        <v>4108</v>
      </c>
      <c r="M2923" s="57" t="s">
        <v>336</v>
      </c>
      <c r="N2923" s="57" t="s">
        <v>381</v>
      </c>
      <c r="O2923" s="57" t="s">
        <v>729</v>
      </c>
      <c r="P2923" s="57" t="s">
        <v>4109</v>
      </c>
      <c r="Q2923" s="57" t="s">
        <v>698</v>
      </c>
    </row>
    <row r="2924" s="50" customFormat="true" ht="14.25" hidden="false" customHeight="true" outlineLevel="0" collapsed="false">
      <c r="A2924" s="50" t="s">
        <v>727</v>
      </c>
      <c r="B2924" s="57" t="s">
        <v>727</v>
      </c>
      <c r="C2924" s="57" t="s">
        <v>415</v>
      </c>
      <c r="D2924" s="58" t="n">
        <v>46063.6890740741</v>
      </c>
      <c r="E2924" s="58" t="n">
        <v>46063.6890740741</v>
      </c>
      <c r="F2924" s="58" t="n">
        <v>46063.6895949074</v>
      </c>
      <c r="G2924" s="59" t="n">
        <f aca="false">F2924-E2924</f>
        <v>0.000520833298611111</v>
      </c>
      <c r="H2924" s="57" t="s">
        <v>252</v>
      </c>
      <c r="I2924" s="57"/>
      <c r="J2924" s="57" t="s">
        <v>333</v>
      </c>
      <c r="K2924" s="57" t="s">
        <v>334</v>
      </c>
      <c r="L2924" s="60" t="s">
        <v>4110</v>
      </c>
      <c r="M2924" s="57" t="s">
        <v>336</v>
      </c>
      <c r="N2924" s="57" t="s">
        <v>381</v>
      </c>
      <c r="O2924" s="57" t="s">
        <v>729</v>
      </c>
      <c r="P2924" s="57" t="s">
        <v>4111</v>
      </c>
      <c r="Q2924" s="57" t="s">
        <v>698</v>
      </c>
    </row>
    <row r="2925" s="50" customFormat="true" ht="14.25" hidden="false" customHeight="true" outlineLevel="0" collapsed="false">
      <c r="A2925" s="50" t="s">
        <v>727</v>
      </c>
      <c r="B2925" s="57" t="s">
        <v>727</v>
      </c>
      <c r="C2925" s="57" t="s">
        <v>415</v>
      </c>
      <c r="D2925" s="58" t="n">
        <v>46063.6123842593</v>
      </c>
      <c r="E2925" s="58" t="n">
        <v>46063.6123842593</v>
      </c>
      <c r="F2925" s="58" t="n">
        <v>46063.6129050926</v>
      </c>
      <c r="G2925" s="59" t="n">
        <f aca="false">F2925-E2925</f>
        <v>0.000520833298611111</v>
      </c>
      <c r="H2925" s="57" t="s">
        <v>252</v>
      </c>
      <c r="I2925" s="57"/>
      <c r="J2925" s="57" t="s">
        <v>333</v>
      </c>
      <c r="K2925" s="57" t="s">
        <v>334</v>
      </c>
      <c r="L2925" s="60" t="s">
        <v>4112</v>
      </c>
      <c r="M2925" s="57" t="s">
        <v>336</v>
      </c>
      <c r="N2925" s="57" t="s">
        <v>381</v>
      </c>
      <c r="O2925" s="57" t="s">
        <v>729</v>
      </c>
      <c r="P2925" s="57" t="s">
        <v>4113</v>
      </c>
      <c r="Q2925" s="57" t="s">
        <v>698</v>
      </c>
    </row>
    <row r="2926" s="50" customFormat="true" ht="14.25" hidden="false" customHeight="true" outlineLevel="0" collapsed="false">
      <c r="A2926" s="50" t="s">
        <v>727</v>
      </c>
      <c r="B2926" s="57" t="s">
        <v>727</v>
      </c>
      <c r="C2926" s="57" t="s">
        <v>415</v>
      </c>
      <c r="D2926" s="58" t="n">
        <v>46063.6013773148</v>
      </c>
      <c r="E2926" s="58" t="n">
        <v>46063.6013773148</v>
      </c>
      <c r="F2926" s="58" t="n">
        <v>46063.6018865741</v>
      </c>
      <c r="G2926" s="59" t="n">
        <f aca="false">F2926-E2926</f>
        <v>0.000509259293981482</v>
      </c>
      <c r="H2926" s="57" t="s">
        <v>252</v>
      </c>
      <c r="I2926" s="57"/>
      <c r="J2926" s="57" t="s">
        <v>333</v>
      </c>
      <c r="K2926" s="57" t="s">
        <v>334</v>
      </c>
      <c r="L2926" s="60" t="s">
        <v>4114</v>
      </c>
      <c r="M2926" s="57" t="s">
        <v>336</v>
      </c>
      <c r="N2926" s="57" t="s">
        <v>381</v>
      </c>
      <c r="O2926" s="57" t="s">
        <v>729</v>
      </c>
      <c r="P2926" s="57" t="s">
        <v>4115</v>
      </c>
      <c r="Q2926" s="57" t="s">
        <v>698</v>
      </c>
    </row>
    <row r="2927" s="50" customFormat="true" ht="14.25" hidden="false" customHeight="true" outlineLevel="0" collapsed="false">
      <c r="A2927" s="50" t="s">
        <v>727</v>
      </c>
      <c r="B2927" s="57" t="s">
        <v>727</v>
      </c>
      <c r="C2927" s="57" t="s">
        <v>415</v>
      </c>
      <c r="D2927" s="58" t="n">
        <v>46063.5859606481</v>
      </c>
      <c r="E2927" s="58" t="n">
        <v>46063.5859606481</v>
      </c>
      <c r="F2927" s="58" t="n">
        <v>46063.5864814815</v>
      </c>
      <c r="G2927" s="59" t="n">
        <f aca="false">F2927-E2927</f>
        <v>0.000520833391203704</v>
      </c>
      <c r="H2927" s="57" t="s">
        <v>252</v>
      </c>
      <c r="I2927" s="57"/>
      <c r="J2927" s="57" t="s">
        <v>333</v>
      </c>
      <c r="K2927" s="57" t="s">
        <v>334</v>
      </c>
      <c r="L2927" s="60" t="s">
        <v>4116</v>
      </c>
      <c r="M2927" s="57" t="s">
        <v>336</v>
      </c>
      <c r="N2927" s="57" t="s">
        <v>381</v>
      </c>
      <c r="O2927" s="57" t="s">
        <v>729</v>
      </c>
      <c r="P2927" s="57" t="s">
        <v>4117</v>
      </c>
      <c r="Q2927" s="57" t="s">
        <v>698</v>
      </c>
    </row>
    <row r="2928" s="50" customFormat="true" ht="14.25" hidden="false" customHeight="true" outlineLevel="0" collapsed="false">
      <c r="A2928" s="50" t="s">
        <v>727</v>
      </c>
      <c r="B2928" s="57" t="s">
        <v>727</v>
      </c>
      <c r="C2928" s="57" t="s">
        <v>415</v>
      </c>
      <c r="D2928" s="58" t="n">
        <v>46063.5672222222</v>
      </c>
      <c r="E2928" s="58" t="n">
        <v>46063.5672222222</v>
      </c>
      <c r="F2928" s="58" t="n">
        <v>46063.5677314815</v>
      </c>
      <c r="G2928" s="59" t="n">
        <f aca="false">F2928-E2928</f>
        <v>0.000509259293981482</v>
      </c>
      <c r="H2928" s="57" t="s">
        <v>252</v>
      </c>
      <c r="I2928" s="57"/>
      <c r="J2928" s="57" t="s">
        <v>333</v>
      </c>
      <c r="K2928" s="57" t="s">
        <v>334</v>
      </c>
      <c r="L2928" s="60" t="s">
        <v>4118</v>
      </c>
      <c r="M2928" s="57" t="s">
        <v>336</v>
      </c>
      <c r="N2928" s="57" t="s">
        <v>381</v>
      </c>
      <c r="O2928" s="57" t="s">
        <v>729</v>
      </c>
      <c r="P2928" s="57" t="s">
        <v>4119</v>
      </c>
      <c r="Q2928" s="57" t="s">
        <v>698</v>
      </c>
    </row>
    <row r="2929" s="50" customFormat="true" ht="14.25" hidden="false" customHeight="true" outlineLevel="0" collapsed="false">
      <c r="A2929" s="50" t="s">
        <v>727</v>
      </c>
      <c r="B2929" s="57" t="s">
        <v>727</v>
      </c>
      <c r="C2929" s="57" t="s">
        <v>415</v>
      </c>
      <c r="D2929" s="58" t="n">
        <v>46063.5513194444</v>
      </c>
      <c r="E2929" s="58" t="n">
        <v>46063.5513194444</v>
      </c>
      <c r="F2929" s="58" t="n">
        <v>46063.5518287037</v>
      </c>
      <c r="G2929" s="59" t="n">
        <f aca="false">F2929-E2929</f>
        <v>0.000509259293981482</v>
      </c>
      <c r="H2929" s="57" t="s">
        <v>252</v>
      </c>
      <c r="I2929" s="57"/>
      <c r="J2929" s="57" t="s">
        <v>333</v>
      </c>
      <c r="K2929" s="57" t="s">
        <v>334</v>
      </c>
      <c r="L2929" s="60" t="s">
        <v>4120</v>
      </c>
      <c r="M2929" s="57" t="s">
        <v>336</v>
      </c>
      <c r="N2929" s="57" t="s">
        <v>381</v>
      </c>
      <c r="O2929" s="57" t="s">
        <v>729</v>
      </c>
      <c r="P2929" s="57" t="s">
        <v>4121</v>
      </c>
      <c r="Q2929" s="57" t="s">
        <v>698</v>
      </c>
    </row>
    <row r="2930" s="50" customFormat="true" ht="14.25" hidden="false" customHeight="true" outlineLevel="0" collapsed="false">
      <c r="A2930" s="50" t="s">
        <v>727</v>
      </c>
      <c r="B2930" s="57" t="s">
        <v>727</v>
      </c>
      <c r="C2930" s="57" t="s">
        <v>415</v>
      </c>
      <c r="D2930" s="58" t="n">
        <v>46063.5358333333</v>
      </c>
      <c r="E2930" s="58" t="n">
        <v>46063.5358333333</v>
      </c>
      <c r="F2930" s="58" t="n">
        <v>46063.5363425926</v>
      </c>
      <c r="G2930" s="59" t="n">
        <f aca="false">F2930-E2930</f>
        <v>0.000509259293981482</v>
      </c>
      <c r="H2930" s="57" t="s">
        <v>252</v>
      </c>
      <c r="I2930" s="57"/>
      <c r="J2930" s="57" t="s">
        <v>333</v>
      </c>
      <c r="K2930" s="57" t="s">
        <v>334</v>
      </c>
      <c r="L2930" s="60" t="s">
        <v>4122</v>
      </c>
      <c r="M2930" s="57" t="s">
        <v>336</v>
      </c>
      <c r="N2930" s="57" t="s">
        <v>381</v>
      </c>
      <c r="O2930" s="57" t="s">
        <v>729</v>
      </c>
      <c r="P2930" s="57" t="s">
        <v>4123</v>
      </c>
      <c r="Q2930" s="57" t="s">
        <v>698</v>
      </c>
    </row>
    <row r="2931" s="50" customFormat="true" ht="14.25" hidden="false" customHeight="true" outlineLevel="0" collapsed="false">
      <c r="A2931" s="50" t="s">
        <v>727</v>
      </c>
      <c r="B2931" s="57" t="s">
        <v>727</v>
      </c>
      <c r="C2931" s="57" t="s">
        <v>415</v>
      </c>
      <c r="D2931" s="58" t="n">
        <v>46063.5277430556</v>
      </c>
      <c r="E2931" s="58" t="n">
        <v>46063.5277430556</v>
      </c>
      <c r="F2931" s="58" t="n">
        <v>46063.5282523148</v>
      </c>
      <c r="G2931" s="59" t="n">
        <f aca="false">F2931-E2931</f>
        <v>0.000509259201388889</v>
      </c>
      <c r="H2931" s="57" t="s">
        <v>252</v>
      </c>
      <c r="I2931" s="57"/>
      <c r="J2931" s="57" t="s">
        <v>333</v>
      </c>
      <c r="K2931" s="57" t="s">
        <v>334</v>
      </c>
      <c r="L2931" s="60" t="s">
        <v>4124</v>
      </c>
      <c r="M2931" s="57" t="s">
        <v>336</v>
      </c>
      <c r="N2931" s="57" t="s">
        <v>381</v>
      </c>
      <c r="O2931" s="57" t="s">
        <v>729</v>
      </c>
      <c r="P2931" s="57" t="s">
        <v>4125</v>
      </c>
      <c r="Q2931" s="57" t="s">
        <v>698</v>
      </c>
    </row>
    <row r="2932" s="50" customFormat="true" ht="14.25" hidden="false" customHeight="true" outlineLevel="0" collapsed="false">
      <c r="A2932" s="50" t="s">
        <v>727</v>
      </c>
      <c r="B2932" s="57" t="s">
        <v>727</v>
      </c>
      <c r="C2932" s="57" t="s">
        <v>415</v>
      </c>
      <c r="D2932" s="58" t="n">
        <v>46063.5018865741</v>
      </c>
      <c r="E2932" s="58" t="n">
        <v>46063.5018865741</v>
      </c>
      <c r="F2932" s="58" t="n">
        <v>46063.5024074074</v>
      </c>
      <c r="G2932" s="59" t="n">
        <f aca="false">F2932-E2932</f>
        <v>0.000520833298611111</v>
      </c>
      <c r="H2932" s="57" t="s">
        <v>252</v>
      </c>
      <c r="I2932" s="57"/>
      <c r="J2932" s="57" t="s">
        <v>333</v>
      </c>
      <c r="K2932" s="57" t="s">
        <v>334</v>
      </c>
      <c r="L2932" s="60" t="s">
        <v>4126</v>
      </c>
      <c r="M2932" s="57" t="s">
        <v>336</v>
      </c>
      <c r="N2932" s="57" t="s">
        <v>381</v>
      </c>
      <c r="O2932" s="57" t="s">
        <v>729</v>
      </c>
      <c r="P2932" s="57" t="s">
        <v>4127</v>
      </c>
      <c r="Q2932" s="57" t="s">
        <v>698</v>
      </c>
    </row>
    <row r="2933" s="50" customFormat="true" ht="14.25" hidden="false" customHeight="true" outlineLevel="0" collapsed="false">
      <c r="A2933" s="50" t="s">
        <v>727</v>
      </c>
      <c r="B2933" s="57" t="s">
        <v>727</v>
      </c>
      <c r="C2933" s="57" t="s">
        <v>415</v>
      </c>
      <c r="D2933" s="58" t="n">
        <v>46063.4903240741</v>
      </c>
      <c r="E2933" s="58" t="n">
        <v>46063.4903240741</v>
      </c>
      <c r="F2933" s="58" t="n">
        <v>46063.4908333333</v>
      </c>
      <c r="G2933" s="59" t="n">
        <f aca="false">F2933-E2933</f>
        <v>0.000509259201388889</v>
      </c>
      <c r="H2933" s="57" t="s">
        <v>252</v>
      </c>
      <c r="I2933" s="57"/>
      <c r="J2933" s="57" t="s">
        <v>333</v>
      </c>
      <c r="K2933" s="57" t="s">
        <v>334</v>
      </c>
      <c r="L2933" s="60" t="s">
        <v>4128</v>
      </c>
      <c r="M2933" s="57" t="s">
        <v>336</v>
      </c>
      <c r="N2933" s="57" t="s">
        <v>381</v>
      </c>
      <c r="O2933" s="57" t="s">
        <v>729</v>
      </c>
      <c r="P2933" s="57" t="s">
        <v>4129</v>
      </c>
      <c r="Q2933" s="57" t="s">
        <v>698</v>
      </c>
    </row>
    <row r="2934" s="50" customFormat="true" ht="14.25" hidden="false" customHeight="true" outlineLevel="0" collapsed="false">
      <c r="A2934" s="50" t="s">
        <v>727</v>
      </c>
      <c r="B2934" s="57" t="s">
        <v>727</v>
      </c>
      <c r="C2934" s="57" t="s">
        <v>415</v>
      </c>
      <c r="D2934" s="58" t="n">
        <v>46063.4615046296</v>
      </c>
      <c r="E2934" s="58" t="n">
        <v>46063.4615046296</v>
      </c>
      <c r="F2934" s="58" t="n">
        <v>46063.4620486111</v>
      </c>
      <c r="G2934" s="59" t="n">
        <f aca="false">F2934-E2934</f>
        <v>0.00054398150462963</v>
      </c>
      <c r="H2934" s="57" t="s">
        <v>252</v>
      </c>
      <c r="I2934" s="57"/>
      <c r="J2934" s="57" t="s">
        <v>333</v>
      </c>
      <c r="K2934" s="57" t="s">
        <v>334</v>
      </c>
      <c r="L2934" s="60" t="s">
        <v>4130</v>
      </c>
      <c r="M2934" s="57" t="s">
        <v>336</v>
      </c>
      <c r="N2934" s="57" t="s">
        <v>381</v>
      </c>
      <c r="O2934" s="57" t="s">
        <v>729</v>
      </c>
      <c r="P2934" s="57" t="s">
        <v>4131</v>
      </c>
      <c r="Q2934" s="57" t="s">
        <v>698</v>
      </c>
    </row>
    <row r="2935" s="50" customFormat="true" ht="14.25" hidden="false" customHeight="true" outlineLevel="0" collapsed="false">
      <c r="A2935" s="50" t="s">
        <v>727</v>
      </c>
      <c r="B2935" s="57" t="s">
        <v>727</v>
      </c>
      <c r="C2935" s="57" t="s">
        <v>415</v>
      </c>
      <c r="D2935" s="58" t="n">
        <v>46063.4531134259</v>
      </c>
      <c r="E2935" s="58" t="n">
        <v>46063.4531134259</v>
      </c>
      <c r="F2935" s="58" t="n">
        <v>46063.4536458333</v>
      </c>
      <c r="G2935" s="59" t="n">
        <f aca="false">F2935-E2935</f>
        <v>0.000532407407407407</v>
      </c>
      <c r="H2935" s="57" t="s">
        <v>252</v>
      </c>
      <c r="I2935" s="57"/>
      <c r="J2935" s="57" t="s">
        <v>333</v>
      </c>
      <c r="K2935" s="57" t="s">
        <v>334</v>
      </c>
      <c r="L2935" s="60" t="s">
        <v>4132</v>
      </c>
      <c r="M2935" s="57" t="s">
        <v>336</v>
      </c>
      <c r="N2935" s="57" t="s">
        <v>381</v>
      </c>
      <c r="O2935" s="57" t="s">
        <v>729</v>
      </c>
      <c r="P2935" s="57" t="s">
        <v>4133</v>
      </c>
      <c r="Q2935" s="57" t="s">
        <v>698</v>
      </c>
    </row>
    <row r="2936" s="50" customFormat="true" ht="14.25" hidden="false" customHeight="true" outlineLevel="0" collapsed="false">
      <c r="A2936" s="50" t="s">
        <v>727</v>
      </c>
      <c r="B2936" s="57" t="s">
        <v>727</v>
      </c>
      <c r="C2936" s="57" t="s">
        <v>415</v>
      </c>
      <c r="D2936" s="58" t="n">
        <v>46063.4366087963</v>
      </c>
      <c r="E2936" s="58" t="n">
        <v>46063.4366087963</v>
      </c>
      <c r="F2936" s="58" t="n">
        <v>46063.4371527778</v>
      </c>
      <c r="G2936" s="59" t="n">
        <f aca="false">F2936-E2936</f>
        <v>0.00054398150462963</v>
      </c>
      <c r="H2936" s="57" t="s">
        <v>252</v>
      </c>
      <c r="I2936" s="57"/>
      <c r="J2936" s="57" t="s">
        <v>333</v>
      </c>
      <c r="K2936" s="57" t="s">
        <v>334</v>
      </c>
      <c r="L2936" s="60" t="s">
        <v>4134</v>
      </c>
      <c r="M2936" s="57" t="s">
        <v>336</v>
      </c>
      <c r="N2936" s="57" t="s">
        <v>381</v>
      </c>
      <c r="O2936" s="57" t="s">
        <v>729</v>
      </c>
      <c r="P2936" s="57" t="s">
        <v>4135</v>
      </c>
      <c r="Q2936" s="57" t="s">
        <v>698</v>
      </c>
    </row>
    <row r="2937" s="50" customFormat="true" ht="14.25" hidden="false" customHeight="true" outlineLevel="0" collapsed="false">
      <c r="A2937" s="50" t="s">
        <v>727</v>
      </c>
      <c r="B2937" s="57" t="s">
        <v>727</v>
      </c>
      <c r="C2937" s="57" t="s">
        <v>415</v>
      </c>
      <c r="D2937" s="58" t="n">
        <v>46063.3277546296</v>
      </c>
      <c r="E2937" s="58" t="n">
        <v>46063.3277546296</v>
      </c>
      <c r="F2937" s="58" t="n">
        <v>46063.3324189815</v>
      </c>
      <c r="G2937" s="59" t="n">
        <f aca="false">F2937-E2937</f>
        <v>0.00466435189814815</v>
      </c>
      <c r="H2937" s="57" t="s">
        <v>252</v>
      </c>
      <c r="I2937" s="57"/>
      <c r="J2937" s="57" t="s">
        <v>333</v>
      </c>
      <c r="K2937" s="57" t="s">
        <v>334</v>
      </c>
      <c r="L2937" s="60" t="s">
        <v>4136</v>
      </c>
      <c r="M2937" s="57" t="s">
        <v>336</v>
      </c>
      <c r="N2937" s="57" t="s">
        <v>381</v>
      </c>
      <c r="O2937" s="57" t="s">
        <v>729</v>
      </c>
      <c r="P2937" s="57" t="s">
        <v>4137</v>
      </c>
      <c r="Q2937" s="57" t="s">
        <v>698</v>
      </c>
    </row>
    <row r="2938" s="50" customFormat="true" ht="14.25" hidden="false" customHeight="true" outlineLevel="0" collapsed="false">
      <c r="A2938" s="50" t="s">
        <v>727</v>
      </c>
      <c r="B2938" s="57" t="s">
        <v>727</v>
      </c>
      <c r="C2938" s="57" t="s">
        <v>415</v>
      </c>
      <c r="D2938" s="58" t="n">
        <v>46063.317037037</v>
      </c>
      <c r="E2938" s="58" t="n">
        <v>46063.317037037</v>
      </c>
      <c r="F2938" s="58" t="n">
        <v>46063.3216782407</v>
      </c>
      <c r="G2938" s="59" t="n">
        <f aca="false">F2938-E2938</f>
        <v>0.0046412037037037</v>
      </c>
      <c r="H2938" s="57" t="s">
        <v>252</v>
      </c>
      <c r="I2938" s="57"/>
      <c r="J2938" s="57" t="s">
        <v>333</v>
      </c>
      <c r="K2938" s="57" t="s">
        <v>334</v>
      </c>
      <c r="L2938" s="60" t="s">
        <v>4138</v>
      </c>
      <c r="M2938" s="57" t="s">
        <v>336</v>
      </c>
      <c r="N2938" s="57" t="s">
        <v>381</v>
      </c>
      <c r="O2938" s="57" t="s">
        <v>729</v>
      </c>
      <c r="P2938" s="57" t="s">
        <v>4139</v>
      </c>
      <c r="Q2938" s="57" t="s">
        <v>698</v>
      </c>
    </row>
    <row r="2939" s="50" customFormat="true" ht="14.25" hidden="false" customHeight="true" outlineLevel="0" collapsed="false">
      <c r="A2939" s="50" t="s">
        <v>727</v>
      </c>
      <c r="B2939" s="57" t="s">
        <v>727</v>
      </c>
      <c r="C2939" s="57" t="s">
        <v>415</v>
      </c>
      <c r="D2939" s="58" t="n">
        <v>46063.3121990741</v>
      </c>
      <c r="E2939" s="58" t="n">
        <v>46063.3121990741</v>
      </c>
      <c r="F2939" s="58" t="n">
        <v>46063.3168402778</v>
      </c>
      <c r="G2939" s="59" t="n">
        <f aca="false">F2939-E2939</f>
        <v>0.0046412037037037</v>
      </c>
      <c r="H2939" s="57" t="s">
        <v>252</v>
      </c>
      <c r="I2939" s="57"/>
      <c r="J2939" s="57" t="s">
        <v>333</v>
      </c>
      <c r="K2939" s="57" t="s">
        <v>334</v>
      </c>
      <c r="L2939" s="60" t="s">
        <v>4140</v>
      </c>
      <c r="M2939" s="57" t="s">
        <v>336</v>
      </c>
      <c r="N2939" s="57" t="s">
        <v>381</v>
      </c>
      <c r="O2939" s="57" t="s">
        <v>729</v>
      </c>
      <c r="P2939" s="57" t="s">
        <v>4141</v>
      </c>
      <c r="Q2939" s="57" t="s">
        <v>698</v>
      </c>
    </row>
    <row r="2940" s="50" customFormat="true" ht="14.25" hidden="false" customHeight="true" outlineLevel="0" collapsed="false">
      <c r="A2940" s="50" t="s">
        <v>727</v>
      </c>
      <c r="B2940" s="57" t="s">
        <v>727</v>
      </c>
      <c r="C2940" s="57" t="s">
        <v>415</v>
      </c>
      <c r="D2940" s="58" t="n">
        <v>46063.3115162037</v>
      </c>
      <c r="E2940" s="58" t="n">
        <v>46063.3115162037</v>
      </c>
      <c r="F2940" s="58" t="n">
        <v>46063.3120138889</v>
      </c>
      <c r="G2940" s="59" t="n">
        <f aca="false">F2940-E2940</f>
        <v>0.000497685196759259</v>
      </c>
      <c r="H2940" s="57" t="s">
        <v>252</v>
      </c>
      <c r="I2940" s="57"/>
      <c r="J2940" s="57" t="s">
        <v>333</v>
      </c>
      <c r="K2940" s="57" t="s">
        <v>334</v>
      </c>
      <c r="L2940" s="60" t="s">
        <v>4142</v>
      </c>
      <c r="M2940" s="57" t="s">
        <v>336</v>
      </c>
      <c r="N2940" s="57" t="s">
        <v>381</v>
      </c>
      <c r="O2940" s="57" t="s">
        <v>729</v>
      </c>
      <c r="P2940" s="57" t="s">
        <v>4143</v>
      </c>
      <c r="Q2940" s="57" t="s">
        <v>698</v>
      </c>
    </row>
    <row r="2941" s="50" customFormat="true" ht="14.25" hidden="false" customHeight="true" outlineLevel="0" collapsed="false">
      <c r="A2941" s="50" t="s">
        <v>727</v>
      </c>
      <c r="B2941" s="57" t="s">
        <v>727</v>
      </c>
      <c r="C2941" s="57" t="s">
        <v>415</v>
      </c>
      <c r="D2941" s="58" t="n">
        <v>46063.3108564815</v>
      </c>
      <c r="E2941" s="58" t="n">
        <v>46063.3108564815</v>
      </c>
      <c r="F2941" s="58" t="n">
        <v>46063.3113541667</v>
      </c>
      <c r="G2941" s="59" t="n">
        <f aca="false">F2941-E2941</f>
        <v>0.000497685196759259</v>
      </c>
      <c r="H2941" s="57" t="s">
        <v>252</v>
      </c>
      <c r="I2941" s="57"/>
      <c r="J2941" s="57" t="s">
        <v>333</v>
      </c>
      <c r="K2941" s="57" t="s">
        <v>334</v>
      </c>
      <c r="L2941" s="60" t="s">
        <v>4144</v>
      </c>
      <c r="M2941" s="57" t="s">
        <v>336</v>
      </c>
      <c r="N2941" s="57" t="s">
        <v>381</v>
      </c>
      <c r="O2941" s="57" t="s">
        <v>729</v>
      </c>
      <c r="P2941" s="57" t="s">
        <v>4145</v>
      </c>
      <c r="Q2941" s="57" t="s">
        <v>698</v>
      </c>
    </row>
    <row r="2942" s="50" customFormat="true" ht="14.25" hidden="false" customHeight="true" outlineLevel="0" collapsed="false">
      <c r="A2942" s="50" t="s">
        <v>727</v>
      </c>
      <c r="B2942" s="57" t="s">
        <v>727</v>
      </c>
      <c r="C2942" s="57" t="s">
        <v>415</v>
      </c>
      <c r="D2942" s="58" t="n">
        <v>46063.3101967593</v>
      </c>
      <c r="E2942" s="58" t="n">
        <v>46063.3101967593</v>
      </c>
      <c r="F2942" s="58" t="n">
        <v>46063.3106944444</v>
      </c>
      <c r="G2942" s="59" t="n">
        <f aca="false">F2942-E2942</f>
        <v>0.000497685092592593</v>
      </c>
      <c r="H2942" s="57" t="s">
        <v>252</v>
      </c>
      <c r="I2942" s="57"/>
      <c r="J2942" s="57" t="s">
        <v>333</v>
      </c>
      <c r="K2942" s="57" t="s">
        <v>334</v>
      </c>
      <c r="L2942" s="60" t="s">
        <v>4146</v>
      </c>
      <c r="M2942" s="57" t="s">
        <v>336</v>
      </c>
      <c r="N2942" s="57" t="s">
        <v>381</v>
      </c>
      <c r="O2942" s="57" t="s">
        <v>729</v>
      </c>
      <c r="P2942" s="57" t="s">
        <v>4147</v>
      </c>
      <c r="Q2942" s="57" t="s">
        <v>698</v>
      </c>
    </row>
    <row r="2943" s="50" customFormat="true" ht="14.25" hidden="false" customHeight="true" outlineLevel="0" collapsed="false">
      <c r="A2943" s="50" t="s">
        <v>727</v>
      </c>
      <c r="B2943" s="57" t="s">
        <v>727</v>
      </c>
      <c r="C2943" s="57" t="s">
        <v>415</v>
      </c>
      <c r="D2943" s="58" t="n">
        <v>46063.309525463</v>
      </c>
      <c r="E2943" s="58" t="n">
        <v>46063.309525463</v>
      </c>
      <c r="F2943" s="58" t="n">
        <v>46063.3100231482</v>
      </c>
      <c r="G2943" s="59" t="n">
        <f aca="false">F2943-E2943</f>
        <v>0.000497685196759259</v>
      </c>
      <c r="H2943" s="57" t="s">
        <v>252</v>
      </c>
      <c r="I2943" s="57"/>
      <c r="J2943" s="57" t="s">
        <v>333</v>
      </c>
      <c r="K2943" s="57" t="s">
        <v>334</v>
      </c>
      <c r="L2943" s="60" t="s">
        <v>4148</v>
      </c>
      <c r="M2943" s="57" t="s">
        <v>336</v>
      </c>
      <c r="N2943" s="57" t="s">
        <v>381</v>
      </c>
      <c r="O2943" s="57" t="s">
        <v>729</v>
      </c>
      <c r="P2943" s="57" t="s">
        <v>4149</v>
      </c>
      <c r="Q2943" s="57" t="s">
        <v>698</v>
      </c>
    </row>
    <row r="2944" s="50" customFormat="true" ht="14.25" hidden="false" customHeight="true" outlineLevel="0" collapsed="false">
      <c r="A2944" s="50" t="s">
        <v>727</v>
      </c>
      <c r="B2944" s="57" t="s">
        <v>727</v>
      </c>
      <c r="C2944" s="57" t="s">
        <v>415</v>
      </c>
      <c r="D2944" s="58" t="n">
        <v>46063.3088541667</v>
      </c>
      <c r="E2944" s="58" t="n">
        <v>46063.3088541667</v>
      </c>
      <c r="F2944" s="58" t="n">
        <v>46063.3093518519</v>
      </c>
      <c r="G2944" s="59" t="n">
        <f aca="false">F2944-E2944</f>
        <v>0.000497685196759259</v>
      </c>
      <c r="H2944" s="57" t="s">
        <v>252</v>
      </c>
      <c r="I2944" s="57"/>
      <c r="J2944" s="57" t="s">
        <v>333</v>
      </c>
      <c r="K2944" s="57" t="s">
        <v>334</v>
      </c>
      <c r="L2944" s="60" t="s">
        <v>4150</v>
      </c>
      <c r="M2944" s="57" t="s">
        <v>336</v>
      </c>
      <c r="N2944" s="57" t="s">
        <v>381</v>
      </c>
      <c r="O2944" s="57" t="s">
        <v>729</v>
      </c>
      <c r="P2944" s="57" t="s">
        <v>4151</v>
      </c>
      <c r="Q2944" s="57" t="s">
        <v>698</v>
      </c>
    </row>
    <row r="2945" s="50" customFormat="true" ht="14.25" hidden="false" customHeight="true" outlineLevel="0" collapsed="false">
      <c r="A2945" s="50" t="s">
        <v>727</v>
      </c>
      <c r="B2945" s="57" t="s">
        <v>727</v>
      </c>
      <c r="C2945" s="57" t="s">
        <v>415</v>
      </c>
      <c r="D2945" s="58" t="n">
        <v>46063.3081712963</v>
      </c>
      <c r="E2945" s="58" t="n">
        <v>46063.3081712963</v>
      </c>
      <c r="F2945" s="58" t="n">
        <v>46063.3086921296</v>
      </c>
      <c r="G2945" s="59" t="n">
        <f aca="false">F2945-E2945</f>
        <v>0.000520833298611111</v>
      </c>
      <c r="H2945" s="57" t="s">
        <v>252</v>
      </c>
      <c r="I2945" s="57"/>
      <c r="J2945" s="57" t="s">
        <v>333</v>
      </c>
      <c r="K2945" s="57" t="s">
        <v>334</v>
      </c>
      <c r="L2945" s="60" t="s">
        <v>4152</v>
      </c>
      <c r="M2945" s="57" t="s">
        <v>336</v>
      </c>
      <c r="N2945" s="57" t="s">
        <v>381</v>
      </c>
      <c r="O2945" s="57" t="s">
        <v>729</v>
      </c>
      <c r="P2945" s="57" t="s">
        <v>4153</v>
      </c>
      <c r="Q2945" s="57" t="s">
        <v>698</v>
      </c>
    </row>
    <row r="2946" s="50" customFormat="true" ht="14.25" hidden="false" customHeight="true" outlineLevel="0" collapsed="false">
      <c r="A2946" s="50" t="s">
        <v>727</v>
      </c>
      <c r="B2946" s="57" t="s">
        <v>727</v>
      </c>
      <c r="C2946" s="57" t="s">
        <v>415</v>
      </c>
      <c r="D2946" s="58" t="n">
        <v>46063.3075115741</v>
      </c>
      <c r="E2946" s="58" t="n">
        <v>46063.3075115741</v>
      </c>
      <c r="F2946" s="58" t="n">
        <v>46063.3079976852</v>
      </c>
      <c r="G2946" s="59" t="n">
        <f aca="false">F2946-E2946</f>
        <v>0.000486111111111111</v>
      </c>
      <c r="H2946" s="57" t="s">
        <v>252</v>
      </c>
      <c r="I2946" s="57"/>
      <c r="J2946" s="57" t="s">
        <v>333</v>
      </c>
      <c r="K2946" s="57" t="s">
        <v>334</v>
      </c>
      <c r="L2946" s="60" t="s">
        <v>4154</v>
      </c>
      <c r="M2946" s="57" t="s">
        <v>336</v>
      </c>
      <c r="N2946" s="57" t="s">
        <v>381</v>
      </c>
      <c r="O2946" s="57" t="s">
        <v>729</v>
      </c>
      <c r="P2946" s="57" t="s">
        <v>4155</v>
      </c>
      <c r="Q2946" s="57" t="s">
        <v>698</v>
      </c>
    </row>
    <row r="2947" s="50" customFormat="true" ht="14.25" hidden="false" customHeight="true" outlineLevel="0" collapsed="false">
      <c r="A2947" s="50" t="s">
        <v>727</v>
      </c>
      <c r="B2947" s="57" t="s">
        <v>727</v>
      </c>
      <c r="C2947" s="57" t="s">
        <v>415</v>
      </c>
      <c r="D2947" s="58" t="n">
        <v>46063.3068055556</v>
      </c>
      <c r="E2947" s="58" t="n">
        <v>46063.3068055556</v>
      </c>
      <c r="F2947" s="58" t="n">
        <v>46063.3073263889</v>
      </c>
      <c r="G2947" s="59" t="n">
        <f aca="false">F2947-E2947</f>
        <v>0.000520833298611111</v>
      </c>
      <c r="H2947" s="57" t="s">
        <v>252</v>
      </c>
      <c r="I2947" s="57"/>
      <c r="J2947" s="57" t="s">
        <v>333</v>
      </c>
      <c r="K2947" s="57" t="s">
        <v>334</v>
      </c>
      <c r="L2947" s="60" t="s">
        <v>4156</v>
      </c>
      <c r="M2947" s="57" t="s">
        <v>336</v>
      </c>
      <c r="N2947" s="57" t="s">
        <v>381</v>
      </c>
      <c r="O2947" s="57" t="s">
        <v>729</v>
      </c>
      <c r="P2947" s="57" t="s">
        <v>4157</v>
      </c>
      <c r="Q2947" s="57" t="s">
        <v>698</v>
      </c>
    </row>
    <row r="2948" s="50" customFormat="true" ht="14.25" hidden="false" customHeight="true" outlineLevel="0" collapsed="false">
      <c r="A2948" s="50" t="s">
        <v>727</v>
      </c>
      <c r="B2948" s="57" t="s">
        <v>727</v>
      </c>
      <c r="C2948" s="57" t="s">
        <v>415</v>
      </c>
      <c r="D2948" s="58" t="n">
        <v>46063.3061574074</v>
      </c>
      <c r="E2948" s="58" t="n">
        <v>46063.3061574074</v>
      </c>
      <c r="F2948" s="58" t="n">
        <v>46063.3066435185</v>
      </c>
      <c r="G2948" s="59" t="n">
        <f aca="false">F2948-E2948</f>
        <v>0.000486111111111111</v>
      </c>
      <c r="H2948" s="57" t="s">
        <v>252</v>
      </c>
      <c r="I2948" s="57"/>
      <c r="J2948" s="57" t="s">
        <v>333</v>
      </c>
      <c r="K2948" s="57" t="s">
        <v>334</v>
      </c>
      <c r="L2948" s="60" t="s">
        <v>4158</v>
      </c>
      <c r="M2948" s="57" t="s">
        <v>336</v>
      </c>
      <c r="N2948" s="57" t="s">
        <v>381</v>
      </c>
      <c r="O2948" s="57" t="s">
        <v>729</v>
      </c>
      <c r="P2948" s="57" t="s">
        <v>4159</v>
      </c>
      <c r="Q2948" s="57" t="s">
        <v>698</v>
      </c>
    </row>
    <row r="2949" s="50" customFormat="true" ht="14.25" hidden="false" customHeight="true" outlineLevel="0" collapsed="false">
      <c r="A2949" s="50" t="s">
        <v>727</v>
      </c>
      <c r="B2949" s="57" t="s">
        <v>727</v>
      </c>
      <c r="C2949" s="57" t="s">
        <v>415</v>
      </c>
      <c r="D2949" s="58" t="n">
        <v>46063.305474537</v>
      </c>
      <c r="E2949" s="58" t="n">
        <v>46063.305474537</v>
      </c>
      <c r="F2949" s="58" t="n">
        <v>46063.3060532407</v>
      </c>
      <c r="G2949" s="59" t="n">
        <f aca="false">F2949-E2949</f>
        <v>0.000578703703703704</v>
      </c>
      <c r="H2949" s="57" t="s">
        <v>252</v>
      </c>
      <c r="I2949" s="57"/>
      <c r="J2949" s="57" t="s">
        <v>333</v>
      </c>
      <c r="K2949" s="57" t="s">
        <v>334</v>
      </c>
      <c r="L2949" s="60" t="s">
        <v>4160</v>
      </c>
      <c r="M2949" s="57" t="s">
        <v>336</v>
      </c>
      <c r="N2949" s="57" t="s">
        <v>381</v>
      </c>
      <c r="O2949" s="57" t="s">
        <v>729</v>
      </c>
      <c r="P2949" s="57" t="s">
        <v>4161</v>
      </c>
      <c r="Q2949" s="57" t="s">
        <v>698</v>
      </c>
    </row>
    <row r="2950" s="50" customFormat="true" ht="14.25" hidden="false" customHeight="true" outlineLevel="0" collapsed="false">
      <c r="A2950" s="50" t="s">
        <v>727</v>
      </c>
      <c r="B2950" s="57" t="s">
        <v>727</v>
      </c>
      <c r="C2950" s="57" t="s">
        <v>415</v>
      </c>
      <c r="D2950" s="58" t="n">
        <v>46063.3048263889</v>
      </c>
      <c r="E2950" s="58" t="n">
        <v>46063.3048263889</v>
      </c>
      <c r="F2950" s="58" t="n">
        <v>46063.3053125</v>
      </c>
      <c r="G2950" s="59" t="n">
        <f aca="false">F2950-E2950</f>
        <v>0.000486111111111111</v>
      </c>
      <c r="H2950" s="57" t="s">
        <v>252</v>
      </c>
      <c r="I2950" s="57"/>
      <c r="J2950" s="57" t="s">
        <v>333</v>
      </c>
      <c r="K2950" s="57" t="s">
        <v>334</v>
      </c>
      <c r="L2950" s="60" t="s">
        <v>4162</v>
      </c>
      <c r="M2950" s="57" t="s">
        <v>336</v>
      </c>
      <c r="N2950" s="57" t="s">
        <v>381</v>
      </c>
      <c r="O2950" s="57" t="s">
        <v>729</v>
      </c>
      <c r="P2950" s="57" t="s">
        <v>4163</v>
      </c>
      <c r="Q2950" s="57" t="s">
        <v>698</v>
      </c>
    </row>
    <row r="2951" s="50" customFormat="true" ht="14.25" hidden="false" customHeight="true" outlineLevel="0" collapsed="false">
      <c r="A2951" s="50" t="s">
        <v>727</v>
      </c>
      <c r="B2951" s="57" t="s">
        <v>727</v>
      </c>
      <c r="C2951" s="57" t="s">
        <v>415</v>
      </c>
      <c r="D2951" s="58" t="n">
        <v>46063.3041666667</v>
      </c>
      <c r="E2951" s="58" t="n">
        <v>46063.3041666667</v>
      </c>
      <c r="F2951" s="58" t="n">
        <v>46063.3046527778</v>
      </c>
      <c r="G2951" s="59" t="n">
        <f aca="false">F2951-E2951</f>
        <v>0.000486111111111111</v>
      </c>
      <c r="H2951" s="57" t="s">
        <v>252</v>
      </c>
      <c r="I2951" s="57"/>
      <c r="J2951" s="57" t="s">
        <v>333</v>
      </c>
      <c r="K2951" s="57" t="s">
        <v>334</v>
      </c>
      <c r="L2951" s="60" t="s">
        <v>4164</v>
      </c>
      <c r="M2951" s="57" t="s">
        <v>336</v>
      </c>
      <c r="N2951" s="57" t="s">
        <v>381</v>
      </c>
      <c r="O2951" s="57" t="s">
        <v>729</v>
      </c>
      <c r="P2951" s="57" t="s">
        <v>4165</v>
      </c>
      <c r="Q2951" s="57" t="s">
        <v>698</v>
      </c>
    </row>
    <row r="2952" s="50" customFormat="true" ht="14.25" hidden="false" customHeight="true" outlineLevel="0" collapsed="false">
      <c r="A2952" s="50" t="s">
        <v>727</v>
      </c>
      <c r="B2952" s="57" t="s">
        <v>727</v>
      </c>
      <c r="C2952" s="57" t="s">
        <v>415</v>
      </c>
      <c r="D2952" s="58" t="n">
        <v>46063.3034837963</v>
      </c>
      <c r="E2952" s="58" t="n">
        <v>46063.3034837963</v>
      </c>
      <c r="F2952" s="58" t="n">
        <v>46063.3039814815</v>
      </c>
      <c r="G2952" s="59" t="n">
        <f aca="false">F2952-E2952</f>
        <v>0.000497685196759259</v>
      </c>
      <c r="H2952" s="57" t="s">
        <v>252</v>
      </c>
      <c r="I2952" s="57"/>
      <c r="J2952" s="57" t="s">
        <v>333</v>
      </c>
      <c r="K2952" s="57" t="s">
        <v>334</v>
      </c>
      <c r="L2952" s="60" t="s">
        <v>4166</v>
      </c>
      <c r="M2952" s="57" t="s">
        <v>336</v>
      </c>
      <c r="N2952" s="57" t="s">
        <v>381</v>
      </c>
      <c r="O2952" s="57" t="s">
        <v>729</v>
      </c>
      <c r="P2952" s="57" t="s">
        <v>4167</v>
      </c>
      <c r="Q2952" s="57" t="s">
        <v>698</v>
      </c>
    </row>
    <row r="2953" s="50" customFormat="true" ht="14.25" hidden="false" customHeight="true" outlineLevel="0" collapsed="false">
      <c r="A2953" s="50" t="s">
        <v>727</v>
      </c>
      <c r="B2953" s="57" t="s">
        <v>727</v>
      </c>
      <c r="C2953" s="57" t="s">
        <v>415</v>
      </c>
      <c r="D2953" s="58" t="n">
        <v>46063.3028009259</v>
      </c>
      <c r="E2953" s="58" t="n">
        <v>46063.3028009259</v>
      </c>
      <c r="F2953" s="58" t="n">
        <v>46063.3033101852</v>
      </c>
      <c r="G2953" s="59" t="n">
        <f aca="false">F2953-E2953</f>
        <v>0.000509259293981482</v>
      </c>
      <c r="H2953" s="57" t="s">
        <v>252</v>
      </c>
      <c r="I2953" s="57"/>
      <c r="J2953" s="57" t="s">
        <v>333</v>
      </c>
      <c r="K2953" s="57" t="s">
        <v>334</v>
      </c>
      <c r="L2953" s="60" t="s">
        <v>4168</v>
      </c>
      <c r="M2953" s="57" t="s">
        <v>336</v>
      </c>
      <c r="N2953" s="57" t="s">
        <v>381</v>
      </c>
      <c r="O2953" s="57" t="s">
        <v>729</v>
      </c>
      <c r="P2953" s="57" t="s">
        <v>4169</v>
      </c>
      <c r="Q2953" s="57" t="s">
        <v>698</v>
      </c>
    </row>
    <row r="2954" s="50" customFormat="true" ht="14.25" hidden="false" customHeight="true" outlineLevel="0" collapsed="false">
      <c r="A2954" s="50" t="s">
        <v>727</v>
      </c>
      <c r="B2954" s="57" t="s">
        <v>727</v>
      </c>
      <c r="C2954" s="57" t="s">
        <v>415</v>
      </c>
      <c r="D2954" s="58" t="n">
        <v>46063.3021296296</v>
      </c>
      <c r="E2954" s="58" t="n">
        <v>46063.3021296296</v>
      </c>
      <c r="F2954" s="58" t="n">
        <v>46063.3026157407</v>
      </c>
      <c r="G2954" s="59" t="n">
        <f aca="false">F2954-E2954</f>
        <v>0.000486111111111111</v>
      </c>
      <c r="H2954" s="57" t="s">
        <v>252</v>
      </c>
      <c r="I2954" s="57"/>
      <c r="J2954" s="57" t="s">
        <v>333</v>
      </c>
      <c r="K2954" s="57" t="s">
        <v>334</v>
      </c>
      <c r="L2954" s="60" t="s">
        <v>4170</v>
      </c>
      <c r="M2954" s="57" t="s">
        <v>336</v>
      </c>
      <c r="N2954" s="57" t="s">
        <v>381</v>
      </c>
      <c r="O2954" s="57" t="s">
        <v>729</v>
      </c>
      <c r="P2954" s="57" t="s">
        <v>4171</v>
      </c>
      <c r="Q2954" s="57" t="s">
        <v>698</v>
      </c>
    </row>
    <row r="2955" s="50" customFormat="true" ht="14.25" hidden="false" customHeight="true" outlineLevel="0" collapsed="false">
      <c r="A2955" s="50" t="s">
        <v>727</v>
      </c>
      <c r="B2955" s="57" t="s">
        <v>727</v>
      </c>
      <c r="C2955" s="57" t="s">
        <v>415</v>
      </c>
      <c r="D2955" s="58" t="n">
        <v>46063.3014814815</v>
      </c>
      <c r="E2955" s="58" t="n">
        <v>46063.3014814815</v>
      </c>
      <c r="F2955" s="58" t="n">
        <v>46063.3019560185</v>
      </c>
      <c r="G2955" s="59" t="n">
        <f aca="false">F2955-E2955</f>
        <v>0.000474536990740741</v>
      </c>
      <c r="H2955" s="57" t="s">
        <v>252</v>
      </c>
      <c r="I2955" s="57"/>
      <c r="J2955" s="57" t="s">
        <v>333</v>
      </c>
      <c r="K2955" s="57" t="s">
        <v>334</v>
      </c>
      <c r="L2955" s="60" t="s">
        <v>4172</v>
      </c>
      <c r="M2955" s="57" t="s">
        <v>336</v>
      </c>
      <c r="N2955" s="57" t="s">
        <v>381</v>
      </c>
      <c r="O2955" s="57" t="s">
        <v>729</v>
      </c>
      <c r="P2955" s="57" t="s">
        <v>4173</v>
      </c>
      <c r="Q2955" s="57" t="s">
        <v>698</v>
      </c>
    </row>
    <row r="2956" s="50" customFormat="true" ht="14.25" hidden="false" customHeight="true" outlineLevel="0" collapsed="false">
      <c r="A2956" s="50" t="s">
        <v>727</v>
      </c>
      <c r="B2956" s="57" t="s">
        <v>727</v>
      </c>
      <c r="C2956" s="57" t="s">
        <v>415</v>
      </c>
      <c r="D2956" s="58" t="n">
        <v>46063.3008101852</v>
      </c>
      <c r="E2956" s="58" t="n">
        <v>46063.3008101852</v>
      </c>
      <c r="F2956" s="58" t="n">
        <v>46063.3012962963</v>
      </c>
      <c r="G2956" s="59" t="n">
        <f aca="false">F2956-E2956</f>
        <v>0.000486111099537037</v>
      </c>
      <c r="H2956" s="57" t="s">
        <v>252</v>
      </c>
      <c r="I2956" s="57"/>
      <c r="J2956" s="57" t="s">
        <v>333</v>
      </c>
      <c r="K2956" s="57" t="s">
        <v>334</v>
      </c>
      <c r="L2956" s="60" t="s">
        <v>4174</v>
      </c>
      <c r="M2956" s="57" t="s">
        <v>336</v>
      </c>
      <c r="N2956" s="57" t="s">
        <v>381</v>
      </c>
      <c r="O2956" s="57" t="s">
        <v>729</v>
      </c>
      <c r="P2956" s="57" t="s">
        <v>4175</v>
      </c>
      <c r="Q2956" s="57" t="s">
        <v>698</v>
      </c>
    </row>
    <row r="2957" s="50" customFormat="true" ht="14.25" hidden="false" customHeight="true" outlineLevel="0" collapsed="false">
      <c r="A2957" s="50" t="s">
        <v>727</v>
      </c>
      <c r="B2957" s="57" t="s">
        <v>727</v>
      </c>
      <c r="C2957" s="57" t="s">
        <v>415</v>
      </c>
      <c r="D2957" s="58" t="n">
        <v>46063.2959490741</v>
      </c>
      <c r="E2957" s="58" t="n">
        <v>46063.2959490741</v>
      </c>
      <c r="F2957" s="58" t="n">
        <v>46063.300625</v>
      </c>
      <c r="G2957" s="59" t="n">
        <f aca="false">F2957-E2957</f>
        <v>0.00467592590277778</v>
      </c>
      <c r="H2957" s="57" t="s">
        <v>252</v>
      </c>
      <c r="I2957" s="57"/>
      <c r="J2957" s="57" t="s">
        <v>333</v>
      </c>
      <c r="K2957" s="57" t="s">
        <v>334</v>
      </c>
      <c r="L2957" s="60" t="s">
        <v>4176</v>
      </c>
      <c r="M2957" s="57" t="s">
        <v>336</v>
      </c>
      <c r="N2957" s="57" t="s">
        <v>381</v>
      </c>
      <c r="O2957" s="57" t="s">
        <v>729</v>
      </c>
      <c r="P2957" s="57" t="s">
        <v>4177</v>
      </c>
      <c r="Q2957" s="57" t="s">
        <v>698</v>
      </c>
    </row>
    <row r="2958" s="50" customFormat="true" ht="14.25" hidden="false" customHeight="true" outlineLevel="0" collapsed="false">
      <c r="A2958" s="50" t="s">
        <v>727</v>
      </c>
      <c r="B2958" s="57" t="s">
        <v>727</v>
      </c>
      <c r="C2958" s="57" t="s">
        <v>415</v>
      </c>
      <c r="D2958" s="58" t="n">
        <v>46063.2436921296</v>
      </c>
      <c r="E2958" s="58" t="n">
        <v>46063.2436921296</v>
      </c>
      <c r="F2958" s="58" t="n">
        <v>46063.2537384259</v>
      </c>
      <c r="G2958" s="59" t="n">
        <f aca="false">F2958-E2958</f>
        <v>0.0100462962962963</v>
      </c>
      <c r="H2958" s="57" t="s">
        <v>252</v>
      </c>
      <c r="I2958" s="57"/>
      <c r="J2958" s="57" t="s">
        <v>333</v>
      </c>
      <c r="K2958" s="57" t="s">
        <v>334</v>
      </c>
      <c r="L2958" s="60" t="s">
        <v>4178</v>
      </c>
      <c r="M2958" s="57" t="s">
        <v>336</v>
      </c>
      <c r="N2958" s="57" t="s">
        <v>381</v>
      </c>
      <c r="O2958" s="57" t="s">
        <v>729</v>
      </c>
      <c r="P2958" s="57" t="s">
        <v>4179</v>
      </c>
      <c r="Q2958" s="57" t="s">
        <v>698</v>
      </c>
    </row>
    <row r="2959" s="50" customFormat="true" ht="14.25" hidden="false" customHeight="true" outlineLevel="0" collapsed="false">
      <c r="A2959" s="50" t="s">
        <v>727</v>
      </c>
      <c r="B2959" s="57" t="s">
        <v>727</v>
      </c>
      <c r="C2959" s="57" t="s">
        <v>415</v>
      </c>
      <c r="D2959" s="58" t="n">
        <v>46063.2433101852</v>
      </c>
      <c r="E2959" s="58" t="n">
        <v>46063.2433101852</v>
      </c>
      <c r="F2959" s="58" t="n">
        <v>46063.2537384259</v>
      </c>
      <c r="G2959" s="59" t="n">
        <f aca="false">F2959-E2959</f>
        <v>0.0104282406944444</v>
      </c>
      <c r="H2959" s="57" t="s">
        <v>252</v>
      </c>
      <c r="I2959" s="57"/>
      <c r="J2959" s="57" t="s">
        <v>333</v>
      </c>
      <c r="K2959" s="57" t="s">
        <v>334</v>
      </c>
      <c r="L2959" s="60" t="s">
        <v>4180</v>
      </c>
      <c r="M2959" s="57" t="s">
        <v>336</v>
      </c>
      <c r="N2959" s="57" t="s">
        <v>381</v>
      </c>
      <c r="O2959" s="57" t="s">
        <v>729</v>
      </c>
      <c r="P2959" s="57" t="s">
        <v>4181</v>
      </c>
      <c r="Q2959" s="57" t="s">
        <v>698</v>
      </c>
    </row>
    <row r="2960" s="50" customFormat="true" ht="14.25" hidden="false" customHeight="true" outlineLevel="0" collapsed="false">
      <c r="A2960" s="50" t="s">
        <v>727</v>
      </c>
      <c r="B2960" s="57" t="s">
        <v>727</v>
      </c>
      <c r="C2960" s="57" t="s">
        <v>415</v>
      </c>
      <c r="D2960" s="58" t="n">
        <v>46062.7858564815</v>
      </c>
      <c r="E2960" s="58" t="n">
        <v>46062.7858564815</v>
      </c>
      <c r="F2960" s="58" t="n">
        <v>46062.787962963</v>
      </c>
      <c r="G2960" s="59" t="n">
        <f aca="false">F2960-E2960</f>
        <v>0.00210648149305556</v>
      </c>
      <c r="H2960" s="57" t="s">
        <v>252</v>
      </c>
      <c r="I2960" s="57"/>
      <c r="J2960" s="57" t="s">
        <v>333</v>
      </c>
      <c r="K2960" s="57" t="s">
        <v>334</v>
      </c>
      <c r="L2960" s="60" t="s">
        <v>4182</v>
      </c>
      <c r="M2960" s="57" t="s">
        <v>336</v>
      </c>
      <c r="N2960" s="57" t="s">
        <v>381</v>
      </c>
      <c r="O2960" s="57" t="s">
        <v>729</v>
      </c>
      <c r="P2960" s="57" t="s">
        <v>4183</v>
      </c>
      <c r="Q2960" s="57" t="s">
        <v>698</v>
      </c>
    </row>
    <row r="2961" s="50" customFormat="true" ht="14.25" hidden="false" customHeight="true" outlineLevel="0" collapsed="false">
      <c r="A2961" s="50" t="s">
        <v>727</v>
      </c>
      <c r="B2961" s="57" t="s">
        <v>727</v>
      </c>
      <c r="C2961" s="57" t="s">
        <v>415</v>
      </c>
      <c r="D2961" s="58" t="n">
        <v>46062.7670486111</v>
      </c>
      <c r="E2961" s="58" t="n">
        <v>46062.7670486111</v>
      </c>
      <c r="F2961" s="58" t="n">
        <v>46062.7879513889</v>
      </c>
      <c r="G2961" s="59" t="n">
        <f aca="false">F2961-E2961</f>
        <v>0.0209027778009259</v>
      </c>
      <c r="H2961" s="57" t="s">
        <v>252</v>
      </c>
      <c r="I2961" s="57"/>
      <c r="J2961" s="57" t="s">
        <v>333</v>
      </c>
      <c r="K2961" s="57" t="s">
        <v>334</v>
      </c>
      <c r="L2961" s="60" t="s">
        <v>4184</v>
      </c>
      <c r="M2961" s="57" t="s">
        <v>336</v>
      </c>
      <c r="N2961" s="57" t="s">
        <v>381</v>
      </c>
      <c r="O2961" s="57" t="s">
        <v>729</v>
      </c>
      <c r="P2961" s="57" t="s">
        <v>4185</v>
      </c>
      <c r="Q2961" s="57" t="s">
        <v>698</v>
      </c>
    </row>
    <row r="2962" s="50" customFormat="true" ht="14.25" hidden="false" customHeight="true" outlineLevel="0" collapsed="false">
      <c r="A2962" s="50" t="s">
        <v>727</v>
      </c>
      <c r="B2962" s="57" t="s">
        <v>727</v>
      </c>
      <c r="C2962" s="57" t="s">
        <v>415</v>
      </c>
      <c r="D2962" s="58" t="n">
        <v>46062.76625</v>
      </c>
      <c r="E2962" s="58" t="n">
        <v>46062.76625</v>
      </c>
      <c r="F2962" s="58" t="n">
        <v>46062.766875</v>
      </c>
      <c r="G2962" s="59" t="n">
        <f aca="false">F2962-E2962</f>
        <v>0.000625</v>
      </c>
      <c r="H2962" s="57" t="s">
        <v>252</v>
      </c>
      <c r="I2962" s="57"/>
      <c r="J2962" s="57" t="s">
        <v>333</v>
      </c>
      <c r="K2962" s="57" t="s">
        <v>334</v>
      </c>
      <c r="L2962" s="60" t="s">
        <v>4186</v>
      </c>
      <c r="M2962" s="57" t="s">
        <v>336</v>
      </c>
      <c r="N2962" s="57" t="s">
        <v>381</v>
      </c>
      <c r="O2962" s="57" t="s">
        <v>729</v>
      </c>
      <c r="P2962" s="57" t="s">
        <v>4187</v>
      </c>
      <c r="Q2962" s="57" t="s">
        <v>698</v>
      </c>
    </row>
    <row r="2963" s="50" customFormat="true" ht="14.25" hidden="false" customHeight="true" outlineLevel="0" collapsed="false">
      <c r="A2963" s="50" t="s">
        <v>727</v>
      </c>
      <c r="B2963" s="57" t="s">
        <v>727</v>
      </c>
      <c r="C2963" s="57" t="s">
        <v>415</v>
      </c>
      <c r="D2963" s="58" t="n">
        <v>46062.7654050926</v>
      </c>
      <c r="E2963" s="58" t="n">
        <v>46062.7654050926</v>
      </c>
      <c r="F2963" s="58" t="n">
        <v>46062.7660532407</v>
      </c>
      <c r="G2963" s="59" t="n">
        <f aca="false">F2963-E2963</f>
        <v>0.000648148101851852</v>
      </c>
      <c r="H2963" s="57" t="s">
        <v>252</v>
      </c>
      <c r="I2963" s="57"/>
      <c r="J2963" s="57" t="s">
        <v>333</v>
      </c>
      <c r="K2963" s="57" t="s">
        <v>334</v>
      </c>
      <c r="L2963" s="60" t="s">
        <v>4188</v>
      </c>
      <c r="M2963" s="57" t="s">
        <v>336</v>
      </c>
      <c r="N2963" s="57" t="s">
        <v>381</v>
      </c>
      <c r="O2963" s="57" t="s">
        <v>729</v>
      </c>
      <c r="P2963" s="57" t="s">
        <v>4189</v>
      </c>
      <c r="Q2963" s="57" t="s">
        <v>698</v>
      </c>
    </row>
    <row r="2964" s="50" customFormat="true" ht="14.25" hidden="false" customHeight="true" outlineLevel="0" collapsed="false">
      <c r="A2964" s="50" t="s">
        <v>727</v>
      </c>
      <c r="B2964" s="57" t="s">
        <v>727</v>
      </c>
      <c r="C2964" s="57" t="s">
        <v>415</v>
      </c>
      <c r="D2964" s="58" t="n">
        <v>46062.7639236111</v>
      </c>
      <c r="E2964" s="58" t="n">
        <v>46062.7639236111</v>
      </c>
      <c r="F2964" s="58" t="n">
        <v>46062.764525463</v>
      </c>
      <c r="G2964" s="59" t="n">
        <f aca="false">F2964-E2964</f>
        <v>0.000601851898148148</v>
      </c>
      <c r="H2964" s="57" t="s">
        <v>252</v>
      </c>
      <c r="I2964" s="57"/>
      <c r="J2964" s="57" t="s">
        <v>333</v>
      </c>
      <c r="K2964" s="57" t="s">
        <v>334</v>
      </c>
      <c r="L2964" s="60" t="s">
        <v>4190</v>
      </c>
      <c r="M2964" s="57" t="s">
        <v>336</v>
      </c>
      <c r="N2964" s="57" t="s">
        <v>381</v>
      </c>
      <c r="O2964" s="57" t="s">
        <v>729</v>
      </c>
      <c r="P2964" s="57" t="s">
        <v>4191</v>
      </c>
      <c r="Q2964" s="57" t="s">
        <v>698</v>
      </c>
    </row>
    <row r="2965" s="50" customFormat="true" ht="14.25" hidden="false" customHeight="true" outlineLevel="0" collapsed="false">
      <c r="A2965" s="50" t="s">
        <v>727</v>
      </c>
      <c r="B2965" s="57" t="s">
        <v>727</v>
      </c>
      <c r="C2965" s="57" t="s">
        <v>415</v>
      </c>
      <c r="D2965" s="58" t="n">
        <v>46062.7305092593</v>
      </c>
      <c r="E2965" s="58" t="n">
        <v>46062.7305092593</v>
      </c>
      <c r="F2965" s="58" t="n">
        <v>46062.7350925926</v>
      </c>
      <c r="G2965" s="59" t="n">
        <f aca="false">F2965-E2965</f>
        <v>0.00458333329861111</v>
      </c>
      <c r="H2965" s="57" t="s">
        <v>252</v>
      </c>
      <c r="I2965" s="57"/>
      <c r="J2965" s="57" t="s">
        <v>333</v>
      </c>
      <c r="K2965" s="57" t="s">
        <v>334</v>
      </c>
      <c r="L2965" s="60" t="s">
        <v>4192</v>
      </c>
      <c r="M2965" s="57" t="s">
        <v>336</v>
      </c>
      <c r="N2965" s="57" t="s">
        <v>381</v>
      </c>
      <c r="O2965" s="57" t="s">
        <v>729</v>
      </c>
      <c r="P2965" s="57" t="s">
        <v>4193</v>
      </c>
      <c r="Q2965" s="57" t="s">
        <v>698</v>
      </c>
    </row>
    <row r="2966" s="50" customFormat="true" ht="14.25" hidden="false" customHeight="true" outlineLevel="0" collapsed="false">
      <c r="A2966" s="50" t="s">
        <v>727</v>
      </c>
      <c r="B2966" s="57" t="s">
        <v>727</v>
      </c>
      <c r="C2966" s="57" t="s">
        <v>415</v>
      </c>
      <c r="D2966" s="58" t="n">
        <v>46062.7140162037</v>
      </c>
      <c r="E2966" s="58" t="n">
        <v>46062.7140162037</v>
      </c>
      <c r="F2966" s="58" t="n">
        <v>46062.729525463</v>
      </c>
      <c r="G2966" s="59" t="n">
        <f aca="false">F2966-E2966</f>
        <v>0.0155092592939815</v>
      </c>
      <c r="H2966" s="57" t="s">
        <v>252</v>
      </c>
      <c r="I2966" s="57"/>
      <c r="J2966" s="57" t="s">
        <v>333</v>
      </c>
      <c r="K2966" s="57" t="s">
        <v>334</v>
      </c>
      <c r="L2966" s="60" t="s">
        <v>4194</v>
      </c>
      <c r="M2966" s="57" t="s">
        <v>336</v>
      </c>
      <c r="N2966" s="57" t="s">
        <v>381</v>
      </c>
      <c r="O2966" s="57" t="s">
        <v>729</v>
      </c>
      <c r="P2966" s="57" t="s">
        <v>4195</v>
      </c>
      <c r="Q2966" s="57" t="s">
        <v>698</v>
      </c>
    </row>
    <row r="2967" s="50" customFormat="true" ht="14.25" hidden="false" customHeight="true" outlineLevel="0" collapsed="false">
      <c r="A2967" s="50" t="s">
        <v>727</v>
      </c>
      <c r="B2967" s="57" t="s">
        <v>727</v>
      </c>
      <c r="C2967" s="57" t="s">
        <v>415</v>
      </c>
      <c r="D2967" s="58" t="n">
        <v>46062.7084259259</v>
      </c>
      <c r="E2967" s="58" t="n">
        <v>46062.7084259259</v>
      </c>
      <c r="F2967" s="58" t="n">
        <v>46062.7089467593</v>
      </c>
      <c r="G2967" s="59" t="n">
        <f aca="false">F2967-E2967</f>
        <v>0.000520833402777778</v>
      </c>
      <c r="H2967" s="57" t="s">
        <v>252</v>
      </c>
      <c r="I2967" s="57"/>
      <c r="J2967" s="57" t="s">
        <v>333</v>
      </c>
      <c r="K2967" s="57" t="s">
        <v>334</v>
      </c>
      <c r="L2967" s="60" t="s">
        <v>4196</v>
      </c>
      <c r="M2967" s="57" t="s">
        <v>336</v>
      </c>
      <c r="N2967" s="57" t="s">
        <v>381</v>
      </c>
      <c r="O2967" s="57" t="s">
        <v>729</v>
      </c>
      <c r="P2967" s="57" t="s">
        <v>4197</v>
      </c>
      <c r="Q2967" s="57" t="s">
        <v>698</v>
      </c>
    </row>
    <row r="2968" s="50" customFormat="true" ht="14.25" hidden="false" customHeight="true" outlineLevel="0" collapsed="false">
      <c r="A2968" s="50" t="s">
        <v>727</v>
      </c>
      <c r="B2968" s="57" t="s">
        <v>727</v>
      </c>
      <c r="C2968" s="57" t="s">
        <v>415</v>
      </c>
      <c r="D2968" s="58" t="n">
        <v>46062.6858217593</v>
      </c>
      <c r="E2968" s="58" t="n">
        <v>46062.6858217593</v>
      </c>
      <c r="F2968" s="58" t="n">
        <v>46062.6863773148</v>
      </c>
      <c r="G2968" s="59" t="n">
        <f aca="false">F2968-E2968</f>
        <v>0.000555555497685185</v>
      </c>
      <c r="H2968" s="57" t="s">
        <v>252</v>
      </c>
      <c r="I2968" s="57"/>
      <c r="J2968" s="57" t="s">
        <v>333</v>
      </c>
      <c r="K2968" s="57" t="s">
        <v>334</v>
      </c>
      <c r="L2968" s="60" t="s">
        <v>4198</v>
      </c>
      <c r="M2968" s="57" t="s">
        <v>336</v>
      </c>
      <c r="N2968" s="57" t="s">
        <v>381</v>
      </c>
      <c r="O2968" s="57" t="s">
        <v>729</v>
      </c>
      <c r="P2968" s="57" t="s">
        <v>4199</v>
      </c>
      <c r="Q2968" s="57" t="s">
        <v>698</v>
      </c>
    </row>
    <row r="2969" s="50" customFormat="true" ht="14.25" hidden="false" customHeight="true" outlineLevel="0" collapsed="false">
      <c r="A2969" s="50" t="s">
        <v>727</v>
      </c>
      <c r="B2969" s="57" t="s">
        <v>727</v>
      </c>
      <c r="C2969" s="57" t="s">
        <v>415</v>
      </c>
      <c r="D2969" s="58" t="n">
        <v>46062.671412037</v>
      </c>
      <c r="E2969" s="58" t="n">
        <v>46062.671412037</v>
      </c>
      <c r="F2969" s="58" t="n">
        <v>46062.6719560185</v>
      </c>
      <c r="G2969" s="59" t="n">
        <f aca="false">F2969-E2969</f>
        <v>0.00054398150462963</v>
      </c>
      <c r="H2969" s="57" t="s">
        <v>252</v>
      </c>
      <c r="I2969" s="57"/>
      <c r="J2969" s="57" t="s">
        <v>333</v>
      </c>
      <c r="K2969" s="57" t="s">
        <v>334</v>
      </c>
      <c r="L2969" s="60" t="s">
        <v>4200</v>
      </c>
      <c r="M2969" s="57" t="s">
        <v>336</v>
      </c>
      <c r="N2969" s="57" t="s">
        <v>381</v>
      </c>
      <c r="O2969" s="57" t="s">
        <v>729</v>
      </c>
      <c r="P2969" s="57" t="s">
        <v>4201</v>
      </c>
      <c r="Q2969" s="57" t="s">
        <v>698</v>
      </c>
    </row>
    <row r="2970" s="50" customFormat="true" ht="14.25" hidden="false" customHeight="true" outlineLevel="0" collapsed="false">
      <c r="A2970" s="50" t="s">
        <v>727</v>
      </c>
      <c r="B2970" s="57" t="s">
        <v>727</v>
      </c>
      <c r="C2970" s="57" t="s">
        <v>415</v>
      </c>
      <c r="D2970" s="58" t="n">
        <v>46062.6544791667</v>
      </c>
      <c r="E2970" s="58" t="n">
        <v>46062.6544791667</v>
      </c>
      <c r="F2970" s="58" t="n">
        <v>46062.6550347222</v>
      </c>
      <c r="G2970" s="59" t="n">
        <f aca="false">F2970-E2970</f>
        <v>0.000555555509259259</v>
      </c>
      <c r="H2970" s="57" t="s">
        <v>252</v>
      </c>
      <c r="I2970" s="57"/>
      <c r="J2970" s="57" t="s">
        <v>333</v>
      </c>
      <c r="K2970" s="57" t="s">
        <v>334</v>
      </c>
      <c r="L2970" s="60" t="s">
        <v>4202</v>
      </c>
      <c r="M2970" s="57" t="s">
        <v>336</v>
      </c>
      <c r="N2970" s="57" t="s">
        <v>381</v>
      </c>
      <c r="O2970" s="57" t="s">
        <v>729</v>
      </c>
      <c r="P2970" s="57" t="s">
        <v>4203</v>
      </c>
      <c r="Q2970" s="57" t="s">
        <v>698</v>
      </c>
    </row>
    <row r="2971" s="50" customFormat="true" ht="14.25" hidden="false" customHeight="true" outlineLevel="0" collapsed="false">
      <c r="A2971" s="50" t="s">
        <v>727</v>
      </c>
      <c r="B2971" s="57" t="s">
        <v>727</v>
      </c>
      <c r="C2971" s="57" t="s">
        <v>415</v>
      </c>
      <c r="D2971" s="58" t="n">
        <v>46062.6445949074</v>
      </c>
      <c r="E2971" s="58" t="n">
        <v>46062.6445949074</v>
      </c>
      <c r="F2971" s="58" t="n">
        <v>46062.6451157407</v>
      </c>
      <c r="G2971" s="59" t="n">
        <f aca="false">F2971-E2971</f>
        <v>0.000520833298611111</v>
      </c>
      <c r="H2971" s="57" t="s">
        <v>252</v>
      </c>
      <c r="I2971" s="57"/>
      <c r="J2971" s="57" t="s">
        <v>333</v>
      </c>
      <c r="K2971" s="57" t="s">
        <v>334</v>
      </c>
      <c r="L2971" s="60" t="s">
        <v>4204</v>
      </c>
      <c r="M2971" s="57" t="s">
        <v>336</v>
      </c>
      <c r="N2971" s="57" t="s">
        <v>381</v>
      </c>
      <c r="O2971" s="57" t="s">
        <v>729</v>
      </c>
      <c r="P2971" s="57" t="s">
        <v>4205</v>
      </c>
      <c r="Q2971" s="57" t="s">
        <v>698</v>
      </c>
    </row>
    <row r="2972" s="50" customFormat="true" ht="14.25" hidden="false" customHeight="true" outlineLevel="0" collapsed="false">
      <c r="A2972" s="50" t="s">
        <v>727</v>
      </c>
      <c r="B2972" s="57" t="s">
        <v>727</v>
      </c>
      <c r="C2972" s="57" t="s">
        <v>415</v>
      </c>
      <c r="D2972" s="58" t="n">
        <v>46062.6330787037</v>
      </c>
      <c r="E2972" s="58" t="n">
        <v>46062.6330787037</v>
      </c>
      <c r="F2972" s="58" t="n">
        <v>46062.633599537</v>
      </c>
      <c r="G2972" s="59" t="n">
        <f aca="false">F2972-E2972</f>
        <v>0.000520833298611111</v>
      </c>
      <c r="H2972" s="57" t="s">
        <v>252</v>
      </c>
      <c r="I2972" s="57"/>
      <c r="J2972" s="57" t="s">
        <v>333</v>
      </c>
      <c r="K2972" s="57" t="s">
        <v>334</v>
      </c>
      <c r="L2972" s="60" t="s">
        <v>4206</v>
      </c>
      <c r="M2972" s="57" t="s">
        <v>336</v>
      </c>
      <c r="N2972" s="57" t="s">
        <v>381</v>
      </c>
      <c r="O2972" s="57" t="s">
        <v>729</v>
      </c>
      <c r="P2972" s="57" t="s">
        <v>4207</v>
      </c>
      <c r="Q2972" s="57" t="s">
        <v>698</v>
      </c>
    </row>
    <row r="2973" s="50" customFormat="true" ht="14.25" hidden="false" customHeight="true" outlineLevel="0" collapsed="false">
      <c r="A2973" s="50" t="s">
        <v>727</v>
      </c>
      <c r="B2973" s="57" t="s">
        <v>727</v>
      </c>
      <c r="C2973" s="57" t="s">
        <v>415</v>
      </c>
      <c r="D2973" s="58" t="n">
        <v>46062.5940856482</v>
      </c>
      <c r="E2973" s="58" t="n">
        <v>46062.5940856482</v>
      </c>
      <c r="F2973" s="58" t="n">
        <v>46062.5946296296</v>
      </c>
      <c r="G2973" s="59" t="n">
        <f aca="false">F2973-E2973</f>
        <v>0.000543981400462963</v>
      </c>
      <c r="H2973" s="57" t="s">
        <v>252</v>
      </c>
      <c r="I2973" s="57"/>
      <c r="J2973" s="57" t="s">
        <v>333</v>
      </c>
      <c r="K2973" s="57" t="s">
        <v>334</v>
      </c>
      <c r="L2973" s="60" t="s">
        <v>4208</v>
      </c>
      <c r="M2973" s="57" t="s">
        <v>336</v>
      </c>
      <c r="N2973" s="57" t="s">
        <v>381</v>
      </c>
      <c r="O2973" s="57" t="s">
        <v>729</v>
      </c>
      <c r="P2973" s="57" t="s">
        <v>4209</v>
      </c>
      <c r="Q2973" s="57" t="s">
        <v>698</v>
      </c>
    </row>
    <row r="2974" s="50" customFormat="true" ht="14.25" hidden="false" customHeight="true" outlineLevel="0" collapsed="false">
      <c r="A2974" s="50" t="s">
        <v>727</v>
      </c>
      <c r="B2974" s="57" t="s">
        <v>727</v>
      </c>
      <c r="C2974" s="57" t="s">
        <v>415</v>
      </c>
      <c r="D2974" s="58" t="n">
        <v>46062.5806018519</v>
      </c>
      <c r="E2974" s="58" t="n">
        <v>46062.5806018519</v>
      </c>
      <c r="F2974" s="58" t="n">
        <v>46062.5811111111</v>
      </c>
      <c r="G2974" s="59" t="n">
        <f aca="false">F2974-E2974</f>
        <v>0.000509259201388889</v>
      </c>
      <c r="H2974" s="57" t="s">
        <v>252</v>
      </c>
      <c r="I2974" s="57"/>
      <c r="J2974" s="57" t="s">
        <v>333</v>
      </c>
      <c r="K2974" s="57" t="s">
        <v>334</v>
      </c>
      <c r="L2974" s="60" t="s">
        <v>4210</v>
      </c>
      <c r="M2974" s="57" t="s">
        <v>336</v>
      </c>
      <c r="N2974" s="57" t="s">
        <v>381</v>
      </c>
      <c r="O2974" s="57" t="s">
        <v>729</v>
      </c>
      <c r="P2974" s="57" t="s">
        <v>4211</v>
      </c>
      <c r="Q2974" s="57" t="s">
        <v>698</v>
      </c>
    </row>
    <row r="2975" s="50" customFormat="true" ht="14.25" hidden="false" customHeight="true" outlineLevel="0" collapsed="false">
      <c r="A2975" s="50" t="s">
        <v>727</v>
      </c>
      <c r="B2975" s="57" t="s">
        <v>727</v>
      </c>
      <c r="C2975" s="57" t="s">
        <v>415</v>
      </c>
      <c r="D2975" s="58" t="n">
        <v>46062.5600810185</v>
      </c>
      <c r="E2975" s="58" t="n">
        <v>46062.5600810185</v>
      </c>
      <c r="F2975" s="58" t="n">
        <v>46062.5611689815</v>
      </c>
      <c r="G2975" s="59" t="n">
        <f aca="false">F2975-E2975</f>
        <v>0.00108796299768519</v>
      </c>
      <c r="H2975" s="57" t="s">
        <v>252</v>
      </c>
      <c r="I2975" s="57"/>
      <c r="J2975" s="57" t="s">
        <v>333</v>
      </c>
      <c r="K2975" s="57" t="s">
        <v>334</v>
      </c>
      <c r="L2975" s="60" t="s">
        <v>4212</v>
      </c>
      <c r="M2975" s="57" t="s">
        <v>336</v>
      </c>
      <c r="N2975" s="57" t="s">
        <v>381</v>
      </c>
      <c r="O2975" s="57" t="s">
        <v>729</v>
      </c>
      <c r="P2975" s="57" t="s">
        <v>4213</v>
      </c>
      <c r="Q2975" s="57" t="s">
        <v>698</v>
      </c>
    </row>
    <row r="2976" s="50" customFormat="true" ht="14.25" hidden="false" customHeight="true" outlineLevel="0" collapsed="false">
      <c r="A2976" s="50" t="s">
        <v>727</v>
      </c>
      <c r="B2976" s="57" t="s">
        <v>727</v>
      </c>
      <c r="C2976" s="57" t="s">
        <v>415</v>
      </c>
      <c r="D2976" s="58" t="n">
        <v>46062.5502199074</v>
      </c>
      <c r="E2976" s="58" t="n">
        <v>46062.5502199074</v>
      </c>
      <c r="F2976" s="58" t="n">
        <v>46062.5507638889</v>
      </c>
      <c r="G2976" s="59" t="n">
        <f aca="false">F2976-E2976</f>
        <v>0.00054398150462963</v>
      </c>
      <c r="H2976" s="57" t="s">
        <v>252</v>
      </c>
      <c r="I2976" s="57"/>
      <c r="J2976" s="57" t="s">
        <v>333</v>
      </c>
      <c r="K2976" s="57" t="s">
        <v>334</v>
      </c>
      <c r="L2976" s="60" t="s">
        <v>4214</v>
      </c>
      <c r="M2976" s="57" t="s">
        <v>336</v>
      </c>
      <c r="N2976" s="57" t="s">
        <v>381</v>
      </c>
      <c r="O2976" s="57" t="s">
        <v>729</v>
      </c>
      <c r="P2976" s="57" t="s">
        <v>4215</v>
      </c>
      <c r="Q2976" s="57" t="s">
        <v>698</v>
      </c>
    </row>
    <row r="2977" s="50" customFormat="true" ht="14.25" hidden="false" customHeight="true" outlineLevel="0" collapsed="false">
      <c r="A2977" s="50" t="s">
        <v>727</v>
      </c>
      <c r="B2977" s="57" t="s">
        <v>727</v>
      </c>
      <c r="C2977" s="57" t="s">
        <v>415</v>
      </c>
      <c r="D2977" s="58" t="n">
        <v>46062.5424305556</v>
      </c>
      <c r="E2977" s="58" t="n">
        <v>46062.5424305556</v>
      </c>
      <c r="F2977" s="58" t="n">
        <v>46062.5430092593</v>
      </c>
      <c r="G2977" s="59" t="n">
        <f aca="false">F2977-E2977</f>
        <v>0.000578703703703704</v>
      </c>
      <c r="H2977" s="57" t="s">
        <v>252</v>
      </c>
      <c r="I2977" s="57"/>
      <c r="J2977" s="57" t="s">
        <v>333</v>
      </c>
      <c r="K2977" s="57" t="s">
        <v>334</v>
      </c>
      <c r="L2977" s="60" t="s">
        <v>4216</v>
      </c>
      <c r="M2977" s="57" t="s">
        <v>336</v>
      </c>
      <c r="N2977" s="57" t="s">
        <v>381</v>
      </c>
      <c r="O2977" s="57" t="s">
        <v>729</v>
      </c>
      <c r="P2977" s="57" t="s">
        <v>4217</v>
      </c>
      <c r="Q2977" s="57" t="s">
        <v>698</v>
      </c>
    </row>
    <row r="2978" s="50" customFormat="true" ht="14.25" hidden="false" customHeight="true" outlineLevel="0" collapsed="false">
      <c r="A2978" s="50" t="s">
        <v>727</v>
      </c>
      <c r="B2978" s="57" t="s">
        <v>727</v>
      </c>
      <c r="C2978" s="57" t="s">
        <v>415</v>
      </c>
      <c r="D2978" s="58" t="n">
        <v>46062.5354282407</v>
      </c>
      <c r="E2978" s="58" t="n">
        <v>46062.5354282407</v>
      </c>
      <c r="F2978" s="58" t="n">
        <v>46062.5359259259</v>
      </c>
      <c r="G2978" s="59" t="n">
        <f aca="false">F2978-E2978</f>
        <v>0.000497685196759259</v>
      </c>
      <c r="H2978" s="57" t="s">
        <v>252</v>
      </c>
      <c r="I2978" s="57"/>
      <c r="J2978" s="57" t="s">
        <v>333</v>
      </c>
      <c r="K2978" s="57" t="s">
        <v>334</v>
      </c>
      <c r="L2978" s="60" t="s">
        <v>4218</v>
      </c>
      <c r="M2978" s="57" t="s">
        <v>336</v>
      </c>
      <c r="N2978" s="57" t="s">
        <v>381</v>
      </c>
      <c r="O2978" s="57" t="s">
        <v>729</v>
      </c>
      <c r="P2978" s="57" t="s">
        <v>4219</v>
      </c>
      <c r="Q2978" s="57" t="s">
        <v>698</v>
      </c>
    </row>
    <row r="2979" s="50" customFormat="true" ht="14.25" hidden="false" customHeight="true" outlineLevel="0" collapsed="false">
      <c r="A2979" s="50" t="s">
        <v>727</v>
      </c>
      <c r="B2979" s="57" t="s">
        <v>727</v>
      </c>
      <c r="C2979" s="57" t="s">
        <v>415</v>
      </c>
      <c r="D2979" s="58" t="n">
        <v>46062.5148611111</v>
      </c>
      <c r="E2979" s="58" t="n">
        <v>46062.5148611111</v>
      </c>
      <c r="F2979" s="58" t="n">
        <v>46062.5153819444</v>
      </c>
      <c r="G2979" s="59" t="n">
        <f aca="false">F2979-E2979</f>
        <v>0.000520833298611111</v>
      </c>
      <c r="H2979" s="57" t="s">
        <v>252</v>
      </c>
      <c r="I2979" s="57"/>
      <c r="J2979" s="57" t="s">
        <v>333</v>
      </c>
      <c r="K2979" s="57" t="s">
        <v>334</v>
      </c>
      <c r="L2979" s="60" t="s">
        <v>4220</v>
      </c>
      <c r="M2979" s="57" t="s">
        <v>336</v>
      </c>
      <c r="N2979" s="57" t="s">
        <v>381</v>
      </c>
      <c r="O2979" s="57" t="s">
        <v>729</v>
      </c>
      <c r="P2979" s="57" t="s">
        <v>4221</v>
      </c>
      <c r="Q2979" s="57" t="s">
        <v>698</v>
      </c>
    </row>
    <row r="2980" s="50" customFormat="true" ht="14.25" hidden="false" customHeight="true" outlineLevel="0" collapsed="false">
      <c r="A2980" s="50" t="s">
        <v>727</v>
      </c>
      <c r="B2980" s="57" t="s">
        <v>727</v>
      </c>
      <c r="C2980" s="57" t="s">
        <v>415</v>
      </c>
      <c r="D2980" s="58" t="n">
        <v>46062.4976388889</v>
      </c>
      <c r="E2980" s="58" t="n">
        <v>46062.4976388889</v>
      </c>
      <c r="F2980" s="58" t="n">
        <v>46062.4981828704</v>
      </c>
      <c r="G2980" s="59" t="n">
        <f aca="false">F2980-E2980</f>
        <v>0.00054398150462963</v>
      </c>
      <c r="H2980" s="57" t="s">
        <v>252</v>
      </c>
      <c r="I2980" s="57"/>
      <c r="J2980" s="57" t="s">
        <v>333</v>
      </c>
      <c r="K2980" s="57" t="s">
        <v>334</v>
      </c>
      <c r="L2980" s="60" t="s">
        <v>4222</v>
      </c>
      <c r="M2980" s="57" t="s">
        <v>336</v>
      </c>
      <c r="N2980" s="57" t="s">
        <v>381</v>
      </c>
      <c r="O2980" s="57" t="s">
        <v>729</v>
      </c>
      <c r="P2980" s="57" t="s">
        <v>4223</v>
      </c>
      <c r="Q2980" s="57" t="s">
        <v>698</v>
      </c>
    </row>
    <row r="2981" s="50" customFormat="true" ht="14.25" hidden="false" customHeight="true" outlineLevel="0" collapsed="false">
      <c r="A2981" s="50" t="s">
        <v>727</v>
      </c>
      <c r="B2981" s="57" t="s">
        <v>727</v>
      </c>
      <c r="C2981" s="57" t="s">
        <v>415</v>
      </c>
      <c r="D2981" s="58" t="n">
        <v>46062.4702430556</v>
      </c>
      <c r="E2981" s="58" t="n">
        <v>46062.4702430556</v>
      </c>
      <c r="F2981" s="58" t="n">
        <v>46062.4713078704</v>
      </c>
      <c r="G2981" s="59" t="n">
        <f aca="false">F2981-E2981</f>
        <v>0.00106481480324074</v>
      </c>
      <c r="H2981" s="57" t="s">
        <v>252</v>
      </c>
      <c r="I2981" s="57"/>
      <c r="J2981" s="57" t="s">
        <v>333</v>
      </c>
      <c r="K2981" s="57" t="s">
        <v>334</v>
      </c>
      <c r="L2981" s="60" t="s">
        <v>4224</v>
      </c>
      <c r="M2981" s="57" t="s">
        <v>336</v>
      </c>
      <c r="N2981" s="57" t="s">
        <v>381</v>
      </c>
      <c r="O2981" s="57" t="s">
        <v>729</v>
      </c>
      <c r="P2981" s="57" t="s">
        <v>4225</v>
      </c>
      <c r="Q2981" s="57" t="s">
        <v>698</v>
      </c>
    </row>
    <row r="2982" s="50" customFormat="true" ht="14.25" hidden="false" customHeight="true" outlineLevel="0" collapsed="false">
      <c r="A2982" s="50" t="s">
        <v>727</v>
      </c>
      <c r="B2982" s="57" t="s">
        <v>727</v>
      </c>
      <c r="C2982" s="57" t="s">
        <v>415</v>
      </c>
      <c r="D2982" s="58" t="n">
        <v>46062.4621412037</v>
      </c>
      <c r="E2982" s="58" t="n">
        <v>46062.4621412037</v>
      </c>
      <c r="F2982" s="58" t="n">
        <v>46062.4626851852</v>
      </c>
      <c r="G2982" s="59" t="n">
        <f aca="false">F2982-E2982</f>
        <v>0.00054398150462963</v>
      </c>
      <c r="H2982" s="57" t="s">
        <v>252</v>
      </c>
      <c r="I2982" s="57"/>
      <c r="J2982" s="57" t="s">
        <v>333</v>
      </c>
      <c r="K2982" s="57" t="s">
        <v>334</v>
      </c>
      <c r="L2982" s="60" t="s">
        <v>4226</v>
      </c>
      <c r="M2982" s="57" t="s">
        <v>336</v>
      </c>
      <c r="N2982" s="57" t="s">
        <v>381</v>
      </c>
      <c r="O2982" s="57" t="s">
        <v>729</v>
      </c>
      <c r="P2982" s="57" t="s">
        <v>4227</v>
      </c>
      <c r="Q2982" s="57" t="s">
        <v>698</v>
      </c>
    </row>
    <row r="2983" s="50" customFormat="true" ht="14.25" hidden="false" customHeight="true" outlineLevel="0" collapsed="false">
      <c r="A2983" s="50" t="s">
        <v>727</v>
      </c>
      <c r="B2983" s="57" t="s">
        <v>727</v>
      </c>
      <c r="C2983" s="57" t="s">
        <v>415</v>
      </c>
      <c r="D2983" s="58" t="n">
        <v>46062.4554282407</v>
      </c>
      <c r="E2983" s="58" t="n">
        <v>46062.4554282407</v>
      </c>
      <c r="F2983" s="58" t="n">
        <v>46062.4559375</v>
      </c>
      <c r="G2983" s="59" t="n">
        <f aca="false">F2983-E2983</f>
        <v>0.000509259305555556</v>
      </c>
      <c r="H2983" s="57" t="s">
        <v>252</v>
      </c>
      <c r="I2983" s="57"/>
      <c r="J2983" s="57" t="s">
        <v>333</v>
      </c>
      <c r="K2983" s="57" t="s">
        <v>334</v>
      </c>
      <c r="L2983" s="60" t="s">
        <v>4228</v>
      </c>
      <c r="M2983" s="57" t="s">
        <v>336</v>
      </c>
      <c r="N2983" s="57" t="s">
        <v>381</v>
      </c>
      <c r="O2983" s="57" t="s">
        <v>729</v>
      </c>
      <c r="P2983" s="57" t="s">
        <v>4229</v>
      </c>
      <c r="Q2983" s="57" t="s">
        <v>698</v>
      </c>
    </row>
    <row r="2984" s="50" customFormat="true" ht="14.25" hidden="false" customHeight="true" outlineLevel="0" collapsed="false">
      <c r="A2984" s="50" t="s">
        <v>727</v>
      </c>
      <c r="B2984" s="57" t="s">
        <v>727</v>
      </c>
      <c r="C2984" s="57" t="s">
        <v>415</v>
      </c>
      <c r="D2984" s="58" t="n">
        <v>46062.4497685185</v>
      </c>
      <c r="E2984" s="58" t="n">
        <v>46062.4497685185</v>
      </c>
      <c r="F2984" s="58" t="n">
        <v>46062.4503125</v>
      </c>
      <c r="G2984" s="59" t="n">
        <f aca="false">F2984-E2984</f>
        <v>0.00054398150462963</v>
      </c>
      <c r="H2984" s="57" t="s">
        <v>252</v>
      </c>
      <c r="I2984" s="57"/>
      <c r="J2984" s="57" t="s">
        <v>333</v>
      </c>
      <c r="K2984" s="57" t="s">
        <v>334</v>
      </c>
      <c r="L2984" s="60" t="s">
        <v>4230</v>
      </c>
      <c r="M2984" s="57" t="s">
        <v>336</v>
      </c>
      <c r="N2984" s="57" t="s">
        <v>381</v>
      </c>
      <c r="O2984" s="57" t="s">
        <v>729</v>
      </c>
      <c r="P2984" s="57" t="s">
        <v>4231</v>
      </c>
      <c r="Q2984" s="57" t="s">
        <v>698</v>
      </c>
    </row>
    <row r="2985" s="50" customFormat="true" ht="14.25" hidden="false" customHeight="true" outlineLevel="0" collapsed="false">
      <c r="A2985" s="50" t="s">
        <v>727</v>
      </c>
      <c r="B2985" s="57" t="s">
        <v>727</v>
      </c>
      <c r="C2985" s="57" t="s">
        <v>415</v>
      </c>
      <c r="D2985" s="58" t="n">
        <v>46062.444224537</v>
      </c>
      <c r="E2985" s="58" t="n">
        <v>46062.444224537</v>
      </c>
      <c r="F2985" s="58" t="n">
        <v>46062.4447685185</v>
      </c>
      <c r="G2985" s="59" t="n">
        <f aca="false">F2985-E2985</f>
        <v>0.00054398150462963</v>
      </c>
      <c r="H2985" s="57" t="s">
        <v>252</v>
      </c>
      <c r="I2985" s="57"/>
      <c r="J2985" s="57" t="s">
        <v>333</v>
      </c>
      <c r="K2985" s="57" t="s">
        <v>334</v>
      </c>
      <c r="L2985" s="60" t="s">
        <v>4232</v>
      </c>
      <c r="M2985" s="57" t="s">
        <v>336</v>
      </c>
      <c r="N2985" s="57" t="s">
        <v>381</v>
      </c>
      <c r="O2985" s="57" t="s">
        <v>729</v>
      </c>
      <c r="P2985" s="57" t="s">
        <v>4233</v>
      </c>
      <c r="Q2985" s="57" t="s">
        <v>698</v>
      </c>
    </row>
    <row r="2986" s="50" customFormat="true" ht="14.25" hidden="false" customHeight="true" outlineLevel="0" collapsed="false">
      <c r="A2986" s="50" t="s">
        <v>727</v>
      </c>
      <c r="B2986" s="57" t="s">
        <v>727</v>
      </c>
      <c r="C2986" s="57" t="s">
        <v>415</v>
      </c>
      <c r="D2986" s="58" t="n">
        <v>46062.4099189815</v>
      </c>
      <c r="E2986" s="58" t="n">
        <v>46062.4099189815</v>
      </c>
      <c r="F2986" s="58" t="n">
        <v>46062.414537037</v>
      </c>
      <c r="G2986" s="59" t="n">
        <f aca="false">F2986-E2986</f>
        <v>0.00461805549768519</v>
      </c>
      <c r="H2986" s="57" t="s">
        <v>252</v>
      </c>
      <c r="I2986" s="57"/>
      <c r="J2986" s="57" t="s">
        <v>333</v>
      </c>
      <c r="K2986" s="57" t="s">
        <v>334</v>
      </c>
      <c r="L2986" s="60" t="s">
        <v>4234</v>
      </c>
      <c r="M2986" s="57" t="s">
        <v>336</v>
      </c>
      <c r="N2986" s="57" t="s">
        <v>381</v>
      </c>
      <c r="O2986" s="57" t="s">
        <v>729</v>
      </c>
      <c r="P2986" s="57" t="s">
        <v>4235</v>
      </c>
      <c r="Q2986" s="57" t="s">
        <v>698</v>
      </c>
    </row>
    <row r="2987" s="50" customFormat="true" ht="14.25" hidden="false" customHeight="true" outlineLevel="0" collapsed="false">
      <c r="A2987" s="50" t="s">
        <v>727</v>
      </c>
      <c r="B2987" s="57" t="s">
        <v>727</v>
      </c>
      <c r="C2987" s="57" t="s">
        <v>415</v>
      </c>
      <c r="D2987" s="58" t="n">
        <v>46062.4000462963</v>
      </c>
      <c r="E2987" s="58" t="n">
        <v>46062.4000462963</v>
      </c>
      <c r="F2987" s="58" t="n">
        <v>46062.4005671296</v>
      </c>
      <c r="G2987" s="59" t="n">
        <f aca="false">F2987-E2987</f>
        <v>0.000520833298611111</v>
      </c>
      <c r="H2987" s="57" t="s">
        <v>252</v>
      </c>
      <c r="I2987" s="57"/>
      <c r="J2987" s="57" t="s">
        <v>333</v>
      </c>
      <c r="K2987" s="57" t="s">
        <v>334</v>
      </c>
      <c r="L2987" s="60" t="s">
        <v>4236</v>
      </c>
      <c r="M2987" s="57" t="s">
        <v>336</v>
      </c>
      <c r="N2987" s="57" t="s">
        <v>381</v>
      </c>
      <c r="O2987" s="57" t="s">
        <v>729</v>
      </c>
      <c r="P2987" s="57" t="s">
        <v>4237</v>
      </c>
      <c r="Q2987" s="57" t="s">
        <v>698</v>
      </c>
    </row>
    <row r="2988" s="50" customFormat="true" ht="14.25" hidden="false" customHeight="true" outlineLevel="0" collapsed="false">
      <c r="A2988" s="50" t="s">
        <v>727</v>
      </c>
      <c r="B2988" s="57" t="s">
        <v>727</v>
      </c>
      <c r="C2988" s="57" t="s">
        <v>415</v>
      </c>
      <c r="D2988" s="58" t="n">
        <v>46062.3985532407</v>
      </c>
      <c r="E2988" s="58" t="n">
        <v>46062.3985532407</v>
      </c>
      <c r="F2988" s="58" t="n">
        <v>46062.3991666667</v>
      </c>
      <c r="G2988" s="59" t="n">
        <f aca="false">F2988-E2988</f>
        <v>0.00061342599537037</v>
      </c>
      <c r="H2988" s="57" t="s">
        <v>252</v>
      </c>
      <c r="I2988" s="57"/>
      <c r="J2988" s="57" t="s">
        <v>333</v>
      </c>
      <c r="K2988" s="57" t="s">
        <v>334</v>
      </c>
      <c r="L2988" s="60" t="s">
        <v>4238</v>
      </c>
      <c r="M2988" s="57" t="s">
        <v>336</v>
      </c>
      <c r="N2988" s="57" t="s">
        <v>381</v>
      </c>
      <c r="O2988" s="57" t="s">
        <v>729</v>
      </c>
      <c r="P2988" s="57" t="s">
        <v>4239</v>
      </c>
      <c r="Q2988" s="57" t="s">
        <v>698</v>
      </c>
    </row>
    <row r="2989" s="50" customFormat="true" ht="14.25" hidden="false" customHeight="true" outlineLevel="0" collapsed="false">
      <c r="A2989" s="50" t="s">
        <v>727</v>
      </c>
      <c r="B2989" s="57" t="s">
        <v>727</v>
      </c>
      <c r="C2989" s="57" t="s">
        <v>415</v>
      </c>
      <c r="D2989" s="58" t="n">
        <v>46062.3977430556</v>
      </c>
      <c r="E2989" s="58" t="n">
        <v>46062.3977430556</v>
      </c>
      <c r="F2989" s="58" t="n">
        <v>46062.3983680556</v>
      </c>
      <c r="G2989" s="59" t="n">
        <f aca="false">F2989-E2989</f>
        <v>0.000625</v>
      </c>
      <c r="H2989" s="57" t="s">
        <v>252</v>
      </c>
      <c r="I2989" s="57"/>
      <c r="J2989" s="57" t="s">
        <v>333</v>
      </c>
      <c r="K2989" s="57" t="s">
        <v>334</v>
      </c>
      <c r="L2989" s="60" t="s">
        <v>4240</v>
      </c>
      <c r="M2989" s="57" t="s">
        <v>336</v>
      </c>
      <c r="N2989" s="57" t="s">
        <v>381</v>
      </c>
      <c r="O2989" s="57" t="s">
        <v>729</v>
      </c>
      <c r="P2989" s="57" t="s">
        <v>4241</v>
      </c>
      <c r="Q2989" s="57" t="s">
        <v>698</v>
      </c>
    </row>
    <row r="2990" s="50" customFormat="true" ht="14.25" hidden="false" customHeight="true" outlineLevel="0" collapsed="false">
      <c r="A2990" s="50" t="s">
        <v>727</v>
      </c>
      <c r="B2990" s="57" t="s">
        <v>727</v>
      </c>
      <c r="C2990" s="57" t="s">
        <v>415</v>
      </c>
      <c r="D2990" s="58" t="n">
        <v>46062.3903125</v>
      </c>
      <c r="E2990" s="58" t="n">
        <v>46062.3903125</v>
      </c>
      <c r="F2990" s="58" t="n">
        <v>46062.3908333333</v>
      </c>
      <c r="G2990" s="59" t="n">
        <f aca="false">F2990-E2990</f>
        <v>0.000520833298611111</v>
      </c>
      <c r="H2990" s="57" t="s">
        <v>252</v>
      </c>
      <c r="I2990" s="57"/>
      <c r="J2990" s="57" t="s">
        <v>333</v>
      </c>
      <c r="K2990" s="57" t="s">
        <v>334</v>
      </c>
      <c r="L2990" s="60" t="s">
        <v>4242</v>
      </c>
      <c r="M2990" s="57" t="s">
        <v>336</v>
      </c>
      <c r="N2990" s="57" t="s">
        <v>381</v>
      </c>
      <c r="O2990" s="57" t="s">
        <v>729</v>
      </c>
      <c r="P2990" s="57" t="s">
        <v>4243</v>
      </c>
      <c r="Q2990" s="57" t="s">
        <v>698</v>
      </c>
    </row>
    <row r="2991" s="50" customFormat="true" ht="14.25" hidden="false" customHeight="true" outlineLevel="0" collapsed="false">
      <c r="A2991" s="50" t="s">
        <v>727</v>
      </c>
      <c r="B2991" s="57" t="s">
        <v>727</v>
      </c>
      <c r="C2991" s="57" t="s">
        <v>415</v>
      </c>
      <c r="D2991" s="58" t="n">
        <v>46062.3867476852</v>
      </c>
      <c r="E2991" s="58" t="n">
        <v>46062.3867476852</v>
      </c>
      <c r="F2991" s="58" t="n">
        <v>46062.3878356482</v>
      </c>
      <c r="G2991" s="59" t="n">
        <f aca="false">F2991-E2991</f>
        <v>0.00108796299768519</v>
      </c>
      <c r="H2991" s="57" t="s">
        <v>252</v>
      </c>
      <c r="I2991" s="57"/>
      <c r="J2991" s="57" t="s">
        <v>333</v>
      </c>
      <c r="K2991" s="57" t="s">
        <v>334</v>
      </c>
      <c r="L2991" s="60" t="s">
        <v>4244</v>
      </c>
      <c r="M2991" s="57" t="s">
        <v>336</v>
      </c>
      <c r="N2991" s="57" t="s">
        <v>381</v>
      </c>
      <c r="O2991" s="57" t="s">
        <v>729</v>
      </c>
      <c r="P2991" s="57" t="s">
        <v>4245</v>
      </c>
      <c r="Q2991" s="57" t="s">
        <v>698</v>
      </c>
    </row>
    <row r="2992" s="50" customFormat="true" ht="14.25" hidden="false" customHeight="true" outlineLevel="0" collapsed="false">
      <c r="A2992" s="50" t="s">
        <v>727</v>
      </c>
      <c r="B2992" s="57" t="s">
        <v>727</v>
      </c>
      <c r="C2992" s="57" t="s">
        <v>415</v>
      </c>
      <c r="D2992" s="58" t="n">
        <v>46062.382662037</v>
      </c>
      <c r="E2992" s="58" t="n">
        <v>46062.382662037</v>
      </c>
      <c r="F2992" s="58" t="n">
        <v>46062.386712963</v>
      </c>
      <c r="G2992" s="59" t="n">
        <f aca="false">F2992-E2992</f>
        <v>0.00405092599537037</v>
      </c>
      <c r="H2992" s="57" t="s">
        <v>252</v>
      </c>
      <c r="I2992" s="57"/>
      <c r="J2992" s="57" t="s">
        <v>333</v>
      </c>
      <c r="K2992" s="57" t="s">
        <v>334</v>
      </c>
      <c r="L2992" s="60" t="s">
        <v>4246</v>
      </c>
      <c r="M2992" s="57" t="s">
        <v>336</v>
      </c>
      <c r="N2992" s="57" t="s">
        <v>381</v>
      </c>
      <c r="O2992" s="57" t="s">
        <v>729</v>
      </c>
      <c r="P2992" s="57" t="s">
        <v>4247</v>
      </c>
      <c r="Q2992" s="57" t="s">
        <v>698</v>
      </c>
    </row>
    <row r="2993" s="50" customFormat="true" ht="14.25" hidden="false" customHeight="true" outlineLevel="0" collapsed="false">
      <c r="A2993" s="50" t="s">
        <v>727</v>
      </c>
      <c r="B2993" s="57" t="s">
        <v>727</v>
      </c>
      <c r="C2993" s="57" t="s">
        <v>415</v>
      </c>
      <c r="D2993" s="58" t="n">
        <v>46062.3568634259</v>
      </c>
      <c r="E2993" s="58" t="n">
        <v>46062.3568634259</v>
      </c>
      <c r="F2993" s="58" t="n">
        <v>46062.3574074074</v>
      </c>
      <c r="G2993" s="59" t="n">
        <f aca="false">F2993-E2993</f>
        <v>0.00054398150462963</v>
      </c>
      <c r="H2993" s="57" t="s">
        <v>252</v>
      </c>
      <c r="I2993" s="57"/>
      <c r="J2993" s="57" t="s">
        <v>333</v>
      </c>
      <c r="K2993" s="57" t="s">
        <v>334</v>
      </c>
      <c r="L2993" s="60" t="s">
        <v>4248</v>
      </c>
      <c r="M2993" s="57" t="s">
        <v>336</v>
      </c>
      <c r="N2993" s="57" t="s">
        <v>381</v>
      </c>
      <c r="O2993" s="57" t="s">
        <v>729</v>
      </c>
      <c r="P2993" s="57" t="s">
        <v>4249</v>
      </c>
      <c r="Q2993" s="57" t="s">
        <v>698</v>
      </c>
    </row>
    <row r="2994" s="50" customFormat="true" ht="14.25" hidden="false" customHeight="true" outlineLevel="0" collapsed="false">
      <c r="A2994" s="50" t="s">
        <v>727</v>
      </c>
      <c r="B2994" s="57" t="s">
        <v>727</v>
      </c>
      <c r="C2994" s="57" t="s">
        <v>415</v>
      </c>
      <c r="D2994" s="58" t="n">
        <v>46062.2437847222</v>
      </c>
      <c r="E2994" s="58" t="n">
        <v>46062.2437847222</v>
      </c>
      <c r="F2994" s="58" t="n">
        <v>46062.2882291667</v>
      </c>
      <c r="G2994" s="59" t="n">
        <f aca="false">F2994-E2994</f>
        <v>0.0444444444907407</v>
      </c>
      <c r="H2994" s="57" t="s">
        <v>252</v>
      </c>
      <c r="I2994" s="57"/>
      <c r="J2994" s="57" t="s">
        <v>333</v>
      </c>
      <c r="K2994" s="57" t="s">
        <v>334</v>
      </c>
      <c r="L2994" s="60" t="s">
        <v>4250</v>
      </c>
      <c r="M2994" s="57" t="s">
        <v>336</v>
      </c>
      <c r="N2994" s="57" t="s">
        <v>381</v>
      </c>
      <c r="O2994" s="57" t="s">
        <v>729</v>
      </c>
      <c r="P2994" s="57" t="s">
        <v>4251</v>
      </c>
      <c r="Q2994" s="57" t="s">
        <v>698</v>
      </c>
    </row>
    <row r="2995" s="50" customFormat="true" ht="14.25" hidden="false" customHeight="true" outlineLevel="0" collapsed="false">
      <c r="A2995" s="50" t="s">
        <v>727</v>
      </c>
      <c r="B2995" s="57" t="s">
        <v>727</v>
      </c>
      <c r="C2995" s="57" t="s">
        <v>415</v>
      </c>
      <c r="D2995" s="58" t="n">
        <v>46061.7867476852</v>
      </c>
      <c r="E2995" s="58" t="n">
        <v>46061.7867476852</v>
      </c>
      <c r="F2995" s="58" t="n">
        <v>46061.7888194444</v>
      </c>
      <c r="G2995" s="59" t="n">
        <f aca="false">F2995-E2995</f>
        <v>0.00207175920138889</v>
      </c>
      <c r="H2995" s="57" t="s">
        <v>252</v>
      </c>
      <c r="I2995" s="57"/>
      <c r="J2995" s="57" t="s">
        <v>333</v>
      </c>
      <c r="K2995" s="57" t="s">
        <v>334</v>
      </c>
      <c r="L2995" s="60" t="s">
        <v>4252</v>
      </c>
      <c r="M2995" s="57" t="s">
        <v>336</v>
      </c>
      <c r="N2995" s="57" t="s">
        <v>381</v>
      </c>
      <c r="O2995" s="57" t="s">
        <v>729</v>
      </c>
      <c r="P2995" s="57" t="s">
        <v>4253</v>
      </c>
      <c r="Q2995" s="57" t="s">
        <v>698</v>
      </c>
    </row>
    <row r="2996" s="50" customFormat="true" ht="14.25" hidden="false" customHeight="true" outlineLevel="0" collapsed="false">
      <c r="A2996" s="50" t="s">
        <v>727</v>
      </c>
      <c r="B2996" s="57" t="s">
        <v>727</v>
      </c>
      <c r="C2996" s="57" t="s">
        <v>415</v>
      </c>
      <c r="D2996" s="58" t="n">
        <v>46061.7592708333</v>
      </c>
      <c r="E2996" s="58" t="n">
        <v>46061.7592708333</v>
      </c>
      <c r="F2996" s="58" t="n">
        <v>46061.7888194444</v>
      </c>
      <c r="G2996" s="59" t="n">
        <f aca="false">F2996-E2996</f>
        <v>0.029548611099537</v>
      </c>
      <c r="H2996" s="57" t="s">
        <v>252</v>
      </c>
      <c r="I2996" s="57"/>
      <c r="J2996" s="57" t="s">
        <v>333</v>
      </c>
      <c r="K2996" s="57" t="s">
        <v>334</v>
      </c>
      <c r="L2996" s="60" t="s">
        <v>4254</v>
      </c>
      <c r="M2996" s="57" t="s">
        <v>336</v>
      </c>
      <c r="N2996" s="57" t="s">
        <v>381</v>
      </c>
      <c r="O2996" s="57" t="s">
        <v>729</v>
      </c>
      <c r="P2996" s="57" t="s">
        <v>4255</v>
      </c>
      <c r="Q2996" s="57" t="s">
        <v>698</v>
      </c>
    </row>
    <row r="2997" s="50" customFormat="true" ht="14.25" hidden="false" customHeight="true" outlineLevel="0" collapsed="false">
      <c r="A2997" s="50" t="s">
        <v>727</v>
      </c>
      <c r="B2997" s="57" t="s">
        <v>727</v>
      </c>
      <c r="C2997" s="57" t="s">
        <v>415</v>
      </c>
      <c r="D2997" s="58" t="n">
        <v>46061.7592708333</v>
      </c>
      <c r="E2997" s="58" t="n">
        <v>46061.7592708333</v>
      </c>
      <c r="F2997" s="58" t="n">
        <v>46061.7766550926</v>
      </c>
      <c r="G2997" s="59" t="n">
        <f aca="false">F2997-E2997</f>
        <v>0.0173842592939815</v>
      </c>
      <c r="H2997" s="57" t="s">
        <v>252</v>
      </c>
      <c r="I2997" s="57"/>
      <c r="J2997" s="57" t="s">
        <v>333</v>
      </c>
      <c r="K2997" s="57" t="s">
        <v>334</v>
      </c>
      <c r="L2997" s="60" t="s">
        <v>4256</v>
      </c>
      <c r="M2997" s="57" t="s">
        <v>336</v>
      </c>
      <c r="N2997" s="57" t="s">
        <v>381</v>
      </c>
      <c r="O2997" s="57" t="s">
        <v>729</v>
      </c>
      <c r="P2997" s="57" t="s">
        <v>4257</v>
      </c>
      <c r="Q2997" s="57" t="s">
        <v>698</v>
      </c>
    </row>
    <row r="2998" s="50" customFormat="true" ht="14.25" hidden="false" customHeight="true" outlineLevel="0" collapsed="false">
      <c r="A2998" s="50" t="s">
        <v>727</v>
      </c>
      <c r="B2998" s="57" t="s">
        <v>727</v>
      </c>
      <c r="C2998" s="57" t="s">
        <v>415</v>
      </c>
      <c r="D2998" s="58" t="n">
        <v>46061.7584953704</v>
      </c>
      <c r="E2998" s="58" t="n">
        <v>46061.7584953704</v>
      </c>
      <c r="F2998" s="58" t="n">
        <v>46061.7590972222</v>
      </c>
      <c r="G2998" s="59" t="n">
        <f aca="false">F2998-E2998</f>
        <v>0.000601851805555556</v>
      </c>
      <c r="H2998" s="57" t="s">
        <v>252</v>
      </c>
      <c r="I2998" s="57"/>
      <c r="J2998" s="57" t="s">
        <v>333</v>
      </c>
      <c r="K2998" s="57" t="s">
        <v>334</v>
      </c>
      <c r="L2998" s="60" t="s">
        <v>4258</v>
      </c>
      <c r="M2998" s="57" t="s">
        <v>336</v>
      </c>
      <c r="N2998" s="57" t="s">
        <v>381</v>
      </c>
      <c r="O2998" s="57" t="s">
        <v>729</v>
      </c>
      <c r="P2998" s="57" t="s">
        <v>4259</v>
      </c>
      <c r="Q2998" s="57" t="s">
        <v>698</v>
      </c>
    </row>
    <row r="2999" s="50" customFormat="true" ht="14.25" hidden="false" customHeight="true" outlineLevel="0" collapsed="false">
      <c r="A2999" s="50" t="s">
        <v>727</v>
      </c>
      <c r="B2999" s="57" t="s">
        <v>727</v>
      </c>
      <c r="C2999" s="57" t="s">
        <v>415</v>
      </c>
      <c r="D2999" s="58" t="n">
        <v>46061.7577199074</v>
      </c>
      <c r="E2999" s="58" t="n">
        <v>46061.7577199074</v>
      </c>
      <c r="F2999" s="58" t="n">
        <v>46061.7583217593</v>
      </c>
      <c r="G2999" s="59" t="n">
        <f aca="false">F2999-E2999</f>
        <v>0.000601851898148148</v>
      </c>
      <c r="H2999" s="57" t="s">
        <v>252</v>
      </c>
      <c r="I2999" s="57"/>
      <c r="J2999" s="57" t="s">
        <v>333</v>
      </c>
      <c r="K2999" s="57" t="s">
        <v>334</v>
      </c>
      <c r="L2999" s="60" t="s">
        <v>4260</v>
      </c>
      <c r="M2999" s="57" t="s">
        <v>336</v>
      </c>
      <c r="N2999" s="57" t="s">
        <v>381</v>
      </c>
      <c r="O2999" s="57" t="s">
        <v>729</v>
      </c>
      <c r="P2999" s="57" t="s">
        <v>4261</v>
      </c>
      <c r="Q2999" s="57" t="s">
        <v>698</v>
      </c>
    </row>
    <row r="3000" s="50" customFormat="true" ht="14.25" hidden="false" customHeight="true" outlineLevel="0" collapsed="false">
      <c r="A3000" s="50" t="s">
        <v>727</v>
      </c>
      <c r="B3000" s="57" t="s">
        <v>727</v>
      </c>
      <c r="C3000" s="57" t="s">
        <v>415</v>
      </c>
      <c r="D3000" s="58" t="n">
        <v>46061.7569444444</v>
      </c>
      <c r="E3000" s="58" t="n">
        <v>46061.7569444444</v>
      </c>
      <c r="F3000" s="58" t="n">
        <v>46061.7575462963</v>
      </c>
      <c r="G3000" s="59" t="n">
        <f aca="false">F3000-E3000</f>
        <v>0.000601851898148148</v>
      </c>
      <c r="H3000" s="57" t="s">
        <v>252</v>
      </c>
      <c r="I3000" s="57"/>
      <c r="J3000" s="57" t="s">
        <v>333</v>
      </c>
      <c r="K3000" s="57" t="s">
        <v>334</v>
      </c>
      <c r="L3000" s="60" t="s">
        <v>4262</v>
      </c>
      <c r="M3000" s="57" t="s">
        <v>336</v>
      </c>
      <c r="N3000" s="57" t="s">
        <v>381</v>
      </c>
      <c r="O3000" s="57" t="s">
        <v>729</v>
      </c>
      <c r="P3000" s="57" t="s">
        <v>4263</v>
      </c>
      <c r="Q3000" s="57" t="s">
        <v>698</v>
      </c>
    </row>
    <row r="3001" s="50" customFormat="true" ht="14.25" hidden="false" customHeight="true" outlineLevel="0" collapsed="false">
      <c r="A3001" s="50" t="s">
        <v>727</v>
      </c>
      <c r="B3001" s="57" t="s">
        <v>727</v>
      </c>
      <c r="C3001" s="57" t="s">
        <v>415</v>
      </c>
      <c r="D3001" s="58" t="n">
        <v>46061.7561689815</v>
      </c>
      <c r="E3001" s="58" t="n">
        <v>46061.7561689815</v>
      </c>
      <c r="F3001" s="58" t="n">
        <v>46061.7567708333</v>
      </c>
      <c r="G3001" s="59" t="n">
        <f aca="false">F3001-E3001</f>
        <v>0.000601851805555556</v>
      </c>
      <c r="H3001" s="57" t="s">
        <v>252</v>
      </c>
      <c r="I3001" s="57"/>
      <c r="J3001" s="57" t="s">
        <v>333</v>
      </c>
      <c r="K3001" s="57" t="s">
        <v>334</v>
      </c>
      <c r="L3001" s="60" t="s">
        <v>4264</v>
      </c>
      <c r="M3001" s="57" t="s">
        <v>336</v>
      </c>
      <c r="N3001" s="57" t="s">
        <v>381</v>
      </c>
      <c r="O3001" s="57" t="s">
        <v>729</v>
      </c>
      <c r="P3001" s="57" t="s">
        <v>4265</v>
      </c>
      <c r="Q3001" s="57" t="s">
        <v>698</v>
      </c>
    </row>
    <row r="3002" s="50" customFormat="true" ht="14.25" hidden="false" customHeight="true" outlineLevel="0" collapsed="false">
      <c r="A3002" s="50" t="s">
        <v>727</v>
      </c>
      <c r="B3002" s="57" t="s">
        <v>727</v>
      </c>
      <c r="C3002" s="57" t="s">
        <v>415</v>
      </c>
      <c r="D3002" s="58" t="n">
        <v>46061.7553703704</v>
      </c>
      <c r="E3002" s="58" t="n">
        <v>46061.7553703704</v>
      </c>
      <c r="F3002" s="58" t="n">
        <v>46061.7559837963</v>
      </c>
      <c r="G3002" s="59" t="n">
        <f aca="false">F3002-E3002</f>
        <v>0.000613425891203704</v>
      </c>
      <c r="H3002" s="57" t="s">
        <v>252</v>
      </c>
      <c r="I3002" s="57"/>
      <c r="J3002" s="57" t="s">
        <v>333</v>
      </c>
      <c r="K3002" s="57" t="s">
        <v>334</v>
      </c>
      <c r="L3002" s="60" t="s">
        <v>4266</v>
      </c>
      <c r="M3002" s="57" t="s">
        <v>336</v>
      </c>
      <c r="N3002" s="57" t="s">
        <v>381</v>
      </c>
      <c r="O3002" s="57" t="s">
        <v>729</v>
      </c>
      <c r="P3002" s="57" t="s">
        <v>4267</v>
      </c>
      <c r="Q3002" s="57" t="s">
        <v>698</v>
      </c>
    </row>
    <row r="3003" s="50" customFormat="true" ht="14.25" hidden="false" customHeight="true" outlineLevel="0" collapsed="false">
      <c r="A3003" s="50" t="s">
        <v>727</v>
      </c>
      <c r="B3003" s="57" t="s">
        <v>727</v>
      </c>
      <c r="C3003" s="57" t="s">
        <v>415</v>
      </c>
      <c r="D3003" s="58" t="n">
        <v>46061.7543981482</v>
      </c>
      <c r="E3003" s="58" t="n">
        <v>46061.7543981482</v>
      </c>
      <c r="F3003" s="58" t="n">
        <v>46061.755</v>
      </c>
      <c r="G3003" s="59" t="n">
        <f aca="false">F3003-E3003</f>
        <v>0.000601851793981482</v>
      </c>
      <c r="H3003" s="57" t="s">
        <v>252</v>
      </c>
      <c r="I3003" s="57"/>
      <c r="J3003" s="57" t="s">
        <v>333</v>
      </c>
      <c r="K3003" s="57" t="s">
        <v>334</v>
      </c>
      <c r="L3003" s="60" t="s">
        <v>4268</v>
      </c>
      <c r="M3003" s="57" t="s">
        <v>336</v>
      </c>
      <c r="N3003" s="57" t="s">
        <v>381</v>
      </c>
      <c r="O3003" s="57" t="s">
        <v>729</v>
      </c>
      <c r="P3003" s="57" t="s">
        <v>4269</v>
      </c>
      <c r="Q3003" s="57" t="s">
        <v>698</v>
      </c>
    </row>
    <row r="3004" s="50" customFormat="true" ht="14.25" hidden="false" customHeight="true" outlineLevel="0" collapsed="false">
      <c r="A3004" s="50" t="s">
        <v>727</v>
      </c>
      <c r="B3004" s="57" t="s">
        <v>727</v>
      </c>
      <c r="C3004" s="57" t="s">
        <v>415</v>
      </c>
      <c r="D3004" s="58" t="n">
        <v>46061.7531944444</v>
      </c>
      <c r="E3004" s="58" t="n">
        <v>46061.7531944444</v>
      </c>
      <c r="F3004" s="58" t="n">
        <v>46061.7537615741</v>
      </c>
      <c r="G3004" s="59" t="n">
        <f aca="false">F3004-E3004</f>
        <v>0.000567129699074074</v>
      </c>
      <c r="H3004" s="57" t="s">
        <v>252</v>
      </c>
      <c r="I3004" s="57"/>
      <c r="J3004" s="57" t="s">
        <v>333</v>
      </c>
      <c r="K3004" s="57" t="s">
        <v>334</v>
      </c>
      <c r="L3004" s="60" t="s">
        <v>4270</v>
      </c>
      <c r="M3004" s="57" t="s">
        <v>336</v>
      </c>
      <c r="N3004" s="57" t="s">
        <v>381</v>
      </c>
      <c r="O3004" s="57" t="s">
        <v>729</v>
      </c>
      <c r="P3004" s="57" t="s">
        <v>4271</v>
      </c>
      <c r="Q3004" s="57" t="s">
        <v>698</v>
      </c>
    </row>
    <row r="3005" s="50" customFormat="true" ht="14.25" hidden="false" customHeight="true" outlineLevel="0" collapsed="false">
      <c r="A3005" s="50" t="s">
        <v>727</v>
      </c>
      <c r="B3005" s="57" t="s">
        <v>727</v>
      </c>
      <c r="C3005" s="57" t="s">
        <v>415</v>
      </c>
      <c r="D3005" s="58" t="n">
        <v>46061.703912037</v>
      </c>
      <c r="E3005" s="58" t="n">
        <v>46061.703912037</v>
      </c>
      <c r="F3005" s="58" t="n">
        <v>46061.7130671296</v>
      </c>
      <c r="G3005" s="59" t="n">
        <f aca="false">F3005-E3005</f>
        <v>0.00915509259259259</v>
      </c>
      <c r="H3005" s="57" t="s">
        <v>252</v>
      </c>
      <c r="I3005" s="57"/>
      <c r="J3005" s="57" t="s">
        <v>333</v>
      </c>
      <c r="K3005" s="57" t="s">
        <v>334</v>
      </c>
      <c r="L3005" s="60" t="s">
        <v>4272</v>
      </c>
      <c r="M3005" s="57" t="s">
        <v>336</v>
      </c>
      <c r="N3005" s="57" t="s">
        <v>381</v>
      </c>
      <c r="O3005" s="57" t="s">
        <v>729</v>
      </c>
      <c r="P3005" s="57" t="s">
        <v>4273</v>
      </c>
      <c r="Q3005" s="57" t="s">
        <v>698</v>
      </c>
    </row>
    <row r="3006" s="50" customFormat="true" ht="14.25" hidden="false" customHeight="true" outlineLevel="0" collapsed="false">
      <c r="A3006" s="50" t="s">
        <v>727</v>
      </c>
      <c r="B3006" s="57" t="s">
        <v>727</v>
      </c>
      <c r="C3006" s="57" t="s">
        <v>415</v>
      </c>
      <c r="D3006" s="58" t="n">
        <v>46061.7032060185</v>
      </c>
      <c r="E3006" s="58" t="n">
        <v>46061.7032060185</v>
      </c>
      <c r="F3006" s="58" t="n">
        <v>46061.70375</v>
      </c>
      <c r="G3006" s="59" t="n">
        <f aca="false">F3006-E3006</f>
        <v>0.00054398150462963</v>
      </c>
      <c r="H3006" s="57" t="s">
        <v>252</v>
      </c>
      <c r="I3006" s="57"/>
      <c r="J3006" s="57" t="s">
        <v>333</v>
      </c>
      <c r="K3006" s="57" t="s">
        <v>334</v>
      </c>
      <c r="L3006" s="60" t="s">
        <v>4274</v>
      </c>
      <c r="M3006" s="57" t="s">
        <v>336</v>
      </c>
      <c r="N3006" s="57" t="s">
        <v>381</v>
      </c>
      <c r="O3006" s="57" t="s">
        <v>729</v>
      </c>
      <c r="P3006" s="57" t="s">
        <v>4275</v>
      </c>
      <c r="Q3006" s="57" t="s">
        <v>698</v>
      </c>
    </row>
    <row r="3007" s="50" customFormat="true" ht="14.25" hidden="false" customHeight="true" outlineLevel="0" collapsed="false">
      <c r="A3007" s="50" t="s">
        <v>727</v>
      </c>
      <c r="B3007" s="57" t="s">
        <v>727</v>
      </c>
      <c r="C3007" s="57" t="s">
        <v>415</v>
      </c>
      <c r="D3007" s="58" t="n">
        <v>46061.7024768519</v>
      </c>
      <c r="E3007" s="58" t="n">
        <v>46061.7024768519</v>
      </c>
      <c r="F3007" s="58" t="n">
        <v>46061.7030208333</v>
      </c>
      <c r="G3007" s="59" t="n">
        <f aca="false">F3007-E3007</f>
        <v>0.000543981400462963</v>
      </c>
      <c r="H3007" s="57" t="s">
        <v>252</v>
      </c>
      <c r="I3007" s="57"/>
      <c r="J3007" s="57" t="s">
        <v>333</v>
      </c>
      <c r="K3007" s="57" t="s">
        <v>334</v>
      </c>
      <c r="L3007" s="60" t="s">
        <v>4276</v>
      </c>
      <c r="M3007" s="57" t="s">
        <v>336</v>
      </c>
      <c r="N3007" s="57" t="s">
        <v>381</v>
      </c>
      <c r="O3007" s="57" t="s">
        <v>729</v>
      </c>
      <c r="P3007" s="57" t="s">
        <v>4277</v>
      </c>
      <c r="Q3007" s="57" t="s">
        <v>698</v>
      </c>
    </row>
    <row r="3008" s="50" customFormat="true" ht="14.25" hidden="false" customHeight="true" outlineLevel="0" collapsed="false">
      <c r="A3008" s="50" t="s">
        <v>727</v>
      </c>
      <c r="B3008" s="57" t="s">
        <v>727</v>
      </c>
      <c r="C3008" s="57" t="s">
        <v>415</v>
      </c>
      <c r="D3008" s="58" t="n">
        <v>46061.7017476852</v>
      </c>
      <c r="E3008" s="58" t="n">
        <v>46061.7017476852</v>
      </c>
      <c r="F3008" s="58" t="n">
        <v>46061.7023148148</v>
      </c>
      <c r="G3008" s="59" t="n">
        <f aca="false">F3008-E3008</f>
        <v>0.000567129606481481</v>
      </c>
      <c r="H3008" s="57" t="s">
        <v>252</v>
      </c>
      <c r="I3008" s="57"/>
      <c r="J3008" s="57" t="s">
        <v>333</v>
      </c>
      <c r="K3008" s="57" t="s">
        <v>334</v>
      </c>
      <c r="L3008" s="60" t="s">
        <v>4278</v>
      </c>
      <c r="M3008" s="57" t="s">
        <v>336</v>
      </c>
      <c r="N3008" s="57" t="s">
        <v>381</v>
      </c>
      <c r="O3008" s="57" t="s">
        <v>729</v>
      </c>
      <c r="P3008" s="57" t="s">
        <v>4279</v>
      </c>
      <c r="Q3008" s="57" t="s">
        <v>698</v>
      </c>
    </row>
    <row r="3009" s="50" customFormat="true" ht="14.25" hidden="false" customHeight="true" outlineLevel="0" collapsed="false">
      <c r="A3009" s="50" t="s">
        <v>727</v>
      </c>
      <c r="B3009" s="57" t="s">
        <v>727</v>
      </c>
      <c r="C3009" s="57" t="s">
        <v>415</v>
      </c>
      <c r="D3009" s="58" t="n">
        <v>46061.7010416667</v>
      </c>
      <c r="E3009" s="58" t="n">
        <v>46061.7010416667</v>
      </c>
      <c r="F3009" s="58" t="n">
        <v>46061.7015856481</v>
      </c>
      <c r="G3009" s="59" t="n">
        <f aca="false">F3009-E3009</f>
        <v>0.000543981400462963</v>
      </c>
      <c r="H3009" s="57" t="s">
        <v>252</v>
      </c>
      <c r="I3009" s="57"/>
      <c r="J3009" s="57" t="s">
        <v>333</v>
      </c>
      <c r="K3009" s="57" t="s">
        <v>334</v>
      </c>
      <c r="L3009" s="60" t="s">
        <v>4280</v>
      </c>
      <c r="M3009" s="57" t="s">
        <v>336</v>
      </c>
      <c r="N3009" s="57" t="s">
        <v>381</v>
      </c>
      <c r="O3009" s="57" t="s">
        <v>729</v>
      </c>
      <c r="P3009" s="57" t="s">
        <v>4281</v>
      </c>
      <c r="Q3009" s="57" t="s">
        <v>698</v>
      </c>
    </row>
    <row r="3010" s="50" customFormat="true" ht="14.25" hidden="false" customHeight="true" outlineLevel="0" collapsed="false">
      <c r="A3010" s="50" t="s">
        <v>727</v>
      </c>
      <c r="B3010" s="57" t="s">
        <v>727</v>
      </c>
      <c r="C3010" s="57" t="s">
        <v>415</v>
      </c>
      <c r="D3010" s="58" t="n">
        <v>46061.7003125</v>
      </c>
      <c r="E3010" s="58" t="n">
        <v>46061.7003125</v>
      </c>
      <c r="F3010" s="58" t="n">
        <v>46061.7008680556</v>
      </c>
      <c r="G3010" s="59" t="n">
        <f aca="false">F3010-E3010</f>
        <v>0.000555555601851852</v>
      </c>
      <c r="H3010" s="57" t="s">
        <v>252</v>
      </c>
      <c r="I3010" s="57"/>
      <c r="J3010" s="57" t="s">
        <v>333</v>
      </c>
      <c r="K3010" s="57" t="s">
        <v>334</v>
      </c>
      <c r="L3010" s="60" t="s">
        <v>4282</v>
      </c>
      <c r="M3010" s="57" t="s">
        <v>336</v>
      </c>
      <c r="N3010" s="57" t="s">
        <v>381</v>
      </c>
      <c r="O3010" s="57" t="s">
        <v>729</v>
      </c>
      <c r="P3010" s="57" t="s">
        <v>4283</v>
      </c>
      <c r="Q3010" s="57" t="s">
        <v>698</v>
      </c>
    </row>
    <row r="3011" s="50" customFormat="true" ht="14.25" hidden="false" customHeight="true" outlineLevel="0" collapsed="false">
      <c r="A3011" s="50" t="s">
        <v>727</v>
      </c>
      <c r="B3011" s="57" t="s">
        <v>727</v>
      </c>
      <c r="C3011" s="57" t="s">
        <v>415</v>
      </c>
      <c r="D3011" s="58" t="n">
        <v>46061.6994444444</v>
      </c>
      <c r="E3011" s="58" t="n">
        <v>46061.6994444444</v>
      </c>
      <c r="F3011" s="58" t="n">
        <v>46061.7001851852</v>
      </c>
      <c r="G3011" s="59" t="n">
        <f aca="false">F3011-E3011</f>
        <v>0.000740740798611111</v>
      </c>
      <c r="H3011" s="57" t="s">
        <v>252</v>
      </c>
      <c r="I3011" s="57"/>
      <c r="J3011" s="57" t="s">
        <v>333</v>
      </c>
      <c r="K3011" s="57" t="s">
        <v>334</v>
      </c>
      <c r="L3011" s="60" t="s">
        <v>4284</v>
      </c>
      <c r="M3011" s="57" t="s">
        <v>336</v>
      </c>
      <c r="N3011" s="57" t="s">
        <v>381</v>
      </c>
      <c r="O3011" s="57" t="s">
        <v>729</v>
      </c>
      <c r="P3011" s="57" t="s">
        <v>4285</v>
      </c>
      <c r="Q3011" s="57" t="s">
        <v>698</v>
      </c>
    </row>
    <row r="3012" s="50" customFormat="true" ht="14.25" hidden="false" customHeight="true" outlineLevel="0" collapsed="false">
      <c r="A3012" s="50" t="s">
        <v>727</v>
      </c>
      <c r="B3012" s="57" t="s">
        <v>727</v>
      </c>
      <c r="C3012" s="57" t="s">
        <v>415</v>
      </c>
      <c r="D3012" s="58" t="n">
        <v>46061.6987037037</v>
      </c>
      <c r="E3012" s="58" t="n">
        <v>46061.6987037037</v>
      </c>
      <c r="F3012" s="58" t="n">
        <v>46061.6992476852</v>
      </c>
      <c r="G3012" s="59" t="n">
        <f aca="false">F3012-E3012</f>
        <v>0.00054398150462963</v>
      </c>
      <c r="H3012" s="57" t="s">
        <v>252</v>
      </c>
      <c r="I3012" s="57"/>
      <c r="J3012" s="57" t="s">
        <v>333</v>
      </c>
      <c r="K3012" s="57" t="s">
        <v>334</v>
      </c>
      <c r="L3012" s="60" t="s">
        <v>4286</v>
      </c>
      <c r="M3012" s="57" t="s">
        <v>336</v>
      </c>
      <c r="N3012" s="57" t="s">
        <v>381</v>
      </c>
      <c r="O3012" s="57" t="s">
        <v>729</v>
      </c>
      <c r="P3012" s="57" t="s">
        <v>4287</v>
      </c>
      <c r="Q3012" s="57" t="s">
        <v>698</v>
      </c>
    </row>
    <row r="3013" s="50" customFormat="true" ht="14.25" hidden="false" customHeight="true" outlineLevel="0" collapsed="false">
      <c r="A3013" s="50" t="s">
        <v>727</v>
      </c>
      <c r="B3013" s="57" t="s">
        <v>727</v>
      </c>
      <c r="C3013" s="57" t="s">
        <v>415</v>
      </c>
      <c r="D3013" s="58" t="n">
        <v>46061.6158796296</v>
      </c>
      <c r="E3013" s="58" t="n">
        <v>46061.6158796296</v>
      </c>
      <c r="F3013" s="58" t="n">
        <v>46061.6163773148</v>
      </c>
      <c r="G3013" s="59" t="n">
        <f aca="false">F3013-E3013</f>
        <v>0.000497685196759259</v>
      </c>
      <c r="H3013" s="57" t="s">
        <v>252</v>
      </c>
      <c r="I3013" s="57"/>
      <c r="J3013" s="57" t="s">
        <v>333</v>
      </c>
      <c r="K3013" s="57" t="s">
        <v>334</v>
      </c>
      <c r="L3013" s="60" t="s">
        <v>4288</v>
      </c>
      <c r="M3013" s="57" t="s">
        <v>336</v>
      </c>
      <c r="N3013" s="57" t="s">
        <v>381</v>
      </c>
      <c r="O3013" s="57" t="s">
        <v>729</v>
      </c>
      <c r="P3013" s="57" t="s">
        <v>4289</v>
      </c>
      <c r="Q3013" s="57" t="s">
        <v>698</v>
      </c>
    </row>
    <row r="3014" s="50" customFormat="true" ht="14.25" hidden="false" customHeight="true" outlineLevel="0" collapsed="false">
      <c r="A3014" s="50" t="s">
        <v>727</v>
      </c>
      <c r="B3014" s="57" t="s">
        <v>727</v>
      </c>
      <c r="C3014" s="57" t="s">
        <v>415</v>
      </c>
      <c r="D3014" s="58" t="n">
        <v>46061.6035416667</v>
      </c>
      <c r="E3014" s="58" t="n">
        <v>46061.6035416667</v>
      </c>
      <c r="F3014" s="58" t="n">
        <v>46061.6040972222</v>
      </c>
      <c r="G3014" s="59" t="n">
        <f aca="false">F3014-E3014</f>
        <v>0.000555555509259259</v>
      </c>
      <c r="H3014" s="57" t="s">
        <v>252</v>
      </c>
      <c r="I3014" s="57"/>
      <c r="J3014" s="57" t="s">
        <v>333</v>
      </c>
      <c r="K3014" s="57" t="s">
        <v>334</v>
      </c>
      <c r="L3014" s="60" t="s">
        <v>4290</v>
      </c>
      <c r="M3014" s="57" t="s">
        <v>336</v>
      </c>
      <c r="N3014" s="57" t="s">
        <v>381</v>
      </c>
      <c r="O3014" s="57" t="s">
        <v>729</v>
      </c>
      <c r="P3014" s="57" t="s">
        <v>4291</v>
      </c>
      <c r="Q3014" s="57" t="s">
        <v>698</v>
      </c>
    </row>
    <row r="3015" s="50" customFormat="true" ht="14.25" hidden="false" customHeight="true" outlineLevel="0" collapsed="false">
      <c r="A3015" s="50" t="s">
        <v>727</v>
      </c>
      <c r="B3015" s="57" t="s">
        <v>727</v>
      </c>
      <c r="C3015" s="57" t="s">
        <v>415</v>
      </c>
      <c r="D3015" s="58" t="n">
        <v>46061.5849652778</v>
      </c>
      <c r="E3015" s="58" t="n">
        <v>46061.5849652778</v>
      </c>
      <c r="F3015" s="58" t="n">
        <v>46061.5855208333</v>
      </c>
      <c r="G3015" s="59" t="n">
        <f aca="false">F3015-E3015</f>
        <v>0.000555555509259259</v>
      </c>
      <c r="H3015" s="57" t="s">
        <v>252</v>
      </c>
      <c r="I3015" s="57"/>
      <c r="J3015" s="57" t="s">
        <v>333</v>
      </c>
      <c r="K3015" s="57" t="s">
        <v>334</v>
      </c>
      <c r="L3015" s="60" t="s">
        <v>4292</v>
      </c>
      <c r="M3015" s="57" t="s">
        <v>336</v>
      </c>
      <c r="N3015" s="57" t="s">
        <v>381</v>
      </c>
      <c r="O3015" s="57" t="s">
        <v>729</v>
      </c>
      <c r="P3015" s="57" t="s">
        <v>4293</v>
      </c>
      <c r="Q3015" s="57" t="s">
        <v>698</v>
      </c>
    </row>
    <row r="3016" s="50" customFormat="true" ht="14.25" hidden="false" customHeight="true" outlineLevel="0" collapsed="false">
      <c r="A3016" s="50" t="s">
        <v>727</v>
      </c>
      <c r="B3016" s="57" t="s">
        <v>727</v>
      </c>
      <c r="C3016" s="57" t="s">
        <v>415</v>
      </c>
      <c r="D3016" s="58" t="n">
        <v>46061.5759490741</v>
      </c>
      <c r="E3016" s="58" t="n">
        <v>46061.5759490741</v>
      </c>
      <c r="F3016" s="58" t="n">
        <v>46061.5764583333</v>
      </c>
      <c r="G3016" s="59" t="n">
        <f aca="false">F3016-E3016</f>
        <v>0.000509259201388889</v>
      </c>
      <c r="H3016" s="57" t="s">
        <v>252</v>
      </c>
      <c r="I3016" s="57"/>
      <c r="J3016" s="57" t="s">
        <v>333</v>
      </c>
      <c r="K3016" s="57" t="s">
        <v>334</v>
      </c>
      <c r="L3016" s="60" t="s">
        <v>4294</v>
      </c>
      <c r="M3016" s="57" t="s">
        <v>336</v>
      </c>
      <c r="N3016" s="57" t="s">
        <v>381</v>
      </c>
      <c r="O3016" s="57" t="s">
        <v>729</v>
      </c>
      <c r="P3016" s="57" t="s">
        <v>4295</v>
      </c>
      <c r="Q3016" s="57" t="s">
        <v>698</v>
      </c>
    </row>
    <row r="3017" s="50" customFormat="true" ht="14.25" hidden="false" customHeight="true" outlineLevel="0" collapsed="false">
      <c r="A3017" s="50" t="s">
        <v>727</v>
      </c>
      <c r="B3017" s="57" t="s">
        <v>727</v>
      </c>
      <c r="C3017" s="57" t="s">
        <v>415</v>
      </c>
      <c r="D3017" s="58" t="n">
        <v>46061.5467708333</v>
      </c>
      <c r="E3017" s="58" t="n">
        <v>46061.5467708333</v>
      </c>
      <c r="F3017" s="58" t="n">
        <v>46061.5472916667</v>
      </c>
      <c r="G3017" s="59" t="n">
        <f aca="false">F3017-E3017</f>
        <v>0.000520833391203704</v>
      </c>
      <c r="H3017" s="57" t="s">
        <v>252</v>
      </c>
      <c r="I3017" s="57"/>
      <c r="J3017" s="57" t="s">
        <v>333</v>
      </c>
      <c r="K3017" s="57" t="s">
        <v>334</v>
      </c>
      <c r="L3017" s="60" t="s">
        <v>4296</v>
      </c>
      <c r="M3017" s="57" t="s">
        <v>336</v>
      </c>
      <c r="N3017" s="57" t="s">
        <v>381</v>
      </c>
      <c r="O3017" s="57" t="s">
        <v>729</v>
      </c>
      <c r="P3017" s="57" t="s">
        <v>4297</v>
      </c>
      <c r="Q3017" s="57" t="s">
        <v>698</v>
      </c>
    </row>
    <row r="3018" s="50" customFormat="true" ht="14.25" hidden="false" customHeight="true" outlineLevel="0" collapsed="false">
      <c r="A3018" s="50" t="s">
        <v>727</v>
      </c>
      <c r="B3018" s="57" t="s">
        <v>727</v>
      </c>
      <c r="C3018" s="57" t="s">
        <v>415</v>
      </c>
      <c r="D3018" s="58" t="n">
        <v>46061.5165740741</v>
      </c>
      <c r="E3018" s="58" t="n">
        <v>46061.5165740741</v>
      </c>
      <c r="F3018" s="58" t="n">
        <v>46061.5177083333</v>
      </c>
      <c r="G3018" s="59" t="n">
        <f aca="false">F3018-E3018</f>
        <v>0.00113425920138889</v>
      </c>
      <c r="H3018" s="57" t="s">
        <v>252</v>
      </c>
      <c r="I3018" s="57"/>
      <c r="J3018" s="57" t="s">
        <v>333</v>
      </c>
      <c r="K3018" s="57" t="s">
        <v>334</v>
      </c>
      <c r="L3018" s="60" t="s">
        <v>4298</v>
      </c>
      <c r="M3018" s="57" t="s">
        <v>336</v>
      </c>
      <c r="N3018" s="57" t="s">
        <v>381</v>
      </c>
      <c r="O3018" s="57" t="s">
        <v>729</v>
      </c>
      <c r="P3018" s="57" t="s">
        <v>4299</v>
      </c>
      <c r="Q3018" s="57" t="s">
        <v>698</v>
      </c>
    </row>
    <row r="3019" s="50" customFormat="true" ht="14.25" hidden="false" customHeight="true" outlineLevel="0" collapsed="false">
      <c r="A3019" s="50" t="s">
        <v>727</v>
      </c>
      <c r="B3019" s="57" t="s">
        <v>727</v>
      </c>
      <c r="C3019" s="57" t="s">
        <v>415</v>
      </c>
      <c r="D3019" s="58" t="n">
        <v>46061.4953703704</v>
      </c>
      <c r="E3019" s="58" t="n">
        <v>46061.4953703704</v>
      </c>
      <c r="F3019" s="58" t="n">
        <v>46061.4959143519</v>
      </c>
      <c r="G3019" s="59" t="n">
        <f aca="false">F3019-E3019</f>
        <v>0.00054398150462963</v>
      </c>
      <c r="H3019" s="57" t="s">
        <v>252</v>
      </c>
      <c r="I3019" s="57"/>
      <c r="J3019" s="57" t="s">
        <v>333</v>
      </c>
      <c r="K3019" s="57" t="s">
        <v>334</v>
      </c>
      <c r="L3019" s="60" t="s">
        <v>4300</v>
      </c>
      <c r="M3019" s="57" t="s">
        <v>336</v>
      </c>
      <c r="N3019" s="57" t="s">
        <v>381</v>
      </c>
      <c r="O3019" s="57" t="s">
        <v>729</v>
      </c>
      <c r="P3019" s="57" t="s">
        <v>4301</v>
      </c>
      <c r="Q3019" s="57" t="s">
        <v>698</v>
      </c>
    </row>
    <row r="3020" s="50" customFormat="true" ht="14.25" hidden="false" customHeight="true" outlineLevel="0" collapsed="false">
      <c r="A3020" s="50" t="s">
        <v>727</v>
      </c>
      <c r="B3020" s="57" t="s">
        <v>727</v>
      </c>
      <c r="C3020" s="57" t="s">
        <v>415</v>
      </c>
      <c r="D3020" s="58" t="n">
        <v>46061.4809953704</v>
      </c>
      <c r="E3020" s="58" t="n">
        <v>46061.4809953704</v>
      </c>
      <c r="F3020" s="58" t="n">
        <v>46061.4822337963</v>
      </c>
      <c r="G3020" s="59" t="n">
        <f aca="false">F3020-E3020</f>
        <v>0.0012384258912037</v>
      </c>
      <c r="H3020" s="57" t="s">
        <v>252</v>
      </c>
      <c r="I3020" s="57"/>
      <c r="J3020" s="57" t="s">
        <v>333</v>
      </c>
      <c r="K3020" s="57" t="s">
        <v>334</v>
      </c>
      <c r="L3020" s="60" t="s">
        <v>4302</v>
      </c>
      <c r="M3020" s="57" t="s">
        <v>336</v>
      </c>
      <c r="N3020" s="57" t="s">
        <v>381</v>
      </c>
      <c r="O3020" s="57" t="s">
        <v>729</v>
      </c>
      <c r="P3020" s="57" t="s">
        <v>4303</v>
      </c>
      <c r="Q3020" s="57" t="s">
        <v>698</v>
      </c>
    </row>
    <row r="3021" s="50" customFormat="true" ht="14.25" hidden="false" customHeight="true" outlineLevel="0" collapsed="false">
      <c r="A3021" s="50" t="s">
        <v>727</v>
      </c>
      <c r="B3021" s="57" t="s">
        <v>727</v>
      </c>
      <c r="C3021" s="57" t="s">
        <v>415</v>
      </c>
      <c r="D3021" s="58" t="n">
        <v>46061.4771759259</v>
      </c>
      <c r="E3021" s="58" t="n">
        <v>46061.4771759259</v>
      </c>
      <c r="F3021" s="58" t="n">
        <v>46061.4776967593</v>
      </c>
      <c r="G3021" s="59" t="n">
        <f aca="false">F3021-E3021</f>
        <v>0.000520833391203704</v>
      </c>
      <c r="H3021" s="57" t="s">
        <v>252</v>
      </c>
      <c r="I3021" s="57"/>
      <c r="J3021" s="57" t="s">
        <v>333</v>
      </c>
      <c r="K3021" s="57" t="s">
        <v>334</v>
      </c>
      <c r="L3021" s="60" t="s">
        <v>4304</v>
      </c>
      <c r="M3021" s="57" t="s">
        <v>336</v>
      </c>
      <c r="N3021" s="57" t="s">
        <v>381</v>
      </c>
      <c r="O3021" s="57" t="s">
        <v>729</v>
      </c>
      <c r="P3021" s="57" t="s">
        <v>4305</v>
      </c>
      <c r="Q3021" s="57" t="s">
        <v>698</v>
      </c>
    </row>
    <row r="3022" s="50" customFormat="true" ht="14.25" hidden="false" customHeight="true" outlineLevel="0" collapsed="false">
      <c r="A3022" s="50" t="s">
        <v>727</v>
      </c>
      <c r="B3022" s="57" t="s">
        <v>727</v>
      </c>
      <c r="C3022" s="57" t="s">
        <v>415</v>
      </c>
      <c r="D3022" s="58" t="n">
        <v>46061.4634375</v>
      </c>
      <c r="E3022" s="58" t="n">
        <v>46061.4634375</v>
      </c>
      <c r="F3022" s="58" t="n">
        <v>46061.4639814815</v>
      </c>
      <c r="G3022" s="59" t="n">
        <f aca="false">F3022-E3022</f>
        <v>0.00054398150462963</v>
      </c>
      <c r="H3022" s="57" t="s">
        <v>252</v>
      </c>
      <c r="I3022" s="57"/>
      <c r="J3022" s="57" t="s">
        <v>333</v>
      </c>
      <c r="K3022" s="57" t="s">
        <v>334</v>
      </c>
      <c r="L3022" s="60" t="s">
        <v>4306</v>
      </c>
      <c r="M3022" s="57" t="s">
        <v>336</v>
      </c>
      <c r="N3022" s="57" t="s">
        <v>381</v>
      </c>
      <c r="O3022" s="57" t="s">
        <v>729</v>
      </c>
      <c r="P3022" s="57" t="s">
        <v>4307</v>
      </c>
      <c r="Q3022" s="57" t="s">
        <v>698</v>
      </c>
    </row>
    <row r="3023" s="50" customFormat="true" ht="14.25" hidden="false" customHeight="true" outlineLevel="0" collapsed="false">
      <c r="A3023" s="50" t="s">
        <v>727</v>
      </c>
      <c r="B3023" s="57" t="s">
        <v>727</v>
      </c>
      <c r="C3023" s="57" t="s">
        <v>415</v>
      </c>
      <c r="D3023" s="58" t="n">
        <v>46061.445162037</v>
      </c>
      <c r="E3023" s="58" t="n">
        <v>46061.445162037</v>
      </c>
      <c r="F3023" s="58" t="n">
        <v>46061.4457060185</v>
      </c>
      <c r="G3023" s="59" t="n">
        <f aca="false">F3023-E3023</f>
        <v>0.00054398150462963</v>
      </c>
      <c r="H3023" s="57" t="s">
        <v>252</v>
      </c>
      <c r="I3023" s="57"/>
      <c r="J3023" s="57" t="s">
        <v>333</v>
      </c>
      <c r="K3023" s="57" t="s">
        <v>334</v>
      </c>
      <c r="L3023" s="60" t="s">
        <v>4308</v>
      </c>
      <c r="M3023" s="57" t="s">
        <v>336</v>
      </c>
      <c r="N3023" s="57" t="s">
        <v>381</v>
      </c>
      <c r="O3023" s="57" t="s">
        <v>729</v>
      </c>
      <c r="P3023" s="57" t="s">
        <v>4309</v>
      </c>
      <c r="Q3023" s="57" t="s">
        <v>698</v>
      </c>
    </row>
    <row r="3024" s="50" customFormat="true" ht="14.25" hidden="false" customHeight="true" outlineLevel="0" collapsed="false">
      <c r="A3024" s="50" t="s">
        <v>727</v>
      </c>
      <c r="B3024" s="57" t="s">
        <v>727</v>
      </c>
      <c r="C3024" s="57" t="s">
        <v>415</v>
      </c>
      <c r="D3024" s="58" t="n">
        <v>46061.4336226852</v>
      </c>
      <c r="E3024" s="58" t="n">
        <v>46061.4336226852</v>
      </c>
      <c r="F3024" s="58" t="n">
        <v>46061.4341435185</v>
      </c>
      <c r="G3024" s="59" t="n">
        <f aca="false">F3024-E3024</f>
        <v>0.000520833298611111</v>
      </c>
      <c r="H3024" s="57" t="s">
        <v>252</v>
      </c>
      <c r="I3024" s="57"/>
      <c r="J3024" s="57" t="s">
        <v>333</v>
      </c>
      <c r="K3024" s="57" t="s">
        <v>334</v>
      </c>
      <c r="L3024" s="60" t="s">
        <v>4310</v>
      </c>
      <c r="M3024" s="57" t="s">
        <v>336</v>
      </c>
      <c r="N3024" s="57" t="s">
        <v>381</v>
      </c>
      <c r="O3024" s="57" t="s">
        <v>729</v>
      </c>
      <c r="P3024" s="57" t="s">
        <v>4311</v>
      </c>
      <c r="Q3024" s="57" t="s">
        <v>698</v>
      </c>
    </row>
    <row r="3025" s="50" customFormat="true" ht="14.25" hidden="false" customHeight="true" outlineLevel="0" collapsed="false">
      <c r="A3025" s="50" t="s">
        <v>727</v>
      </c>
      <c r="B3025" s="57" t="s">
        <v>727</v>
      </c>
      <c r="C3025" s="57" t="s">
        <v>415</v>
      </c>
      <c r="D3025" s="58" t="n">
        <v>46061.4177777778</v>
      </c>
      <c r="E3025" s="58" t="n">
        <v>46061.4177777778</v>
      </c>
      <c r="F3025" s="58" t="n">
        <v>46061.418275463</v>
      </c>
      <c r="G3025" s="59" t="n">
        <f aca="false">F3025-E3025</f>
        <v>0.000497685196759259</v>
      </c>
      <c r="H3025" s="57" t="s">
        <v>252</v>
      </c>
      <c r="I3025" s="57"/>
      <c r="J3025" s="57" t="s">
        <v>333</v>
      </c>
      <c r="K3025" s="57" t="s">
        <v>334</v>
      </c>
      <c r="L3025" s="60" t="s">
        <v>4312</v>
      </c>
      <c r="M3025" s="57" t="s">
        <v>336</v>
      </c>
      <c r="N3025" s="57" t="s">
        <v>381</v>
      </c>
      <c r="O3025" s="57" t="s">
        <v>729</v>
      </c>
      <c r="P3025" s="57" t="s">
        <v>4313</v>
      </c>
      <c r="Q3025" s="57" t="s">
        <v>698</v>
      </c>
    </row>
    <row r="3026" s="50" customFormat="true" ht="14.25" hidden="false" customHeight="true" outlineLevel="0" collapsed="false">
      <c r="A3026" s="50" t="s">
        <v>727</v>
      </c>
      <c r="B3026" s="57" t="s">
        <v>727</v>
      </c>
      <c r="C3026" s="57" t="s">
        <v>415</v>
      </c>
      <c r="D3026" s="58" t="n">
        <v>46061.4105324074</v>
      </c>
      <c r="E3026" s="58" t="n">
        <v>46061.4105324074</v>
      </c>
      <c r="F3026" s="58" t="n">
        <v>46061.4110416667</v>
      </c>
      <c r="G3026" s="59" t="n">
        <f aca="false">F3026-E3026</f>
        <v>0.000509259305555556</v>
      </c>
      <c r="H3026" s="57" t="s">
        <v>252</v>
      </c>
      <c r="I3026" s="57"/>
      <c r="J3026" s="57" t="s">
        <v>333</v>
      </c>
      <c r="K3026" s="57" t="s">
        <v>334</v>
      </c>
      <c r="L3026" s="60" t="s">
        <v>4314</v>
      </c>
      <c r="M3026" s="57" t="s">
        <v>336</v>
      </c>
      <c r="N3026" s="57" t="s">
        <v>381</v>
      </c>
      <c r="O3026" s="57" t="s">
        <v>729</v>
      </c>
      <c r="P3026" s="57" t="s">
        <v>4315</v>
      </c>
      <c r="Q3026" s="57" t="s">
        <v>698</v>
      </c>
    </row>
    <row r="3027" s="50" customFormat="true" ht="14.25" hidden="false" customHeight="true" outlineLevel="0" collapsed="false">
      <c r="A3027" s="50" t="s">
        <v>727</v>
      </c>
      <c r="B3027" s="57" t="s">
        <v>727</v>
      </c>
      <c r="C3027" s="57" t="s">
        <v>415</v>
      </c>
      <c r="D3027" s="58" t="n">
        <v>46061.3727546296</v>
      </c>
      <c r="E3027" s="58" t="n">
        <v>46061.3727546296</v>
      </c>
      <c r="F3027" s="58" t="n">
        <v>46061.3732986111</v>
      </c>
      <c r="G3027" s="59" t="n">
        <f aca="false">F3027-E3027</f>
        <v>0.00054398150462963</v>
      </c>
      <c r="H3027" s="57" t="s">
        <v>252</v>
      </c>
      <c r="I3027" s="57"/>
      <c r="J3027" s="57" t="s">
        <v>333</v>
      </c>
      <c r="K3027" s="57" t="s">
        <v>334</v>
      </c>
      <c r="L3027" s="60" t="s">
        <v>4316</v>
      </c>
      <c r="M3027" s="57" t="s">
        <v>336</v>
      </c>
      <c r="N3027" s="57" t="s">
        <v>381</v>
      </c>
      <c r="O3027" s="57" t="s">
        <v>729</v>
      </c>
      <c r="P3027" s="57" t="s">
        <v>4317</v>
      </c>
      <c r="Q3027" s="57" t="s">
        <v>698</v>
      </c>
    </row>
    <row r="3028" s="50" customFormat="true" ht="14.25" hidden="false" customHeight="true" outlineLevel="0" collapsed="false">
      <c r="A3028" s="50" t="s">
        <v>727</v>
      </c>
      <c r="B3028" s="57" t="s">
        <v>727</v>
      </c>
      <c r="C3028" s="57" t="s">
        <v>415</v>
      </c>
      <c r="D3028" s="58" t="n">
        <v>46061.3611226852</v>
      </c>
      <c r="E3028" s="58" t="n">
        <v>46061.3611226852</v>
      </c>
      <c r="F3028" s="58" t="n">
        <v>46061.3616435185</v>
      </c>
      <c r="G3028" s="59" t="n">
        <f aca="false">F3028-E3028</f>
        <v>0.000520833298611111</v>
      </c>
      <c r="H3028" s="57" t="s">
        <v>252</v>
      </c>
      <c r="I3028" s="57"/>
      <c r="J3028" s="57" t="s">
        <v>333</v>
      </c>
      <c r="K3028" s="57" t="s">
        <v>334</v>
      </c>
      <c r="L3028" s="60" t="s">
        <v>4318</v>
      </c>
      <c r="M3028" s="57" t="s">
        <v>336</v>
      </c>
      <c r="N3028" s="57" t="s">
        <v>381</v>
      </c>
      <c r="O3028" s="57" t="s">
        <v>729</v>
      </c>
      <c r="P3028" s="57" t="s">
        <v>4319</v>
      </c>
      <c r="Q3028" s="57" t="s">
        <v>698</v>
      </c>
    </row>
    <row r="3029" s="50" customFormat="true" ht="14.25" hidden="false" customHeight="true" outlineLevel="0" collapsed="false">
      <c r="A3029" s="50" t="s">
        <v>727</v>
      </c>
      <c r="B3029" s="57" t="s">
        <v>727</v>
      </c>
      <c r="C3029" s="57" t="s">
        <v>415</v>
      </c>
      <c r="D3029" s="58" t="n">
        <v>46061.3492939815</v>
      </c>
      <c r="E3029" s="58" t="n">
        <v>46061.3492939815</v>
      </c>
      <c r="F3029" s="58" t="n">
        <v>46061.3498032407</v>
      </c>
      <c r="G3029" s="59" t="n">
        <f aca="false">F3029-E3029</f>
        <v>0.000509259201388889</v>
      </c>
      <c r="H3029" s="57" t="s">
        <v>252</v>
      </c>
      <c r="I3029" s="57"/>
      <c r="J3029" s="57" t="s">
        <v>333</v>
      </c>
      <c r="K3029" s="57" t="s">
        <v>334</v>
      </c>
      <c r="L3029" s="60" t="s">
        <v>4320</v>
      </c>
      <c r="M3029" s="57" t="s">
        <v>336</v>
      </c>
      <c r="N3029" s="57" t="s">
        <v>381</v>
      </c>
      <c r="O3029" s="57" t="s">
        <v>729</v>
      </c>
      <c r="P3029" s="57" t="s">
        <v>4321</v>
      </c>
      <c r="Q3029" s="57" t="s">
        <v>698</v>
      </c>
    </row>
    <row r="3030" s="50" customFormat="true" ht="14.25" hidden="false" customHeight="true" outlineLevel="0" collapsed="false">
      <c r="A3030" s="50" t="s">
        <v>727</v>
      </c>
      <c r="B3030" s="57" t="s">
        <v>727</v>
      </c>
      <c r="C3030" s="57" t="s">
        <v>415</v>
      </c>
      <c r="D3030" s="58" t="n">
        <v>46061.3380324074</v>
      </c>
      <c r="E3030" s="58" t="n">
        <v>46061.3380324074</v>
      </c>
      <c r="F3030" s="58" t="n">
        <v>46061.3385532407</v>
      </c>
      <c r="G3030" s="59" t="n">
        <f aca="false">F3030-E3030</f>
        <v>0.000520833298611111</v>
      </c>
      <c r="H3030" s="57" t="s">
        <v>252</v>
      </c>
      <c r="I3030" s="57"/>
      <c r="J3030" s="57" t="s">
        <v>333</v>
      </c>
      <c r="K3030" s="57" t="s">
        <v>334</v>
      </c>
      <c r="L3030" s="60" t="s">
        <v>4322</v>
      </c>
      <c r="M3030" s="57" t="s">
        <v>336</v>
      </c>
      <c r="N3030" s="57" t="s">
        <v>381</v>
      </c>
      <c r="O3030" s="57" t="s">
        <v>729</v>
      </c>
      <c r="P3030" s="57" t="s">
        <v>4323</v>
      </c>
      <c r="Q3030" s="57" t="s">
        <v>698</v>
      </c>
    </row>
    <row r="3031" s="50" customFormat="true" ht="14.25" hidden="false" customHeight="true" outlineLevel="0" collapsed="false">
      <c r="A3031" s="50" t="s">
        <v>727</v>
      </c>
      <c r="B3031" s="57" t="s">
        <v>727</v>
      </c>
      <c r="C3031" s="57" t="s">
        <v>415</v>
      </c>
      <c r="D3031" s="58" t="n">
        <v>46061.2406828704</v>
      </c>
      <c r="E3031" s="58" t="n">
        <v>46061.2406828704</v>
      </c>
      <c r="F3031" s="58" t="n">
        <v>46061.2709490741</v>
      </c>
      <c r="G3031" s="59" t="n">
        <f aca="false">F3031-E3031</f>
        <v>0.0302662037037037</v>
      </c>
      <c r="H3031" s="57" t="s">
        <v>252</v>
      </c>
      <c r="I3031" s="57"/>
      <c r="J3031" s="57" t="s">
        <v>333</v>
      </c>
      <c r="K3031" s="57" t="s">
        <v>334</v>
      </c>
      <c r="L3031" s="60" t="s">
        <v>4324</v>
      </c>
      <c r="M3031" s="57" t="s">
        <v>336</v>
      </c>
      <c r="N3031" s="57" t="s">
        <v>381</v>
      </c>
      <c r="O3031" s="57" t="s">
        <v>729</v>
      </c>
      <c r="P3031" s="57" t="s">
        <v>4325</v>
      </c>
      <c r="Q3031" s="57" t="s">
        <v>698</v>
      </c>
    </row>
    <row r="3032" s="50" customFormat="true" ht="14.25" hidden="false" customHeight="true" outlineLevel="0" collapsed="false">
      <c r="A3032" s="50" t="s">
        <v>727</v>
      </c>
      <c r="B3032" s="57" t="s">
        <v>727</v>
      </c>
      <c r="C3032" s="57" t="s">
        <v>415</v>
      </c>
      <c r="D3032" s="58" t="n">
        <v>46061.2402893519</v>
      </c>
      <c r="E3032" s="58" t="n">
        <v>46061.2402893519</v>
      </c>
      <c r="F3032" s="58" t="n">
        <v>46061.2709490741</v>
      </c>
      <c r="G3032" s="59" t="n">
        <f aca="false">F3032-E3032</f>
        <v>0.0306597221990741</v>
      </c>
      <c r="H3032" s="57" t="s">
        <v>252</v>
      </c>
      <c r="I3032" s="57"/>
      <c r="J3032" s="57" t="s">
        <v>333</v>
      </c>
      <c r="K3032" s="57" t="s">
        <v>334</v>
      </c>
      <c r="L3032" s="60" t="s">
        <v>4326</v>
      </c>
      <c r="M3032" s="57" t="s">
        <v>336</v>
      </c>
      <c r="N3032" s="57" t="s">
        <v>381</v>
      </c>
      <c r="O3032" s="57" t="s">
        <v>729</v>
      </c>
      <c r="P3032" s="57" t="s">
        <v>4327</v>
      </c>
      <c r="Q3032" s="57" t="s">
        <v>698</v>
      </c>
    </row>
    <row r="3033" s="50" customFormat="true" ht="14.25" hidden="false" customHeight="true" outlineLevel="0" collapsed="false">
      <c r="A3033" s="50" t="s">
        <v>727</v>
      </c>
      <c r="B3033" s="57" t="s">
        <v>727</v>
      </c>
      <c r="C3033" s="57" t="s">
        <v>415</v>
      </c>
      <c r="D3033" s="58" t="n">
        <v>46060.74875</v>
      </c>
      <c r="E3033" s="58" t="n">
        <v>46060.74875</v>
      </c>
      <c r="F3033" s="58" t="n">
        <v>46060.788287037</v>
      </c>
      <c r="G3033" s="59" t="n">
        <f aca="false">F3033-E3033</f>
        <v>0.0395370370023148</v>
      </c>
      <c r="H3033" s="57" t="s">
        <v>252</v>
      </c>
      <c r="I3033" s="57"/>
      <c r="J3033" s="57" t="s">
        <v>333</v>
      </c>
      <c r="K3033" s="57" t="s">
        <v>334</v>
      </c>
      <c r="L3033" s="60" t="s">
        <v>4328</v>
      </c>
      <c r="M3033" s="57" t="s">
        <v>336</v>
      </c>
      <c r="N3033" s="57" t="s">
        <v>381</v>
      </c>
      <c r="O3033" s="57" t="s">
        <v>729</v>
      </c>
      <c r="P3033" s="57" t="s">
        <v>4329</v>
      </c>
      <c r="Q3033" s="57" t="s">
        <v>698</v>
      </c>
    </row>
    <row r="3034" s="50" customFormat="true" ht="14.25" hidden="false" customHeight="true" outlineLevel="0" collapsed="false">
      <c r="A3034" s="50" t="s">
        <v>727</v>
      </c>
      <c r="B3034" s="57" t="s">
        <v>727</v>
      </c>
      <c r="C3034" s="57" t="s">
        <v>415</v>
      </c>
      <c r="D3034" s="58" t="n">
        <v>46060.7474421296</v>
      </c>
      <c r="E3034" s="58" t="n">
        <v>46060.7474421296</v>
      </c>
      <c r="F3034" s="58" t="n">
        <v>46060.7479513889</v>
      </c>
      <c r="G3034" s="59" t="n">
        <f aca="false">F3034-E3034</f>
        <v>0.000509259293981482</v>
      </c>
      <c r="H3034" s="57" t="s">
        <v>252</v>
      </c>
      <c r="I3034" s="57"/>
      <c r="J3034" s="57" t="s">
        <v>333</v>
      </c>
      <c r="K3034" s="57" t="s">
        <v>334</v>
      </c>
      <c r="L3034" s="60" t="s">
        <v>4330</v>
      </c>
      <c r="M3034" s="57" t="s">
        <v>336</v>
      </c>
      <c r="N3034" s="57" t="s">
        <v>381</v>
      </c>
      <c r="O3034" s="57" t="s">
        <v>729</v>
      </c>
      <c r="P3034" s="57" t="s">
        <v>4331</v>
      </c>
      <c r="Q3034" s="57" t="s">
        <v>698</v>
      </c>
    </row>
    <row r="3035" s="50" customFormat="true" ht="14.25" hidden="false" customHeight="true" outlineLevel="0" collapsed="false">
      <c r="A3035" s="50" t="s">
        <v>727</v>
      </c>
      <c r="B3035" s="57" t="s">
        <v>727</v>
      </c>
      <c r="C3035" s="57" t="s">
        <v>415</v>
      </c>
      <c r="D3035" s="58" t="n">
        <v>46060.6263078704</v>
      </c>
      <c r="E3035" s="58" t="n">
        <v>46060.6263078704</v>
      </c>
      <c r="F3035" s="58" t="n">
        <v>46060.6268055556</v>
      </c>
      <c r="G3035" s="59" t="n">
        <f aca="false">F3035-E3035</f>
        <v>0.000497685196759259</v>
      </c>
      <c r="H3035" s="57" t="s">
        <v>252</v>
      </c>
      <c r="I3035" s="57"/>
      <c r="J3035" s="57" t="s">
        <v>333</v>
      </c>
      <c r="K3035" s="57" t="s">
        <v>334</v>
      </c>
      <c r="L3035" s="60" t="s">
        <v>4332</v>
      </c>
      <c r="M3035" s="57" t="s">
        <v>336</v>
      </c>
      <c r="N3035" s="57" t="s">
        <v>381</v>
      </c>
      <c r="O3035" s="57" t="s">
        <v>729</v>
      </c>
      <c r="P3035" s="57" t="s">
        <v>4333</v>
      </c>
      <c r="Q3035" s="57" t="s">
        <v>698</v>
      </c>
    </row>
    <row r="3036" s="50" customFormat="true" ht="14.25" hidden="false" customHeight="true" outlineLevel="0" collapsed="false">
      <c r="A3036" s="50" t="s">
        <v>727</v>
      </c>
      <c r="B3036" s="57" t="s">
        <v>727</v>
      </c>
      <c r="C3036" s="57" t="s">
        <v>415</v>
      </c>
      <c r="D3036" s="58" t="n">
        <v>46060.6017476852</v>
      </c>
      <c r="E3036" s="58" t="n">
        <v>46060.6017476852</v>
      </c>
      <c r="F3036" s="58" t="n">
        <v>46060.6022685185</v>
      </c>
      <c r="G3036" s="59" t="n">
        <f aca="false">F3036-E3036</f>
        <v>0.000520833298611111</v>
      </c>
      <c r="H3036" s="57" t="s">
        <v>252</v>
      </c>
      <c r="I3036" s="57"/>
      <c r="J3036" s="57" t="s">
        <v>333</v>
      </c>
      <c r="K3036" s="57" t="s">
        <v>334</v>
      </c>
      <c r="L3036" s="60" t="s">
        <v>4334</v>
      </c>
      <c r="M3036" s="57" t="s">
        <v>336</v>
      </c>
      <c r="N3036" s="57" t="s">
        <v>381</v>
      </c>
      <c r="O3036" s="57" t="s">
        <v>729</v>
      </c>
      <c r="P3036" s="57" t="s">
        <v>4335</v>
      </c>
      <c r="Q3036" s="57" t="s">
        <v>698</v>
      </c>
    </row>
    <row r="3037" s="50" customFormat="true" ht="14.25" hidden="false" customHeight="true" outlineLevel="0" collapsed="false">
      <c r="A3037" s="50" t="s">
        <v>727</v>
      </c>
      <c r="B3037" s="57" t="s">
        <v>727</v>
      </c>
      <c r="C3037" s="57" t="s">
        <v>415</v>
      </c>
      <c r="D3037" s="58" t="n">
        <v>46060.5768634259</v>
      </c>
      <c r="E3037" s="58" t="n">
        <v>46060.5768634259</v>
      </c>
      <c r="F3037" s="58" t="n">
        <v>46060.5773842593</v>
      </c>
      <c r="G3037" s="59" t="n">
        <f aca="false">F3037-E3037</f>
        <v>0.000520833391203704</v>
      </c>
      <c r="H3037" s="57" t="s">
        <v>252</v>
      </c>
      <c r="I3037" s="57"/>
      <c r="J3037" s="57" t="s">
        <v>333</v>
      </c>
      <c r="K3037" s="57" t="s">
        <v>334</v>
      </c>
      <c r="L3037" s="60" t="s">
        <v>4336</v>
      </c>
      <c r="M3037" s="57" t="s">
        <v>336</v>
      </c>
      <c r="N3037" s="57" t="s">
        <v>381</v>
      </c>
      <c r="O3037" s="57" t="s">
        <v>729</v>
      </c>
      <c r="P3037" s="57" t="s">
        <v>4337</v>
      </c>
      <c r="Q3037" s="57" t="s">
        <v>698</v>
      </c>
    </row>
    <row r="3038" s="50" customFormat="true" ht="14.25" hidden="false" customHeight="true" outlineLevel="0" collapsed="false">
      <c r="A3038" s="50" t="s">
        <v>727</v>
      </c>
      <c r="B3038" s="57" t="s">
        <v>727</v>
      </c>
      <c r="C3038" s="57" t="s">
        <v>415</v>
      </c>
      <c r="D3038" s="58" t="n">
        <v>46060.5659837963</v>
      </c>
      <c r="E3038" s="58" t="n">
        <v>46060.5659837963</v>
      </c>
      <c r="F3038" s="58" t="n">
        <v>46060.5665046296</v>
      </c>
      <c r="G3038" s="59" t="n">
        <f aca="false">F3038-E3038</f>
        <v>0.000520833298611111</v>
      </c>
      <c r="H3038" s="57" t="s">
        <v>252</v>
      </c>
      <c r="I3038" s="57"/>
      <c r="J3038" s="57" t="s">
        <v>333</v>
      </c>
      <c r="K3038" s="57" t="s">
        <v>334</v>
      </c>
      <c r="L3038" s="60" t="s">
        <v>4338</v>
      </c>
      <c r="M3038" s="57" t="s">
        <v>336</v>
      </c>
      <c r="N3038" s="57" t="s">
        <v>381</v>
      </c>
      <c r="O3038" s="57" t="s">
        <v>729</v>
      </c>
      <c r="P3038" s="57" t="s">
        <v>4339</v>
      </c>
      <c r="Q3038" s="57" t="s">
        <v>698</v>
      </c>
    </row>
    <row r="3039" s="50" customFormat="true" ht="14.25" hidden="false" customHeight="true" outlineLevel="0" collapsed="false">
      <c r="A3039" s="50" t="s">
        <v>727</v>
      </c>
      <c r="B3039" s="57" t="s">
        <v>727</v>
      </c>
      <c r="C3039" s="57" t="s">
        <v>415</v>
      </c>
      <c r="D3039" s="58" t="n">
        <v>46060.5493518519</v>
      </c>
      <c r="E3039" s="58" t="n">
        <v>46060.5493518519</v>
      </c>
      <c r="F3039" s="58" t="n">
        <v>46060.5498958333</v>
      </c>
      <c r="G3039" s="59" t="n">
        <f aca="false">F3039-E3039</f>
        <v>0.000543981400462963</v>
      </c>
      <c r="H3039" s="57" t="s">
        <v>252</v>
      </c>
      <c r="I3039" s="57"/>
      <c r="J3039" s="57" t="s">
        <v>333</v>
      </c>
      <c r="K3039" s="57" t="s">
        <v>334</v>
      </c>
      <c r="L3039" s="60" t="s">
        <v>4340</v>
      </c>
      <c r="M3039" s="57" t="s">
        <v>336</v>
      </c>
      <c r="N3039" s="57" t="s">
        <v>381</v>
      </c>
      <c r="O3039" s="57" t="s">
        <v>729</v>
      </c>
      <c r="P3039" s="57" t="s">
        <v>4341</v>
      </c>
      <c r="Q3039" s="57" t="s">
        <v>698</v>
      </c>
    </row>
    <row r="3040" s="50" customFormat="true" ht="14.25" hidden="false" customHeight="true" outlineLevel="0" collapsed="false">
      <c r="A3040" s="50" t="s">
        <v>727</v>
      </c>
      <c r="B3040" s="57" t="s">
        <v>727</v>
      </c>
      <c r="C3040" s="57" t="s">
        <v>415</v>
      </c>
      <c r="D3040" s="58" t="n">
        <v>46060.536099537</v>
      </c>
      <c r="E3040" s="58" t="n">
        <v>46060.536099537</v>
      </c>
      <c r="F3040" s="58" t="n">
        <v>46060.5387731481</v>
      </c>
      <c r="G3040" s="59" t="n">
        <f aca="false">F3040-E3040</f>
        <v>0.00267361111111111</v>
      </c>
      <c r="H3040" s="57" t="s">
        <v>252</v>
      </c>
      <c r="I3040" s="57"/>
      <c r="J3040" s="57" t="s">
        <v>333</v>
      </c>
      <c r="K3040" s="57" t="s">
        <v>334</v>
      </c>
      <c r="L3040" s="60" t="s">
        <v>4342</v>
      </c>
      <c r="M3040" s="57" t="s">
        <v>336</v>
      </c>
      <c r="N3040" s="57" t="s">
        <v>381</v>
      </c>
      <c r="O3040" s="57" t="s">
        <v>729</v>
      </c>
      <c r="P3040" s="57" t="s">
        <v>4343</v>
      </c>
      <c r="Q3040" s="57" t="s">
        <v>698</v>
      </c>
    </row>
    <row r="3041" s="50" customFormat="true" ht="14.25" hidden="false" customHeight="true" outlineLevel="0" collapsed="false">
      <c r="A3041" s="50" t="s">
        <v>727</v>
      </c>
      <c r="B3041" s="57" t="s">
        <v>727</v>
      </c>
      <c r="C3041" s="57" t="s">
        <v>415</v>
      </c>
      <c r="D3041" s="58" t="n">
        <v>46060.5217592593</v>
      </c>
      <c r="E3041" s="58" t="n">
        <v>46060.5217592593</v>
      </c>
      <c r="F3041" s="58" t="n">
        <v>46060.5227314815</v>
      </c>
      <c r="G3041" s="59" t="n">
        <f aca="false">F3041-E3041</f>
        <v>0.000972222199074074</v>
      </c>
      <c r="H3041" s="57" t="s">
        <v>252</v>
      </c>
      <c r="I3041" s="57"/>
      <c r="J3041" s="57" t="s">
        <v>333</v>
      </c>
      <c r="K3041" s="57" t="s">
        <v>334</v>
      </c>
      <c r="L3041" s="60" t="s">
        <v>4344</v>
      </c>
      <c r="M3041" s="57" t="s">
        <v>336</v>
      </c>
      <c r="N3041" s="57" t="s">
        <v>381</v>
      </c>
      <c r="O3041" s="57" t="s">
        <v>729</v>
      </c>
      <c r="P3041" s="57" t="s">
        <v>4345</v>
      </c>
      <c r="Q3041" s="57" t="s">
        <v>698</v>
      </c>
    </row>
    <row r="3042" s="50" customFormat="true" ht="14.25" hidden="false" customHeight="true" outlineLevel="0" collapsed="false">
      <c r="A3042" s="50" t="s">
        <v>727</v>
      </c>
      <c r="B3042" s="57" t="s">
        <v>727</v>
      </c>
      <c r="C3042" s="57" t="s">
        <v>415</v>
      </c>
      <c r="D3042" s="58" t="n">
        <v>46060.5198842593</v>
      </c>
      <c r="E3042" s="58" t="n">
        <v>46060.5198842593</v>
      </c>
      <c r="F3042" s="58" t="n">
        <v>46060.5204282407</v>
      </c>
      <c r="G3042" s="59" t="n">
        <f aca="false">F3042-E3042</f>
        <v>0.000543981400462963</v>
      </c>
      <c r="H3042" s="57" t="s">
        <v>252</v>
      </c>
      <c r="I3042" s="57"/>
      <c r="J3042" s="57" t="s">
        <v>333</v>
      </c>
      <c r="K3042" s="57" t="s">
        <v>334</v>
      </c>
      <c r="L3042" s="60" t="s">
        <v>4346</v>
      </c>
      <c r="M3042" s="57" t="s">
        <v>336</v>
      </c>
      <c r="N3042" s="57" t="s">
        <v>381</v>
      </c>
      <c r="O3042" s="57" t="s">
        <v>729</v>
      </c>
      <c r="P3042" s="57" t="s">
        <v>4347</v>
      </c>
      <c r="Q3042" s="57" t="s">
        <v>698</v>
      </c>
    </row>
    <row r="3043" s="50" customFormat="true" ht="14.25" hidden="false" customHeight="true" outlineLevel="0" collapsed="false">
      <c r="A3043" s="50" t="s">
        <v>727</v>
      </c>
      <c r="B3043" s="57" t="s">
        <v>727</v>
      </c>
      <c r="C3043" s="57" t="s">
        <v>415</v>
      </c>
      <c r="D3043" s="58" t="n">
        <v>46060.5017476852</v>
      </c>
      <c r="E3043" s="58" t="n">
        <v>46060.5017476852</v>
      </c>
      <c r="F3043" s="58" t="n">
        <v>46060.5022916667</v>
      </c>
      <c r="G3043" s="59" t="n">
        <f aca="false">F3043-E3043</f>
        <v>0.00054398150462963</v>
      </c>
      <c r="H3043" s="57" t="s">
        <v>252</v>
      </c>
      <c r="I3043" s="57"/>
      <c r="J3043" s="57" t="s">
        <v>333</v>
      </c>
      <c r="K3043" s="57" t="s">
        <v>334</v>
      </c>
      <c r="L3043" s="60" t="s">
        <v>4348</v>
      </c>
      <c r="M3043" s="57" t="s">
        <v>336</v>
      </c>
      <c r="N3043" s="57" t="s">
        <v>381</v>
      </c>
      <c r="O3043" s="57" t="s">
        <v>729</v>
      </c>
      <c r="P3043" s="57" t="s">
        <v>4349</v>
      </c>
      <c r="Q3043" s="57" t="s">
        <v>698</v>
      </c>
    </row>
    <row r="3044" s="50" customFormat="true" ht="14.25" hidden="false" customHeight="true" outlineLevel="0" collapsed="false">
      <c r="A3044" s="50" t="s">
        <v>727</v>
      </c>
      <c r="B3044" s="57" t="s">
        <v>727</v>
      </c>
      <c r="C3044" s="57" t="s">
        <v>415</v>
      </c>
      <c r="D3044" s="58" t="n">
        <v>46060.4893402778</v>
      </c>
      <c r="E3044" s="58" t="n">
        <v>46060.4893402778</v>
      </c>
      <c r="F3044" s="58" t="n">
        <v>46060.4898842593</v>
      </c>
      <c r="G3044" s="59" t="n">
        <f aca="false">F3044-E3044</f>
        <v>0.00054398150462963</v>
      </c>
      <c r="H3044" s="57" t="s">
        <v>252</v>
      </c>
      <c r="I3044" s="57"/>
      <c r="J3044" s="57" t="s">
        <v>333</v>
      </c>
      <c r="K3044" s="57" t="s">
        <v>334</v>
      </c>
      <c r="L3044" s="60" t="s">
        <v>4350</v>
      </c>
      <c r="M3044" s="57" t="s">
        <v>336</v>
      </c>
      <c r="N3044" s="57" t="s">
        <v>381</v>
      </c>
      <c r="O3044" s="57" t="s">
        <v>729</v>
      </c>
      <c r="P3044" s="57" t="s">
        <v>4351</v>
      </c>
      <c r="Q3044" s="57" t="s">
        <v>698</v>
      </c>
    </row>
    <row r="3045" s="50" customFormat="true" ht="14.25" hidden="false" customHeight="true" outlineLevel="0" collapsed="false">
      <c r="A3045" s="50" t="s">
        <v>727</v>
      </c>
      <c r="B3045" s="57" t="s">
        <v>727</v>
      </c>
      <c r="C3045" s="57" t="s">
        <v>415</v>
      </c>
      <c r="D3045" s="58" t="n">
        <v>46060.4768865741</v>
      </c>
      <c r="E3045" s="58" t="n">
        <v>46060.4768865741</v>
      </c>
      <c r="F3045" s="58" t="n">
        <v>46060.4774305556</v>
      </c>
      <c r="G3045" s="59" t="n">
        <f aca="false">F3045-E3045</f>
        <v>0.00054398150462963</v>
      </c>
      <c r="H3045" s="57" t="s">
        <v>252</v>
      </c>
      <c r="I3045" s="57"/>
      <c r="J3045" s="57" t="s">
        <v>333</v>
      </c>
      <c r="K3045" s="57" t="s">
        <v>334</v>
      </c>
      <c r="L3045" s="60" t="s">
        <v>4352</v>
      </c>
      <c r="M3045" s="57" t="s">
        <v>336</v>
      </c>
      <c r="N3045" s="57" t="s">
        <v>381</v>
      </c>
      <c r="O3045" s="57" t="s">
        <v>729</v>
      </c>
      <c r="P3045" s="57" t="s">
        <v>4353</v>
      </c>
      <c r="Q3045" s="57" t="s">
        <v>698</v>
      </c>
    </row>
    <row r="3046" s="50" customFormat="true" ht="14.25" hidden="false" customHeight="true" outlineLevel="0" collapsed="false">
      <c r="A3046" s="50" t="s">
        <v>727</v>
      </c>
      <c r="B3046" s="57" t="s">
        <v>727</v>
      </c>
      <c r="C3046" s="57" t="s">
        <v>415</v>
      </c>
      <c r="D3046" s="58" t="n">
        <v>46060.4634143519</v>
      </c>
      <c r="E3046" s="58" t="n">
        <v>46060.4634143519</v>
      </c>
      <c r="F3046" s="58" t="n">
        <v>46060.4639583333</v>
      </c>
      <c r="G3046" s="59" t="n">
        <f aca="false">F3046-E3046</f>
        <v>0.000543981400462963</v>
      </c>
      <c r="H3046" s="57" t="s">
        <v>252</v>
      </c>
      <c r="I3046" s="57"/>
      <c r="J3046" s="57" t="s">
        <v>333</v>
      </c>
      <c r="K3046" s="57" t="s">
        <v>334</v>
      </c>
      <c r="L3046" s="60" t="s">
        <v>4354</v>
      </c>
      <c r="M3046" s="57" t="s">
        <v>336</v>
      </c>
      <c r="N3046" s="57" t="s">
        <v>381</v>
      </c>
      <c r="O3046" s="57" t="s">
        <v>729</v>
      </c>
      <c r="P3046" s="57" t="s">
        <v>4355</v>
      </c>
      <c r="Q3046" s="57" t="s">
        <v>698</v>
      </c>
    </row>
    <row r="3047" s="50" customFormat="true" ht="14.25" hidden="false" customHeight="true" outlineLevel="0" collapsed="false">
      <c r="A3047" s="50" t="s">
        <v>727</v>
      </c>
      <c r="B3047" s="57" t="s">
        <v>727</v>
      </c>
      <c r="C3047" s="57" t="s">
        <v>415</v>
      </c>
      <c r="D3047" s="58" t="n">
        <v>46060.4501967593</v>
      </c>
      <c r="E3047" s="58" t="n">
        <v>46060.4501967593</v>
      </c>
      <c r="F3047" s="58" t="n">
        <v>46060.4509606482</v>
      </c>
      <c r="G3047" s="59" t="n">
        <f aca="false">F3047-E3047</f>
        <v>0.000763888888888889</v>
      </c>
      <c r="H3047" s="57" t="s">
        <v>252</v>
      </c>
      <c r="I3047" s="57"/>
      <c r="J3047" s="57" t="s">
        <v>333</v>
      </c>
      <c r="K3047" s="57" t="s">
        <v>334</v>
      </c>
      <c r="L3047" s="60" t="s">
        <v>4356</v>
      </c>
      <c r="M3047" s="57" t="s">
        <v>336</v>
      </c>
      <c r="N3047" s="57" t="s">
        <v>381</v>
      </c>
      <c r="O3047" s="57" t="s">
        <v>729</v>
      </c>
      <c r="P3047" s="57" t="s">
        <v>4357</v>
      </c>
      <c r="Q3047" s="57" t="s">
        <v>698</v>
      </c>
    </row>
    <row r="3048" s="50" customFormat="true" ht="14.25" hidden="false" customHeight="true" outlineLevel="0" collapsed="false">
      <c r="A3048" s="50" t="s">
        <v>727</v>
      </c>
      <c r="B3048" s="57" t="s">
        <v>727</v>
      </c>
      <c r="C3048" s="57" t="s">
        <v>415</v>
      </c>
      <c r="D3048" s="58" t="n">
        <v>46060.4413657407</v>
      </c>
      <c r="E3048" s="58" t="n">
        <v>46060.4413657407</v>
      </c>
      <c r="F3048" s="58" t="n">
        <v>46060.4419097222</v>
      </c>
      <c r="G3048" s="59" t="n">
        <f aca="false">F3048-E3048</f>
        <v>0.00054398150462963</v>
      </c>
      <c r="H3048" s="57" t="s">
        <v>252</v>
      </c>
      <c r="I3048" s="57"/>
      <c r="J3048" s="57" t="s">
        <v>333</v>
      </c>
      <c r="K3048" s="57" t="s">
        <v>334</v>
      </c>
      <c r="L3048" s="60" t="s">
        <v>4358</v>
      </c>
      <c r="M3048" s="57" t="s">
        <v>336</v>
      </c>
      <c r="N3048" s="57" t="s">
        <v>381</v>
      </c>
      <c r="O3048" s="57" t="s">
        <v>729</v>
      </c>
      <c r="P3048" s="57" t="s">
        <v>4359</v>
      </c>
      <c r="Q3048" s="57" t="s">
        <v>698</v>
      </c>
    </row>
    <row r="3049" s="50" customFormat="true" ht="14.25" hidden="false" customHeight="true" outlineLevel="0" collapsed="false">
      <c r="A3049" s="50" t="s">
        <v>727</v>
      </c>
      <c r="B3049" s="57" t="s">
        <v>727</v>
      </c>
      <c r="C3049" s="57" t="s">
        <v>415</v>
      </c>
      <c r="D3049" s="58" t="n">
        <v>46060.4266782407</v>
      </c>
      <c r="E3049" s="58" t="n">
        <v>46060.4266782407</v>
      </c>
      <c r="F3049" s="58" t="n">
        <v>46060.4272106482</v>
      </c>
      <c r="G3049" s="59" t="n">
        <f aca="false">F3049-E3049</f>
        <v>0.0005324075</v>
      </c>
      <c r="H3049" s="57" t="s">
        <v>252</v>
      </c>
      <c r="I3049" s="57"/>
      <c r="J3049" s="57" t="s">
        <v>333</v>
      </c>
      <c r="K3049" s="57" t="s">
        <v>334</v>
      </c>
      <c r="L3049" s="60" t="s">
        <v>4360</v>
      </c>
      <c r="M3049" s="57" t="s">
        <v>336</v>
      </c>
      <c r="N3049" s="57" t="s">
        <v>381</v>
      </c>
      <c r="O3049" s="57" t="s">
        <v>729</v>
      </c>
      <c r="P3049" s="57" t="s">
        <v>4361</v>
      </c>
      <c r="Q3049" s="57" t="s">
        <v>698</v>
      </c>
    </row>
    <row r="3050" s="50" customFormat="true" ht="14.25" hidden="false" customHeight="true" outlineLevel="0" collapsed="false">
      <c r="A3050" s="50" t="s">
        <v>727</v>
      </c>
      <c r="B3050" s="57" t="s">
        <v>727</v>
      </c>
      <c r="C3050" s="57" t="s">
        <v>415</v>
      </c>
      <c r="D3050" s="58" t="n">
        <v>46060.4153356482</v>
      </c>
      <c r="E3050" s="58" t="n">
        <v>46060.4153356482</v>
      </c>
      <c r="F3050" s="58" t="n">
        <v>46060.4164699074</v>
      </c>
      <c r="G3050" s="59" t="n">
        <f aca="false">F3050-E3050</f>
        <v>0.00113425920138889</v>
      </c>
      <c r="H3050" s="57" t="s">
        <v>252</v>
      </c>
      <c r="I3050" s="57"/>
      <c r="J3050" s="57" t="s">
        <v>333</v>
      </c>
      <c r="K3050" s="57" t="s">
        <v>334</v>
      </c>
      <c r="L3050" s="60" t="s">
        <v>4362</v>
      </c>
      <c r="M3050" s="57" t="s">
        <v>336</v>
      </c>
      <c r="N3050" s="57" t="s">
        <v>381</v>
      </c>
      <c r="O3050" s="57" t="s">
        <v>729</v>
      </c>
      <c r="P3050" s="57" t="s">
        <v>4363</v>
      </c>
      <c r="Q3050" s="57" t="s">
        <v>698</v>
      </c>
    </row>
    <row r="3051" s="50" customFormat="true" ht="14.25" hidden="false" customHeight="true" outlineLevel="0" collapsed="false">
      <c r="A3051" s="50" t="s">
        <v>727</v>
      </c>
      <c r="B3051" s="57" t="s">
        <v>727</v>
      </c>
      <c r="C3051" s="57" t="s">
        <v>415</v>
      </c>
      <c r="D3051" s="58" t="n">
        <v>46060.3993981482</v>
      </c>
      <c r="E3051" s="58" t="n">
        <v>46060.3993981482</v>
      </c>
      <c r="F3051" s="58" t="n">
        <v>46060.4017013889</v>
      </c>
      <c r="G3051" s="59" t="n">
        <f aca="false">F3051-E3051</f>
        <v>0.00230324070601852</v>
      </c>
      <c r="H3051" s="57" t="s">
        <v>252</v>
      </c>
      <c r="I3051" s="57"/>
      <c r="J3051" s="57" t="s">
        <v>333</v>
      </c>
      <c r="K3051" s="57" t="s">
        <v>334</v>
      </c>
      <c r="L3051" s="60" t="s">
        <v>4364</v>
      </c>
      <c r="M3051" s="57" t="s">
        <v>336</v>
      </c>
      <c r="N3051" s="57" t="s">
        <v>381</v>
      </c>
      <c r="O3051" s="57" t="s">
        <v>729</v>
      </c>
      <c r="P3051" s="57" t="s">
        <v>4365</v>
      </c>
      <c r="Q3051" s="57" t="s">
        <v>698</v>
      </c>
    </row>
    <row r="3052" s="50" customFormat="true" ht="14.25" hidden="false" customHeight="true" outlineLevel="0" collapsed="false">
      <c r="A3052" s="50" t="s">
        <v>727</v>
      </c>
      <c r="B3052" s="57" t="s">
        <v>727</v>
      </c>
      <c r="C3052" s="57" t="s">
        <v>415</v>
      </c>
      <c r="D3052" s="58" t="n">
        <v>46060.3753240741</v>
      </c>
      <c r="E3052" s="58" t="n">
        <v>46060.3753240741</v>
      </c>
      <c r="F3052" s="58" t="n">
        <v>46060.3762962963</v>
      </c>
      <c r="G3052" s="59" t="n">
        <f aca="false">F3052-E3052</f>
        <v>0.000972222199074074</v>
      </c>
      <c r="H3052" s="57" t="s">
        <v>252</v>
      </c>
      <c r="I3052" s="57"/>
      <c r="J3052" s="57" t="s">
        <v>333</v>
      </c>
      <c r="K3052" s="57" t="s">
        <v>334</v>
      </c>
      <c r="L3052" s="60" t="s">
        <v>4366</v>
      </c>
      <c r="M3052" s="57" t="s">
        <v>336</v>
      </c>
      <c r="N3052" s="57" t="s">
        <v>381</v>
      </c>
      <c r="O3052" s="57" t="s">
        <v>729</v>
      </c>
      <c r="P3052" s="57" t="s">
        <v>4367</v>
      </c>
      <c r="Q3052" s="57" t="s">
        <v>698</v>
      </c>
    </row>
    <row r="3053" s="50" customFormat="true" ht="14.25" hidden="false" customHeight="true" outlineLevel="0" collapsed="false">
      <c r="A3053" s="50" t="s">
        <v>727</v>
      </c>
      <c r="B3053" s="57" t="s">
        <v>727</v>
      </c>
      <c r="C3053" s="57" t="s">
        <v>415</v>
      </c>
      <c r="D3053" s="58" t="n">
        <v>46060.3739930556</v>
      </c>
      <c r="E3053" s="58" t="n">
        <v>46060.3739930556</v>
      </c>
      <c r="F3053" s="58" t="n">
        <v>46060.374849537</v>
      </c>
      <c r="G3053" s="59" t="n">
        <f aca="false">F3053-E3053</f>
        <v>0.000856481400462963</v>
      </c>
      <c r="H3053" s="57" t="s">
        <v>252</v>
      </c>
      <c r="I3053" s="57"/>
      <c r="J3053" s="57" t="s">
        <v>333</v>
      </c>
      <c r="K3053" s="57" t="s">
        <v>334</v>
      </c>
      <c r="L3053" s="60" t="s">
        <v>4368</v>
      </c>
      <c r="M3053" s="57" t="s">
        <v>336</v>
      </c>
      <c r="N3053" s="57" t="s">
        <v>381</v>
      </c>
      <c r="O3053" s="57" t="s">
        <v>729</v>
      </c>
      <c r="P3053" s="57" t="s">
        <v>4369</v>
      </c>
      <c r="Q3053" s="57" t="s">
        <v>698</v>
      </c>
    </row>
    <row r="3054" s="50" customFormat="true" ht="14.25" hidden="false" customHeight="true" outlineLevel="0" collapsed="false">
      <c r="A3054" s="50" t="s">
        <v>727</v>
      </c>
      <c r="B3054" s="57" t="s">
        <v>727</v>
      </c>
      <c r="C3054" s="57" t="s">
        <v>415</v>
      </c>
      <c r="D3054" s="58" t="n">
        <v>46060.3649305556</v>
      </c>
      <c r="E3054" s="58" t="n">
        <v>46060.3649305556</v>
      </c>
      <c r="F3054" s="58" t="n">
        <v>46060.3654861111</v>
      </c>
      <c r="G3054" s="59" t="n">
        <f aca="false">F3054-E3054</f>
        <v>0.000555555497685185</v>
      </c>
      <c r="H3054" s="57" t="s">
        <v>252</v>
      </c>
      <c r="I3054" s="57"/>
      <c r="J3054" s="57" t="s">
        <v>333</v>
      </c>
      <c r="K3054" s="57" t="s">
        <v>334</v>
      </c>
      <c r="L3054" s="60" t="s">
        <v>4370</v>
      </c>
      <c r="M3054" s="57" t="s">
        <v>336</v>
      </c>
      <c r="N3054" s="57" t="s">
        <v>381</v>
      </c>
      <c r="O3054" s="57" t="s">
        <v>729</v>
      </c>
      <c r="P3054" s="57" t="s">
        <v>4371</v>
      </c>
      <c r="Q3054" s="57" t="s">
        <v>698</v>
      </c>
    </row>
    <row r="3055" s="50" customFormat="true" ht="14.25" hidden="false" customHeight="true" outlineLevel="0" collapsed="false">
      <c r="A3055" s="50" t="s">
        <v>727</v>
      </c>
      <c r="B3055" s="57" t="s">
        <v>727</v>
      </c>
      <c r="C3055" s="57" t="s">
        <v>415</v>
      </c>
      <c r="D3055" s="58" t="n">
        <v>46060.3444444445</v>
      </c>
      <c r="E3055" s="58" t="n">
        <v>46060.3444444445</v>
      </c>
      <c r="F3055" s="58" t="n">
        <v>46060.3449884259</v>
      </c>
      <c r="G3055" s="59" t="n">
        <f aca="false">F3055-E3055</f>
        <v>0.000543981400462963</v>
      </c>
      <c r="H3055" s="57" t="s">
        <v>252</v>
      </c>
      <c r="I3055" s="57"/>
      <c r="J3055" s="57" t="s">
        <v>333</v>
      </c>
      <c r="K3055" s="57" t="s">
        <v>334</v>
      </c>
      <c r="L3055" s="60" t="s">
        <v>4372</v>
      </c>
      <c r="M3055" s="57" t="s">
        <v>336</v>
      </c>
      <c r="N3055" s="57" t="s">
        <v>381</v>
      </c>
      <c r="O3055" s="57" t="s">
        <v>729</v>
      </c>
      <c r="P3055" s="57" t="s">
        <v>4373</v>
      </c>
      <c r="Q3055" s="57" t="s">
        <v>698</v>
      </c>
    </row>
    <row r="3056" s="50" customFormat="true" ht="14.25" hidden="false" customHeight="true" outlineLevel="0" collapsed="false">
      <c r="A3056" s="50" t="s">
        <v>727</v>
      </c>
      <c r="B3056" s="57" t="s">
        <v>727</v>
      </c>
      <c r="C3056" s="57" t="s">
        <v>415</v>
      </c>
      <c r="D3056" s="58" t="n">
        <v>46060.3290393519</v>
      </c>
      <c r="E3056" s="58" t="n">
        <v>46060.3290393519</v>
      </c>
      <c r="F3056" s="58" t="n">
        <v>46060.3295833333</v>
      </c>
      <c r="G3056" s="59" t="n">
        <f aca="false">F3056-E3056</f>
        <v>0.000543981400462963</v>
      </c>
      <c r="H3056" s="57" t="s">
        <v>252</v>
      </c>
      <c r="I3056" s="57"/>
      <c r="J3056" s="57" t="s">
        <v>333</v>
      </c>
      <c r="K3056" s="57" t="s">
        <v>334</v>
      </c>
      <c r="L3056" s="60" t="s">
        <v>4374</v>
      </c>
      <c r="M3056" s="57" t="s">
        <v>336</v>
      </c>
      <c r="N3056" s="57" t="s">
        <v>381</v>
      </c>
      <c r="O3056" s="57" t="s">
        <v>729</v>
      </c>
      <c r="P3056" s="57" t="s">
        <v>4375</v>
      </c>
      <c r="Q3056" s="57" t="s">
        <v>698</v>
      </c>
    </row>
    <row r="3057" s="50" customFormat="true" ht="14.25" hidden="false" customHeight="true" outlineLevel="0" collapsed="false">
      <c r="A3057" s="50" t="s">
        <v>727</v>
      </c>
      <c r="B3057" s="57" t="s">
        <v>727</v>
      </c>
      <c r="C3057" s="57" t="s">
        <v>415</v>
      </c>
      <c r="D3057" s="58" t="n">
        <v>46060.3143402778</v>
      </c>
      <c r="E3057" s="58" t="n">
        <v>46060.3143402778</v>
      </c>
      <c r="F3057" s="58" t="n">
        <v>46060.3148611111</v>
      </c>
      <c r="G3057" s="59" t="n">
        <f aca="false">F3057-E3057</f>
        <v>0.000520833298611111</v>
      </c>
      <c r="H3057" s="57" t="s">
        <v>252</v>
      </c>
      <c r="I3057" s="57"/>
      <c r="J3057" s="57" t="s">
        <v>333</v>
      </c>
      <c r="K3057" s="57" t="s">
        <v>334</v>
      </c>
      <c r="L3057" s="60" t="s">
        <v>4376</v>
      </c>
      <c r="M3057" s="57" t="s">
        <v>336</v>
      </c>
      <c r="N3057" s="57" t="s">
        <v>381</v>
      </c>
      <c r="O3057" s="57" t="s">
        <v>729</v>
      </c>
      <c r="P3057" s="57" t="s">
        <v>4377</v>
      </c>
      <c r="Q3057" s="57" t="s">
        <v>698</v>
      </c>
    </row>
    <row r="3058" s="50" customFormat="true" ht="14.25" hidden="false" customHeight="true" outlineLevel="0" collapsed="false">
      <c r="A3058" s="50" t="s">
        <v>727</v>
      </c>
      <c r="B3058" s="57" t="s">
        <v>727</v>
      </c>
      <c r="C3058" s="57" t="s">
        <v>415</v>
      </c>
      <c r="D3058" s="58" t="n">
        <v>46060.3075694444</v>
      </c>
      <c r="E3058" s="58" t="n">
        <v>46060.3075694444</v>
      </c>
      <c r="F3058" s="58" t="n">
        <v>46060.3081481482</v>
      </c>
      <c r="G3058" s="59" t="n">
        <f aca="false">F3058-E3058</f>
        <v>0.00057870380787037</v>
      </c>
      <c r="H3058" s="57" t="s">
        <v>252</v>
      </c>
      <c r="I3058" s="57"/>
      <c r="J3058" s="57" t="s">
        <v>333</v>
      </c>
      <c r="K3058" s="57" t="s">
        <v>334</v>
      </c>
      <c r="L3058" s="60" t="s">
        <v>4378</v>
      </c>
      <c r="M3058" s="57" t="s">
        <v>336</v>
      </c>
      <c r="N3058" s="57" t="s">
        <v>381</v>
      </c>
      <c r="O3058" s="57" t="s">
        <v>729</v>
      </c>
      <c r="P3058" s="57" t="s">
        <v>4379</v>
      </c>
      <c r="Q3058" s="57" t="s">
        <v>698</v>
      </c>
    </row>
    <row r="3059" s="50" customFormat="true" ht="14.25" hidden="false" customHeight="true" outlineLevel="0" collapsed="false">
      <c r="A3059" s="50" t="s">
        <v>727</v>
      </c>
      <c r="B3059" s="57" t="s">
        <v>727</v>
      </c>
      <c r="C3059" s="57" t="s">
        <v>415</v>
      </c>
      <c r="D3059" s="58" t="n">
        <v>46060.3024074074</v>
      </c>
      <c r="E3059" s="58" t="n">
        <v>46060.3024074074</v>
      </c>
      <c r="F3059" s="58" t="n">
        <v>46060.3031712963</v>
      </c>
      <c r="G3059" s="59" t="n">
        <f aca="false">F3059-E3059</f>
        <v>0.000763888888888889</v>
      </c>
      <c r="H3059" s="57" t="s">
        <v>252</v>
      </c>
      <c r="I3059" s="57"/>
      <c r="J3059" s="57" t="s">
        <v>333</v>
      </c>
      <c r="K3059" s="57" t="s">
        <v>334</v>
      </c>
      <c r="L3059" s="60" t="s">
        <v>4380</v>
      </c>
      <c r="M3059" s="57" t="s">
        <v>336</v>
      </c>
      <c r="N3059" s="57" t="s">
        <v>381</v>
      </c>
      <c r="O3059" s="57" t="s">
        <v>729</v>
      </c>
      <c r="P3059" s="57" t="s">
        <v>4381</v>
      </c>
      <c r="Q3059" s="57" t="s">
        <v>698</v>
      </c>
    </row>
    <row r="3060" s="50" customFormat="true" ht="14.25" hidden="false" customHeight="true" outlineLevel="0" collapsed="false">
      <c r="A3060" s="50" t="s">
        <v>727</v>
      </c>
      <c r="B3060" s="57" t="s">
        <v>727</v>
      </c>
      <c r="C3060" s="57" t="s">
        <v>415</v>
      </c>
      <c r="D3060" s="58" t="n">
        <v>46060.2931597222</v>
      </c>
      <c r="E3060" s="58" t="n">
        <v>46060.2931597222</v>
      </c>
      <c r="F3060" s="58" t="n">
        <v>46060.2938773148</v>
      </c>
      <c r="G3060" s="59" t="n">
        <f aca="false">F3060-E3060</f>
        <v>0.000717592592592593</v>
      </c>
      <c r="H3060" s="57" t="s">
        <v>252</v>
      </c>
      <c r="I3060" s="57"/>
      <c r="J3060" s="57" t="s">
        <v>333</v>
      </c>
      <c r="K3060" s="57" t="s">
        <v>334</v>
      </c>
      <c r="L3060" s="60" t="s">
        <v>4382</v>
      </c>
      <c r="M3060" s="57" t="s">
        <v>336</v>
      </c>
      <c r="N3060" s="57" t="s">
        <v>381</v>
      </c>
      <c r="O3060" s="57" t="s">
        <v>729</v>
      </c>
      <c r="P3060" s="57" t="s">
        <v>4383</v>
      </c>
      <c r="Q3060" s="57" t="s">
        <v>698</v>
      </c>
    </row>
    <row r="3061" s="50" customFormat="true" ht="14.25" hidden="false" customHeight="true" outlineLevel="0" collapsed="false">
      <c r="A3061" s="50" t="s">
        <v>727</v>
      </c>
      <c r="B3061" s="57" t="s">
        <v>727</v>
      </c>
      <c r="C3061" s="57" t="s">
        <v>415</v>
      </c>
      <c r="D3061" s="58" t="n">
        <v>46060.2854513889</v>
      </c>
      <c r="E3061" s="58" t="n">
        <v>46060.2854513889</v>
      </c>
      <c r="F3061" s="58" t="n">
        <v>46060.2860185185</v>
      </c>
      <c r="G3061" s="59" t="n">
        <f aca="false">F3061-E3061</f>
        <v>0.000567129594907407</v>
      </c>
      <c r="H3061" s="57" t="s">
        <v>252</v>
      </c>
      <c r="I3061" s="57"/>
      <c r="J3061" s="57" t="s">
        <v>333</v>
      </c>
      <c r="K3061" s="57" t="s">
        <v>334</v>
      </c>
      <c r="L3061" s="60" t="s">
        <v>4384</v>
      </c>
      <c r="M3061" s="57" t="s">
        <v>336</v>
      </c>
      <c r="N3061" s="57" t="s">
        <v>381</v>
      </c>
      <c r="O3061" s="57" t="s">
        <v>729</v>
      </c>
      <c r="P3061" s="57" t="s">
        <v>4385</v>
      </c>
      <c r="Q3061" s="57" t="s">
        <v>698</v>
      </c>
    </row>
    <row r="3062" s="50" customFormat="true" ht="14.25" hidden="false" customHeight="true" outlineLevel="0" collapsed="false">
      <c r="A3062" s="50" t="s">
        <v>727</v>
      </c>
      <c r="B3062" s="57" t="s">
        <v>727</v>
      </c>
      <c r="C3062" s="57" t="s">
        <v>415</v>
      </c>
      <c r="D3062" s="58" t="n">
        <v>46060.2355092593</v>
      </c>
      <c r="E3062" s="58" t="n">
        <v>46060.2355092593</v>
      </c>
      <c r="F3062" s="58" t="n">
        <v>46060.2628472222</v>
      </c>
      <c r="G3062" s="59" t="n">
        <f aca="false">F3062-E3062</f>
        <v>0.0273379629050926</v>
      </c>
      <c r="H3062" s="57" t="s">
        <v>252</v>
      </c>
      <c r="I3062" s="57"/>
      <c r="J3062" s="57" t="s">
        <v>333</v>
      </c>
      <c r="K3062" s="57" t="s">
        <v>334</v>
      </c>
      <c r="L3062" s="60" t="s">
        <v>4386</v>
      </c>
      <c r="M3062" s="57" t="s">
        <v>336</v>
      </c>
      <c r="N3062" s="57" t="s">
        <v>381</v>
      </c>
      <c r="O3062" s="57" t="s">
        <v>729</v>
      </c>
      <c r="P3062" s="57" t="s">
        <v>4387</v>
      </c>
      <c r="Q3062" s="57" t="s">
        <v>698</v>
      </c>
    </row>
    <row r="3063" s="50" customFormat="true" ht="14.25" hidden="false" customHeight="true" outlineLevel="0" collapsed="false">
      <c r="A3063" s="50" t="s">
        <v>727</v>
      </c>
      <c r="B3063" s="57" t="s">
        <v>727</v>
      </c>
      <c r="C3063" s="57" t="s">
        <v>415</v>
      </c>
      <c r="D3063" s="58" t="n">
        <v>46060.2351157407</v>
      </c>
      <c r="E3063" s="58" t="n">
        <v>46060.2351157407</v>
      </c>
      <c r="F3063" s="58" t="n">
        <v>46060.2628472222</v>
      </c>
      <c r="G3063" s="59" t="n">
        <f aca="false">F3063-E3063</f>
        <v>0.0277314814930556</v>
      </c>
      <c r="H3063" s="57" t="s">
        <v>252</v>
      </c>
      <c r="I3063" s="57"/>
      <c r="J3063" s="57" t="s">
        <v>333</v>
      </c>
      <c r="K3063" s="57" t="s">
        <v>334</v>
      </c>
      <c r="L3063" s="60" t="s">
        <v>4388</v>
      </c>
      <c r="M3063" s="57" t="s">
        <v>336</v>
      </c>
      <c r="N3063" s="57" t="s">
        <v>381</v>
      </c>
      <c r="O3063" s="57" t="s">
        <v>729</v>
      </c>
      <c r="P3063" s="57" t="s">
        <v>4389</v>
      </c>
      <c r="Q3063" s="57" t="s">
        <v>698</v>
      </c>
    </row>
    <row r="3064" s="50" customFormat="true" ht="14.25" hidden="false" customHeight="true" outlineLevel="0" collapsed="false">
      <c r="A3064" s="50" t="s">
        <v>727</v>
      </c>
      <c r="B3064" s="57" t="s">
        <v>727</v>
      </c>
      <c r="C3064" s="57" t="s">
        <v>415</v>
      </c>
      <c r="D3064" s="58" t="n">
        <v>46059.7604976852</v>
      </c>
      <c r="E3064" s="58" t="n">
        <v>46059.7604976852</v>
      </c>
      <c r="F3064" s="58" t="n">
        <v>46059.7620023148</v>
      </c>
      <c r="G3064" s="59" t="n">
        <f aca="false">F3064-E3064</f>
        <v>0.00150462959490741</v>
      </c>
      <c r="H3064" s="57" t="s">
        <v>252</v>
      </c>
      <c r="I3064" s="57"/>
      <c r="J3064" s="57" t="s">
        <v>333</v>
      </c>
      <c r="K3064" s="57" t="s">
        <v>334</v>
      </c>
      <c r="L3064" s="60" t="s">
        <v>4390</v>
      </c>
      <c r="M3064" s="57" t="s">
        <v>336</v>
      </c>
      <c r="N3064" s="57" t="s">
        <v>381</v>
      </c>
      <c r="O3064" s="57" t="s">
        <v>729</v>
      </c>
      <c r="P3064" s="57" t="s">
        <v>4391</v>
      </c>
      <c r="Q3064" s="57" t="s">
        <v>698</v>
      </c>
    </row>
    <row r="3065" s="50" customFormat="true" ht="14.25" hidden="false" customHeight="true" outlineLevel="0" collapsed="false">
      <c r="A3065" s="50" t="s">
        <v>727</v>
      </c>
      <c r="B3065" s="57" t="s">
        <v>727</v>
      </c>
      <c r="C3065" s="57" t="s">
        <v>415</v>
      </c>
      <c r="D3065" s="58" t="n">
        <v>46059.7029976852</v>
      </c>
      <c r="E3065" s="58" t="n">
        <v>46059.7029976852</v>
      </c>
      <c r="F3065" s="58" t="n">
        <v>46059.7043981482</v>
      </c>
      <c r="G3065" s="59" t="n">
        <f aca="false">F3065-E3065</f>
        <v>0.00140046299768519</v>
      </c>
      <c r="H3065" s="57" t="s">
        <v>252</v>
      </c>
      <c r="I3065" s="57"/>
      <c r="J3065" s="57" t="s">
        <v>333</v>
      </c>
      <c r="K3065" s="57" t="s">
        <v>334</v>
      </c>
      <c r="L3065" s="60" t="s">
        <v>4392</v>
      </c>
      <c r="M3065" s="57" t="s">
        <v>336</v>
      </c>
      <c r="N3065" s="57" t="s">
        <v>381</v>
      </c>
      <c r="O3065" s="57" t="s">
        <v>729</v>
      </c>
      <c r="P3065" s="57" t="s">
        <v>4393</v>
      </c>
      <c r="Q3065" s="57" t="s">
        <v>698</v>
      </c>
    </row>
    <row r="3066" s="50" customFormat="true" ht="14.25" hidden="false" customHeight="true" outlineLevel="0" collapsed="false">
      <c r="A3066" s="50" t="s">
        <v>727</v>
      </c>
      <c r="B3066" s="57" t="s">
        <v>727</v>
      </c>
      <c r="C3066" s="57" t="s">
        <v>415</v>
      </c>
      <c r="D3066" s="58" t="n">
        <v>46059.6863425926</v>
      </c>
      <c r="E3066" s="58" t="n">
        <v>46059.6863425926</v>
      </c>
      <c r="F3066" s="58" t="n">
        <v>46059.6868865741</v>
      </c>
      <c r="G3066" s="59" t="n">
        <f aca="false">F3066-E3066</f>
        <v>0.00054398150462963</v>
      </c>
      <c r="H3066" s="57" t="s">
        <v>252</v>
      </c>
      <c r="I3066" s="57"/>
      <c r="J3066" s="57" t="s">
        <v>333</v>
      </c>
      <c r="K3066" s="57" t="s">
        <v>334</v>
      </c>
      <c r="L3066" s="60" t="s">
        <v>4394</v>
      </c>
      <c r="M3066" s="57" t="s">
        <v>336</v>
      </c>
      <c r="N3066" s="57" t="s">
        <v>381</v>
      </c>
      <c r="O3066" s="57" t="s">
        <v>729</v>
      </c>
      <c r="P3066" s="57" t="s">
        <v>4395</v>
      </c>
      <c r="Q3066" s="57" t="s">
        <v>698</v>
      </c>
    </row>
    <row r="3067" s="50" customFormat="true" ht="14.25" hidden="false" customHeight="true" outlineLevel="0" collapsed="false">
      <c r="A3067" s="50" t="s">
        <v>727</v>
      </c>
      <c r="B3067" s="57" t="s">
        <v>727</v>
      </c>
      <c r="C3067" s="57" t="s">
        <v>415</v>
      </c>
      <c r="D3067" s="58" t="n">
        <v>46059.6749189815</v>
      </c>
      <c r="E3067" s="58" t="n">
        <v>46059.6749189815</v>
      </c>
      <c r="F3067" s="58" t="n">
        <v>46059.6754513889</v>
      </c>
      <c r="G3067" s="59" t="n">
        <f aca="false">F3067-E3067</f>
        <v>0.000532407407407407</v>
      </c>
      <c r="H3067" s="57" t="s">
        <v>252</v>
      </c>
      <c r="I3067" s="57"/>
      <c r="J3067" s="57" t="s">
        <v>333</v>
      </c>
      <c r="K3067" s="57" t="s">
        <v>334</v>
      </c>
      <c r="L3067" s="60" t="s">
        <v>4396</v>
      </c>
      <c r="M3067" s="57" t="s">
        <v>336</v>
      </c>
      <c r="N3067" s="57" t="s">
        <v>381</v>
      </c>
      <c r="O3067" s="57" t="s">
        <v>729</v>
      </c>
      <c r="P3067" s="57" t="s">
        <v>4397</v>
      </c>
      <c r="Q3067" s="57" t="s">
        <v>698</v>
      </c>
    </row>
    <row r="3068" s="50" customFormat="true" ht="14.25" hidden="false" customHeight="true" outlineLevel="0" collapsed="false">
      <c r="A3068" s="50" t="s">
        <v>727</v>
      </c>
      <c r="B3068" s="57" t="s">
        <v>727</v>
      </c>
      <c r="C3068" s="57" t="s">
        <v>415</v>
      </c>
      <c r="D3068" s="58" t="n">
        <v>46059.6524537037</v>
      </c>
      <c r="E3068" s="58" t="n">
        <v>46059.6524537037</v>
      </c>
      <c r="F3068" s="58" t="n">
        <v>46059.6529976852</v>
      </c>
      <c r="G3068" s="59" t="n">
        <f aca="false">F3068-E3068</f>
        <v>0.00054398150462963</v>
      </c>
      <c r="H3068" s="57" t="s">
        <v>252</v>
      </c>
      <c r="I3068" s="57"/>
      <c r="J3068" s="57" t="s">
        <v>333</v>
      </c>
      <c r="K3068" s="57" t="s">
        <v>334</v>
      </c>
      <c r="L3068" s="60" t="s">
        <v>4398</v>
      </c>
      <c r="M3068" s="57" t="s">
        <v>336</v>
      </c>
      <c r="N3068" s="57" t="s">
        <v>381</v>
      </c>
      <c r="O3068" s="57" t="s">
        <v>729</v>
      </c>
      <c r="P3068" s="57" t="s">
        <v>4399</v>
      </c>
      <c r="Q3068" s="57" t="s">
        <v>698</v>
      </c>
    </row>
    <row r="3069" s="50" customFormat="true" ht="14.25" hidden="false" customHeight="true" outlineLevel="0" collapsed="false">
      <c r="A3069" s="50" t="s">
        <v>727</v>
      </c>
      <c r="B3069" s="57" t="s">
        <v>727</v>
      </c>
      <c r="C3069" s="57" t="s">
        <v>415</v>
      </c>
      <c r="D3069" s="58" t="n">
        <v>46059.638900463</v>
      </c>
      <c r="E3069" s="58" t="n">
        <v>46059.638900463</v>
      </c>
      <c r="F3069" s="58" t="n">
        <v>46059.6394444444</v>
      </c>
      <c r="G3069" s="59" t="n">
        <f aca="false">F3069-E3069</f>
        <v>0.000543981400462963</v>
      </c>
      <c r="H3069" s="57" t="s">
        <v>252</v>
      </c>
      <c r="I3069" s="57"/>
      <c r="J3069" s="57" t="s">
        <v>333</v>
      </c>
      <c r="K3069" s="57" t="s">
        <v>334</v>
      </c>
      <c r="L3069" s="60" t="s">
        <v>4400</v>
      </c>
      <c r="M3069" s="57" t="s">
        <v>336</v>
      </c>
      <c r="N3069" s="57" t="s">
        <v>381</v>
      </c>
      <c r="O3069" s="57" t="s">
        <v>729</v>
      </c>
      <c r="P3069" s="57" t="s">
        <v>4401</v>
      </c>
      <c r="Q3069" s="57" t="s">
        <v>698</v>
      </c>
    </row>
    <row r="3070" s="50" customFormat="true" ht="14.25" hidden="false" customHeight="true" outlineLevel="0" collapsed="false">
      <c r="A3070" s="50" t="s">
        <v>727</v>
      </c>
      <c r="B3070" s="57" t="s">
        <v>727</v>
      </c>
      <c r="C3070" s="57" t="s">
        <v>415</v>
      </c>
      <c r="D3070" s="58" t="n">
        <v>46059.6236574074</v>
      </c>
      <c r="E3070" s="58" t="n">
        <v>46059.6236574074</v>
      </c>
      <c r="F3070" s="58" t="n">
        <v>46059.624212963</v>
      </c>
      <c r="G3070" s="59" t="n">
        <f aca="false">F3070-E3070</f>
        <v>0.000555555601851852</v>
      </c>
      <c r="H3070" s="57" t="s">
        <v>252</v>
      </c>
      <c r="I3070" s="57"/>
      <c r="J3070" s="57" t="s">
        <v>333</v>
      </c>
      <c r="K3070" s="57" t="s">
        <v>334</v>
      </c>
      <c r="L3070" s="60" t="s">
        <v>4402</v>
      </c>
      <c r="M3070" s="57" t="s">
        <v>336</v>
      </c>
      <c r="N3070" s="57" t="s">
        <v>381</v>
      </c>
      <c r="O3070" s="57" t="s">
        <v>729</v>
      </c>
      <c r="P3070" s="57" t="s">
        <v>4403</v>
      </c>
      <c r="Q3070" s="57" t="s">
        <v>698</v>
      </c>
    </row>
    <row r="3071" s="50" customFormat="true" ht="14.25" hidden="false" customHeight="true" outlineLevel="0" collapsed="false">
      <c r="A3071" s="50" t="s">
        <v>727</v>
      </c>
      <c r="B3071" s="57" t="s">
        <v>727</v>
      </c>
      <c r="C3071" s="57" t="s">
        <v>415</v>
      </c>
      <c r="D3071" s="58" t="n">
        <v>46059.6124884259</v>
      </c>
      <c r="E3071" s="58" t="n">
        <v>46059.6124884259</v>
      </c>
      <c r="F3071" s="58" t="n">
        <v>46059.6130324074</v>
      </c>
      <c r="G3071" s="59" t="n">
        <f aca="false">F3071-E3071</f>
        <v>0.00054398150462963</v>
      </c>
      <c r="H3071" s="57" t="s">
        <v>252</v>
      </c>
      <c r="I3071" s="57"/>
      <c r="J3071" s="57" t="s">
        <v>333</v>
      </c>
      <c r="K3071" s="57" t="s">
        <v>334</v>
      </c>
      <c r="L3071" s="60" t="s">
        <v>4404</v>
      </c>
      <c r="M3071" s="57" t="s">
        <v>336</v>
      </c>
      <c r="N3071" s="57" t="s">
        <v>381</v>
      </c>
      <c r="O3071" s="57" t="s">
        <v>729</v>
      </c>
      <c r="P3071" s="57" t="s">
        <v>4405</v>
      </c>
      <c r="Q3071" s="57" t="s">
        <v>698</v>
      </c>
    </row>
    <row r="3072" s="50" customFormat="true" ht="14.25" hidden="false" customHeight="true" outlineLevel="0" collapsed="false">
      <c r="A3072" s="50" t="s">
        <v>727</v>
      </c>
      <c r="B3072" s="57" t="s">
        <v>727</v>
      </c>
      <c r="C3072" s="57" t="s">
        <v>415</v>
      </c>
      <c r="D3072" s="58" t="n">
        <v>46059.5950115741</v>
      </c>
      <c r="E3072" s="58" t="n">
        <v>46059.5950115741</v>
      </c>
      <c r="F3072" s="58" t="n">
        <v>46059.5955439815</v>
      </c>
      <c r="G3072" s="59" t="n">
        <f aca="false">F3072-E3072</f>
        <v>0.000532407407407407</v>
      </c>
      <c r="H3072" s="57" t="s">
        <v>252</v>
      </c>
      <c r="I3072" s="57"/>
      <c r="J3072" s="57" t="s">
        <v>333</v>
      </c>
      <c r="K3072" s="57" t="s">
        <v>334</v>
      </c>
      <c r="L3072" s="60" t="s">
        <v>4406</v>
      </c>
      <c r="M3072" s="57" t="s">
        <v>336</v>
      </c>
      <c r="N3072" s="57" t="s">
        <v>381</v>
      </c>
      <c r="O3072" s="57" t="s">
        <v>729</v>
      </c>
      <c r="P3072" s="57" t="s">
        <v>4407</v>
      </c>
      <c r="Q3072" s="57" t="s">
        <v>698</v>
      </c>
    </row>
    <row r="3073" s="50" customFormat="true" ht="14.25" hidden="false" customHeight="true" outlineLevel="0" collapsed="false">
      <c r="A3073" s="50" t="s">
        <v>727</v>
      </c>
      <c r="B3073" s="57" t="s">
        <v>727</v>
      </c>
      <c r="C3073" s="57" t="s">
        <v>415</v>
      </c>
      <c r="D3073" s="58" t="n">
        <v>46059.5825347222</v>
      </c>
      <c r="E3073" s="58" t="n">
        <v>46059.5825347222</v>
      </c>
      <c r="F3073" s="58" t="n">
        <v>46059.5830787037</v>
      </c>
      <c r="G3073" s="59" t="n">
        <f aca="false">F3073-E3073</f>
        <v>0.00054398150462963</v>
      </c>
      <c r="H3073" s="57" t="s">
        <v>252</v>
      </c>
      <c r="I3073" s="57"/>
      <c r="J3073" s="57" t="s">
        <v>333</v>
      </c>
      <c r="K3073" s="57" t="s">
        <v>334</v>
      </c>
      <c r="L3073" s="60" t="s">
        <v>4408</v>
      </c>
      <c r="M3073" s="57" t="s">
        <v>336</v>
      </c>
      <c r="N3073" s="57" t="s">
        <v>381</v>
      </c>
      <c r="O3073" s="57" t="s">
        <v>729</v>
      </c>
      <c r="P3073" s="57" t="s">
        <v>4409</v>
      </c>
      <c r="Q3073" s="57" t="s">
        <v>698</v>
      </c>
    </row>
    <row r="3074" s="50" customFormat="true" ht="14.25" hidden="false" customHeight="true" outlineLevel="0" collapsed="false">
      <c r="A3074" s="50" t="s">
        <v>727</v>
      </c>
      <c r="B3074" s="57" t="s">
        <v>727</v>
      </c>
      <c r="C3074" s="57" t="s">
        <v>415</v>
      </c>
      <c r="D3074" s="58" t="n">
        <v>46059.5730671296</v>
      </c>
      <c r="E3074" s="58" t="n">
        <v>46059.5730671296</v>
      </c>
      <c r="F3074" s="58" t="n">
        <v>46059.5736111111</v>
      </c>
      <c r="G3074" s="59" t="n">
        <f aca="false">F3074-E3074</f>
        <v>0.00054398150462963</v>
      </c>
      <c r="H3074" s="57" t="s">
        <v>252</v>
      </c>
      <c r="I3074" s="57"/>
      <c r="J3074" s="57" t="s">
        <v>333</v>
      </c>
      <c r="K3074" s="57" t="s">
        <v>334</v>
      </c>
      <c r="L3074" s="60" t="s">
        <v>4410</v>
      </c>
      <c r="M3074" s="57" t="s">
        <v>336</v>
      </c>
      <c r="N3074" s="57" t="s">
        <v>381</v>
      </c>
      <c r="O3074" s="57" t="s">
        <v>729</v>
      </c>
      <c r="P3074" s="57" t="s">
        <v>4411</v>
      </c>
      <c r="Q3074" s="57" t="s">
        <v>698</v>
      </c>
    </row>
    <row r="3075" s="50" customFormat="true" ht="14.25" hidden="false" customHeight="true" outlineLevel="0" collapsed="false">
      <c r="A3075" s="50" t="s">
        <v>727</v>
      </c>
      <c r="B3075" s="57" t="s">
        <v>727</v>
      </c>
      <c r="C3075" s="57" t="s">
        <v>415</v>
      </c>
      <c r="D3075" s="58" t="n">
        <v>46059.5643518519</v>
      </c>
      <c r="E3075" s="58" t="n">
        <v>46059.5643518519</v>
      </c>
      <c r="F3075" s="58" t="n">
        <v>46059.5648958333</v>
      </c>
      <c r="G3075" s="59" t="n">
        <f aca="false">F3075-E3075</f>
        <v>0.000543981400462963</v>
      </c>
      <c r="H3075" s="57" t="s">
        <v>252</v>
      </c>
      <c r="I3075" s="57"/>
      <c r="J3075" s="57" t="s">
        <v>333</v>
      </c>
      <c r="K3075" s="57" t="s">
        <v>334</v>
      </c>
      <c r="L3075" s="60" t="s">
        <v>4412</v>
      </c>
      <c r="M3075" s="57" t="s">
        <v>336</v>
      </c>
      <c r="N3075" s="57" t="s">
        <v>381</v>
      </c>
      <c r="O3075" s="57" t="s">
        <v>729</v>
      </c>
      <c r="P3075" s="57" t="s">
        <v>4413</v>
      </c>
      <c r="Q3075" s="57" t="s">
        <v>698</v>
      </c>
    </row>
    <row r="3076" s="50" customFormat="true" ht="14.25" hidden="false" customHeight="true" outlineLevel="0" collapsed="false">
      <c r="A3076" s="50" t="s">
        <v>727</v>
      </c>
      <c r="B3076" s="57" t="s">
        <v>727</v>
      </c>
      <c r="C3076" s="57" t="s">
        <v>415</v>
      </c>
      <c r="D3076" s="58" t="n">
        <v>46059.5383680556</v>
      </c>
      <c r="E3076" s="58" t="n">
        <v>46059.5383680556</v>
      </c>
      <c r="F3076" s="58" t="n">
        <v>46059.5389699074</v>
      </c>
      <c r="G3076" s="59" t="n">
        <f aca="false">F3076-E3076</f>
        <v>0.000601851805555556</v>
      </c>
      <c r="H3076" s="57" t="s">
        <v>252</v>
      </c>
      <c r="I3076" s="57"/>
      <c r="J3076" s="57" t="s">
        <v>333</v>
      </c>
      <c r="K3076" s="57" t="s">
        <v>334</v>
      </c>
      <c r="L3076" s="60" t="s">
        <v>4414</v>
      </c>
      <c r="M3076" s="57" t="s">
        <v>336</v>
      </c>
      <c r="N3076" s="57" t="s">
        <v>381</v>
      </c>
      <c r="O3076" s="57" t="s">
        <v>729</v>
      </c>
      <c r="P3076" s="57" t="s">
        <v>4415</v>
      </c>
      <c r="Q3076" s="57" t="s">
        <v>698</v>
      </c>
    </row>
    <row r="3077" s="50" customFormat="true" ht="14.25" hidden="false" customHeight="true" outlineLevel="0" collapsed="false">
      <c r="A3077" s="50" t="s">
        <v>727</v>
      </c>
      <c r="B3077" s="57" t="s">
        <v>727</v>
      </c>
      <c r="C3077" s="57" t="s">
        <v>415</v>
      </c>
      <c r="D3077" s="58" t="n">
        <v>46059.5236458333</v>
      </c>
      <c r="E3077" s="58" t="n">
        <v>46059.5236458333</v>
      </c>
      <c r="F3077" s="58" t="n">
        <v>46059.5242824074</v>
      </c>
      <c r="G3077" s="59" t="n">
        <f aca="false">F3077-E3077</f>
        <v>0.000636574097222222</v>
      </c>
      <c r="H3077" s="57" t="s">
        <v>252</v>
      </c>
      <c r="I3077" s="57"/>
      <c r="J3077" s="57" t="s">
        <v>333</v>
      </c>
      <c r="K3077" s="57" t="s">
        <v>334</v>
      </c>
      <c r="L3077" s="60" t="s">
        <v>4416</v>
      </c>
      <c r="M3077" s="57" t="s">
        <v>336</v>
      </c>
      <c r="N3077" s="57" t="s">
        <v>381</v>
      </c>
      <c r="O3077" s="57" t="s">
        <v>729</v>
      </c>
      <c r="P3077" s="57" t="s">
        <v>4417</v>
      </c>
      <c r="Q3077" s="57" t="s">
        <v>698</v>
      </c>
    </row>
    <row r="3078" s="50" customFormat="true" ht="14.25" hidden="false" customHeight="true" outlineLevel="0" collapsed="false">
      <c r="A3078" s="50" t="s">
        <v>727</v>
      </c>
      <c r="B3078" s="57" t="s">
        <v>727</v>
      </c>
      <c r="C3078" s="57" t="s">
        <v>415</v>
      </c>
      <c r="D3078" s="58" t="n">
        <v>46059.5143171296</v>
      </c>
      <c r="E3078" s="58" t="n">
        <v>46059.5143171296</v>
      </c>
      <c r="F3078" s="58" t="n">
        <v>46059.5148726852</v>
      </c>
      <c r="G3078" s="59" t="n">
        <f aca="false">F3078-E3078</f>
        <v>0.000555555601851852</v>
      </c>
      <c r="H3078" s="57" t="s">
        <v>252</v>
      </c>
      <c r="I3078" s="57"/>
      <c r="J3078" s="57" t="s">
        <v>333</v>
      </c>
      <c r="K3078" s="57" t="s">
        <v>334</v>
      </c>
      <c r="L3078" s="60" t="s">
        <v>4418</v>
      </c>
      <c r="M3078" s="57" t="s">
        <v>336</v>
      </c>
      <c r="N3078" s="57" t="s">
        <v>381</v>
      </c>
      <c r="O3078" s="57" t="s">
        <v>729</v>
      </c>
      <c r="P3078" s="57" t="s">
        <v>4419</v>
      </c>
      <c r="Q3078" s="57" t="s">
        <v>698</v>
      </c>
    </row>
    <row r="3079" s="50" customFormat="true" ht="14.25" hidden="false" customHeight="true" outlineLevel="0" collapsed="false">
      <c r="A3079" s="50" t="s">
        <v>727</v>
      </c>
      <c r="B3079" s="57" t="s">
        <v>727</v>
      </c>
      <c r="C3079" s="57" t="s">
        <v>415</v>
      </c>
      <c r="D3079" s="58" t="n">
        <v>46059.5028472222</v>
      </c>
      <c r="E3079" s="58" t="n">
        <v>46059.5028472222</v>
      </c>
      <c r="F3079" s="58" t="n">
        <v>46059.5033912037</v>
      </c>
      <c r="G3079" s="59" t="n">
        <f aca="false">F3079-E3079</f>
        <v>0.00054398150462963</v>
      </c>
      <c r="H3079" s="57" t="s">
        <v>252</v>
      </c>
      <c r="I3079" s="57"/>
      <c r="J3079" s="57" t="s">
        <v>333</v>
      </c>
      <c r="K3079" s="57" t="s">
        <v>334</v>
      </c>
      <c r="L3079" s="60" t="s">
        <v>4420</v>
      </c>
      <c r="M3079" s="57" t="s">
        <v>336</v>
      </c>
      <c r="N3079" s="57" t="s">
        <v>381</v>
      </c>
      <c r="O3079" s="57" t="s">
        <v>729</v>
      </c>
      <c r="P3079" s="57" t="s">
        <v>4421</v>
      </c>
      <c r="Q3079" s="57" t="s">
        <v>698</v>
      </c>
    </row>
    <row r="3080" s="50" customFormat="true" ht="14.25" hidden="false" customHeight="true" outlineLevel="0" collapsed="false">
      <c r="A3080" s="50" t="s">
        <v>727</v>
      </c>
      <c r="B3080" s="57" t="s">
        <v>727</v>
      </c>
      <c r="C3080" s="57" t="s">
        <v>415</v>
      </c>
      <c r="D3080" s="58" t="n">
        <v>46059.4925231482</v>
      </c>
      <c r="E3080" s="58" t="n">
        <v>46059.4925231482</v>
      </c>
      <c r="F3080" s="58" t="n">
        <v>46059.4930671296</v>
      </c>
      <c r="G3080" s="59" t="n">
        <f aca="false">F3080-E3080</f>
        <v>0.000543981400462963</v>
      </c>
      <c r="H3080" s="57" t="s">
        <v>252</v>
      </c>
      <c r="I3080" s="57"/>
      <c r="J3080" s="57" t="s">
        <v>333</v>
      </c>
      <c r="K3080" s="57" t="s">
        <v>334</v>
      </c>
      <c r="L3080" s="60" t="s">
        <v>4422</v>
      </c>
      <c r="M3080" s="57" t="s">
        <v>336</v>
      </c>
      <c r="N3080" s="57" t="s">
        <v>381</v>
      </c>
      <c r="O3080" s="57" t="s">
        <v>729</v>
      </c>
      <c r="P3080" s="57" t="s">
        <v>4423</v>
      </c>
      <c r="Q3080" s="57" t="s">
        <v>698</v>
      </c>
    </row>
    <row r="3081" s="50" customFormat="true" ht="14.25" hidden="false" customHeight="true" outlineLevel="0" collapsed="false">
      <c r="A3081" s="50" t="s">
        <v>727</v>
      </c>
      <c r="B3081" s="57" t="s">
        <v>727</v>
      </c>
      <c r="C3081" s="57" t="s">
        <v>415</v>
      </c>
      <c r="D3081" s="58" t="n">
        <v>46059.4673842593</v>
      </c>
      <c r="E3081" s="58" t="n">
        <v>46059.4673842593</v>
      </c>
      <c r="F3081" s="58" t="n">
        <v>46059.4679513889</v>
      </c>
      <c r="G3081" s="59" t="n">
        <f aca="false">F3081-E3081</f>
        <v>0.000567129606481481</v>
      </c>
      <c r="H3081" s="57" t="s">
        <v>252</v>
      </c>
      <c r="I3081" s="57"/>
      <c r="J3081" s="57" t="s">
        <v>333</v>
      </c>
      <c r="K3081" s="57" t="s">
        <v>334</v>
      </c>
      <c r="L3081" s="60" t="s">
        <v>4424</v>
      </c>
      <c r="M3081" s="57" t="s">
        <v>336</v>
      </c>
      <c r="N3081" s="57" t="s">
        <v>381</v>
      </c>
      <c r="O3081" s="57" t="s">
        <v>729</v>
      </c>
      <c r="P3081" s="57" t="s">
        <v>4425</v>
      </c>
      <c r="Q3081" s="57" t="s">
        <v>698</v>
      </c>
    </row>
    <row r="3082" s="50" customFormat="true" ht="14.25" hidden="false" customHeight="true" outlineLevel="0" collapsed="false">
      <c r="A3082" s="50" t="s">
        <v>727</v>
      </c>
      <c r="B3082" s="57" t="s">
        <v>727</v>
      </c>
      <c r="C3082" s="57" t="s">
        <v>415</v>
      </c>
      <c r="D3082" s="58" t="n">
        <v>46059.4448263889</v>
      </c>
      <c r="E3082" s="58" t="n">
        <v>46059.4448263889</v>
      </c>
      <c r="F3082" s="58" t="n">
        <v>46059.4476388889</v>
      </c>
      <c r="G3082" s="59" t="n">
        <f aca="false">F3082-E3082</f>
        <v>0.0028125</v>
      </c>
      <c r="H3082" s="57" t="s">
        <v>252</v>
      </c>
      <c r="I3082" s="57"/>
      <c r="J3082" s="57" t="s">
        <v>333</v>
      </c>
      <c r="K3082" s="57" t="s">
        <v>334</v>
      </c>
      <c r="L3082" s="60" t="s">
        <v>4426</v>
      </c>
      <c r="M3082" s="57" t="s">
        <v>336</v>
      </c>
      <c r="N3082" s="57" t="s">
        <v>381</v>
      </c>
      <c r="O3082" s="57" t="s">
        <v>729</v>
      </c>
      <c r="P3082" s="57" t="s">
        <v>4427</v>
      </c>
      <c r="Q3082" s="57" t="s">
        <v>698</v>
      </c>
    </row>
    <row r="3083" s="50" customFormat="true" ht="14.25" hidden="false" customHeight="true" outlineLevel="0" collapsed="false">
      <c r="A3083" s="50" t="s">
        <v>727</v>
      </c>
      <c r="B3083" s="57" t="s">
        <v>727</v>
      </c>
      <c r="C3083" s="57" t="s">
        <v>415</v>
      </c>
      <c r="D3083" s="58" t="n">
        <v>46059.4435185185</v>
      </c>
      <c r="E3083" s="58" t="n">
        <v>46059.4435185185</v>
      </c>
      <c r="F3083" s="58" t="n">
        <v>46059.4443171296</v>
      </c>
      <c r="G3083" s="59" t="n">
        <f aca="false">F3083-E3083</f>
        <v>0.000798611111111111</v>
      </c>
      <c r="H3083" s="57" t="s">
        <v>252</v>
      </c>
      <c r="I3083" s="57"/>
      <c r="J3083" s="57" t="s">
        <v>333</v>
      </c>
      <c r="K3083" s="57" t="s">
        <v>334</v>
      </c>
      <c r="L3083" s="60" t="s">
        <v>4428</v>
      </c>
      <c r="M3083" s="57" t="s">
        <v>336</v>
      </c>
      <c r="N3083" s="57" t="s">
        <v>381</v>
      </c>
      <c r="O3083" s="57" t="s">
        <v>729</v>
      </c>
      <c r="P3083" s="57" t="s">
        <v>4429</v>
      </c>
      <c r="Q3083" s="57" t="s">
        <v>698</v>
      </c>
    </row>
    <row r="3084" s="50" customFormat="true" ht="14.25" hidden="false" customHeight="true" outlineLevel="0" collapsed="false">
      <c r="A3084" s="50" t="s">
        <v>727</v>
      </c>
      <c r="B3084" s="57" t="s">
        <v>727</v>
      </c>
      <c r="C3084" s="57" t="s">
        <v>415</v>
      </c>
      <c r="D3084" s="58" t="n">
        <v>46059.4349421296</v>
      </c>
      <c r="E3084" s="58" t="n">
        <v>46059.4349421296</v>
      </c>
      <c r="F3084" s="58" t="n">
        <v>46059.4355555556</v>
      </c>
      <c r="G3084" s="59" t="n">
        <f aca="false">F3084-E3084</f>
        <v>0.000613426006944444</v>
      </c>
      <c r="H3084" s="57" t="s">
        <v>252</v>
      </c>
      <c r="I3084" s="57"/>
      <c r="J3084" s="57" t="s">
        <v>333</v>
      </c>
      <c r="K3084" s="57" t="s">
        <v>334</v>
      </c>
      <c r="L3084" s="60" t="s">
        <v>4430</v>
      </c>
      <c r="M3084" s="57" t="s">
        <v>336</v>
      </c>
      <c r="N3084" s="57" t="s">
        <v>381</v>
      </c>
      <c r="O3084" s="57" t="s">
        <v>729</v>
      </c>
      <c r="P3084" s="57" t="s">
        <v>4431</v>
      </c>
      <c r="Q3084" s="57" t="s">
        <v>698</v>
      </c>
    </row>
    <row r="3085" s="50" customFormat="true" ht="14.25" hidden="false" customHeight="true" outlineLevel="0" collapsed="false">
      <c r="A3085" s="50" t="s">
        <v>727</v>
      </c>
      <c r="B3085" s="57" t="s">
        <v>727</v>
      </c>
      <c r="C3085" s="57" t="s">
        <v>415</v>
      </c>
      <c r="D3085" s="58" t="n">
        <v>46059.4289583333</v>
      </c>
      <c r="E3085" s="58" t="n">
        <v>46059.4289583333</v>
      </c>
      <c r="F3085" s="58" t="n">
        <v>46059.4302083333</v>
      </c>
      <c r="G3085" s="59" t="n">
        <f aca="false">F3085-E3085</f>
        <v>0.00125</v>
      </c>
      <c r="H3085" s="57" t="s">
        <v>252</v>
      </c>
      <c r="I3085" s="57"/>
      <c r="J3085" s="57" t="s">
        <v>333</v>
      </c>
      <c r="K3085" s="57" t="s">
        <v>334</v>
      </c>
      <c r="L3085" s="60" t="s">
        <v>4432</v>
      </c>
      <c r="M3085" s="57" t="s">
        <v>336</v>
      </c>
      <c r="N3085" s="57" t="s">
        <v>381</v>
      </c>
      <c r="O3085" s="57" t="s">
        <v>729</v>
      </c>
      <c r="P3085" s="57" t="s">
        <v>4433</v>
      </c>
      <c r="Q3085" s="57" t="s">
        <v>698</v>
      </c>
    </row>
    <row r="3086" s="50" customFormat="true" ht="14.25" hidden="false" customHeight="true" outlineLevel="0" collapsed="false">
      <c r="A3086" s="50" t="s">
        <v>727</v>
      </c>
      <c r="B3086" s="57" t="s">
        <v>727</v>
      </c>
      <c r="C3086" s="57" t="s">
        <v>415</v>
      </c>
      <c r="D3086" s="58" t="n">
        <v>46059.4258796296</v>
      </c>
      <c r="E3086" s="58" t="n">
        <v>46059.4258796296</v>
      </c>
      <c r="F3086" s="58" t="n">
        <v>46059.4264467593</v>
      </c>
      <c r="G3086" s="59" t="n">
        <f aca="false">F3086-E3086</f>
        <v>0.000567129699074074</v>
      </c>
      <c r="H3086" s="57" t="s">
        <v>252</v>
      </c>
      <c r="I3086" s="57"/>
      <c r="J3086" s="57" t="s">
        <v>333</v>
      </c>
      <c r="K3086" s="57" t="s">
        <v>334</v>
      </c>
      <c r="L3086" s="60" t="s">
        <v>4434</v>
      </c>
      <c r="M3086" s="57" t="s">
        <v>336</v>
      </c>
      <c r="N3086" s="57" t="s">
        <v>381</v>
      </c>
      <c r="O3086" s="57" t="s">
        <v>729</v>
      </c>
      <c r="P3086" s="57" t="s">
        <v>4435</v>
      </c>
      <c r="Q3086" s="57" t="s">
        <v>698</v>
      </c>
    </row>
    <row r="3087" s="50" customFormat="true" ht="14.25" hidden="false" customHeight="true" outlineLevel="0" collapsed="false">
      <c r="A3087" s="50" t="s">
        <v>727</v>
      </c>
      <c r="B3087" s="57" t="s">
        <v>727</v>
      </c>
      <c r="C3087" s="57" t="s">
        <v>415</v>
      </c>
      <c r="D3087" s="58" t="n">
        <v>46059.4178356482</v>
      </c>
      <c r="E3087" s="58" t="n">
        <v>46059.4178356482</v>
      </c>
      <c r="F3087" s="58" t="n">
        <v>46059.4183796296</v>
      </c>
      <c r="G3087" s="59" t="n">
        <f aca="false">F3087-E3087</f>
        <v>0.000543981400462963</v>
      </c>
      <c r="H3087" s="57" t="s">
        <v>252</v>
      </c>
      <c r="I3087" s="57"/>
      <c r="J3087" s="57" t="s">
        <v>333</v>
      </c>
      <c r="K3087" s="57" t="s">
        <v>334</v>
      </c>
      <c r="L3087" s="60" t="s">
        <v>4436</v>
      </c>
      <c r="M3087" s="57" t="s">
        <v>336</v>
      </c>
      <c r="N3087" s="57" t="s">
        <v>381</v>
      </c>
      <c r="O3087" s="57" t="s">
        <v>729</v>
      </c>
      <c r="P3087" s="57" t="s">
        <v>4437</v>
      </c>
      <c r="Q3087" s="57" t="s">
        <v>698</v>
      </c>
    </row>
    <row r="3088" s="50" customFormat="true" ht="14.25" hidden="false" customHeight="true" outlineLevel="0" collapsed="false">
      <c r="A3088" s="50" t="s">
        <v>727</v>
      </c>
      <c r="B3088" s="57" t="s">
        <v>727</v>
      </c>
      <c r="C3088" s="57" t="s">
        <v>415</v>
      </c>
      <c r="D3088" s="58" t="n">
        <v>46059.4087268519</v>
      </c>
      <c r="E3088" s="58" t="n">
        <v>46059.4087268519</v>
      </c>
      <c r="F3088" s="58" t="n">
        <v>46059.4108449074</v>
      </c>
      <c r="G3088" s="59" t="n">
        <f aca="false">F3088-E3088</f>
        <v>0.00211805549768519</v>
      </c>
      <c r="H3088" s="57" t="s">
        <v>252</v>
      </c>
      <c r="I3088" s="57"/>
      <c r="J3088" s="57" t="s">
        <v>333</v>
      </c>
      <c r="K3088" s="57" t="s">
        <v>334</v>
      </c>
      <c r="L3088" s="60" t="s">
        <v>4438</v>
      </c>
      <c r="M3088" s="57" t="s">
        <v>336</v>
      </c>
      <c r="N3088" s="57" t="s">
        <v>381</v>
      </c>
      <c r="O3088" s="57" t="s">
        <v>729</v>
      </c>
      <c r="P3088" s="57" t="s">
        <v>4439</v>
      </c>
      <c r="Q3088" s="57" t="s">
        <v>698</v>
      </c>
    </row>
    <row r="3089" s="50" customFormat="true" ht="14.25" hidden="false" customHeight="true" outlineLevel="0" collapsed="false">
      <c r="A3089" s="50" t="s">
        <v>727</v>
      </c>
      <c r="B3089" s="57" t="s">
        <v>727</v>
      </c>
      <c r="C3089" s="57" t="s">
        <v>415</v>
      </c>
      <c r="D3089" s="58" t="n">
        <v>46059.3963194444</v>
      </c>
      <c r="E3089" s="58" t="n">
        <v>46059.3963194444</v>
      </c>
      <c r="F3089" s="58" t="n">
        <v>46059.3970023148</v>
      </c>
      <c r="G3089" s="59" t="n">
        <f aca="false">F3089-E3089</f>
        <v>0.000682870393518519</v>
      </c>
      <c r="H3089" s="57" t="s">
        <v>252</v>
      </c>
      <c r="I3089" s="57"/>
      <c r="J3089" s="57" t="s">
        <v>333</v>
      </c>
      <c r="K3089" s="57" t="s">
        <v>334</v>
      </c>
      <c r="L3089" s="60" t="s">
        <v>4440</v>
      </c>
      <c r="M3089" s="57" t="s">
        <v>336</v>
      </c>
      <c r="N3089" s="57" t="s">
        <v>381</v>
      </c>
      <c r="O3089" s="57" t="s">
        <v>729</v>
      </c>
      <c r="P3089" s="57" t="s">
        <v>4441</v>
      </c>
      <c r="Q3089" s="57" t="s">
        <v>698</v>
      </c>
    </row>
    <row r="3090" s="50" customFormat="true" ht="14.25" hidden="false" customHeight="true" outlineLevel="0" collapsed="false">
      <c r="A3090" s="50" t="s">
        <v>727</v>
      </c>
      <c r="B3090" s="57" t="s">
        <v>727</v>
      </c>
      <c r="C3090" s="57" t="s">
        <v>415</v>
      </c>
      <c r="D3090" s="58" t="n">
        <v>46059.3823611111</v>
      </c>
      <c r="E3090" s="58" t="n">
        <v>46059.3823611111</v>
      </c>
      <c r="F3090" s="58" t="n">
        <v>46059.3828819444</v>
      </c>
      <c r="G3090" s="59" t="n">
        <f aca="false">F3090-E3090</f>
        <v>0.000520833298611111</v>
      </c>
      <c r="H3090" s="57" t="s">
        <v>252</v>
      </c>
      <c r="I3090" s="57"/>
      <c r="J3090" s="57" t="s">
        <v>333</v>
      </c>
      <c r="K3090" s="57" t="s">
        <v>334</v>
      </c>
      <c r="L3090" s="60" t="s">
        <v>4442</v>
      </c>
      <c r="M3090" s="57" t="s">
        <v>336</v>
      </c>
      <c r="N3090" s="57" t="s">
        <v>381</v>
      </c>
      <c r="O3090" s="57" t="s">
        <v>729</v>
      </c>
      <c r="P3090" s="57" t="s">
        <v>4443</v>
      </c>
      <c r="Q3090" s="57" t="s">
        <v>698</v>
      </c>
    </row>
    <row r="3091" s="50" customFormat="true" ht="14.25" hidden="false" customHeight="true" outlineLevel="0" collapsed="false">
      <c r="A3091" s="50" t="s">
        <v>727</v>
      </c>
      <c r="B3091" s="57" t="s">
        <v>727</v>
      </c>
      <c r="C3091" s="57" t="s">
        <v>415</v>
      </c>
      <c r="D3091" s="58" t="n">
        <v>46059.3603472222</v>
      </c>
      <c r="E3091" s="58" t="n">
        <v>46059.3603472222</v>
      </c>
      <c r="F3091" s="58" t="n">
        <v>46059.3619907407</v>
      </c>
      <c r="G3091" s="59" t="n">
        <f aca="false">F3091-E3091</f>
        <v>0.00164351849537037</v>
      </c>
      <c r="H3091" s="57" t="s">
        <v>252</v>
      </c>
      <c r="I3091" s="57"/>
      <c r="J3091" s="57" t="s">
        <v>333</v>
      </c>
      <c r="K3091" s="57" t="s">
        <v>334</v>
      </c>
      <c r="L3091" s="60" t="s">
        <v>4444</v>
      </c>
      <c r="M3091" s="57" t="s">
        <v>336</v>
      </c>
      <c r="N3091" s="57" t="s">
        <v>381</v>
      </c>
      <c r="O3091" s="57" t="s">
        <v>729</v>
      </c>
      <c r="P3091" s="57" t="s">
        <v>4445</v>
      </c>
      <c r="Q3091" s="57" t="s">
        <v>698</v>
      </c>
    </row>
    <row r="3092" s="50" customFormat="true" ht="14.25" hidden="false" customHeight="true" outlineLevel="0" collapsed="false">
      <c r="A3092" s="50" t="s">
        <v>727</v>
      </c>
      <c r="B3092" s="57" t="s">
        <v>727</v>
      </c>
      <c r="C3092" s="57" t="s">
        <v>415</v>
      </c>
      <c r="D3092" s="58" t="n">
        <v>46059.3564814815</v>
      </c>
      <c r="E3092" s="58" t="n">
        <v>46059.3564814815</v>
      </c>
      <c r="F3092" s="58" t="n">
        <v>46059.3576273148</v>
      </c>
      <c r="G3092" s="59" t="n">
        <f aca="false">F3092-E3092</f>
        <v>0.00114583329861111</v>
      </c>
      <c r="H3092" s="57" t="s">
        <v>252</v>
      </c>
      <c r="I3092" s="57"/>
      <c r="J3092" s="57" t="s">
        <v>333</v>
      </c>
      <c r="K3092" s="57" t="s">
        <v>334</v>
      </c>
      <c r="L3092" s="60" t="s">
        <v>4446</v>
      </c>
      <c r="M3092" s="57" t="s">
        <v>336</v>
      </c>
      <c r="N3092" s="57" t="s">
        <v>381</v>
      </c>
      <c r="O3092" s="57" t="s">
        <v>729</v>
      </c>
      <c r="P3092" s="57" t="s">
        <v>4447</v>
      </c>
      <c r="Q3092" s="57" t="s">
        <v>698</v>
      </c>
    </row>
    <row r="3093" s="50" customFormat="true" ht="14.25" hidden="false" customHeight="true" outlineLevel="0" collapsed="false">
      <c r="A3093" s="50" t="s">
        <v>727</v>
      </c>
      <c r="B3093" s="57" t="s">
        <v>727</v>
      </c>
      <c r="C3093" s="57" t="s">
        <v>415</v>
      </c>
      <c r="D3093" s="58" t="n">
        <v>46059.3264236111</v>
      </c>
      <c r="E3093" s="58" t="n">
        <v>46059.3264236111</v>
      </c>
      <c r="F3093" s="58" t="n">
        <v>46059.3269675926</v>
      </c>
      <c r="G3093" s="59" t="n">
        <f aca="false">F3093-E3093</f>
        <v>0.00054398150462963</v>
      </c>
      <c r="H3093" s="57" t="s">
        <v>252</v>
      </c>
      <c r="I3093" s="57"/>
      <c r="J3093" s="57" t="s">
        <v>333</v>
      </c>
      <c r="K3093" s="57" t="s">
        <v>334</v>
      </c>
      <c r="L3093" s="60" t="s">
        <v>4448</v>
      </c>
      <c r="M3093" s="57" t="s">
        <v>336</v>
      </c>
      <c r="N3093" s="57" t="s">
        <v>381</v>
      </c>
      <c r="O3093" s="57" t="s">
        <v>729</v>
      </c>
      <c r="P3093" s="57" t="s">
        <v>4449</v>
      </c>
      <c r="Q3093" s="57" t="s">
        <v>698</v>
      </c>
    </row>
    <row r="3094" s="50" customFormat="true" ht="14.25" hidden="false" customHeight="true" outlineLevel="0" collapsed="false">
      <c r="A3094" s="50" t="s">
        <v>727</v>
      </c>
      <c r="B3094" s="57" t="s">
        <v>727</v>
      </c>
      <c r="C3094" s="57" t="s">
        <v>415</v>
      </c>
      <c r="D3094" s="58" t="n">
        <v>46059.311400463</v>
      </c>
      <c r="E3094" s="58" t="n">
        <v>46059.311400463</v>
      </c>
      <c r="F3094" s="58" t="n">
        <v>46059.3125</v>
      </c>
      <c r="G3094" s="59" t="n">
        <f aca="false">F3094-E3094</f>
        <v>0.00109953700231481</v>
      </c>
      <c r="H3094" s="57" t="s">
        <v>252</v>
      </c>
      <c r="I3094" s="57"/>
      <c r="J3094" s="57" t="s">
        <v>333</v>
      </c>
      <c r="K3094" s="57" t="s">
        <v>334</v>
      </c>
      <c r="L3094" s="60" t="s">
        <v>4450</v>
      </c>
      <c r="M3094" s="57" t="s">
        <v>336</v>
      </c>
      <c r="N3094" s="57" t="s">
        <v>381</v>
      </c>
      <c r="O3094" s="57" t="s">
        <v>729</v>
      </c>
      <c r="P3094" s="57" t="s">
        <v>4451</v>
      </c>
      <c r="Q3094" s="57" t="s">
        <v>698</v>
      </c>
    </row>
    <row r="3095" s="50" customFormat="true" ht="14.25" hidden="false" customHeight="true" outlineLevel="0" collapsed="false">
      <c r="A3095" s="50" t="s">
        <v>727</v>
      </c>
      <c r="B3095" s="57" t="s">
        <v>727</v>
      </c>
      <c r="C3095" s="57" t="s">
        <v>415</v>
      </c>
      <c r="D3095" s="58" t="n">
        <v>46059.3017013889</v>
      </c>
      <c r="E3095" s="58" t="n">
        <v>46059.3017013889</v>
      </c>
      <c r="F3095" s="58" t="n">
        <v>46059.3022222222</v>
      </c>
      <c r="G3095" s="59" t="n">
        <f aca="false">F3095-E3095</f>
        <v>0.000520833298611111</v>
      </c>
      <c r="H3095" s="57" t="s">
        <v>252</v>
      </c>
      <c r="I3095" s="57"/>
      <c r="J3095" s="57" t="s">
        <v>333</v>
      </c>
      <c r="K3095" s="57" t="s">
        <v>334</v>
      </c>
      <c r="L3095" s="60" t="s">
        <v>4452</v>
      </c>
      <c r="M3095" s="57" t="s">
        <v>336</v>
      </c>
      <c r="N3095" s="57" t="s">
        <v>381</v>
      </c>
      <c r="O3095" s="57" t="s">
        <v>729</v>
      </c>
      <c r="P3095" s="57" t="s">
        <v>4453</v>
      </c>
      <c r="Q3095" s="57" t="s">
        <v>698</v>
      </c>
    </row>
    <row r="3096" s="50" customFormat="true" ht="14.25" hidden="false" customHeight="true" outlineLevel="0" collapsed="false">
      <c r="A3096" s="50" t="s">
        <v>727</v>
      </c>
      <c r="B3096" s="57" t="s">
        <v>727</v>
      </c>
      <c r="C3096" s="57" t="s">
        <v>415</v>
      </c>
      <c r="D3096" s="58" t="n">
        <v>46059.2949305556</v>
      </c>
      <c r="E3096" s="58" t="n">
        <v>46059.2949305556</v>
      </c>
      <c r="F3096" s="58" t="n">
        <v>46059.295474537</v>
      </c>
      <c r="G3096" s="59" t="n">
        <f aca="false">F3096-E3096</f>
        <v>0.000543981400462963</v>
      </c>
      <c r="H3096" s="57" t="s">
        <v>252</v>
      </c>
      <c r="I3096" s="57"/>
      <c r="J3096" s="57" t="s">
        <v>333</v>
      </c>
      <c r="K3096" s="57" t="s">
        <v>334</v>
      </c>
      <c r="L3096" s="60" t="s">
        <v>4454</v>
      </c>
      <c r="M3096" s="57" t="s">
        <v>336</v>
      </c>
      <c r="N3096" s="57" t="s">
        <v>381</v>
      </c>
      <c r="O3096" s="57" t="s">
        <v>729</v>
      </c>
      <c r="P3096" s="57" t="s">
        <v>4455</v>
      </c>
      <c r="Q3096" s="57" t="s">
        <v>698</v>
      </c>
    </row>
    <row r="3097" s="50" customFormat="true" ht="14.25" hidden="false" customHeight="true" outlineLevel="0" collapsed="false">
      <c r="A3097" s="50" t="s">
        <v>727</v>
      </c>
      <c r="B3097" s="57" t="s">
        <v>727</v>
      </c>
      <c r="C3097" s="57" t="s">
        <v>415</v>
      </c>
      <c r="D3097" s="58" t="n">
        <v>46059.286724537</v>
      </c>
      <c r="E3097" s="58" t="n">
        <v>46059.286724537</v>
      </c>
      <c r="F3097" s="58" t="n">
        <v>46059.2874421296</v>
      </c>
      <c r="G3097" s="59" t="n">
        <f aca="false">F3097-E3097</f>
        <v>0.000717592592592593</v>
      </c>
      <c r="H3097" s="57" t="s">
        <v>252</v>
      </c>
      <c r="I3097" s="57"/>
      <c r="J3097" s="57" t="s">
        <v>333</v>
      </c>
      <c r="K3097" s="57" t="s">
        <v>334</v>
      </c>
      <c r="L3097" s="60" t="s">
        <v>4456</v>
      </c>
      <c r="M3097" s="57" t="s">
        <v>336</v>
      </c>
      <c r="N3097" s="57" t="s">
        <v>381</v>
      </c>
      <c r="O3097" s="57" t="s">
        <v>729</v>
      </c>
      <c r="P3097" s="57" t="s">
        <v>4457</v>
      </c>
      <c r="Q3097" s="57" t="s">
        <v>698</v>
      </c>
    </row>
    <row r="3098" s="50" customFormat="true" ht="14.25" hidden="false" customHeight="true" outlineLevel="0" collapsed="false">
      <c r="A3098" s="50" t="s">
        <v>727</v>
      </c>
      <c r="B3098" s="57" t="s">
        <v>727</v>
      </c>
      <c r="C3098" s="57" t="s">
        <v>415</v>
      </c>
      <c r="D3098" s="58" t="n">
        <v>46059.2789930556</v>
      </c>
      <c r="E3098" s="58" t="n">
        <v>46059.2789930556</v>
      </c>
      <c r="F3098" s="58" t="n">
        <v>46059.2794907407</v>
      </c>
      <c r="G3098" s="59" t="n">
        <f aca="false">F3098-E3098</f>
        <v>0.000497685092592593</v>
      </c>
      <c r="H3098" s="57" t="s">
        <v>252</v>
      </c>
      <c r="I3098" s="57"/>
      <c r="J3098" s="57" t="s">
        <v>333</v>
      </c>
      <c r="K3098" s="57" t="s">
        <v>334</v>
      </c>
      <c r="L3098" s="60" t="s">
        <v>4458</v>
      </c>
      <c r="M3098" s="57" t="s">
        <v>336</v>
      </c>
      <c r="N3098" s="57" t="s">
        <v>381</v>
      </c>
      <c r="O3098" s="57" t="s">
        <v>729</v>
      </c>
      <c r="P3098" s="57" t="s">
        <v>4459</v>
      </c>
      <c r="Q3098" s="57" t="s">
        <v>698</v>
      </c>
    </row>
    <row r="3099" s="50" customFormat="true" ht="14.25" hidden="false" customHeight="true" outlineLevel="0" collapsed="false">
      <c r="A3099" s="50" t="s">
        <v>727</v>
      </c>
      <c r="B3099" s="57" t="s">
        <v>727</v>
      </c>
      <c r="C3099" s="57" t="s">
        <v>415</v>
      </c>
      <c r="D3099" s="58" t="n">
        <v>46059.2365972222</v>
      </c>
      <c r="E3099" s="58" t="n">
        <v>46059.2365972222</v>
      </c>
      <c r="F3099" s="58" t="n">
        <v>46059.2643287037</v>
      </c>
      <c r="G3099" s="59" t="n">
        <f aca="false">F3099-E3099</f>
        <v>0.0277314814930556</v>
      </c>
      <c r="H3099" s="57" t="s">
        <v>252</v>
      </c>
      <c r="I3099" s="57"/>
      <c r="J3099" s="57" t="s">
        <v>333</v>
      </c>
      <c r="K3099" s="57" t="s">
        <v>334</v>
      </c>
      <c r="L3099" s="60" t="s">
        <v>4460</v>
      </c>
      <c r="M3099" s="57" t="s">
        <v>336</v>
      </c>
      <c r="N3099" s="57" t="s">
        <v>381</v>
      </c>
      <c r="O3099" s="57" t="s">
        <v>729</v>
      </c>
      <c r="P3099" s="57" t="s">
        <v>4461</v>
      </c>
      <c r="Q3099" s="57" t="s">
        <v>698</v>
      </c>
    </row>
    <row r="3100" s="50" customFormat="true" ht="14.25" hidden="false" customHeight="true" outlineLevel="0" collapsed="false">
      <c r="A3100" s="50" t="s">
        <v>727</v>
      </c>
      <c r="B3100" s="57" t="s">
        <v>727</v>
      </c>
      <c r="C3100" s="57" t="s">
        <v>415</v>
      </c>
      <c r="D3100" s="58" t="n">
        <v>46059.2362152778</v>
      </c>
      <c r="E3100" s="58" t="n">
        <v>46059.2362152778</v>
      </c>
      <c r="F3100" s="58" t="n">
        <v>46059.2643287037</v>
      </c>
      <c r="G3100" s="59" t="n">
        <f aca="false">F3100-E3100</f>
        <v>0.0281134259027778</v>
      </c>
      <c r="H3100" s="57" t="s">
        <v>252</v>
      </c>
      <c r="I3100" s="57"/>
      <c r="J3100" s="57" t="s">
        <v>333</v>
      </c>
      <c r="K3100" s="57" t="s">
        <v>334</v>
      </c>
      <c r="L3100" s="60" t="s">
        <v>4462</v>
      </c>
      <c r="M3100" s="57" t="s">
        <v>336</v>
      </c>
      <c r="N3100" s="57" t="s">
        <v>381</v>
      </c>
      <c r="O3100" s="57" t="s">
        <v>729</v>
      </c>
      <c r="P3100" s="57" t="s">
        <v>4463</v>
      </c>
      <c r="Q3100" s="57" t="s">
        <v>698</v>
      </c>
    </row>
    <row r="3101" s="50" customFormat="true" ht="14.25" hidden="false" customHeight="true" outlineLevel="0" collapsed="false">
      <c r="A3101" s="50" t="s">
        <v>727</v>
      </c>
      <c r="B3101" s="57" t="s">
        <v>727</v>
      </c>
      <c r="C3101" s="57" t="s">
        <v>415</v>
      </c>
      <c r="D3101" s="58" t="n">
        <v>46058.7715972222</v>
      </c>
      <c r="E3101" s="58" t="n">
        <v>46058.7715972222</v>
      </c>
      <c r="F3101" s="58" t="n">
        <v>46058.7927546296</v>
      </c>
      <c r="G3101" s="59" t="n">
        <f aca="false">F3101-E3101</f>
        <v>0.0211574074074074</v>
      </c>
      <c r="H3101" s="57" t="s">
        <v>252</v>
      </c>
      <c r="I3101" s="57"/>
      <c r="J3101" s="57" t="s">
        <v>333</v>
      </c>
      <c r="K3101" s="57" t="s">
        <v>334</v>
      </c>
      <c r="L3101" s="60" t="s">
        <v>4464</v>
      </c>
      <c r="M3101" s="57" t="s">
        <v>336</v>
      </c>
      <c r="N3101" s="57" t="s">
        <v>381</v>
      </c>
      <c r="O3101" s="57" t="s">
        <v>729</v>
      </c>
      <c r="P3101" s="57" t="s">
        <v>4465</v>
      </c>
      <c r="Q3101" s="57" t="s">
        <v>698</v>
      </c>
    </row>
    <row r="3102" s="50" customFormat="true" ht="14.25" hidden="false" customHeight="true" outlineLevel="0" collapsed="false">
      <c r="A3102" s="50" t="s">
        <v>727</v>
      </c>
      <c r="B3102" s="57" t="s">
        <v>727</v>
      </c>
      <c r="C3102" s="57" t="s">
        <v>415</v>
      </c>
      <c r="D3102" s="58" t="n">
        <v>46058.770474537</v>
      </c>
      <c r="E3102" s="58" t="n">
        <v>46058.770474537</v>
      </c>
      <c r="F3102" s="58" t="n">
        <v>46058.7710069444</v>
      </c>
      <c r="G3102" s="59" t="n">
        <f aca="false">F3102-E3102</f>
        <v>0.000532407407407407</v>
      </c>
      <c r="H3102" s="57" t="s">
        <v>252</v>
      </c>
      <c r="I3102" s="57"/>
      <c r="J3102" s="57" t="s">
        <v>333</v>
      </c>
      <c r="K3102" s="57" t="s">
        <v>334</v>
      </c>
      <c r="L3102" s="60" t="s">
        <v>4466</v>
      </c>
      <c r="M3102" s="57" t="s">
        <v>336</v>
      </c>
      <c r="N3102" s="57" t="s">
        <v>381</v>
      </c>
      <c r="O3102" s="57" t="s">
        <v>729</v>
      </c>
      <c r="P3102" s="57" t="s">
        <v>4467</v>
      </c>
      <c r="Q3102" s="57" t="s">
        <v>698</v>
      </c>
    </row>
    <row r="3103" s="50" customFormat="true" ht="14.25" hidden="false" customHeight="true" outlineLevel="0" collapsed="false">
      <c r="A3103" s="50" t="s">
        <v>727</v>
      </c>
      <c r="B3103" s="57" t="s">
        <v>727</v>
      </c>
      <c r="C3103" s="57" t="s">
        <v>415</v>
      </c>
      <c r="D3103" s="58" t="n">
        <v>46058.7392939815</v>
      </c>
      <c r="E3103" s="58" t="n">
        <v>46058.7392939815</v>
      </c>
      <c r="F3103" s="58" t="n">
        <v>46058.7398263889</v>
      </c>
      <c r="G3103" s="59" t="n">
        <f aca="false">F3103-E3103</f>
        <v>0.000532407395833333</v>
      </c>
      <c r="H3103" s="57" t="s">
        <v>252</v>
      </c>
      <c r="I3103" s="57"/>
      <c r="J3103" s="57" t="s">
        <v>333</v>
      </c>
      <c r="K3103" s="57" t="s">
        <v>334</v>
      </c>
      <c r="L3103" s="60" t="s">
        <v>4468</v>
      </c>
      <c r="M3103" s="57" t="s">
        <v>336</v>
      </c>
      <c r="N3103" s="57" t="s">
        <v>381</v>
      </c>
      <c r="O3103" s="57" t="s">
        <v>729</v>
      </c>
      <c r="P3103" s="57" t="s">
        <v>4469</v>
      </c>
      <c r="Q3103" s="57" t="s">
        <v>698</v>
      </c>
    </row>
    <row r="3104" s="50" customFormat="true" ht="14.25" hidden="false" customHeight="true" outlineLevel="0" collapsed="false">
      <c r="A3104" s="50" t="s">
        <v>727</v>
      </c>
      <c r="B3104" s="57" t="s">
        <v>727</v>
      </c>
      <c r="C3104" s="57" t="s">
        <v>415</v>
      </c>
      <c r="D3104" s="58" t="n">
        <v>46058.7248726852</v>
      </c>
      <c r="E3104" s="58" t="n">
        <v>46058.7248726852</v>
      </c>
      <c r="F3104" s="58" t="n">
        <v>46058.7254166667</v>
      </c>
      <c r="G3104" s="59" t="n">
        <f aca="false">F3104-E3104</f>
        <v>0.00054398150462963</v>
      </c>
      <c r="H3104" s="57" t="s">
        <v>252</v>
      </c>
      <c r="I3104" s="57"/>
      <c r="J3104" s="57" t="s">
        <v>333</v>
      </c>
      <c r="K3104" s="57" t="s">
        <v>334</v>
      </c>
      <c r="L3104" s="60" t="s">
        <v>4470</v>
      </c>
      <c r="M3104" s="57" t="s">
        <v>336</v>
      </c>
      <c r="N3104" s="57" t="s">
        <v>381</v>
      </c>
      <c r="O3104" s="57" t="s">
        <v>729</v>
      </c>
      <c r="P3104" s="57" t="s">
        <v>4471</v>
      </c>
      <c r="Q3104" s="57" t="s">
        <v>698</v>
      </c>
    </row>
    <row r="3105" s="50" customFormat="true" ht="14.25" hidden="false" customHeight="true" outlineLevel="0" collapsed="false">
      <c r="A3105" s="50" t="s">
        <v>727</v>
      </c>
      <c r="B3105" s="57" t="s">
        <v>727</v>
      </c>
      <c r="C3105" s="57" t="s">
        <v>415</v>
      </c>
      <c r="D3105" s="58" t="n">
        <v>46058.7158912037</v>
      </c>
      <c r="E3105" s="58" t="n">
        <v>46058.7158912037</v>
      </c>
      <c r="F3105" s="58" t="n">
        <v>46058.716400463</v>
      </c>
      <c r="G3105" s="59" t="n">
        <f aca="false">F3105-E3105</f>
        <v>0.000509259305555556</v>
      </c>
      <c r="H3105" s="57" t="s">
        <v>252</v>
      </c>
      <c r="I3105" s="57"/>
      <c r="J3105" s="57" t="s">
        <v>333</v>
      </c>
      <c r="K3105" s="57" t="s">
        <v>334</v>
      </c>
      <c r="L3105" s="60" t="s">
        <v>4472</v>
      </c>
      <c r="M3105" s="57" t="s">
        <v>336</v>
      </c>
      <c r="N3105" s="57" t="s">
        <v>381</v>
      </c>
      <c r="O3105" s="57" t="s">
        <v>729</v>
      </c>
      <c r="P3105" s="57" t="s">
        <v>4473</v>
      </c>
      <c r="Q3105" s="57" t="s">
        <v>698</v>
      </c>
    </row>
    <row r="3106" s="50" customFormat="true" ht="14.25" hidden="false" customHeight="true" outlineLevel="0" collapsed="false">
      <c r="A3106" s="50" t="s">
        <v>727</v>
      </c>
      <c r="B3106" s="57" t="s">
        <v>727</v>
      </c>
      <c r="C3106" s="57" t="s">
        <v>415</v>
      </c>
      <c r="D3106" s="58" t="n">
        <v>46058.708900463</v>
      </c>
      <c r="E3106" s="58" t="n">
        <v>46058.708900463</v>
      </c>
      <c r="F3106" s="58" t="n">
        <v>46058.7094444444</v>
      </c>
      <c r="G3106" s="59" t="n">
        <f aca="false">F3106-E3106</f>
        <v>0.000543981400462963</v>
      </c>
      <c r="H3106" s="57" t="s">
        <v>252</v>
      </c>
      <c r="I3106" s="57"/>
      <c r="J3106" s="57" t="s">
        <v>333</v>
      </c>
      <c r="K3106" s="57" t="s">
        <v>334</v>
      </c>
      <c r="L3106" s="60" t="s">
        <v>4474</v>
      </c>
      <c r="M3106" s="57" t="s">
        <v>336</v>
      </c>
      <c r="N3106" s="57" t="s">
        <v>381</v>
      </c>
      <c r="O3106" s="57" t="s">
        <v>729</v>
      </c>
      <c r="P3106" s="57" t="s">
        <v>4475</v>
      </c>
      <c r="Q3106" s="57" t="s">
        <v>698</v>
      </c>
    </row>
    <row r="3107" s="50" customFormat="true" ht="14.25" hidden="false" customHeight="true" outlineLevel="0" collapsed="false">
      <c r="A3107" s="50" t="s">
        <v>727</v>
      </c>
      <c r="B3107" s="57" t="s">
        <v>727</v>
      </c>
      <c r="C3107" s="57" t="s">
        <v>415</v>
      </c>
      <c r="D3107" s="58" t="n">
        <v>46058.666400463</v>
      </c>
      <c r="E3107" s="58" t="n">
        <v>46058.666400463</v>
      </c>
      <c r="F3107" s="58" t="n">
        <v>46058.6668981482</v>
      </c>
      <c r="G3107" s="59" t="n">
        <f aca="false">F3107-E3107</f>
        <v>0.000497685196759259</v>
      </c>
      <c r="H3107" s="57" t="s">
        <v>252</v>
      </c>
      <c r="I3107" s="57"/>
      <c r="J3107" s="57" t="s">
        <v>333</v>
      </c>
      <c r="K3107" s="57" t="s">
        <v>334</v>
      </c>
      <c r="L3107" s="60" t="s">
        <v>4476</v>
      </c>
      <c r="M3107" s="57" t="s">
        <v>336</v>
      </c>
      <c r="N3107" s="57" t="s">
        <v>381</v>
      </c>
      <c r="O3107" s="57" t="s">
        <v>729</v>
      </c>
      <c r="P3107" s="57" t="s">
        <v>4477</v>
      </c>
      <c r="Q3107" s="57" t="s">
        <v>698</v>
      </c>
    </row>
    <row r="3108" s="50" customFormat="true" ht="14.25" hidden="false" customHeight="true" outlineLevel="0" collapsed="false">
      <c r="A3108" s="50" t="s">
        <v>727</v>
      </c>
      <c r="B3108" s="57" t="s">
        <v>727</v>
      </c>
      <c r="C3108" s="57" t="s">
        <v>415</v>
      </c>
      <c r="D3108" s="58" t="n">
        <v>46058.5932638889</v>
      </c>
      <c r="E3108" s="58" t="n">
        <v>46058.5932638889</v>
      </c>
      <c r="F3108" s="58" t="n">
        <v>46058.5937847222</v>
      </c>
      <c r="G3108" s="59" t="n">
        <f aca="false">F3108-E3108</f>
        <v>0.000520833298611111</v>
      </c>
      <c r="H3108" s="57" t="s">
        <v>252</v>
      </c>
      <c r="I3108" s="57"/>
      <c r="J3108" s="57" t="s">
        <v>333</v>
      </c>
      <c r="K3108" s="57" t="s">
        <v>334</v>
      </c>
      <c r="L3108" s="60" t="s">
        <v>4478</v>
      </c>
      <c r="M3108" s="57" t="s">
        <v>336</v>
      </c>
      <c r="N3108" s="57" t="s">
        <v>381</v>
      </c>
      <c r="O3108" s="57" t="s">
        <v>729</v>
      </c>
      <c r="P3108" s="57" t="s">
        <v>4479</v>
      </c>
      <c r="Q3108" s="57" t="s">
        <v>698</v>
      </c>
    </row>
    <row r="3109" s="50" customFormat="true" ht="14.25" hidden="false" customHeight="true" outlineLevel="0" collapsed="false">
      <c r="A3109" s="50" t="s">
        <v>727</v>
      </c>
      <c r="B3109" s="57" t="s">
        <v>727</v>
      </c>
      <c r="C3109" s="57" t="s">
        <v>415</v>
      </c>
      <c r="D3109" s="58" t="n">
        <v>46058.5841666667</v>
      </c>
      <c r="E3109" s="58" t="n">
        <v>46058.5841666667</v>
      </c>
      <c r="F3109" s="58" t="n">
        <v>46058.5846875</v>
      </c>
      <c r="G3109" s="59" t="n">
        <f aca="false">F3109-E3109</f>
        <v>0.000520833298611111</v>
      </c>
      <c r="H3109" s="57" t="s">
        <v>252</v>
      </c>
      <c r="I3109" s="57"/>
      <c r="J3109" s="57" t="s">
        <v>333</v>
      </c>
      <c r="K3109" s="57" t="s">
        <v>334</v>
      </c>
      <c r="L3109" s="60" t="s">
        <v>4480</v>
      </c>
      <c r="M3109" s="57" t="s">
        <v>336</v>
      </c>
      <c r="N3109" s="57" t="s">
        <v>381</v>
      </c>
      <c r="O3109" s="57" t="s">
        <v>729</v>
      </c>
      <c r="P3109" s="57" t="s">
        <v>4481</v>
      </c>
      <c r="Q3109" s="57" t="s">
        <v>698</v>
      </c>
    </row>
    <row r="3110" s="50" customFormat="true" ht="14.25" hidden="false" customHeight="true" outlineLevel="0" collapsed="false">
      <c r="A3110" s="50" t="s">
        <v>727</v>
      </c>
      <c r="B3110" s="57" t="s">
        <v>727</v>
      </c>
      <c r="C3110" s="57" t="s">
        <v>415</v>
      </c>
      <c r="D3110" s="58" t="n">
        <v>46058.5762384259</v>
      </c>
      <c r="E3110" s="58" t="n">
        <v>46058.5762384259</v>
      </c>
      <c r="F3110" s="58" t="n">
        <v>46058.5767824074</v>
      </c>
      <c r="G3110" s="59" t="n">
        <f aca="false">F3110-E3110</f>
        <v>0.00054398150462963</v>
      </c>
      <c r="H3110" s="57" t="s">
        <v>252</v>
      </c>
      <c r="I3110" s="57"/>
      <c r="J3110" s="57" t="s">
        <v>333</v>
      </c>
      <c r="K3110" s="57" t="s">
        <v>334</v>
      </c>
      <c r="L3110" s="60" t="s">
        <v>4482</v>
      </c>
      <c r="M3110" s="57" t="s">
        <v>336</v>
      </c>
      <c r="N3110" s="57" t="s">
        <v>381</v>
      </c>
      <c r="O3110" s="57" t="s">
        <v>729</v>
      </c>
      <c r="P3110" s="57" t="s">
        <v>4483</v>
      </c>
      <c r="Q3110" s="57" t="s">
        <v>698</v>
      </c>
    </row>
    <row r="3111" s="50" customFormat="true" ht="14.25" hidden="false" customHeight="true" outlineLevel="0" collapsed="false">
      <c r="A3111" s="50" t="s">
        <v>727</v>
      </c>
      <c r="B3111" s="57" t="s">
        <v>727</v>
      </c>
      <c r="C3111" s="57" t="s">
        <v>415</v>
      </c>
      <c r="D3111" s="58" t="n">
        <v>46058.5455439815</v>
      </c>
      <c r="E3111" s="58" t="n">
        <v>46058.5455439815</v>
      </c>
      <c r="F3111" s="58" t="n">
        <v>46058.546099537</v>
      </c>
      <c r="G3111" s="59" t="n">
        <f aca="false">F3111-E3111</f>
        <v>0.000555555509259259</v>
      </c>
      <c r="H3111" s="57" t="s">
        <v>252</v>
      </c>
      <c r="I3111" s="57"/>
      <c r="J3111" s="57" t="s">
        <v>333</v>
      </c>
      <c r="K3111" s="57" t="s">
        <v>334</v>
      </c>
      <c r="L3111" s="60" t="s">
        <v>4484</v>
      </c>
      <c r="M3111" s="57" t="s">
        <v>336</v>
      </c>
      <c r="N3111" s="57" t="s">
        <v>381</v>
      </c>
      <c r="O3111" s="57" t="s">
        <v>729</v>
      </c>
      <c r="P3111" s="57" t="s">
        <v>4485</v>
      </c>
      <c r="Q3111" s="57" t="s">
        <v>698</v>
      </c>
    </row>
    <row r="3112" s="50" customFormat="true" ht="14.25" hidden="false" customHeight="true" outlineLevel="0" collapsed="false">
      <c r="A3112" s="50" t="s">
        <v>727</v>
      </c>
      <c r="B3112" s="57" t="s">
        <v>727</v>
      </c>
      <c r="C3112" s="57" t="s">
        <v>415</v>
      </c>
      <c r="D3112" s="58" t="n">
        <v>46058.5304050926</v>
      </c>
      <c r="E3112" s="58" t="n">
        <v>46058.5304050926</v>
      </c>
      <c r="F3112" s="58" t="n">
        <v>46058.5309490741</v>
      </c>
      <c r="G3112" s="59" t="n">
        <f aca="false">F3112-E3112</f>
        <v>0.00054398150462963</v>
      </c>
      <c r="H3112" s="57" t="s">
        <v>252</v>
      </c>
      <c r="I3112" s="57"/>
      <c r="J3112" s="57" t="s">
        <v>333</v>
      </c>
      <c r="K3112" s="57" t="s">
        <v>334</v>
      </c>
      <c r="L3112" s="60" t="s">
        <v>4486</v>
      </c>
      <c r="M3112" s="57" t="s">
        <v>336</v>
      </c>
      <c r="N3112" s="57" t="s">
        <v>381</v>
      </c>
      <c r="O3112" s="57" t="s">
        <v>729</v>
      </c>
      <c r="P3112" s="57" t="s">
        <v>4487</v>
      </c>
      <c r="Q3112" s="57" t="s">
        <v>698</v>
      </c>
    </row>
    <row r="3113" s="50" customFormat="true" ht="14.25" hidden="false" customHeight="true" outlineLevel="0" collapsed="false">
      <c r="A3113" s="50" t="s">
        <v>727</v>
      </c>
      <c r="B3113" s="57" t="s">
        <v>727</v>
      </c>
      <c r="C3113" s="57" t="s">
        <v>415</v>
      </c>
      <c r="D3113" s="58" t="n">
        <v>46058.5160648148</v>
      </c>
      <c r="E3113" s="58" t="n">
        <v>46058.5160648148</v>
      </c>
      <c r="F3113" s="58" t="n">
        <v>46058.5166203704</v>
      </c>
      <c r="G3113" s="59" t="n">
        <f aca="false">F3113-E3113</f>
        <v>0.000555555601851852</v>
      </c>
      <c r="H3113" s="57" t="s">
        <v>252</v>
      </c>
      <c r="I3113" s="57"/>
      <c r="J3113" s="57" t="s">
        <v>333</v>
      </c>
      <c r="K3113" s="57" t="s">
        <v>334</v>
      </c>
      <c r="L3113" s="60" t="s">
        <v>4488</v>
      </c>
      <c r="M3113" s="57" t="s">
        <v>336</v>
      </c>
      <c r="N3113" s="57" t="s">
        <v>381</v>
      </c>
      <c r="O3113" s="57" t="s">
        <v>729</v>
      </c>
      <c r="P3113" s="57" t="s">
        <v>4489</v>
      </c>
      <c r="Q3113" s="57" t="s">
        <v>698</v>
      </c>
    </row>
    <row r="3114" s="50" customFormat="true" ht="14.25" hidden="false" customHeight="true" outlineLevel="0" collapsed="false">
      <c r="A3114" s="50" t="s">
        <v>727</v>
      </c>
      <c r="B3114" s="57" t="s">
        <v>727</v>
      </c>
      <c r="C3114" s="57" t="s">
        <v>415</v>
      </c>
      <c r="D3114" s="58" t="n">
        <v>46058.5027662037</v>
      </c>
      <c r="E3114" s="58" t="n">
        <v>46058.5027662037</v>
      </c>
      <c r="F3114" s="58" t="n">
        <v>46058.503287037</v>
      </c>
      <c r="G3114" s="59" t="n">
        <f aca="false">F3114-E3114</f>
        <v>0.000520833298611111</v>
      </c>
      <c r="H3114" s="57" t="s">
        <v>252</v>
      </c>
      <c r="I3114" s="57"/>
      <c r="J3114" s="57" t="s">
        <v>333</v>
      </c>
      <c r="K3114" s="57" t="s">
        <v>334</v>
      </c>
      <c r="L3114" s="60" t="s">
        <v>4490</v>
      </c>
      <c r="M3114" s="57" t="s">
        <v>336</v>
      </c>
      <c r="N3114" s="57" t="s">
        <v>381</v>
      </c>
      <c r="O3114" s="57" t="s">
        <v>729</v>
      </c>
      <c r="P3114" s="57" t="s">
        <v>4491</v>
      </c>
      <c r="Q3114" s="57" t="s">
        <v>698</v>
      </c>
    </row>
    <row r="3115" s="50" customFormat="true" ht="14.25" hidden="false" customHeight="true" outlineLevel="0" collapsed="false">
      <c r="A3115" s="50" t="s">
        <v>727</v>
      </c>
      <c r="B3115" s="57" t="s">
        <v>727</v>
      </c>
      <c r="C3115" s="57" t="s">
        <v>415</v>
      </c>
      <c r="D3115" s="58" t="n">
        <v>46058.4927777778</v>
      </c>
      <c r="E3115" s="58" t="n">
        <v>46058.4927777778</v>
      </c>
      <c r="F3115" s="58" t="n">
        <v>46058.4932986111</v>
      </c>
      <c r="G3115" s="59" t="n">
        <f aca="false">F3115-E3115</f>
        <v>0.000520833298611111</v>
      </c>
      <c r="H3115" s="57" t="s">
        <v>252</v>
      </c>
      <c r="I3115" s="57"/>
      <c r="J3115" s="57" t="s">
        <v>333</v>
      </c>
      <c r="K3115" s="57" t="s">
        <v>334</v>
      </c>
      <c r="L3115" s="60" t="s">
        <v>4492</v>
      </c>
      <c r="M3115" s="57" t="s">
        <v>336</v>
      </c>
      <c r="N3115" s="57" t="s">
        <v>381</v>
      </c>
      <c r="O3115" s="57" t="s">
        <v>729</v>
      </c>
      <c r="P3115" s="57" t="s">
        <v>4493</v>
      </c>
      <c r="Q3115" s="57" t="s">
        <v>698</v>
      </c>
    </row>
    <row r="3116" s="50" customFormat="true" ht="14.25" hidden="false" customHeight="true" outlineLevel="0" collapsed="false">
      <c r="A3116" s="50" t="s">
        <v>727</v>
      </c>
      <c r="B3116" s="57" t="s">
        <v>727</v>
      </c>
      <c r="C3116" s="57" t="s">
        <v>415</v>
      </c>
      <c r="D3116" s="58" t="n">
        <v>46058.4835069444</v>
      </c>
      <c r="E3116" s="58" t="n">
        <v>46058.4835069444</v>
      </c>
      <c r="F3116" s="58" t="n">
        <v>46058.4840046296</v>
      </c>
      <c r="G3116" s="59" t="n">
        <f aca="false">F3116-E3116</f>
        <v>0.000497685196759259</v>
      </c>
      <c r="H3116" s="57" t="s">
        <v>252</v>
      </c>
      <c r="I3116" s="57"/>
      <c r="J3116" s="57" t="s">
        <v>333</v>
      </c>
      <c r="K3116" s="57" t="s">
        <v>334</v>
      </c>
      <c r="L3116" s="60" t="s">
        <v>4494</v>
      </c>
      <c r="M3116" s="57" t="s">
        <v>336</v>
      </c>
      <c r="N3116" s="57" t="s">
        <v>381</v>
      </c>
      <c r="O3116" s="57" t="s">
        <v>729</v>
      </c>
      <c r="P3116" s="57" t="s">
        <v>4495</v>
      </c>
      <c r="Q3116" s="57" t="s">
        <v>698</v>
      </c>
    </row>
    <row r="3117" s="50" customFormat="true" ht="14.25" hidden="false" customHeight="true" outlineLevel="0" collapsed="false">
      <c r="A3117" s="50" t="s">
        <v>727</v>
      </c>
      <c r="B3117" s="57" t="s">
        <v>727</v>
      </c>
      <c r="C3117" s="57" t="s">
        <v>415</v>
      </c>
      <c r="D3117" s="58" t="n">
        <v>46058.4700462963</v>
      </c>
      <c r="E3117" s="58" t="n">
        <v>46058.4700462963</v>
      </c>
      <c r="F3117" s="58" t="n">
        <v>46058.4705671296</v>
      </c>
      <c r="G3117" s="59" t="n">
        <f aca="false">F3117-E3117</f>
        <v>0.000520833298611111</v>
      </c>
      <c r="H3117" s="57" t="s">
        <v>252</v>
      </c>
      <c r="I3117" s="57"/>
      <c r="J3117" s="57" t="s">
        <v>333</v>
      </c>
      <c r="K3117" s="57" t="s">
        <v>334</v>
      </c>
      <c r="L3117" s="60" t="s">
        <v>4496</v>
      </c>
      <c r="M3117" s="57" t="s">
        <v>336</v>
      </c>
      <c r="N3117" s="57" t="s">
        <v>381</v>
      </c>
      <c r="O3117" s="57" t="s">
        <v>729</v>
      </c>
      <c r="P3117" s="57" t="s">
        <v>4497</v>
      </c>
      <c r="Q3117" s="57" t="s">
        <v>698</v>
      </c>
    </row>
    <row r="3118" s="50" customFormat="true" ht="14.25" hidden="false" customHeight="true" outlineLevel="0" collapsed="false">
      <c r="A3118" s="50" t="s">
        <v>727</v>
      </c>
      <c r="B3118" s="57" t="s">
        <v>727</v>
      </c>
      <c r="C3118" s="57" t="s">
        <v>415</v>
      </c>
      <c r="D3118" s="58" t="n">
        <v>46058.4578587963</v>
      </c>
      <c r="E3118" s="58" t="n">
        <v>46058.4578587963</v>
      </c>
      <c r="F3118" s="58" t="n">
        <v>46058.4583680556</v>
      </c>
      <c r="G3118" s="59" t="n">
        <f aca="false">F3118-E3118</f>
        <v>0.000509259305555556</v>
      </c>
      <c r="H3118" s="57" t="s">
        <v>252</v>
      </c>
      <c r="I3118" s="57"/>
      <c r="J3118" s="57" t="s">
        <v>333</v>
      </c>
      <c r="K3118" s="57" t="s">
        <v>334</v>
      </c>
      <c r="L3118" s="60" t="s">
        <v>4498</v>
      </c>
      <c r="M3118" s="57" t="s">
        <v>336</v>
      </c>
      <c r="N3118" s="57" t="s">
        <v>381</v>
      </c>
      <c r="O3118" s="57" t="s">
        <v>729</v>
      </c>
      <c r="P3118" s="57" t="s">
        <v>4499</v>
      </c>
      <c r="Q3118" s="57" t="s">
        <v>698</v>
      </c>
    </row>
    <row r="3119" s="50" customFormat="true" ht="14.25" hidden="false" customHeight="true" outlineLevel="0" collapsed="false">
      <c r="A3119" s="50" t="s">
        <v>727</v>
      </c>
      <c r="B3119" s="57" t="s">
        <v>727</v>
      </c>
      <c r="C3119" s="57" t="s">
        <v>415</v>
      </c>
      <c r="D3119" s="58" t="n">
        <v>46058.4468402778</v>
      </c>
      <c r="E3119" s="58" t="n">
        <v>46058.4468402778</v>
      </c>
      <c r="F3119" s="58" t="n">
        <v>46058.4473611111</v>
      </c>
      <c r="G3119" s="59" t="n">
        <f aca="false">F3119-E3119</f>
        <v>0.000520833298611111</v>
      </c>
      <c r="H3119" s="57" t="s">
        <v>252</v>
      </c>
      <c r="I3119" s="57"/>
      <c r="J3119" s="57" t="s">
        <v>333</v>
      </c>
      <c r="K3119" s="57" t="s">
        <v>334</v>
      </c>
      <c r="L3119" s="60" t="s">
        <v>4500</v>
      </c>
      <c r="M3119" s="57" t="s">
        <v>336</v>
      </c>
      <c r="N3119" s="57" t="s">
        <v>381</v>
      </c>
      <c r="O3119" s="57" t="s">
        <v>729</v>
      </c>
      <c r="P3119" s="57" t="s">
        <v>4501</v>
      </c>
      <c r="Q3119" s="57" t="s">
        <v>698</v>
      </c>
    </row>
    <row r="3120" s="50" customFormat="true" ht="14.25" hidden="false" customHeight="true" outlineLevel="0" collapsed="false">
      <c r="A3120" s="50" t="s">
        <v>727</v>
      </c>
      <c r="B3120" s="57" t="s">
        <v>727</v>
      </c>
      <c r="C3120" s="57" t="s">
        <v>415</v>
      </c>
      <c r="D3120" s="58" t="n">
        <v>46058.4363541667</v>
      </c>
      <c r="E3120" s="58" t="n">
        <v>46058.4363541667</v>
      </c>
      <c r="F3120" s="58" t="n">
        <v>46058.436875</v>
      </c>
      <c r="G3120" s="59" t="n">
        <f aca="false">F3120-E3120</f>
        <v>0.000520833298611111</v>
      </c>
      <c r="H3120" s="57" t="s">
        <v>252</v>
      </c>
      <c r="I3120" s="57"/>
      <c r="J3120" s="57" t="s">
        <v>333</v>
      </c>
      <c r="K3120" s="57" t="s">
        <v>334</v>
      </c>
      <c r="L3120" s="60" t="s">
        <v>4502</v>
      </c>
      <c r="M3120" s="57" t="s">
        <v>336</v>
      </c>
      <c r="N3120" s="57" t="s">
        <v>381</v>
      </c>
      <c r="O3120" s="57" t="s">
        <v>729</v>
      </c>
      <c r="P3120" s="57" t="s">
        <v>4503</v>
      </c>
      <c r="Q3120" s="57" t="s">
        <v>698</v>
      </c>
    </row>
    <row r="3121" s="50" customFormat="true" ht="14.25" hidden="false" customHeight="true" outlineLevel="0" collapsed="false">
      <c r="A3121" s="50" t="s">
        <v>727</v>
      </c>
      <c r="B3121" s="57" t="s">
        <v>727</v>
      </c>
      <c r="C3121" s="57" t="s">
        <v>415</v>
      </c>
      <c r="D3121" s="58" t="n">
        <v>46058.428287037</v>
      </c>
      <c r="E3121" s="58" t="n">
        <v>46058.428287037</v>
      </c>
      <c r="F3121" s="58" t="n">
        <v>46058.4288078704</v>
      </c>
      <c r="G3121" s="59" t="n">
        <f aca="false">F3121-E3121</f>
        <v>0.000520833391203704</v>
      </c>
      <c r="H3121" s="57" t="s">
        <v>252</v>
      </c>
      <c r="I3121" s="57"/>
      <c r="J3121" s="57" t="s">
        <v>333</v>
      </c>
      <c r="K3121" s="57" t="s">
        <v>334</v>
      </c>
      <c r="L3121" s="60" t="s">
        <v>4504</v>
      </c>
      <c r="M3121" s="57" t="s">
        <v>336</v>
      </c>
      <c r="N3121" s="57" t="s">
        <v>381</v>
      </c>
      <c r="O3121" s="57" t="s">
        <v>729</v>
      </c>
      <c r="P3121" s="57" t="s">
        <v>4505</v>
      </c>
      <c r="Q3121" s="57" t="s">
        <v>698</v>
      </c>
    </row>
    <row r="3122" s="50" customFormat="true" ht="14.25" hidden="false" customHeight="true" outlineLevel="0" collapsed="false">
      <c r="A3122" s="50" t="s">
        <v>727</v>
      </c>
      <c r="B3122" s="57" t="s">
        <v>727</v>
      </c>
      <c r="C3122" s="57" t="s">
        <v>415</v>
      </c>
      <c r="D3122" s="58" t="n">
        <v>46058.408912037</v>
      </c>
      <c r="E3122" s="58" t="n">
        <v>46058.408912037</v>
      </c>
      <c r="F3122" s="58" t="n">
        <v>46058.4094444444</v>
      </c>
      <c r="G3122" s="59" t="n">
        <f aca="false">F3122-E3122</f>
        <v>0.000532407407407407</v>
      </c>
      <c r="H3122" s="57" t="s">
        <v>252</v>
      </c>
      <c r="I3122" s="57"/>
      <c r="J3122" s="57" t="s">
        <v>333</v>
      </c>
      <c r="K3122" s="57" t="s">
        <v>334</v>
      </c>
      <c r="L3122" s="60" t="s">
        <v>4506</v>
      </c>
      <c r="M3122" s="57" t="s">
        <v>336</v>
      </c>
      <c r="N3122" s="57" t="s">
        <v>381</v>
      </c>
      <c r="O3122" s="57" t="s">
        <v>729</v>
      </c>
      <c r="P3122" s="57" t="s">
        <v>4507</v>
      </c>
      <c r="Q3122" s="57" t="s">
        <v>698</v>
      </c>
    </row>
    <row r="3123" s="50" customFormat="true" ht="14.25" hidden="false" customHeight="true" outlineLevel="0" collapsed="false">
      <c r="A3123" s="50" t="s">
        <v>727</v>
      </c>
      <c r="B3123" s="57" t="s">
        <v>727</v>
      </c>
      <c r="C3123" s="57" t="s">
        <v>415</v>
      </c>
      <c r="D3123" s="58" t="n">
        <v>46058.3943634259</v>
      </c>
      <c r="E3123" s="58" t="n">
        <v>46058.3943634259</v>
      </c>
      <c r="F3123" s="58" t="n">
        <v>46058.3949074074</v>
      </c>
      <c r="G3123" s="59" t="n">
        <f aca="false">F3123-E3123</f>
        <v>0.00054398150462963</v>
      </c>
      <c r="H3123" s="57" t="s">
        <v>252</v>
      </c>
      <c r="I3123" s="57"/>
      <c r="J3123" s="57" t="s">
        <v>333</v>
      </c>
      <c r="K3123" s="57" t="s">
        <v>334</v>
      </c>
      <c r="L3123" s="60" t="s">
        <v>4508</v>
      </c>
      <c r="M3123" s="57" t="s">
        <v>336</v>
      </c>
      <c r="N3123" s="57" t="s">
        <v>381</v>
      </c>
      <c r="O3123" s="57" t="s">
        <v>729</v>
      </c>
      <c r="P3123" s="57" t="s">
        <v>4509</v>
      </c>
      <c r="Q3123" s="57" t="s">
        <v>698</v>
      </c>
    </row>
    <row r="3124" s="50" customFormat="true" ht="14.25" hidden="false" customHeight="true" outlineLevel="0" collapsed="false">
      <c r="A3124" s="50" t="s">
        <v>727</v>
      </c>
      <c r="B3124" s="57" t="s">
        <v>727</v>
      </c>
      <c r="C3124" s="57" t="s">
        <v>415</v>
      </c>
      <c r="D3124" s="58" t="n">
        <v>46058.3862037037</v>
      </c>
      <c r="E3124" s="58" t="n">
        <v>46058.3862037037</v>
      </c>
      <c r="F3124" s="58" t="n">
        <v>46058.3867592593</v>
      </c>
      <c r="G3124" s="59" t="n">
        <f aca="false">F3124-E3124</f>
        <v>0.000555555601851852</v>
      </c>
      <c r="H3124" s="57" t="s">
        <v>252</v>
      </c>
      <c r="I3124" s="57"/>
      <c r="J3124" s="57" t="s">
        <v>333</v>
      </c>
      <c r="K3124" s="57" t="s">
        <v>334</v>
      </c>
      <c r="L3124" s="60" t="s">
        <v>4510</v>
      </c>
      <c r="M3124" s="57" t="s">
        <v>336</v>
      </c>
      <c r="N3124" s="57" t="s">
        <v>381</v>
      </c>
      <c r="O3124" s="57" t="s">
        <v>729</v>
      </c>
      <c r="P3124" s="57" t="s">
        <v>4511</v>
      </c>
      <c r="Q3124" s="57" t="s">
        <v>698</v>
      </c>
    </row>
    <row r="3125" s="50" customFormat="true" ht="14.25" hidden="false" customHeight="true" outlineLevel="0" collapsed="false">
      <c r="A3125" s="50" t="s">
        <v>727</v>
      </c>
      <c r="B3125" s="57" t="s">
        <v>727</v>
      </c>
      <c r="C3125" s="57" t="s">
        <v>415</v>
      </c>
      <c r="D3125" s="58" t="n">
        <v>46058.3741782407</v>
      </c>
      <c r="E3125" s="58" t="n">
        <v>46058.3741782407</v>
      </c>
      <c r="F3125" s="58" t="n">
        <v>46058.3746875</v>
      </c>
      <c r="G3125" s="59" t="n">
        <f aca="false">F3125-E3125</f>
        <v>0.000509259293981482</v>
      </c>
      <c r="H3125" s="57" t="s">
        <v>252</v>
      </c>
      <c r="I3125" s="57"/>
      <c r="J3125" s="57" t="s">
        <v>333</v>
      </c>
      <c r="K3125" s="57" t="s">
        <v>334</v>
      </c>
      <c r="L3125" s="60" t="s">
        <v>4512</v>
      </c>
      <c r="M3125" s="57" t="s">
        <v>336</v>
      </c>
      <c r="N3125" s="57" t="s">
        <v>381</v>
      </c>
      <c r="O3125" s="57" t="s">
        <v>729</v>
      </c>
      <c r="P3125" s="57" t="s">
        <v>4513</v>
      </c>
      <c r="Q3125" s="57" t="s">
        <v>698</v>
      </c>
    </row>
    <row r="3126" s="50" customFormat="true" ht="14.25" hidden="false" customHeight="true" outlineLevel="0" collapsed="false">
      <c r="A3126" s="50" t="s">
        <v>727</v>
      </c>
      <c r="B3126" s="57" t="s">
        <v>727</v>
      </c>
      <c r="C3126" s="57" t="s">
        <v>415</v>
      </c>
      <c r="D3126" s="58" t="n">
        <v>46058.3624652778</v>
      </c>
      <c r="E3126" s="58" t="n">
        <v>46058.3624652778</v>
      </c>
      <c r="F3126" s="58" t="n">
        <v>46058.3629861111</v>
      </c>
      <c r="G3126" s="59" t="n">
        <f aca="false">F3126-E3126</f>
        <v>0.000520833298611111</v>
      </c>
      <c r="H3126" s="57" t="s">
        <v>252</v>
      </c>
      <c r="I3126" s="57"/>
      <c r="J3126" s="57" t="s">
        <v>333</v>
      </c>
      <c r="K3126" s="57" t="s">
        <v>334</v>
      </c>
      <c r="L3126" s="60" t="s">
        <v>4514</v>
      </c>
      <c r="M3126" s="57" t="s">
        <v>336</v>
      </c>
      <c r="N3126" s="57" t="s">
        <v>381</v>
      </c>
      <c r="O3126" s="57" t="s">
        <v>729</v>
      </c>
      <c r="P3126" s="57" t="s">
        <v>4515</v>
      </c>
      <c r="Q3126" s="57" t="s">
        <v>698</v>
      </c>
    </row>
    <row r="3127" s="50" customFormat="true" ht="14.25" hidden="false" customHeight="true" outlineLevel="0" collapsed="false">
      <c r="A3127" s="50" t="s">
        <v>727</v>
      </c>
      <c r="B3127" s="57" t="s">
        <v>727</v>
      </c>
      <c r="C3127" s="57" t="s">
        <v>415</v>
      </c>
      <c r="D3127" s="58" t="n">
        <v>46058.3404282407</v>
      </c>
      <c r="E3127" s="58" t="n">
        <v>46058.3404282407</v>
      </c>
      <c r="F3127" s="58" t="n">
        <v>46058.3409722222</v>
      </c>
      <c r="G3127" s="59" t="n">
        <f aca="false">F3127-E3127</f>
        <v>0.00054398150462963</v>
      </c>
      <c r="H3127" s="57" t="s">
        <v>252</v>
      </c>
      <c r="I3127" s="57"/>
      <c r="J3127" s="57" t="s">
        <v>333</v>
      </c>
      <c r="K3127" s="57" t="s">
        <v>334</v>
      </c>
      <c r="L3127" s="60" t="s">
        <v>4516</v>
      </c>
      <c r="M3127" s="57" t="s">
        <v>336</v>
      </c>
      <c r="N3127" s="57" t="s">
        <v>381</v>
      </c>
      <c r="O3127" s="57" t="s">
        <v>729</v>
      </c>
      <c r="P3127" s="57" t="s">
        <v>4517</v>
      </c>
      <c r="Q3127" s="57" t="s">
        <v>698</v>
      </c>
    </row>
    <row r="3128" s="50" customFormat="true" ht="14.25" hidden="false" customHeight="true" outlineLevel="0" collapsed="false">
      <c r="A3128" s="50" t="s">
        <v>727</v>
      </c>
      <c r="B3128" s="57" t="s">
        <v>727</v>
      </c>
      <c r="C3128" s="57" t="s">
        <v>415</v>
      </c>
      <c r="D3128" s="58" t="n">
        <v>46058.2986805556</v>
      </c>
      <c r="E3128" s="58" t="n">
        <v>46058.2986805556</v>
      </c>
      <c r="F3128" s="58" t="n">
        <v>46058.2992708333</v>
      </c>
      <c r="G3128" s="59" t="n">
        <f aca="false">F3128-E3128</f>
        <v>0.000590277696759259</v>
      </c>
      <c r="H3128" s="57" t="s">
        <v>252</v>
      </c>
      <c r="I3128" s="57"/>
      <c r="J3128" s="57" t="s">
        <v>333</v>
      </c>
      <c r="K3128" s="57" t="s">
        <v>334</v>
      </c>
      <c r="L3128" s="60" t="s">
        <v>4518</v>
      </c>
      <c r="M3128" s="57" t="s">
        <v>336</v>
      </c>
      <c r="N3128" s="57" t="s">
        <v>381</v>
      </c>
      <c r="O3128" s="57" t="s">
        <v>729</v>
      </c>
      <c r="P3128" s="57" t="s">
        <v>4519</v>
      </c>
      <c r="Q3128" s="57" t="s">
        <v>698</v>
      </c>
    </row>
    <row r="3129" s="50" customFormat="true" ht="14.25" hidden="false" customHeight="true" outlineLevel="0" collapsed="false">
      <c r="A3129" s="50" t="s">
        <v>727</v>
      </c>
      <c r="B3129" s="57" t="s">
        <v>727</v>
      </c>
      <c r="C3129" s="57" t="s">
        <v>415</v>
      </c>
      <c r="D3129" s="58" t="n">
        <v>46058.2961458333</v>
      </c>
      <c r="E3129" s="58" t="n">
        <v>46058.2961458333</v>
      </c>
      <c r="F3129" s="58" t="n">
        <v>46058.2967592593</v>
      </c>
      <c r="G3129" s="59" t="n">
        <f aca="false">F3129-E3129</f>
        <v>0.00061342599537037</v>
      </c>
      <c r="H3129" s="57" t="s">
        <v>252</v>
      </c>
      <c r="I3129" s="57"/>
      <c r="J3129" s="57" t="s">
        <v>333</v>
      </c>
      <c r="K3129" s="57" t="s">
        <v>334</v>
      </c>
      <c r="L3129" s="60" t="s">
        <v>4520</v>
      </c>
      <c r="M3129" s="57" t="s">
        <v>336</v>
      </c>
      <c r="N3129" s="57" t="s">
        <v>381</v>
      </c>
      <c r="O3129" s="57" t="s">
        <v>729</v>
      </c>
      <c r="P3129" s="57" t="s">
        <v>4521</v>
      </c>
      <c r="Q3129" s="57" t="s">
        <v>698</v>
      </c>
    </row>
    <row r="3130" s="50" customFormat="true" ht="14.25" hidden="false" customHeight="true" outlineLevel="0" collapsed="false">
      <c r="A3130" s="50" t="s">
        <v>727</v>
      </c>
      <c r="B3130" s="57" t="s">
        <v>727</v>
      </c>
      <c r="C3130" s="57" t="s">
        <v>415</v>
      </c>
      <c r="D3130" s="58" t="n">
        <v>46058.2877199074</v>
      </c>
      <c r="E3130" s="58" t="n">
        <v>46058.2877199074</v>
      </c>
      <c r="F3130" s="58" t="n">
        <v>46058.2888657407</v>
      </c>
      <c r="G3130" s="59" t="n">
        <f aca="false">F3130-E3130</f>
        <v>0.00114583329861111</v>
      </c>
      <c r="H3130" s="57" t="s">
        <v>252</v>
      </c>
      <c r="I3130" s="57"/>
      <c r="J3130" s="57" t="s">
        <v>333</v>
      </c>
      <c r="K3130" s="57" t="s">
        <v>334</v>
      </c>
      <c r="L3130" s="60" t="s">
        <v>4522</v>
      </c>
      <c r="M3130" s="57" t="s">
        <v>336</v>
      </c>
      <c r="N3130" s="57" t="s">
        <v>381</v>
      </c>
      <c r="O3130" s="57" t="s">
        <v>729</v>
      </c>
      <c r="P3130" s="57" t="s">
        <v>4523</v>
      </c>
      <c r="Q3130" s="57" t="s">
        <v>698</v>
      </c>
    </row>
    <row r="3131" s="50" customFormat="true" ht="14.25" hidden="false" customHeight="true" outlineLevel="0" collapsed="false">
      <c r="A3131" s="50" t="s">
        <v>727</v>
      </c>
      <c r="B3131" s="57" t="s">
        <v>727</v>
      </c>
      <c r="C3131" s="57" t="s">
        <v>415</v>
      </c>
      <c r="D3131" s="58" t="n">
        <v>46058.2837731482</v>
      </c>
      <c r="E3131" s="58" t="n">
        <v>46058.2837731482</v>
      </c>
      <c r="F3131" s="58" t="n">
        <v>46058.2843055556</v>
      </c>
      <c r="G3131" s="59" t="n">
        <f aca="false">F3131-E3131</f>
        <v>0.000532407407407407</v>
      </c>
      <c r="H3131" s="57" t="s">
        <v>252</v>
      </c>
      <c r="I3131" s="57"/>
      <c r="J3131" s="57" t="s">
        <v>333</v>
      </c>
      <c r="K3131" s="57" t="s">
        <v>334</v>
      </c>
      <c r="L3131" s="60" t="s">
        <v>4524</v>
      </c>
      <c r="M3131" s="57" t="s">
        <v>336</v>
      </c>
      <c r="N3131" s="57" t="s">
        <v>381</v>
      </c>
      <c r="O3131" s="57" t="s">
        <v>729</v>
      </c>
      <c r="P3131" s="57" t="s">
        <v>4525</v>
      </c>
      <c r="Q3131" s="57" t="s">
        <v>698</v>
      </c>
    </row>
    <row r="3132" s="50" customFormat="true" ht="14.25" hidden="false" customHeight="true" outlineLevel="0" collapsed="false">
      <c r="A3132" s="50" t="s">
        <v>727</v>
      </c>
      <c r="B3132" s="57" t="s">
        <v>727</v>
      </c>
      <c r="C3132" s="57" t="s">
        <v>415</v>
      </c>
      <c r="D3132" s="58" t="n">
        <v>46058.2424652778</v>
      </c>
      <c r="E3132" s="58" t="n">
        <v>46058.2424652778</v>
      </c>
      <c r="F3132" s="58" t="n">
        <v>46058.2757523148</v>
      </c>
      <c r="G3132" s="59" t="n">
        <f aca="false">F3132-E3132</f>
        <v>0.0332870370023148</v>
      </c>
      <c r="H3132" s="57" t="s">
        <v>252</v>
      </c>
      <c r="I3132" s="57"/>
      <c r="J3132" s="57" t="s">
        <v>333</v>
      </c>
      <c r="K3132" s="57" t="s">
        <v>334</v>
      </c>
      <c r="L3132" s="60" t="s">
        <v>4526</v>
      </c>
      <c r="M3132" s="57" t="s">
        <v>336</v>
      </c>
      <c r="N3132" s="57" t="s">
        <v>381</v>
      </c>
      <c r="O3132" s="57" t="s">
        <v>729</v>
      </c>
      <c r="P3132" s="57" t="s">
        <v>4527</v>
      </c>
      <c r="Q3132" s="57" t="s">
        <v>698</v>
      </c>
    </row>
    <row r="3133" s="50" customFormat="true" ht="14.25" hidden="false" customHeight="true" outlineLevel="0" collapsed="false">
      <c r="A3133" s="50" t="s">
        <v>727</v>
      </c>
      <c r="B3133" s="57" t="s">
        <v>727</v>
      </c>
      <c r="C3133" s="57" t="s">
        <v>415</v>
      </c>
      <c r="D3133" s="58" t="n">
        <v>46058.2420833333</v>
      </c>
      <c r="E3133" s="58" t="n">
        <v>46058.2420833333</v>
      </c>
      <c r="F3133" s="58" t="n">
        <v>46058.2757638889</v>
      </c>
      <c r="G3133" s="59" t="n">
        <f aca="false">F3133-E3133</f>
        <v>0.0336805556018519</v>
      </c>
      <c r="H3133" s="57" t="s">
        <v>252</v>
      </c>
      <c r="I3133" s="57"/>
      <c r="J3133" s="57" t="s">
        <v>333</v>
      </c>
      <c r="K3133" s="57" t="s">
        <v>334</v>
      </c>
      <c r="L3133" s="60" t="s">
        <v>4528</v>
      </c>
      <c r="M3133" s="57" t="s">
        <v>336</v>
      </c>
      <c r="N3133" s="57" t="s">
        <v>381</v>
      </c>
      <c r="O3133" s="57" t="s">
        <v>729</v>
      </c>
      <c r="P3133" s="57" t="s">
        <v>4529</v>
      </c>
      <c r="Q3133" s="57" t="s">
        <v>698</v>
      </c>
    </row>
    <row r="3134" s="50" customFormat="true" ht="14.25" hidden="false" customHeight="true" outlineLevel="0" collapsed="false">
      <c r="A3134" s="50" t="s">
        <v>727</v>
      </c>
      <c r="B3134" s="57" t="s">
        <v>727</v>
      </c>
      <c r="C3134" s="57" t="s">
        <v>415</v>
      </c>
      <c r="D3134" s="58" t="n">
        <v>46057.7687268519</v>
      </c>
      <c r="E3134" s="58" t="n">
        <v>46057.7687268519</v>
      </c>
      <c r="F3134" s="58" t="n">
        <v>46057.7719444444</v>
      </c>
      <c r="G3134" s="59" t="n">
        <f aca="false">F3134-E3134</f>
        <v>0.0032175925</v>
      </c>
      <c r="H3134" s="57" t="s">
        <v>252</v>
      </c>
      <c r="I3134" s="57"/>
      <c r="J3134" s="57" t="s">
        <v>333</v>
      </c>
      <c r="K3134" s="57" t="s">
        <v>334</v>
      </c>
      <c r="L3134" s="60" t="s">
        <v>4530</v>
      </c>
      <c r="M3134" s="57" t="s">
        <v>336</v>
      </c>
      <c r="N3134" s="57" t="s">
        <v>381</v>
      </c>
      <c r="O3134" s="57" t="s">
        <v>729</v>
      </c>
      <c r="P3134" s="57" t="s">
        <v>4531</v>
      </c>
      <c r="Q3134" s="57" t="s">
        <v>698</v>
      </c>
    </row>
    <row r="3135" s="50" customFormat="true" ht="14.25" hidden="false" customHeight="true" outlineLevel="0" collapsed="false">
      <c r="A3135" s="50" t="s">
        <v>727</v>
      </c>
      <c r="B3135" s="57" t="s">
        <v>727</v>
      </c>
      <c r="C3135" s="57" t="s">
        <v>415</v>
      </c>
      <c r="D3135" s="58" t="n">
        <v>46057.7041319445</v>
      </c>
      <c r="E3135" s="58" t="n">
        <v>46057.7041319445</v>
      </c>
      <c r="F3135" s="58" t="n">
        <v>46057.7046527778</v>
      </c>
      <c r="G3135" s="59" t="n">
        <f aca="false">F3135-E3135</f>
        <v>0.000520833298611111</v>
      </c>
      <c r="H3135" s="57" t="s">
        <v>252</v>
      </c>
      <c r="I3135" s="57"/>
      <c r="J3135" s="57" t="s">
        <v>333</v>
      </c>
      <c r="K3135" s="57" t="s">
        <v>334</v>
      </c>
      <c r="L3135" s="60" t="s">
        <v>4532</v>
      </c>
      <c r="M3135" s="57" t="s">
        <v>336</v>
      </c>
      <c r="N3135" s="57" t="s">
        <v>381</v>
      </c>
      <c r="O3135" s="57" t="s">
        <v>729</v>
      </c>
      <c r="P3135" s="57" t="s">
        <v>4533</v>
      </c>
      <c r="Q3135" s="57" t="s">
        <v>698</v>
      </c>
    </row>
    <row r="3136" s="50" customFormat="true" ht="14.25" hidden="false" customHeight="true" outlineLevel="0" collapsed="false">
      <c r="A3136" s="50" t="s">
        <v>727</v>
      </c>
      <c r="B3136" s="57" t="s">
        <v>727</v>
      </c>
      <c r="C3136" s="57" t="s">
        <v>415</v>
      </c>
      <c r="D3136" s="58" t="n">
        <v>46057.6599421296</v>
      </c>
      <c r="E3136" s="58" t="n">
        <v>46057.6599421296</v>
      </c>
      <c r="F3136" s="58" t="n">
        <v>46057.6604513889</v>
      </c>
      <c r="G3136" s="59" t="n">
        <f aca="false">F3136-E3136</f>
        <v>0.000509259305555556</v>
      </c>
      <c r="H3136" s="57" t="s">
        <v>252</v>
      </c>
      <c r="I3136" s="57"/>
      <c r="J3136" s="57" t="s">
        <v>333</v>
      </c>
      <c r="K3136" s="57" t="s">
        <v>334</v>
      </c>
      <c r="L3136" s="60" t="s">
        <v>4534</v>
      </c>
      <c r="M3136" s="57" t="s">
        <v>336</v>
      </c>
      <c r="N3136" s="57" t="s">
        <v>381</v>
      </c>
      <c r="O3136" s="57" t="s">
        <v>729</v>
      </c>
      <c r="P3136" s="57" t="s">
        <v>4535</v>
      </c>
      <c r="Q3136" s="57" t="s">
        <v>698</v>
      </c>
    </row>
    <row r="3137" s="50" customFormat="true" ht="14.25" hidden="false" customHeight="true" outlineLevel="0" collapsed="false">
      <c r="A3137" s="50" t="s">
        <v>727</v>
      </c>
      <c r="B3137" s="57" t="s">
        <v>727</v>
      </c>
      <c r="C3137" s="57" t="s">
        <v>415</v>
      </c>
      <c r="D3137" s="58" t="n">
        <v>46057.6468402778</v>
      </c>
      <c r="E3137" s="58" t="n">
        <v>46057.6468402778</v>
      </c>
      <c r="F3137" s="58" t="n">
        <v>46057.647662037</v>
      </c>
      <c r="G3137" s="59" t="n">
        <f aca="false">F3137-E3137</f>
        <v>0.000821759201388889</v>
      </c>
      <c r="H3137" s="57" t="s">
        <v>252</v>
      </c>
      <c r="I3137" s="57"/>
      <c r="J3137" s="57" t="s">
        <v>333</v>
      </c>
      <c r="K3137" s="57" t="s">
        <v>334</v>
      </c>
      <c r="L3137" s="60" t="s">
        <v>4536</v>
      </c>
      <c r="M3137" s="57" t="s">
        <v>336</v>
      </c>
      <c r="N3137" s="57" t="s">
        <v>381</v>
      </c>
      <c r="O3137" s="57" t="s">
        <v>729</v>
      </c>
      <c r="P3137" s="57" t="s">
        <v>4537</v>
      </c>
      <c r="Q3137" s="57" t="s">
        <v>698</v>
      </c>
    </row>
    <row r="3138" s="50" customFormat="true" ht="14.25" hidden="false" customHeight="true" outlineLevel="0" collapsed="false">
      <c r="A3138" s="50" t="s">
        <v>727</v>
      </c>
      <c r="B3138" s="57" t="s">
        <v>727</v>
      </c>
      <c r="C3138" s="57" t="s">
        <v>415</v>
      </c>
      <c r="D3138" s="58" t="n">
        <v>46057.6410416667</v>
      </c>
      <c r="E3138" s="58" t="n">
        <v>46057.6410416667</v>
      </c>
      <c r="F3138" s="58" t="n">
        <v>46057.6415740741</v>
      </c>
      <c r="G3138" s="59" t="n">
        <f aca="false">F3138-E3138</f>
        <v>0.000532407407407407</v>
      </c>
      <c r="H3138" s="57" t="s">
        <v>252</v>
      </c>
      <c r="I3138" s="57"/>
      <c r="J3138" s="57" t="s">
        <v>333</v>
      </c>
      <c r="K3138" s="57" t="s">
        <v>334</v>
      </c>
      <c r="L3138" s="60" t="s">
        <v>4538</v>
      </c>
      <c r="M3138" s="57" t="s">
        <v>336</v>
      </c>
      <c r="N3138" s="57" t="s">
        <v>381</v>
      </c>
      <c r="O3138" s="57" t="s">
        <v>729</v>
      </c>
      <c r="P3138" s="57" t="s">
        <v>4539</v>
      </c>
      <c r="Q3138" s="57" t="s">
        <v>698</v>
      </c>
    </row>
    <row r="3139" s="50" customFormat="true" ht="14.25" hidden="false" customHeight="true" outlineLevel="0" collapsed="false">
      <c r="A3139" s="50" t="s">
        <v>727</v>
      </c>
      <c r="B3139" s="57" t="s">
        <v>727</v>
      </c>
      <c r="C3139" s="57" t="s">
        <v>415</v>
      </c>
      <c r="D3139" s="58" t="n">
        <v>46057.6229976852</v>
      </c>
      <c r="E3139" s="58" t="n">
        <v>46057.6229976852</v>
      </c>
      <c r="F3139" s="58" t="n">
        <v>46057.6235069444</v>
      </c>
      <c r="G3139" s="59" t="n">
        <f aca="false">F3139-E3139</f>
        <v>0.000509259201388889</v>
      </c>
      <c r="H3139" s="57" t="s">
        <v>252</v>
      </c>
      <c r="I3139" s="57"/>
      <c r="J3139" s="57" t="s">
        <v>333</v>
      </c>
      <c r="K3139" s="57" t="s">
        <v>334</v>
      </c>
      <c r="L3139" s="60" t="s">
        <v>4540</v>
      </c>
      <c r="M3139" s="57" t="s">
        <v>336</v>
      </c>
      <c r="N3139" s="57" t="s">
        <v>381</v>
      </c>
      <c r="O3139" s="57" t="s">
        <v>729</v>
      </c>
      <c r="P3139" s="57" t="s">
        <v>4541</v>
      </c>
      <c r="Q3139" s="57" t="s">
        <v>698</v>
      </c>
    </row>
    <row r="3140" s="50" customFormat="true" ht="14.25" hidden="false" customHeight="true" outlineLevel="0" collapsed="false">
      <c r="A3140" s="50" t="s">
        <v>727</v>
      </c>
      <c r="B3140" s="57" t="s">
        <v>727</v>
      </c>
      <c r="C3140" s="57" t="s">
        <v>415</v>
      </c>
      <c r="D3140" s="58" t="n">
        <v>46057.6132986111</v>
      </c>
      <c r="E3140" s="58" t="n">
        <v>46057.6132986111</v>
      </c>
      <c r="F3140" s="58" t="n">
        <v>46057.6138425926</v>
      </c>
      <c r="G3140" s="59" t="n">
        <f aca="false">F3140-E3140</f>
        <v>0.00054398150462963</v>
      </c>
      <c r="H3140" s="57" t="s">
        <v>252</v>
      </c>
      <c r="I3140" s="57"/>
      <c r="J3140" s="57" t="s">
        <v>333</v>
      </c>
      <c r="K3140" s="57" t="s">
        <v>334</v>
      </c>
      <c r="L3140" s="60" t="s">
        <v>4542</v>
      </c>
      <c r="M3140" s="57" t="s">
        <v>336</v>
      </c>
      <c r="N3140" s="57" t="s">
        <v>381</v>
      </c>
      <c r="O3140" s="57" t="s">
        <v>729</v>
      </c>
      <c r="P3140" s="57" t="s">
        <v>4543</v>
      </c>
      <c r="Q3140" s="57" t="s">
        <v>698</v>
      </c>
    </row>
    <row r="3141" s="50" customFormat="true" ht="14.25" hidden="false" customHeight="true" outlineLevel="0" collapsed="false">
      <c r="A3141" s="50" t="s">
        <v>727</v>
      </c>
      <c r="B3141" s="57" t="s">
        <v>727</v>
      </c>
      <c r="C3141" s="57" t="s">
        <v>415</v>
      </c>
      <c r="D3141" s="58" t="n">
        <v>46057.6001273148</v>
      </c>
      <c r="E3141" s="58" t="n">
        <v>46057.6001273148</v>
      </c>
      <c r="F3141" s="58" t="n">
        <v>46057.6006712963</v>
      </c>
      <c r="G3141" s="59" t="n">
        <f aca="false">F3141-E3141</f>
        <v>0.00054398150462963</v>
      </c>
      <c r="H3141" s="57" t="s">
        <v>252</v>
      </c>
      <c r="I3141" s="57"/>
      <c r="J3141" s="57" t="s">
        <v>333</v>
      </c>
      <c r="K3141" s="57" t="s">
        <v>334</v>
      </c>
      <c r="L3141" s="60" t="s">
        <v>4544</v>
      </c>
      <c r="M3141" s="57" t="s">
        <v>336</v>
      </c>
      <c r="N3141" s="57" t="s">
        <v>381</v>
      </c>
      <c r="O3141" s="57" t="s">
        <v>729</v>
      </c>
      <c r="P3141" s="57" t="s">
        <v>4545</v>
      </c>
      <c r="Q3141" s="57" t="s">
        <v>698</v>
      </c>
    </row>
    <row r="3142" s="50" customFormat="true" ht="14.25" hidden="false" customHeight="true" outlineLevel="0" collapsed="false">
      <c r="A3142" s="50" t="s">
        <v>727</v>
      </c>
      <c r="B3142" s="57" t="s">
        <v>727</v>
      </c>
      <c r="C3142" s="57" t="s">
        <v>415</v>
      </c>
      <c r="D3142" s="58" t="n">
        <v>46057.5895949074</v>
      </c>
      <c r="E3142" s="58" t="n">
        <v>46057.5895949074</v>
      </c>
      <c r="F3142" s="58" t="n">
        <v>46057.5901388889</v>
      </c>
      <c r="G3142" s="59" t="n">
        <f aca="false">F3142-E3142</f>
        <v>0.00054398150462963</v>
      </c>
      <c r="H3142" s="57" t="s">
        <v>252</v>
      </c>
      <c r="I3142" s="57"/>
      <c r="J3142" s="57" t="s">
        <v>333</v>
      </c>
      <c r="K3142" s="57" t="s">
        <v>334</v>
      </c>
      <c r="L3142" s="60" t="s">
        <v>4546</v>
      </c>
      <c r="M3142" s="57" t="s">
        <v>336</v>
      </c>
      <c r="N3142" s="57" t="s">
        <v>381</v>
      </c>
      <c r="O3142" s="57" t="s">
        <v>729</v>
      </c>
      <c r="P3142" s="57" t="s">
        <v>4547</v>
      </c>
      <c r="Q3142" s="57" t="s">
        <v>698</v>
      </c>
    </row>
    <row r="3143" s="50" customFormat="true" ht="14.25" hidden="false" customHeight="true" outlineLevel="0" collapsed="false">
      <c r="A3143" s="50" t="s">
        <v>727</v>
      </c>
      <c r="B3143" s="57" t="s">
        <v>727</v>
      </c>
      <c r="C3143" s="57" t="s">
        <v>415</v>
      </c>
      <c r="D3143" s="58" t="n">
        <v>46057.5815972222</v>
      </c>
      <c r="E3143" s="58" t="n">
        <v>46057.5815972222</v>
      </c>
      <c r="F3143" s="58" t="n">
        <v>46057.5820949074</v>
      </c>
      <c r="G3143" s="59" t="n">
        <f aca="false">F3143-E3143</f>
        <v>0.000497685196759259</v>
      </c>
      <c r="H3143" s="57" t="s">
        <v>252</v>
      </c>
      <c r="I3143" s="57"/>
      <c r="J3143" s="57" t="s">
        <v>333</v>
      </c>
      <c r="K3143" s="57" t="s">
        <v>334</v>
      </c>
      <c r="L3143" s="60" t="s">
        <v>4548</v>
      </c>
      <c r="M3143" s="57" t="s">
        <v>336</v>
      </c>
      <c r="N3143" s="57" t="s">
        <v>381</v>
      </c>
      <c r="O3143" s="57" t="s">
        <v>729</v>
      </c>
      <c r="P3143" s="57" t="s">
        <v>4549</v>
      </c>
      <c r="Q3143" s="57" t="s">
        <v>698</v>
      </c>
    </row>
    <row r="3144" s="50" customFormat="true" ht="14.25" hidden="false" customHeight="true" outlineLevel="0" collapsed="false">
      <c r="A3144" s="50" t="s">
        <v>727</v>
      </c>
      <c r="B3144" s="57" t="s">
        <v>727</v>
      </c>
      <c r="C3144" s="57" t="s">
        <v>415</v>
      </c>
      <c r="D3144" s="58" t="n">
        <v>46057.5662731482</v>
      </c>
      <c r="E3144" s="58" t="n">
        <v>46057.5662731482</v>
      </c>
      <c r="F3144" s="58" t="n">
        <v>46057.5674189815</v>
      </c>
      <c r="G3144" s="59" t="n">
        <f aca="false">F3144-E3144</f>
        <v>0.00114583329861111</v>
      </c>
      <c r="H3144" s="57" t="s">
        <v>252</v>
      </c>
      <c r="I3144" s="57"/>
      <c r="J3144" s="57" t="s">
        <v>333</v>
      </c>
      <c r="K3144" s="57" t="s">
        <v>334</v>
      </c>
      <c r="L3144" s="60" t="s">
        <v>4550</v>
      </c>
      <c r="M3144" s="57" t="s">
        <v>336</v>
      </c>
      <c r="N3144" s="57" t="s">
        <v>381</v>
      </c>
      <c r="O3144" s="57" t="s">
        <v>729</v>
      </c>
      <c r="P3144" s="57" t="s">
        <v>4551</v>
      </c>
      <c r="Q3144" s="57" t="s">
        <v>698</v>
      </c>
    </row>
    <row r="3145" s="50" customFormat="true" ht="14.25" hidden="false" customHeight="true" outlineLevel="0" collapsed="false">
      <c r="A3145" s="50" t="s">
        <v>727</v>
      </c>
      <c r="B3145" s="57" t="s">
        <v>727</v>
      </c>
      <c r="C3145" s="57" t="s">
        <v>415</v>
      </c>
      <c r="D3145" s="58" t="n">
        <v>46057.5575231482</v>
      </c>
      <c r="E3145" s="58" t="n">
        <v>46057.5575231482</v>
      </c>
      <c r="F3145" s="58" t="n">
        <v>46057.5580671296</v>
      </c>
      <c r="G3145" s="59" t="n">
        <f aca="false">F3145-E3145</f>
        <v>0.000543981400462963</v>
      </c>
      <c r="H3145" s="57" t="s">
        <v>252</v>
      </c>
      <c r="I3145" s="57"/>
      <c r="J3145" s="57" t="s">
        <v>333</v>
      </c>
      <c r="K3145" s="57" t="s">
        <v>334</v>
      </c>
      <c r="L3145" s="60" t="s">
        <v>4552</v>
      </c>
      <c r="M3145" s="57" t="s">
        <v>336</v>
      </c>
      <c r="N3145" s="57" t="s">
        <v>381</v>
      </c>
      <c r="O3145" s="57" t="s">
        <v>729</v>
      </c>
      <c r="P3145" s="57" t="s">
        <v>4553</v>
      </c>
      <c r="Q3145" s="57" t="s">
        <v>698</v>
      </c>
    </row>
    <row r="3146" s="50" customFormat="true" ht="14.25" hidden="false" customHeight="true" outlineLevel="0" collapsed="false">
      <c r="A3146" s="50" t="s">
        <v>727</v>
      </c>
      <c r="B3146" s="57" t="s">
        <v>727</v>
      </c>
      <c r="C3146" s="57" t="s">
        <v>415</v>
      </c>
      <c r="D3146" s="58" t="n">
        <v>46057.5470486111</v>
      </c>
      <c r="E3146" s="58" t="n">
        <v>46057.5470486111</v>
      </c>
      <c r="F3146" s="58" t="n">
        <v>46057.5476157407</v>
      </c>
      <c r="G3146" s="59" t="n">
        <f aca="false">F3146-E3146</f>
        <v>0.000567129606481481</v>
      </c>
      <c r="H3146" s="57" t="s">
        <v>252</v>
      </c>
      <c r="I3146" s="57"/>
      <c r="J3146" s="57" t="s">
        <v>333</v>
      </c>
      <c r="K3146" s="57" t="s">
        <v>334</v>
      </c>
      <c r="L3146" s="60" t="s">
        <v>4554</v>
      </c>
      <c r="M3146" s="57" t="s">
        <v>336</v>
      </c>
      <c r="N3146" s="57" t="s">
        <v>381</v>
      </c>
      <c r="O3146" s="57" t="s">
        <v>729</v>
      </c>
      <c r="P3146" s="57" t="s">
        <v>4555</v>
      </c>
      <c r="Q3146" s="57" t="s">
        <v>698</v>
      </c>
    </row>
    <row r="3147" s="50" customFormat="true" ht="14.25" hidden="false" customHeight="true" outlineLevel="0" collapsed="false">
      <c r="A3147" s="50" t="s">
        <v>727</v>
      </c>
      <c r="B3147" s="57" t="s">
        <v>727</v>
      </c>
      <c r="C3147" s="57" t="s">
        <v>415</v>
      </c>
      <c r="D3147" s="58" t="n">
        <v>46057.531724537</v>
      </c>
      <c r="E3147" s="58" t="n">
        <v>46057.531724537</v>
      </c>
      <c r="F3147" s="58" t="n">
        <v>46057.5323032407</v>
      </c>
      <c r="G3147" s="59" t="n">
        <f aca="false">F3147-E3147</f>
        <v>0.000578703703703704</v>
      </c>
      <c r="H3147" s="57" t="s">
        <v>252</v>
      </c>
      <c r="I3147" s="57"/>
      <c r="J3147" s="57" t="s">
        <v>333</v>
      </c>
      <c r="K3147" s="57" t="s">
        <v>334</v>
      </c>
      <c r="L3147" s="60" t="s">
        <v>4556</v>
      </c>
      <c r="M3147" s="57" t="s">
        <v>336</v>
      </c>
      <c r="N3147" s="57" t="s">
        <v>381</v>
      </c>
      <c r="O3147" s="57" t="s">
        <v>729</v>
      </c>
      <c r="P3147" s="57" t="s">
        <v>4557</v>
      </c>
      <c r="Q3147" s="57" t="s">
        <v>698</v>
      </c>
    </row>
    <row r="3148" s="50" customFormat="true" ht="14.25" hidden="false" customHeight="true" outlineLevel="0" collapsed="false">
      <c r="A3148" s="50" t="s">
        <v>727</v>
      </c>
      <c r="B3148" s="57" t="s">
        <v>727</v>
      </c>
      <c r="C3148" s="57" t="s">
        <v>415</v>
      </c>
      <c r="D3148" s="58" t="n">
        <v>46057.5204861111</v>
      </c>
      <c r="E3148" s="58" t="n">
        <v>46057.5204861111</v>
      </c>
      <c r="F3148" s="58" t="n">
        <v>46057.5210300926</v>
      </c>
      <c r="G3148" s="59" t="n">
        <f aca="false">F3148-E3148</f>
        <v>0.00054398150462963</v>
      </c>
      <c r="H3148" s="57" t="s">
        <v>252</v>
      </c>
      <c r="I3148" s="57"/>
      <c r="J3148" s="57" t="s">
        <v>333</v>
      </c>
      <c r="K3148" s="57" t="s">
        <v>334</v>
      </c>
      <c r="L3148" s="60" t="s">
        <v>4558</v>
      </c>
      <c r="M3148" s="57" t="s">
        <v>336</v>
      </c>
      <c r="N3148" s="57" t="s">
        <v>381</v>
      </c>
      <c r="O3148" s="57" t="s">
        <v>729</v>
      </c>
      <c r="P3148" s="57" t="s">
        <v>4559</v>
      </c>
      <c r="Q3148" s="57" t="s">
        <v>698</v>
      </c>
    </row>
    <row r="3149" s="50" customFormat="true" ht="14.25" hidden="false" customHeight="true" outlineLevel="0" collapsed="false">
      <c r="A3149" s="50" t="s">
        <v>727</v>
      </c>
      <c r="B3149" s="57" t="s">
        <v>727</v>
      </c>
      <c r="C3149" s="57" t="s">
        <v>415</v>
      </c>
      <c r="D3149" s="58" t="n">
        <v>46057.5091319445</v>
      </c>
      <c r="E3149" s="58" t="n">
        <v>46057.5091319445</v>
      </c>
      <c r="F3149" s="58" t="n">
        <v>46057.5096412037</v>
      </c>
      <c r="G3149" s="59" t="n">
        <f aca="false">F3149-E3149</f>
        <v>0.000509259201388889</v>
      </c>
      <c r="H3149" s="57" t="s">
        <v>252</v>
      </c>
      <c r="I3149" s="57"/>
      <c r="J3149" s="57" t="s">
        <v>333</v>
      </c>
      <c r="K3149" s="57" t="s">
        <v>334</v>
      </c>
      <c r="L3149" s="60" t="s">
        <v>4560</v>
      </c>
      <c r="M3149" s="57" t="s">
        <v>336</v>
      </c>
      <c r="N3149" s="57" t="s">
        <v>381</v>
      </c>
      <c r="O3149" s="57" t="s">
        <v>729</v>
      </c>
      <c r="P3149" s="57" t="s">
        <v>4561</v>
      </c>
      <c r="Q3149" s="57" t="s">
        <v>698</v>
      </c>
    </row>
    <row r="3150" s="50" customFormat="true" ht="14.25" hidden="false" customHeight="true" outlineLevel="0" collapsed="false">
      <c r="A3150" s="50" t="s">
        <v>727</v>
      </c>
      <c r="B3150" s="57" t="s">
        <v>727</v>
      </c>
      <c r="C3150" s="57" t="s">
        <v>415</v>
      </c>
      <c r="D3150" s="58" t="n">
        <v>46057.4994212963</v>
      </c>
      <c r="E3150" s="58" t="n">
        <v>46057.4994212963</v>
      </c>
      <c r="F3150" s="58" t="n">
        <v>46057.4999421296</v>
      </c>
      <c r="G3150" s="59" t="n">
        <f aca="false">F3150-E3150</f>
        <v>0.000520833298611111</v>
      </c>
      <c r="H3150" s="57" t="s">
        <v>252</v>
      </c>
      <c r="I3150" s="57"/>
      <c r="J3150" s="57" t="s">
        <v>333</v>
      </c>
      <c r="K3150" s="57" t="s">
        <v>334</v>
      </c>
      <c r="L3150" s="60" t="s">
        <v>4562</v>
      </c>
      <c r="M3150" s="57" t="s">
        <v>336</v>
      </c>
      <c r="N3150" s="57" t="s">
        <v>381</v>
      </c>
      <c r="O3150" s="57" t="s">
        <v>729</v>
      </c>
      <c r="P3150" s="57" t="s">
        <v>4563</v>
      </c>
      <c r="Q3150" s="57" t="s">
        <v>698</v>
      </c>
    </row>
    <row r="3151" s="50" customFormat="true" ht="14.25" hidden="false" customHeight="true" outlineLevel="0" collapsed="false">
      <c r="A3151" s="50" t="s">
        <v>727</v>
      </c>
      <c r="B3151" s="57" t="s">
        <v>727</v>
      </c>
      <c r="C3151" s="57" t="s">
        <v>415</v>
      </c>
      <c r="D3151" s="58" t="n">
        <v>46057.4865162037</v>
      </c>
      <c r="E3151" s="58" t="n">
        <v>46057.4865162037</v>
      </c>
      <c r="F3151" s="58" t="n">
        <v>46057.487025463</v>
      </c>
      <c r="G3151" s="59" t="n">
        <f aca="false">F3151-E3151</f>
        <v>0.000509259293981482</v>
      </c>
      <c r="H3151" s="57" t="s">
        <v>252</v>
      </c>
      <c r="I3151" s="57"/>
      <c r="J3151" s="57" t="s">
        <v>333</v>
      </c>
      <c r="K3151" s="57" t="s">
        <v>334</v>
      </c>
      <c r="L3151" s="60" t="s">
        <v>4564</v>
      </c>
      <c r="M3151" s="57" t="s">
        <v>336</v>
      </c>
      <c r="N3151" s="57" t="s">
        <v>381</v>
      </c>
      <c r="O3151" s="57" t="s">
        <v>729</v>
      </c>
      <c r="P3151" s="57" t="s">
        <v>4565</v>
      </c>
      <c r="Q3151" s="57" t="s">
        <v>698</v>
      </c>
    </row>
    <row r="3152" s="50" customFormat="true" ht="14.25" hidden="false" customHeight="true" outlineLevel="0" collapsed="false">
      <c r="A3152" s="50" t="s">
        <v>727</v>
      </c>
      <c r="B3152" s="57" t="s">
        <v>727</v>
      </c>
      <c r="C3152" s="57" t="s">
        <v>415</v>
      </c>
      <c r="D3152" s="58" t="n">
        <v>46057.4787615741</v>
      </c>
      <c r="E3152" s="58" t="n">
        <v>46057.4787615741</v>
      </c>
      <c r="F3152" s="58" t="n">
        <v>46057.4792708333</v>
      </c>
      <c r="G3152" s="59" t="n">
        <f aca="false">F3152-E3152</f>
        <v>0.000509259201388889</v>
      </c>
      <c r="H3152" s="57" t="s">
        <v>252</v>
      </c>
      <c r="I3152" s="57"/>
      <c r="J3152" s="57" t="s">
        <v>333</v>
      </c>
      <c r="K3152" s="57" t="s">
        <v>334</v>
      </c>
      <c r="L3152" s="60" t="s">
        <v>4566</v>
      </c>
      <c r="M3152" s="57" t="s">
        <v>336</v>
      </c>
      <c r="N3152" s="57" t="s">
        <v>381</v>
      </c>
      <c r="O3152" s="57" t="s">
        <v>729</v>
      </c>
      <c r="P3152" s="57" t="s">
        <v>4567</v>
      </c>
      <c r="Q3152" s="57" t="s">
        <v>698</v>
      </c>
    </row>
    <row r="3153" s="50" customFormat="true" ht="14.25" hidden="false" customHeight="true" outlineLevel="0" collapsed="false">
      <c r="A3153" s="50" t="s">
        <v>727</v>
      </c>
      <c r="B3153" s="57" t="s">
        <v>727</v>
      </c>
      <c r="C3153" s="57" t="s">
        <v>415</v>
      </c>
      <c r="D3153" s="58" t="n">
        <v>46057.4701273148</v>
      </c>
      <c r="E3153" s="58" t="n">
        <v>46057.4701273148</v>
      </c>
      <c r="F3153" s="58" t="n">
        <v>46057.4706481482</v>
      </c>
      <c r="G3153" s="59" t="n">
        <f aca="false">F3153-E3153</f>
        <v>0.000520833391203704</v>
      </c>
      <c r="H3153" s="57" t="s">
        <v>252</v>
      </c>
      <c r="I3153" s="57"/>
      <c r="J3153" s="57" t="s">
        <v>333</v>
      </c>
      <c r="K3153" s="57" t="s">
        <v>334</v>
      </c>
      <c r="L3153" s="60" t="s">
        <v>4568</v>
      </c>
      <c r="M3153" s="57" t="s">
        <v>336</v>
      </c>
      <c r="N3153" s="57" t="s">
        <v>381</v>
      </c>
      <c r="O3153" s="57" t="s">
        <v>729</v>
      </c>
      <c r="P3153" s="57" t="s">
        <v>4569</v>
      </c>
      <c r="Q3153" s="57" t="s">
        <v>698</v>
      </c>
    </row>
    <row r="3154" s="50" customFormat="true" ht="14.25" hidden="false" customHeight="true" outlineLevel="0" collapsed="false">
      <c r="A3154" s="50" t="s">
        <v>727</v>
      </c>
      <c r="B3154" s="57" t="s">
        <v>727</v>
      </c>
      <c r="C3154" s="57" t="s">
        <v>415</v>
      </c>
      <c r="D3154" s="58" t="n">
        <v>46057.4542824074</v>
      </c>
      <c r="E3154" s="58" t="n">
        <v>46057.4542824074</v>
      </c>
      <c r="F3154" s="58" t="n">
        <v>46057.4547916667</v>
      </c>
      <c r="G3154" s="59" t="n">
        <f aca="false">F3154-E3154</f>
        <v>0.000509259293981482</v>
      </c>
      <c r="H3154" s="57" t="s">
        <v>252</v>
      </c>
      <c r="I3154" s="57"/>
      <c r="J3154" s="57" t="s">
        <v>333</v>
      </c>
      <c r="K3154" s="57" t="s">
        <v>334</v>
      </c>
      <c r="L3154" s="60" t="s">
        <v>4570</v>
      </c>
      <c r="M3154" s="57" t="s">
        <v>336</v>
      </c>
      <c r="N3154" s="57" t="s">
        <v>381</v>
      </c>
      <c r="O3154" s="57" t="s">
        <v>729</v>
      </c>
      <c r="P3154" s="57" t="s">
        <v>4571</v>
      </c>
      <c r="Q3154" s="57" t="s">
        <v>698</v>
      </c>
    </row>
    <row r="3155" s="50" customFormat="true" ht="14.25" hidden="false" customHeight="true" outlineLevel="0" collapsed="false">
      <c r="A3155" s="50" t="s">
        <v>727</v>
      </c>
      <c r="B3155" s="57" t="s">
        <v>727</v>
      </c>
      <c r="C3155" s="57" t="s">
        <v>415</v>
      </c>
      <c r="D3155" s="58" t="n">
        <v>46057.4336805556</v>
      </c>
      <c r="E3155" s="58" t="n">
        <v>46057.4336805556</v>
      </c>
      <c r="F3155" s="58" t="n">
        <v>46057.4341898148</v>
      </c>
      <c r="G3155" s="59" t="n">
        <f aca="false">F3155-E3155</f>
        <v>0.000509259201388889</v>
      </c>
      <c r="H3155" s="57" t="s">
        <v>252</v>
      </c>
      <c r="I3155" s="57"/>
      <c r="J3155" s="57" t="s">
        <v>333</v>
      </c>
      <c r="K3155" s="57" t="s">
        <v>334</v>
      </c>
      <c r="L3155" s="60" t="s">
        <v>4572</v>
      </c>
      <c r="M3155" s="57" t="s">
        <v>336</v>
      </c>
      <c r="N3155" s="57" t="s">
        <v>381</v>
      </c>
      <c r="O3155" s="57" t="s">
        <v>729</v>
      </c>
      <c r="P3155" s="57" t="s">
        <v>4573</v>
      </c>
      <c r="Q3155" s="57" t="s">
        <v>698</v>
      </c>
    </row>
    <row r="3156" s="50" customFormat="true" ht="14.25" hidden="false" customHeight="true" outlineLevel="0" collapsed="false">
      <c r="A3156" s="50" t="s">
        <v>727</v>
      </c>
      <c r="B3156" s="57" t="s">
        <v>727</v>
      </c>
      <c r="C3156" s="57" t="s">
        <v>415</v>
      </c>
      <c r="D3156" s="58" t="n">
        <v>46057.4263888889</v>
      </c>
      <c r="E3156" s="58" t="n">
        <v>46057.4263888889</v>
      </c>
      <c r="F3156" s="58" t="n">
        <v>46057.4269097222</v>
      </c>
      <c r="G3156" s="59" t="n">
        <f aca="false">F3156-E3156</f>
        <v>0.000520833298611111</v>
      </c>
      <c r="H3156" s="57" t="s">
        <v>252</v>
      </c>
      <c r="I3156" s="57"/>
      <c r="J3156" s="57" t="s">
        <v>333</v>
      </c>
      <c r="K3156" s="57" t="s">
        <v>334</v>
      </c>
      <c r="L3156" s="60" t="s">
        <v>4574</v>
      </c>
      <c r="M3156" s="57" t="s">
        <v>336</v>
      </c>
      <c r="N3156" s="57" t="s">
        <v>381</v>
      </c>
      <c r="O3156" s="57" t="s">
        <v>729</v>
      </c>
      <c r="P3156" s="57" t="s">
        <v>4575</v>
      </c>
      <c r="Q3156" s="57" t="s">
        <v>698</v>
      </c>
    </row>
    <row r="3157" s="50" customFormat="true" ht="14.25" hidden="false" customHeight="true" outlineLevel="0" collapsed="false">
      <c r="A3157" s="50" t="s">
        <v>727</v>
      </c>
      <c r="B3157" s="57" t="s">
        <v>727</v>
      </c>
      <c r="C3157" s="57" t="s">
        <v>415</v>
      </c>
      <c r="D3157" s="58" t="n">
        <v>46057.4192476852</v>
      </c>
      <c r="E3157" s="58" t="n">
        <v>46057.4192476852</v>
      </c>
      <c r="F3157" s="58" t="n">
        <v>46057.4197685185</v>
      </c>
      <c r="G3157" s="59" t="n">
        <f aca="false">F3157-E3157</f>
        <v>0.000520833298611111</v>
      </c>
      <c r="H3157" s="57" t="s">
        <v>252</v>
      </c>
      <c r="I3157" s="57"/>
      <c r="J3157" s="57" t="s">
        <v>333</v>
      </c>
      <c r="K3157" s="57" t="s">
        <v>334</v>
      </c>
      <c r="L3157" s="60" t="s">
        <v>4576</v>
      </c>
      <c r="M3157" s="57" t="s">
        <v>336</v>
      </c>
      <c r="N3157" s="57" t="s">
        <v>381</v>
      </c>
      <c r="O3157" s="57" t="s">
        <v>729</v>
      </c>
      <c r="P3157" s="57" t="s">
        <v>4577</v>
      </c>
      <c r="Q3157" s="57" t="s">
        <v>698</v>
      </c>
    </row>
    <row r="3158" s="50" customFormat="true" ht="14.25" hidden="false" customHeight="true" outlineLevel="0" collapsed="false">
      <c r="A3158" s="50" t="s">
        <v>727</v>
      </c>
      <c r="B3158" s="57" t="s">
        <v>727</v>
      </c>
      <c r="C3158" s="57" t="s">
        <v>415</v>
      </c>
      <c r="D3158" s="58" t="n">
        <v>46057.4106134259</v>
      </c>
      <c r="E3158" s="58" t="n">
        <v>46057.4106134259</v>
      </c>
      <c r="F3158" s="58" t="n">
        <v>46057.4111226852</v>
      </c>
      <c r="G3158" s="59" t="n">
        <f aca="false">F3158-E3158</f>
        <v>0.000509259293981482</v>
      </c>
      <c r="H3158" s="57" t="s">
        <v>252</v>
      </c>
      <c r="I3158" s="57"/>
      <c r="J3158" s="57" t="s">
        <v>333</v>
      </c>
      <c r="K3158" s="57" t="s">
        <v>334</v>
      </c>
      <c r="L3158" s="60" t="s">
        <v>4578</v>
      </c>
      <c r="M3158" s="57" t="s">
        <v>336</v>
      </c>
      <c r="N3158" s="57" t="s">
        <v>381</v>
      </c>
      <c r="O3158" s="57" t="s">
        <v>729</v>
      </c>
      <c r="P3158" s="57" t="s">
        <v>4579</v>
      </c>
      <c r="Q3158" s="57" t="s">
        <v>698</v>
      </c>
    </row>
    <row r="3159" s="50" customFormat="true" ht="14.25" hidden="false" customHeight="true" outlineLevel="0" collapsed="false">
      <c r="A3159" s="50" t="s">
        <v>727</v>
      </c>
      <c r="B3159" s="57" t="s">
        <v>727</v>
      </c>
      <c r="C3159" s="57" t="s">
        <v>415</v>
      </c>
      <c r="D3159" s="58" t="n">
        <v>46057.4022337963</v>
      </c>
      <c r="E3159" s="58" t="n">
        <v>46057.4022337963</v>
      </c>
      <c r="F3159" s="58" t="n">
        <v>46057.4027430556</v>
      </c>
      <c r="G3159" s="59" t="n">
        <f aca="false">F3159-E3159</f>
        <v>0.000509259293981482</v>
      </c>
      <c r="H3159" s="57" t="s">
        <v>252</v>
      </c>
      <c r="I3159" s="57"/>
      <c r="J3159" s="57" t="s">
        <v>333</v>
      </c>
      <c r="K3159" s="57" t="s">
        <v>334</v>
      </c>
      <c r="L3159" s="60" t="s">
        <v>4580</v>
      </c>
      <c r="M3159" s="57" t="s">
        <v>336</v>
      </c>
      <c r="N3159" s="57" t="s">
        <v>381</v>
      </c>
      <c r="O3159" s="57" t="s">
        <v>729</v>
      </c>
      <c r="P3159" s="57" t="s">
        <v>4581</v>
      </c>
      <c r="Q3159" s="57" t="s">
        <v>698</v>
      </c>
    </row>
    <row r="3160" s="50" customFormat="true" ht="14.25" hidden="false" customHeight="true" outlineLevel="0" collapsed="false">
      <c r="A3160" s="50" t="s">
        <v>727</v>
      </c>
      <c r="B3160" s="57" t="s">
        <v>727</v>
      </c>
      <c r="C3160" s="57" t="s">
        <v>415</v>
      </c>
      <c r="D3160" s="58" t="n">
        <v>46057.383275463</v>
      </c>
      <c r="E3160" s="58" t="n">
        <v>46057.383275463</v>
      </c>
      <c r="F3160" s="58" t="n">
        <v>46057.3837962963</v>
      </c>
      <c r="G3160" s="59" t="n">
        <f aca="false">F3160-E3160</f>
        <v>0.000520833298611111</v>
      </c>
      <c r="H3160" s="57" t="s">
        <v>252</v>
      </c>
      <c r="I3160" s="57"/>
      <c r="J3160" s="57" t="s">
        <v>333</v>
      </c>
      <c r="K3160" s="57" t="s">
        <v>334</v>
      </c>
      <c r="L3160" s="60" t="s">
        <v>4582</v>
      </c>
      <c r="M3160" s="57" t="s">
        <v>336</v>
      </c>
      <c r="N3160" s="57" t="s">
        <v>381</v>
      </c>
      <c r="O3160" s="57" t="s">
        <v>729</v>
      </c>
      <c r="P3160" s="57" t="s">
        <v>4583</v>
      </c>
      <c r="Q3160" s="57" t="s">
        <v>698</v>
      </c>
    </row>
    <row r="3161" s="50" customFormat="true" ht="14.25" hidden="false" customHeight="true" outlineLevel="0" collapsed="false">
      <c r="A3161" s="50" t="s">
        <v>727</v>
      </c>
      <c r="B3161" s="57" t="s">
        <v>727</v>
      </c>
      <c r="C3161" s="57" t="s">
        <v>415</v>
      </c>
      <c r="D3161" s="58" t="n">
        <v>46057.3708912037</v>
      </c>
      <c r="E3161" s="58" t="n">
        <v>46057.3708912037</v>
      </c>
      <c r="F3161" s="58" t="n">
        <v>46057.3714351852</v>
      </c>
      <c r="G3161" s="59" t="n">
        <f aca="false">F3161-E3161</f>
        <v>0.00054398150462963</v>
      </c>
      <c r="H3161" s="57" t="s">
        <v>252</v>
      </c>
      <c r="I3161" s="57"/>
      <c r="J3161" s="57" t="s">
        <v>333</v>
      </c>
      <c r="K3161" s="57" t="s">
        <v>334</v>
      </c>
      <c r="L3161" s="60" t="s">
        <v>4584</v>
      </c>
      <c r="M3161" s="57" t="s">
        <v>336</v>
      </c>
      <c r="N3161" s="57" t="s">
        <v>381</v>
      </c>
      <c r="O3161" s="57" t="s">
        <v>729</v>
      </c>
      <c r="P3161" s="57" t="s">
        <v>4585</v>
      </c>
      <c r="Q3161" s="57" t="s">
        <v>698</v>
      </c>
    </row>
    <row r="3162" s="50" customFormat="true" ht="14.25" hidden="false" customHeight="true" outlineLevel="0" collapsed="false">
      <c r="A3162" s="50" t="s">
        <v>727</v>
      </c>
      <c r="B3162" s="57" t="s">
        <v>727</v>
      </c>
      <c r="C3162" s="57" t="s">
        <v>415</v>
      </c>
      <c r="D3162" s="58" t="n">
        <v>46057.3142476852</v>
      </c>
      <c r="E3162" s="58" t="n">
        <v>46057.3142476852</v>
      </c>
      <c r="F3162" s="58" t="n">
        <v>46057.3147916667</v>
      </c>
      <c r="G3162" s="59" t="n">
        <f aca="false">F3162-E3162</f>
        <v>0.00054398150462963</v>
      </c>
      <c r="H3162" s="57" t="s">
        <v>252</v>
      </c>
      <c r="I3162" s="57"/>
      <c r="J3162" s="57" t="s">
        <v>333</v>
      </c>
      <c r="K3162" s="57" t="s">
        <v>334</v>
      </c>
      <c r="L3162" s="60" t="s">
        <v>4586</v>
      </c>
      <c r="M3162" s="57" t="s">
        <v>336</v>
      </c>
      <c r="N3162" s="57" t="s">
        <v>381</v>
      </c>
      <c r="O3162" s="57" t="s">
        <v>729</v>
      </c>
      <c r="P3162" s="57" t="s">
        <v>4587</v>
      </c>
      <c r="Q3162" s="57" t="s">
        <v>698</v>
      </c>
    </row>
    <row r="3163" s="50" customFormat="true" ht="14.25" hidden="false" customHeight="true" outlineLevel="0" collapsed="false">
      <c r="A3163" s="50" t="s">
        <v>727</v>
      </c>
      <c r="B3163" s="57" t="s">
        <v>727</v>
      </c>
      <c r="C3163" s="57" t="s">
        <v>415</v>
      </c>
      <c r="D3163" s="58" t="n">
        <v>46057.2636342593</v>
      </c>
      <c r="E3163" s="58" t="n">
        <v>46057.2636342593</v>
      </c>
      <c r="F3163" s="58" t="n">
        <v>46057.264212963</v>
      </c>
      <c r="G3163" s="59" t="n">
        <f aca="false">F3163-E3163</f>
        <v>0.000578703703703704</v>
      </c>
      <c r="H3163" s="57" t="s">
        <v>252</v>
      </c>
      <c r="I3163" s="57"/>
      <c r="J3163" s="57" t="s">
        <v>333</v>
      </c>
      <c r="K3163" s="57" t="s">
        <v>334</v>
      </c>
      <c r="L3163" s="60" t="s">
        <v>4588</v>
      </c>
      <c r="M3163" s="57" t="s">
        <v>336</v>
      </c>
      <c r="N3163" s="57" t="s">
        <v>381</v>
      </c>
      <c r="O3163" s="57" t="s">
        <v>729</v>
      </c>
      <c r="P3163" s="57" t="s">
        <v>4589</v>
      </c>
      <c r="Q3163" s="57" t="s">
        <v>698</v>
      </c>
    </row>
    <row r="3164" s="50" customFormat="true" ht="14.25" hidden="false" customHeight="true" outlineLevel="0" collapsed="false">
      <c r="A3164" s="50" t="s">
        <v>727</v>
      </c>
      <c r="B3164" s="57" t="s">
        <v>727</v>
      </c>
      <c r="C3164" s="57" t="s">
        <v>415</v>
      </c>
      <c r="D3164" s="58" t="n">
        <v>46057.2398842593</v>
      </c>
      <c r="E3164" s="58" t="n">
        <v>46057.2398842593</v>
      </c>
      <c r="F3164" s="58" t="n">
        <v>46057.2633101852</v>
      </c>
      <c r="G3164" s="59" t="n">
        <f aca="false">F3164-E3164</f>
        <v>0.0234259258912037</v>
      </c>
      <c r="H3164" s="57" t="s">
        <v>252</v>
      </c>
      <c r="I3164" s="57"/>
      <c r="J3164" s="57" t="s">
        <v>333</v>
      </c>
      <c r="K3164" s="57" t="s">
        <v>334</v>
      </c>
      <c r="L3164" s="60" t="s">
        <v>4590</v>
      </c>
      <c r="M3164" s="57" t="s">
        <v>336</v>
      </c>
      <c r="N3164" s="57" t="s">
        <v>381</v>
      </c>
      <c r="O3164" s="57" t="s">
        <v>729</v>
      </c>
      <c r="P3164" s="57" t="s">
        <v>4591</v>
      </c>
      <c r="Q3164" s="57" t="s">
        <v>698</v>
      </c>
    </row>
    <row r="3165" s="50" customFormat="true" ht="14.25" hidden="false" customHeight="true" outlineLevel="0" collapsed="false">
      <c r="A3165" s="50" t="s">
        <v>727</v>
      </c>
      <c r="B3165" s="57" t="s">
        <v>727</v>
      </c>
      <c r="C3165" s="57" t="s">
        <v>415</v>
      </c>
      <c r="D3165" s="58" t="n">
        <v>46057.2395138889</v>
      </c>
      <c r="E3165" s="58" t="n">
        <v>46057.2395138889</v>
      </c>
      <c r="F3165" s="58" t="n">
        <v>46057.2633101852</v>
      </c>
      <c r="G3165" s="59" t="n">
        <f aca="false">F3165-E3165</f>
        <v>0.0237962962962963</v>
      </c>
      <c r="H3165" s="57" t="s">
        <v>252</v>
      </c>
      <c r="I3165" s="57"/>
      <c r="J3165" s="57" t="s">
        <v>333</v>
      </c>
      <c r="K3165" s="57" t="s">
        <v>334</v>
      </c>
      <c r="L3165" s="60" t="s">
        <v>4592</v>
      </c>
      <c r="M3165" s="57" t="s">
        <v>336</v>
      </c>
      <c r="N3165" s="57" t="s">
        <v>381</v>
      </c>
      <c r="O3165" s="57" t="s">
        <v>729</v>
      </c>
      <c r="P3165" s="57" t="s">
        <v>4593</v>
      </c>
      <c r="Q3165" s="57" t="s">
        <v>698</v>
      </c>
    </row>
    <row r="3166" s="50" customFormat="true" ht="14.25" hidden="false" customHeight="true" outlineLevel="0" collapsed="false">
      <c r="A3166" s="50" t="s">
        <v>727</v>
      </c>
      <c r="B3166" s="57" t="s">
        <v>727</v>
      </c>
      <c r="C3166" s="57" t="s">
        <v>415</v>
      </c>
      <c r="D3166" s="58" t="n">
        <v>46056.726724537</v>
      </c>
      <c r="E3166" s="58" t="n">
        <v>46056.726724537</v>
      </c>
      <c r="F3166" s="58" t="n">
        <v>46056.7875</v>
      </c>
      <c r="G3166" s="59" t="n">
        <f aca="false">F3166-E3166</f>
        <v>0.0607754629976852</v>
      </c>
      <c r="H3166" s="57" t="s">
        <v>252</v>
      </c>
      <c r="I3166" s="57"/>
      <c r="J3166" s="57" t="s">
        <v>333</v>
      </c>
      <c r="K3166" s="57" t="s">
        <v>334</v>
      </c>
      <c r="L3166" s="60" t="s">
        <v>4594</v>
      </c>
      <c r="M3166" s="57" t="s">
        <v>336</v>
      </c>
      <c r="N3166" s="57" t="s">
        <v>381</v>
      </c>
      <c r="O3166" s="57" t="s">
        <v>729</v>
      </c>
      <c r="P3166" s="57" t="s">
        <v>4595</v>
      </c>
      <c r="Q3166" s="57" t="s">
        <v>698</v>
      </c>
    </row>
    <row r="3167" s="50" customFormat="true" ht="14.25" hidden="false" customHeight="true" outlineLevel="0" collapsed="false">
      <c r="A3167" s="50" t="s">
        <v>727</v>
      </c>
      <c r="B3167" s="57" t="s">
        <v>727</v>
      </c>
      <c r="C3167" s="57" t="s">
        <v>415</v>
      </c>
      <c r="D3167" s="58" t="n">
        <v>46056.7260763889</v>
      </c>
      <c r="E3167" s="58" t="n">
        <v>46056.7260763889</v>
      </c>
      <c r="F3167" s="58" t="n">
        <v>46056.7265625</v>
      </c>
      <c r="G3167" s="59" t="n">
        <f aca="false">F3167-E3167</f>
        <v>0.000486111111111111</v>
      </c>
      <c r="H3167" s="57" t="s">
        <v>252</v>
      </c>
      <c r="I3167" s="57"/>
      <c r="J3167" s="57" t="s">
        <v>333</v>
      </c>
      <c r="K3167" s="57" t="s">
        <v>334</v>
      </c>
      <c r="L3167" s="60" t="s">
        <v>4596</v>
      </c>
      <c r="M3167" s="57" t="s">
        <v>336</v>
      </c>
      <c r="N3167" s="57" t="s">
        <v>381</v>
      </c>
      <c r="O3167" s="57" t="s">
        <v>729</v>
      </c>
      <c r="P3167" s="57" t="s">
        <v>4597</v>
      </c>
      <c r="Q3167" s="57" t="s">
        <v>698</v>
      </c>
    </row>
    <row r="3168" s="50" customFormat="true" ht="14.25" hidden="false" customHeight="true" outlineLevel="0" collapsed="false">
      <c r="A3168" s="50" t="s">
        <v>727</v>
      </c>
      <c r="B3168" s="57" t="s">
        <v>727</v>
      </c>
      <c r="C3168" s="57" t="s">
        <v>415</v>
      </c>
      <c r="D3168" s="58" t="n">
        <v>46056.7213310185</v>
      </c>
      <c r="E3168" s="58" t="n">
        <v>46056.7213310185</v>
      </c>
      <c r="F3168" s="58" t="n">
        <v>46056.7258912037</v>
      </c>
      <c r="G3168" s="59" t="n">
        <f aca="false">F3168-E3168</f>
        <v>0.00456018518518519</v>
      </c>
      <c r="H3168" s="57" t="s">
        <v>252</v>
      </c>
      <c r="I3168" s="57"/>
      <c r="J3168" s="57" t="s">
        <v>333</v>
      </c>
      <c r="K3168" s="57" t="s">
        <v>334</v>
      </c>
      <c r="L3168" s="60" t="s">
        <v>4598</v>
      </c>
      <c r="M3168" s="57" t="s">
        <v>336</v>
      </c>
      <c r="N3168" s="57" t="s">
        <v>381</v>
      </c>
      <c r="O3168" s="57" t="s">
        <v>729</v>
      </c>
      <c r="P3168" s="57" t="s">
        <v>4599</v>
      </c>
      <c r="Q3168" s="57" t="s">
        <v>698</v>
      </c>
    </row>
    <row r="3169" s="50" customFormat="true" ht="14.25" hidden="false" customHeight="true" outlineLevel="0" collapsed="false">
      <c r="A3169" s="50" t="s">
        <v>727</v>
      </c>
      <c r="B3169" s="57" t="s">
        <v>727</v>
      </c>
      <c r="C3169" s="57" t="s">
        <v>415</v>
      </c>
      <c r="D3169" s="58" t="n">
        <v>46056.669837963</v>
      </c>
      <c r="E3169" s="58" t="n">
        <v>46056.669837963</v>
      </c>
      <c r="F3169" s="58" t="n">
        <v>46056.6778240741</v>
      </c>
      <c r="G3169" s="59" t="n">
        <f aca="false">F3169-E3169</f>
        <v>0.00798611108796296</v>
      </c>
      <c r="H3169" s="57" t="s">
        <v>252</v>
      </c>
      <c r="I3169" s="57"/>
      <c r="J3169" s="57" t="s">
        <v>333</v>
      </c>
      <c r="K3169" s="57" t="s">
        <v>334</v>
      </c>
      <c r="L3169" s="60" t="s">
        <v>4600</v>
      </c>
      <c r="M3169" s="57" t="s">
        <v>336</v>
      </c>
      <c r="N3169" s="57" t="s">
        <v>381</v>
      </c>
      <c r="O3169" s="57" t="s">
        <v>729</v>
      </c>
      <c r="P3169" s="57" t="s">
        <v>4601</v>
      </c>
      <c r="Q3169" s="57" t="s">
        <v>698</v>
      </c>
    </row>
    <row r="3170" s="50" customFormat="true" ht="14.25" hidden="false" customHeight="true" outlineLevel="0" collapsed="false">
      <c r="A3170" s="50" t="s">
        <v>727</v>
      </c>
      <c r="B3170" s="57" t="s">
        <v>727</v>
      </c>
      <c r="C3170" s="57" t="s">
        <v>415</v>
      </c>
      <c r="D3170" s="58" t="n">
        <v>46056.6500694445</v>
      </c>
      <c r="E3170" s="58" t="n">
        <v>46056.6500694445</v>
      </c>
      <c r="F3170" s="58" t="n">
        <v>46056.6506134259</v>
      </c>
      <c r="G3170" s="59" t="n">
        <f aca="false">F3170-E3170</f>
        <v>0.000543981400462963</v>
      </c>
      <c r="H3170" s="57" t="s">
        <v>252</v>
      </c>
      <c r="I3170" s="57"/>
      <c r="J3170" s="57" t="s">
        <v>333</v>
      </c>
      <c r="K3170" s="57" t="s">
        <v>334</v>
      </c>
      <c r="L3170" s="60" t="s">
        <v>4602</v>
      </c>
      <c r="M3170" s="57" t="s">
        <v>336</v>
      </c>
      <c r="N3170" s="57" t="s">
        <v>381</v>
      </c>
      <c r="O3170" s="57" t="s">
        <v>729</v>
      </c>
      <c r="P3170" s="57" t="s">
        <v>4603</v>
      </c>
      <c r="Q3170" s="57" t="s">
        <v>698</v>
      </c>
    </row>
    <row r="3171" s="50" customFormat="true" ht="14.25" hidden="false" customHeight="true" outlineLevel="0" collapsed="false">
      <c r="A3171" s="50" t="s">
        <v>727</v>
      </c>
      <c r="B3171" s="57" t="s">
        <v>727</v>
      </c>
      <c r="C3171" s="57" t="s">
        <v>415</v>
      </c>
      <c r="D3171" s="58" t="n">
        <v>46056.6302662037</v>
      </c>
      <c r="E3171" s="58" t="n">
        <v>46056.6302662037</v>
      </c>
      <c r="F3171" s="58" t="n">
        <v>46056.6308101852</v>
      </c>
      <c r="G3171" s="59" t="n">
        <f aca="false">F3171-E3171</f>
        <v>0.00054398150462963</v>
      </c>
      <c r="H3171" s="57" t="s">
        <v>252</v>
      </c>
      <c r="I3171" s="57"/>
      <c r="J3171" s="57" t="s">
        <v>333</v>
      </c>
      <c r="K3171" s="57" t="s">
        <v>334</v>
      </c>
      <c r="L3171" s="60" t="s">
        <v>4604</v>
      </c>
      <c r="M3171" s="57" t="s">
        <v>336</v>
      </c>
      <c r="N3171" s="57" t="s">
        <v>381</v>
      </c>
      <c r="O3171" s="57" t="s">
        <v>729</v>
      </c>
      <c r="P3171" s="57" t="s">
        <v>4605</v>
      </c>
      <c r="Q3171" s="57" t="s">
        <v>698</v>
      </c>
    </row>
    <row r="3172" s="50" customFormat="true" ht="14.25" hidden="false" customHeight="true" outlineLevel="0" collapsed="false">
      <c r="A3172" s="50" t="s">
        <v>727</v>
      </c>
      <c r="B3172" s="57" t="s">
        <v>727</v>
      </c>
      <c r="C3172" s="57" t="s">
        <v>415</v>
      </c>
      <c r="D3172" s="58" t="n">
        <v>46056.6229861111</v>
      </c>
      <c r="E3172" s="58" t="n">
        <v>46056.6229861111</v>
      </c>
      <c r="F3172" s="58" t="n">
        <v>46056.6234953704</v>
      </c>
      <c r="G3172" s="59" t="n">
        <f aca="false">F3172-E3172</f>
        <v>0.000509259293981482</v>
      </c>
      <c r="H3172" s="57" t="s">
        <v>252</v>
      </c>
      <c r="I3172" s="57"/>
      <c r="J3172" s="57" t="s">
        <v>333</v>
      </c>
      <c r="K3172" s="57" t="s">
        <v>334</v>
      </c>
      <c r="L3172" s="60" t="s">
        <v>4606</v>
      </c>
      <c r="M3172" s="57" t="s">
        <v>336</v>
      </c>
      <c r="N3172" s="57" t="s">
        <v>381</v>
      </c>
      <c r="O3172" s="57" t="s">
        <v>729</v>
      </c>
      <c r="P3172" s="57" t="s">
        <v>4607</v>
      </c>
      <c r="Q3172" s="57" t="s">
        <v>698</v>
      </c>
    </row>
    <row r="3173" s="50" customFormat="true" ht="14.25" hidden="false" customHeight="true" outlineLevel="0" collapsed="false">
      <c r="A3173" s="50" t="s">
        <v>727</v>
      </c>
      <c r="B3173" s="57" t="s">
        <v>727</v>
      </c>
      <c r="C3173" s="57" t="s">
        <v>415</v>
      </c>
      <c r="D3173" s="58" t="n">
        <v>46056.6032986111</v>
      </c>
      <c r="E3173" s="58" t="n">
        <v>46056.6032986111</v>
      </c>
      <c r="F3173" s="58" t="n">
        <v>46056.6038194444</v>
      </c>
      <c r="G3173" s="59" t="n">
        <f aca="false">F3173-E3173</f>
        <v>0.000520833298611111</v>
      </c>
      <c r="H3173" s="57" t="s">
        <v>252</v>
      </c>
      <c r="I3173" s="57"/>
      <c r="J3173" s="57" t="s">
        <v>333</v>
      </c>
      <c r="K3173" s="57" t="s">
        <v>334</v>
      </c>
      <c r="L3173" s="60" t="s">
        <v>4608</v>
      </c>
      <c r="M3173" s="57" t="s">
        <v>336</v>
      </c>
      <c r="N3173" s="57" t="s">
        <v>381</v>
      </c>
      <c r="O3173" s="57" t="s">
        <v>729</v>
      </c>
      <c r="P3173" s="57" t="s">
        <v>4609</v>
      </c>
      <c r="Q3173" s="57" t="s">
        <v>698</v>
      </c>
    </row>
    <row r="3174" s="50" customFormat="true" ht="14.25" hidden="false" customHeight="true" outlineLevel="0" collapsed="false">
      <c r="A3174" s="50" t="s">
        <v>727</v>
      </c>
      <c r="B3174" s="57" t="s">
        <v>727</v>
      </c>
      <c r="C3174" s="57" t="s">
        <v>415</v>
      </c>
      <c r="D3174" s="58" t="n">
        <v>46056.576875</v>
      </c>
      <c r="E3174" s="58" t="n">
        <v>46056.576875</v>
      </c>
      <c r="F3174" s="58" t="n">
        <v>46056.577962963</v>
      </c>
      <c r="G3174" s="59" t="n">
        <f aca="false">F3174-E3174</f>
        <v>0.00108796299768519</v>
      </c>
      <c r="H3174" s="57" t="s">
        <v>252</v>
      </c>
      <c r="I3174" s="57"/>
      <c r="J3174" s="57" t="s">
        <v>333</v>
      </c>
      <c r="K3174" s="57" t="s">
        <v>334</v>
      </c>
      <c r="L3174" s="60" t="s">
        <v>4610</v>
      </c>
      <c r="M3174" s="57" t="s">
        <v>336</v>
      </c>
      <c r="N3174" s="57" t="s">
        <v>381</v>
      </c>
      <c r="O3174" s="57" t="s">
        <v>729</v>
      </c>
      <c r="P3174" s="57" t="s">
        <v>4611</v>
      </c>
      <c r="Q3174" s="57" t="s">
        <v>698</v>
      </c>
    </row>
    <row r="3175" s="50" customFormat="true" ht="14.25" hidden="false" customHeight="true" outlineLevel="0" collapsed="false">
      <c r="A3175" s="50" t="s">
        <v>727</v>
      </c>
      <c r="B3175" s="57" t="s">
        <v>727</v>
      </c>
      <c r="C3175" s="57" t="s">
        <v>415</v>
      </c>
      <c r="D3175" s="58" t="n">
        <v>46056.5714236111</v>
      </c>
      <c r="E3175" s="58" t="n">
        <v>46056.5714236111</v>
      </c>
      <c r="F3175" s="58" t="n">
        <v>46056.5719560185</v>
      </c>
      <c r="G3175" s="59" t="n">
        <f aca="false">F3175-E3175</f>
        <v>0.000532407407407407</v>
      </c>
      <c r="H3175" s="57" t="s">
        <v>252</v>
      </c>
      <c r="I3175" s="57"/>
      <c r="J3175" s="57" t="s">
        <v>333</v>
      </c>
      <c r="K3175" s="57" t="s">
        <v>334</v>
      </c>
      <c r="L3175" s="60" t="s">
        <v>4612</v>
      </c>
      <c r="M3175" s="57" t="s">
        <v>336</v>
      </c>
      <c r="N3175" s="57" t="s">
        <v>381</v>
      </c>
      <c r="O3175" s="57" t="s">
        <v>729</v>
      </c>
      <c r="P3175" s="57" t="s">
        <v>4613</v>
      </c>
      <c r="Q3175" s="57" t="s">
        <v>698</v>
      </c>
    </row>
    <row r="3176" s="50" customFormat="true" ht="14.25" hidden="false" customHeight="true" outlineLevel="0" collapsed="false">
      <c r="A3176" s="50" t="s">
        <v>727</v>
      </c>
      <c r="B3176" s="57" t="s">
        <v>727</v>
      </c>
      <c r="C3176" s="57" t="s">
        <v>415</v>
      </c>
      <c r="D3176" s="58" t="n">
        <v>46056.55375</v>
      </c>
      <c r="E3176" s="58" t="n">
        <v>46056.55375</v>
      </c>
      <c r="F3176" s="58" t="n">
        <v>46056.5562384259</v>
      </c>
      <c r="G3176" s="59" t="n">
        <f aca="false">F3176-E3176</f>
        <v>0.00248842590277778</v>
      </c>
      <c r="H3176" s="57" t="s">
        <v>252</v>
      </c>
      <c r="I3176" s="57"/>
      <c r="J3176" s="57" t="s">
        <v>333</v>
      </c>
      <c r="K3176" s="57" t="s">
        <v>334</v>
      </c>
      <c r="L3176" s="60" t="s">
        <v>4614</v>
      </c>
      <c r="M3176" s="57" t="s">
        <v>336</v>
      </c>
      <c r="N3176" s="57" t="s">
        <v>381</v>
      </c>
      <c r="O3176" s="57" t="s">
        <v>729</v>
      </c>
      <c r="P3176" s="57" t="s">
        <v>4615</v>
      </c>
      <c r="Q3176" s="57" t="s">
        <v>698</v>
      </c>
    </row>
    <row r="3177" s="50" customFormat="true" ht="14.25" hidden="false" customHeight="true" outlineLevel="0" collapsed="false">
      <c r="A3177" s="50" t="s">
        <v>727</v>
      </c>
      <c r="B3177" s="57" t="s">
        <v>727</v>
      </c>
      <c r="C3177" s="57" t="s">
        <v>415</v>
      </c>
      <c r="D3177" s="58" t="n">
        <v>46056.5376851852</v>
      </c>
      <c r="E3177" s="58" t="n">
        <v>46056.5376851852</v>
      </c>
      <c r="F3177" s="58" t="n">
        <v>46056.5388657407</v>
      </c>
      <c r="G3177" s="59" t="n">
        <f aca="false">F3177-E3177</f>
        <v>0.00118055550925926</v>
      </c>
      <c r="H3177" s="57" t="s">
        <v>252</v>
      </c>
      <c r="I3177" s="57"/>
      <c r="J3177" s="57" t="s">
        <v>333</v>
      </c>
      <c r="K3177" s="57" t="s">
        <v>334</v>
      </c>
      <c r="L3177" s="60" t="s">
        <v>4616</v>
      </c>
      <c r="M3177" s="57" t="s">
        <v>336</v>
      </c>
      <c r="N3177" s="57" t="s">
        <v>381</v>
      </c>
      <c r="O3177" s="57" t="s">
        <v>729</v>
      </c>
      <c r="P3177" s="57" t="s">
        <v>4617</v>
      </c>
      <c r="Q3177" s="57" t="s">
        <v>698</v>
      </c>
    </row>
    <row r="3178" s="50" customFormat="true" ht="14.25" hidden="false" customHeight="true" outlineLevel="0" collapsed="false">
      <c r="A3178" s="50" t="s">
        <v>727</v>
      </c>
      <c r="B3178" s="57" t="s">
        <v>727</v>
      </c>
      <c r="C3178" s="57" t="s">
        <v>415</v>
      </c>
      <c r="D3178" s="58" t="n">
        <v>46056.5284259259</v>
      </c>
      <c r="E3178" s="58" t="n">
        <v>46056.5284259259</v>
      </c>
      <c r="F3178" s="58" t="n">
        <v>46056.5289930556</v>
      </c>
      <c r="G3178" s="59" t="n">
        <f aca="false">F3178-E3178</f>
        <v>0.000567129699074074</v>
      </c>
      <c r="H3178" s="57" t="s">
        <v>252</v>
      </c>
      <c r="I3178" s="57"/>
      <c r="J3178" s="57" t="s">
        <v>333</v>
      </c>
      <c r="K3178" s="57" t="s">
        <v>334</v>
      </c>
      <c r="L3178" s="60" t="s">
        <v>4618</v>
      </c>
      <c r="M3178" s="57" t="s">
        <v>336</v>
      </c>
      <c r="N3178" s="57" t="s">
        <v>381</v>
      </c>
      <c r="O3178" s="57" t="s">
        <v>729</v>
      </c>
      <c r="P3178" s="57" t="s">
        <v>4619</v>
      </c>
      <c r="Q3178" s="57" t="s">
        <v>698</v>
      </c>
    </row>
    <row r="3179" s="50" customFormat="true" ht="14.25" hidden="false" customHeight="true" outlineLevel="0" collapsed="false">
      <c r="A3179" s="50" t="s">
        <v>727</v>
      </c>
      <c r="B3179" s="57" t="s">
        <v>727</v>
      </c>
      <c r="C3179" s="57" t="s">
        <v>415</v>
      </c>
      <c r="D3179" s="58" t="n">
        <v>46056.5226388889</v>
      </c>
      <c r="E3179" s="58" t="n">
        <v>46056.5226388889</v>
      </c>
      <c r="F3179" s="58" t="n">
        <v>46056.5231597222</v>
      </c>
      <c r="G3179" s="59" t="n">
        <f aca="false">F3179-E3179</f>
        <v>0.000520833298611111</v>
      </c>
      <c r="H3179" s="57" t="s">
        <v>252</v>
      </c>
      <c r="I3179" s="57"/>
      <c r="J3179" s="57" t="s">
        <v>333</v>
      </c>
      <c r="K3179" s="57" t="s">
        <v>334</v>
      </c>
      <c r="L3179" s="60" t="s">
        <v>4620</v>
      </c>
      <c r="M3179" s="57" t="s">
        <v>336</v>
      </c>
      <c r="N3179" s="57" t="s">
        <v>381</v>
      </c>
      <c r="O3179" s="57" t="s">
        <v>729</v>
      </c>
      <c r="P3179" s="57" t="s">
        <v>4621</v>
      </c>
      <c r="Q3179" s="57" t="s">
        <v>698</v>
      </c>
    </row>
    <row r="3180" s="50" customFormat="true" ht="14.25" hidden="false" customHeight="true" outlineLevel="0" collapsed="false">
      <c r="A3180" s="50" t="s">
        <v>727</v>
      </c>
      <c r="B3180" s="57" t="s">
        <v>727</v>
      </c>
      <c r="C3180" s="57" t="s">
        <v>415</v>
      </c>
      <c r="D3180" s="58" t="n">
        <v>46056.5134953704</v>
      </c>
      <c r="E3180" s="58" t="n">
        <v>46056.5134953704</v>
      </c>
      <c r="F3180" s="58" t="n">
        <v>46056.5140046296</v>
      </c>
      <c r="G3180" s="59" t="n">
        <f aca="false">F3180-E3180</f>
        <v>0.000509259201388889</v>
      </c>
      <c r="H3180" s="57" t="s">
        <v>252</v>
      </c>
      <c r="I3180" s="57"/>
      <c r="J3180" s="57" t="s">
        <v>333</v>
      </c>
      <c r="K3180" s="57" t="s">
        <v>334</v>
      </c>
      <c r="L3180" s="60" t="s">
        <v>4622</v>
      </c>
      <c r="M3180" s="57" t="s">
        <v>336</v>
      </c>
      <c r="N3180" s="57" t="s">
        <v>381</v>
      </c>
      <c r="O3180" s="57" t="s">
        <v>729</v>
      </c>
      <c r="P3180" s="57" t="s">
        <v>4623</v>
      </c>
      <c r="Q3180" s="57" t="s">
        <v>698</v>
      </c>
    </row>
    <row r="3181" s="50" customFormat="true" ht="14.25" hidden="false" customHeight="true" outlineLevel="0" collapsed="false">
      <c r="A3181" s="50" t="s">
        <v>727</v>
      </c>
      <c r="B3181" s="57" t="s">
        <v>727</v>
      </c>
      <c r="C3181" s="57" t="s">
        <v>415</v>
      </c>
      <c r="D3181" s="58" t="n">
        <v>46056.5021990741</v>
      </c>
      <c r="E3181" s="58" t="n">
        <v>46056.5021990741</v>
      </c>
      <c r="F3181" s="58" t="n">
        <v>46056.5027199074</v>
      </c>
      <c r="G3181" s="59" t="n">
        <f aca="false">F3181-E3181</f>
        <v>0.000520833298611111</v>
      </c>
      <c r="H3181" s="57" t="s">
        <v>252</v>
      </c>
      <c r="I3181" s="57"/>
      <c r="J3181" s="57" t="s">
        <v>333</v>
      </c>
      <c r="K3181" s="57" t="s">
        <v>334</v>
      </c>
      <c r="L3181" s="60" t="s">
        <v>4624</v>
      </c>
      <c r="M3181" s="57" t="s">
        <v>336</v>
      </c>
      <c r="N3181" s="57" t="s">
        <v>381</v>
      </c>
      <c r="O3181" s="57" t="s">
        <v>729</v>
      </c>
      <c r="P3181" s="57" t="s">
        <v>4625</v>
      </c>
      <c r="Q3181" s="57" t="s">
        <v>698</v>
      </c>
    </row>
    <row r="3182" s="50" customFormat="true" ht="14.25" hidden="false" customHeight="true" outlineLevel="0" collapsed="false">
      <c r="A3182" s="50" t="s">
        <v>727</v>
      </c>
      <c r="B3182" s="57" t="s">
        <v>727</v>
      </c>
      <c r="C3182" s="57" t="s">
        <v>415</v>
      </c>
      <c r="D3182" s="58" t="n">
        <v>46056.4862731482</v>
      </c>
      <c r="E3182" s="58" t="n">
        <v>46056.4862731482</v>
      </c>
      <c r="F3182" s="58" t="n">
        <v>46056.4867939815</v>
      </c>
      <c r="G3182" s="59" t="n">
        <f aca="false">F3182-E3182</f>
        <v>0.000520833298611111</v>
      </c>
      <c r="H3182" s="57" t="s">
        <v>252</v>
      </c>
      <c r="I3182" s="57"/>
      <c r="J3182" s="57" t="s">
        <v>333</v>
      </c>
      <c r="K3182" s="57" t="s">
        <v>334</v>
      </c>
      <c r="L3182" s="60" t="s">
        <v>4626</v>
      </c>
      <c r="M3182" s="57" t="s">
        <v>336</v>
      </c>
      <c r="N3182" s="57" t="s">
        <v>381</v>
      </c>
      <c r="O3182" s="57" t="s">
        <v>729</v>
      </c>
      <c r="P3182" s="57" t="s">
        <v>4627</v>
      </c>
      <c r="Q3182" s="57" t="s">
        <v>698</v>
      </c>
    </row>
    <row r="3183" s="50" customFormat="true" ht="14.25" hidden="false" customHeight="true" outlineLevel="0" collapsed="false">
      <c r="A3183" s="50" t="s">
        <v>727</v>
      </c>
      <c r="B3183" s="57" t="s">
        <v>727</v>
      </c>
      <c r="C3183" s="57" t="s">
        <v>415</v>
      </c>
      <c r="D3183" s="58" t="n">
        <v>46056.4755324074</v>
      </c>
      <c r="E3183" s="58" t="n">
        <v>46056.4755324074</v>
      </c>
      <c r="F3183" s="58" t="n">
        <v>46056.4760532407</v>
      </c>
      <c r="G3183" s="59" t="n">
        <f aca="false">F3183-E3183</f>
        <v>0.000520833298611111</v>
      </c>
      <c r="H3183" s="57" t="s">
        <v>252</v>
      </c>
      <c r="I3183" s="57"/>
      <c r="J3183" s="57" t="s">
        <v>333</v>
      </c>
      <c r="K3183" s="57" t="s">
        <v>334</v>
      </c>
      <c r="L3183" s="60" t="s">
        <v>4628</v>
      </c>
      <c r="M3183" s="57" t="s">
        <v>336</v>
      </c>
      <c r="N3183" s="57" t="s">
        <v>381</v>
      </c>
      <c r="O3183" s="57" t="s">
        <v>729</v>
      </c>
      <c r="P3183" s="57" t="s">
        <v>4629</v>
      </c>
      <c r="Q3183" s="57" t="s">
        <v>698</v>
      </c>
    </row>
    <row r="3184" s="50" customFormat="true" ht="14.25" hidden="false" customHeight="true" outlineLevel="0" collapsed="false">
      <c r="A3184" s="50" t="s">
        <v>727</v>
      </c>
      <c r="B3184" s="57" t="s">
        <v>727</v>
      </c>
      <c r="C3184" s="57" t="s">
        <v>415</v>
      </c>
      <c r="D3184" s="58" t="n">
        <v>46056.4670486111</v>
      </c>
      <c r="E3184" s="58" t="n">
        <v>46056.4670486111</v>
      </c>
      <c r="F3184" s="58" t="n">
        <v>46056.4675694444</v>
      </c>
      <c r="G3184" s="59" t="n">
        <f aca="false">F3184-E3184</f>
        <v>0.000520833298611111</v>
      </c>
      <c r="H3184" s="57" t="s">
        <v>252</v>
      </c>
      <c r="I3184" s="57"/>
      <c r="J3184" s="57" t="s">
        <v>333</v>
      </c>
      <c r="K3184" s="57" t="s">
        <v>334</v>
      </c>
      <c r="L3184" s="60" t="s">
        <v>4630</v>
      </c>
      <c r="M3184" s="57" t="s">
        <v>336</v>
      </c>
      <c r="N3184" s="57" t="s">
        <v>381</v>
      </c>
      <c r="O3184" s="57" t="s">
        <v>729</v>
      </c>
      <c r="P3184" s="57" t="s">
        <v>4631</v>
      </c>
      <c r="Q3184" s="57" t="s">
        <v>698</v>
      </c>
    </row>
    <row r="3185" s="50" customFormat="true" ht="14.25" hidden="false" customHeight="true" outlineLevel="0" collapsed="false">
      <c r="A3185" s="50" t="s">
        <v>727</v>
      </c>
      <c r="B3185" s="57" t="s">
        <v>727</v>
      </c>
      <c r="C3185" s="57" t="s">
        <v>415</v>
      </c>
      <c r="D3185" s="58" t="n">
        <v>46056.4582986111</v>
      </c>
      <c r="E3185" s="58" t="n">
        <v>46056.4582986111</v>
      </c>
      <c r="F3185" s="58" t="n">
        <v>46056.4588078704</v>
      </c>
      <c r="G3185" s="59" t="n">
        <f aca="false">F3185-E3185</f>
        <v>0.000509259293981482</v>
      </c>
      <c r="H3185" s="57" t="s">
        <v>252</v>
      </c>
      <c r="I3185" s="57"/>
      <c r="J3185" s="57" t="s">
        <v>333</v>
      </c>
      <c r="K3185" s="57" t="s">
        <v>334</v>
      </c>
      <c r="L3185" s="60" t="s">
        <v>4632</v>
      </c>
      <c r="M3185" s="57" t="s">
        <v>336</v>
      </c>
      <c r="N3185" s="57" t="s">
        <v>381</v>
      </c>
      <c r="O3185" s="57" t="s">
        <v>729</v>
      </c>
      <c r="P3185" s="57" t="s">
        <v>4633</v>
      </c>
      <c r="Q3185" s="57" t="s">
        <v>698</v>
      </c>
    </row>
    <row r="3186" s="50" customFormat="true" ht="14.25" hidden="false" customHeight="true" outlineLevel="0" collapsed="false">
      <c r="A3186" s="50" t="s">
        <v>727</v>
      </c>
      <c r="B3186" s="57" t="s">
        <v>727</v>
      </c>
      <c r="C3186" s="57" t="s">
        <v>415</v>
      </c>
      <c r="D3186" s="58" t="n">
        <v>46056.4483564815</v>
      </c>
      <c r="E3186" s="58" t="n">
        <v>46056.4483564815</v>
      </c>
      <c r="F3186" s="58" t="n">
        <v>46056.4488773148</v>
      </c>
      <c r="G3186" s="59" t="n">
        <f aca="false">F3186-E3186</f>
        <v>0.000520833298611111</v>
      </c>
      <c r="H3186" s="57" t="s">
        <v>252</v>
      </c>
      <c r="I3186" s="57"/>
      <c r="J3186" s="57" t="s">
        <v>333</v>
      </c>
      <c r="K3186" s="57" t="s">
        <v>334</v>
      </c>
      <c r="L3186" s="60" t="s">
        <v>4634</v>
      </c>
      <c r="M3186" s="57" t="s">
        <v>336</v>
      </c>
      <c r="N3186" s="57" t="s">
        <v>381</v>
      </c>
      <c r="O3186" s="57" t="s">
        <v>729</v>
      </c>
      <c r="P3186" s="57" t="s">
        <v>4635</v>
      </c>
      <c r="Q3186" s="57" t="s">
        <v>698</v>
      </c>
    </row>
    <row r="3187" s="50" customFormat="true" ht="14.25" hidden="false" customHeight="true" outlineLevel="0" collapsed="false">
      <c r="A3187" s="50" t="s">
        <v>727</v>
      </c>
      <c r="B3187" s="57" t="s">
        <v>727</v>
      </c>
      <c r="C3187" s="57" t="s">
        <v>415</v>
      </c>
      <c r="D3187" s="58" t="n">
        <v>46056.4323726852</v>
      </c>
      <c r="E3187" s="58" t="n">
        <v>46056.4323726852</v>
      </c>
      <c r="F3187" s="58" t="n">
        <v>46056.4328819444</v>
      </c>
      <c r="G3187" s="59" t="n">
        <f aca="false">F3187-E3187</f>
        <v>0.000509259201388889</v>
      </c>
      <c r="H3187" s="57" t="s">
        <v>252</v>
      </c>
      <c r="I3187" s="57"/>
      <c r="J3187" s="57" t="s">
        <v>333</v>
      </c>
      <c r="K3187" s="57" t="s">
        <v>334</v>
      </c>
      <c r="L3187" s="60" t="s">
        <v>4636</v>
      </c>
      <c r="M3187" s="57" t="s">
        <v>336</v>
      </c>
      <c r="N3187" s="57" t="s">
        <v>381</v>
      </c>
      <c r="O3187" s="57" t="s">
        <v>729</v>
      </c>
      <c r="P3187" s="57" t="s">
        <v>4637</v>
      </c>
      <c r="Q3187" s="57" t="s">
        <v>698</v>
      </c>
    </row>
    <row r="3188" s="50" customFormat="true" ht="14.25" hidden="false" customHeight="true" outlineLevel="0" collapsed="false">
      <c r="A3188" s="50" t="s">
        <v>727</v>
      </c>
      <c r="B3188" s="57" t="s">
        <v>727</v>
      </c>
      <c r="C3188" s="57" t="s">
        <v>415</v>
      </c>
      <c r="D3188" s="58" t="n">
        <v>46056.4233449074</v>
      </c>
      <c r="E3188" s="58" t="n">
        <v>46056.4233449074</v>
      </c>
      <c r="F3188" s="58" t="n">
        <v>46056.4238541667</v>
      </c>
      <c r="G3188" s="59" t="n">
        <f aca="false">F3188-E3188</f>
        <v>0.000509259293981482</v>
      </c>
      <c r="H3188" s="57" t="s">
        <v>252</v>
      </c>
      <c r="I3188" s="57"/>
      <c r="J3188" s="57" t="s">
        <v>333</v>
      </c>
      <c r="K3188" s="57" t="s">
        <v>334</v>
      </c>
      <c r="L3188" s="60" t="s">
        <v>4638</v>
      </c>
      <c r="M3188" s="57" t="s">
        <v>336</v>
      </c>
      <c r="N3188" s="57" t="s">
        <v>381</v>
      </c>
      <c r="O3188" s="57" t="s">
        <v>729</v>
      </c>
      <c r="P3188" s="57" t="s">
        <v>4639</v>
      </c>
      <c r="Q3188" s="57" t="s">
        <v>698</v>
      </c>
    </row>
    <row r="3189" s="50" customFormat="true" ht="14.25" hidden="false" customHeight="true" outlineLevel="0" collapsed="false">
      <c r="A3189" s="50" t="s">
        <v>727</v>
      </c>
      <c r="B3189" s="57" t="s">
        <v>727</v>
      </c>
      <c r="C3189" s="57" t="s">
        <v>415</v>
      </c>
      <c r="D3189" s="58" t="n">
        <v>46056.4139699074</v>
      </c>
      <c r="E3189" s="58" t="n">
        <v>46056.4139699074</v>
      </c>
      <c r="F3189" s="58" t="n">
        <v>46056.4144907407</v>
      </c>
      <c r="G3189" s="59" t="n">
        <f aca="false">F3189-E3189</f>
        <v>0.000520833298611111</v>
      </c>
      <c r="H3189" s="57" t="s">
        <v>252</v>
      </c>
      <c r="I3189" s="57"/>
      <c r="J3189" s="57" t="s">
        <v>333</v>
      </c>
      <c r="K3189" s="57" t="s">
        <v>334</v>
      </c>
      <c r="L3189" s="60" t="s">
        <v>4640</v>
      </c>
      <c r="M3189" s="57" t="s">
        <v>336</v>
      </c>
      <c r="N3189" s="57" t="s">
        <v>381</v>
      </c>
      <c r="O3189" s="57" t="s">
        <v>729</v>
      </c>
      <c r="P3189" s="57" t="s">
        <v>4641</v>
      </c>
      <c r="Q3189" s="57" t="s">
        <v>698</v>
      </c>
    </row>
    <row r="3190" s="50" customFormat="true" ht="14.25" hidden="false" customHeight="true" outlineLevel="0" collapsed="false">
      <c r="A3190" s="50" t="s">
        <v>727</v>
      </c>
      <c r="B3190" s="57" t="s">
        <v>727</v>
      </c>
      <c r="C3190" s="57" t="s">
        <v>415</v>
      </c>
      <c r="D3190" s="58" t="n">
        <v>46056.4033912037</v>
      </c>
      <c r="E3190" s="58" t="n">
        <v>46056.4033912037</v>
      </c>
      <c r="F3190" s="58" t="n">
        <v>46056.403900463</v>
      </c>
      <c r="G3190" s="59" t="n">
        <f aca="false">F3190-E3190</f>
        <v>0.000509259305555556</v>
      </c>
      <c r="H3190" s="57" t="s">
        <v>252</v>
      </c>
      <c r="I3190" s="57"/>
      <c r="J3190" s="57" t="s">
        <v>333</v>
      </c>
      <c r="K3190" s="57" t="s">
        <v>334</v>
      </c>
      <c r="L3190" s="60" t="s">
        <v>4642</v>
      </c>
      <c r="M3190" s="57" t="s">
        <v>336</v>
      </c>
      <c r="N3190" s="57" t="s">
        <v>381</v>
      </c>
      <c r="O3190" s="57" t="s">
        <v>729</v>
      </c>
      <c r="P3190" s="57" t="s">
        <v>4643</v>
      </c>
      <c r="Q3190" s="57" t="s">
        <v>698</v>
      </c>
    </row>
    <row r="3191" s="50" customFormat="true" ht="14.25" hidden="false" customHeight="true" outlineLevel="0" collapsed="false">
      <c r="A3191" s="50" t="s">
        <v>727</v>
      </c>
      <c r="B3191" s="57" t="s">
        <v>727</v>
      </c>
      <c r="C3191" s="57" t="s">
        <v>415</v>
      </c>
      <c r="D3191" s="58" t="n">
        <v>46056.3915277778</v>
      </c>
      <c r="E3191" s="58" t="n">
        <v>46056.3915277778</v>
      </c>
      <c r="F3191" s="58" t="n">
        <v>46056.392025463</v>
      </c>
      <c r="G3191" s="59" t="n">
        <f aca="false">F3191-E3191</f>
        <v>0.000497685196759259</v>
      </c>
      <c r="H3191" s="57" t="s">
        <v>252</v>
      </c>
      <c r="I3191" s="57"/>
      <c r="J3191" s="57" t="s">
        <v>333</v>
      </c>
      <c r="K3191" s="57" t="s">
        <v>334</v>
      </c>
      <c r="L3191" s="60" t="s">
        <v>4644</v>
      </c>
      <c r="M3191" s="57" t="s">
        <v>336</v>
      </c>
      <c r="N3191" s="57" t="s">
        <v>381</v>
      </c>
      <c r="O3191" s="57" t="s">
        <v>729</v>
      </c>
      <c r="P3191" s="57" t="s">
        <v>4645</v>
      </c>
      <c r="Q3191" s="57" t="s">
        <v>698</v>
      </c>
    </row>
    <row r="3192" s="50" customFormat="true" ht="14.25" hidden="false" customHeight="true" outlineLevel="0" collapsed="false">
      <c r="A3192" s="50" t="s">
        <v>727</v>
      </c>
      <c r="B3192" s="57" t="s">
        <v>727</v>
      </c>
      <c r="C3192" s="57" t="s">
        <v>415</v>
      </c>
      <c r="D3192" s="58" t="n">
        <v>46056.3773032407</v>
      </c>
      <c r="E3192" s="58" t="n">
        <v>46056.3773032407</v>
      </c>
      <c r="F3192" s="58" t="n">
        <v>46056.3778240741</v>
      </c>
      <c r="G3192" s="59" t="n">
        <f aca="false">F3192-E3192</f>
        <v>0.000520833402777778</v>
      </c>
      <c r="H3192" s="57" t="s">
        <v>252</v>
      </c>
      <c r="I3192" s="57"/>
      <c r="J3192" s="57" t="s">
        <v>333</v>
      </c>
      <c r="K3192" s="57" t="s">
        <v>334</v>
      </c>
      <c r="L3192" s="60" t="s">
        <v>4646</v>
      </c>
      <c r="M3192" s="57" t="s">
        <v>336</v>
      </c>
      <c r="N3192" s="57" t="s">
        <v>381</v>
      </c>
      <c r="O3192" s="57" t="s">
        <v>729</v>
      </c>
      <c r="P3192" s="57" t="s">
        <v>4647</v>
      </c>
      <c r="Q3192" s="57" t="s">
        <v>698</v>
      </c>
    </row>
    <row r="3193" s="50" customFormat="true" ht="14.25" hidden="false" customHeight="true" outlineLevel="0" collapsed="false">
      <c r="A3193" s="50" t="s">
        <v>727</v>
      </c>
      <c r="B3193" s="57" t="s">
        <v>727</v>
      </c>
      <c r="C3193" s="57" t="s">
        <v>415</v>
      </c>
      <c r="D3193" s="58" t="n">
        <v>46056.3695138889</v>
      </c>
      <c r="E3193" s="58" t="n">
        <v>46056.3695138889</v>
      </c>
      <c r="F3193" s="58" t="n">
        <v>46056.3700231482</v>
      </c>
      <c r="G3193" s="59" t="n">
        <f aca="false">F3193-E3193</f>
        <v>0.000509259293981482</v>
      </c>
      <c r="H3193" s="57" t="s">
        <v>252</v>
      </c>
      <c r="I3193" s="57"/>
      <c r="J3193" s="57" t="s">
        <v>333</v>
      </c>
      <c r="K3193" s="57" t="s">
        <v>334</v>
      </c>
      <c r="L3193" s="60" t="s">
        <v>4648</v>
      </c>
      <c r="M3193" s="57" t="s">
        <v>336</v>
      </c>
      <c r="N3193" s="57" t="s">
        <v>381</v>
      </c>
      <c r="O3193" s="57" t="s">
        <v>729</v>
      </c>
      <c r="P3193" s="57" t="s">
        <v>4649</v>
      </c>
      <c r="Q3193" s="57" t="s">
        <v>698</v>
      </c>
    </row>
    <row r="3194" s="50" customFormat="true" ht="14.25" hidden="false" customHeight="true" outlineLevel="0" collapsed="false">
      <c r="A3194" s="50" t="s">
        <v>727</v>
      </c>
      <c r="B3194" s="57" t="s">
        <v>727</v>
      </c>
      <c r="C3194" s="57" t="s">
        <v>415</v>
      </c>
      <c r="D3194" s="58" t="n">
        <v>46056.358900463</v>
      </c>
      <c r="E3194" s="58" t="n">
        <v>46056.358900463</v>
      </c>
      <c r="F3194" s="58" t="n">
        <v>46056.3593981481</v>
      </c>
      <c r="G3194" s="59" t="n">
        <f aca="false">F3194-E3194</f>
        <v>0.000497685104166667</v>
      </c>
      <c r="H3194" s="57" t="s">
        <v>252</v>
      </c>
      <c r="I3194" s="57"/>
      <c r="J3194" s="57" t="s">
        <v>333</v>
      </c>
      <c r="K3194" s="57" t="s">
        <v>334</v>
      </c>
      <c r="L3194" s="60" t="s">
        <v>4650</v>
      </c>
      <c r="M3194" s="57" t="s">
        <v>336</v>
      </c>
      <c r="N3194" s="57" t="s">
        <v>381</v>
      </c>
      <c r="O3194" s="57" t="s">
        <v>729</v>
      </c>
      <c r="P3194" s="57" t="s">
        <v>4651</v>
      </c>
      <c r="Q3194" s="57" t="s">
        <v>698</v>
      </c>
    </row>
    <row r="3195" s="50" customFormat="true" ht="14.25" hidden="false" customHeight="true" outlineLevel="0" collapsed="false">
      <c r="A3195" s="50" t="s">
        <v>727</v>
      </c>
      <c r="B3195" s="57" t="s">
        <v>727</v>
      </c>
      <c r="C3195" s="57" t="s">
        <v>415</v>
      </c>
      <c r="D3195" s="58" t="n">
        <v>46056.3478009259</v>
      </c>
      <c r="E3195" s="58" t="n">
        <v>46056.3478009259</v>
      </c>
      <c r="F3195" s="58" t="n">
        <v>46056.3483449074</v>
      </c>
      <c r="G3195" s="59" t="n">
        <f aca="false">F3195-E3195</f>
        <v>0.00054398150462963</v>
      </c>
      <c r="H3195" s="57" t="s">
        <v>252</v>
      </c>
      <c r="I3195" s="57"/>
      <c r="J3195" s="57" t="s">
        <v>333</v>
      </c>
      <c r="K3195" s="57" t="s">
        <v>334</v>
      </c>
      <c r="L3195" s="60" t="s">
        <v>4652</v>
      </c>
      <c r="M3195" s="57" t="s">
        <v>336</v>
      </c>
      <c r="N3195" s="57" t="s">
        <v>381</v>
      </c>
      <c r="O3195" s="57" t="s">
        <v>729</v>
      </c>
      <c r="P3195" s="57" t="s">
        <v>4653</v>
      </c>
      <c r="Q3195" s="57" t="s">
        <v>698</v>
      </c>
    </row>
    <row r="3196" s="50" customFormat="true" ht="14.25" hidden="false" customHeight="true" outlineLevel="0" collapsed="false">
      <c r="A3196" s="50" t="s">
        <v>727</v>
      </c>
      <c r="B3196" s="57" t="s">
        <v>727</v>
      </c>
      <c r="C3196" s="57" t="s">
        <v>415</v>
      </c>
      <c r="D3196" s="58" t="n">
        <v>46056.2787615741</v>
      </c>
      <c r="E3196" s="58" t="n">
        <v>46056.2787615741</v>
      </c>
      <c r="F3196" s="58" t="n">
        <v>46056.2792708333</v>
      </c>
      <c r="G3196" s="59" t="n">
        <f aca="false">F3196-E3196</f>
        <v>0.000509259201388889</v>
      </c>
      <c r="H3196" s="57" t="s">
        <v>252</v>
      </c>
      <c r="I3196" s="57"/>
      <c r="J3196" s="57" t="s">
        <v>333</v>
      </c>
      <c r="K3196" s="57" t="s">
        <v>334</v>
      </c>
      <c r="L3196" s="60" t="s">
        <v>4654</v>
      </c>
      <c r="M3196" s="57" t="s">
        <v>336</v>
      </c>
      <c r="N3196" s="57" t="s">
        <v>381</v>
      </c>
      <c r="O3196" s="57" t="s">
        <v>729</v>
      </c>
      <c r="P3196" s="57" t="s">
        <v>4655</v>
      </c>
      <c r="Q3196" s="57" t="s">
        <v>698</v>
      </c>
    </row>
    <row r="3197" s="50" customFormat="true" ht="14.25" hidden="false" customHeight="true" outlineLevel="0" collapsed="false">
      <c r="A3197" s="50" t="s">
        <v>727</v>
      </c>
      <c r="B3197" s="57" t="s">
        <v>727</v>
      </c>
      <c r="C3197" s="57" t="s">
        <v>415</v>
      </c>
      <c r="D3197" s="58" t="n">
        <v>46056.2750115741</v>
      </c>
      <c r="E3197" s="58" t="n">
        <v>46056.2750115741</v>
      </c>
      <c r="F3197" s="58" t="n">
        <v>46056.2755439815</v>
      </c>
      <c r="G3197" s="59" t="n">
        <f aca="false">F3197-E3197</f>
        <v>0.000532407407407407</v>
      </c>
      <c r="H3197" s="57" t="s">
        <v>252</v>
      </c>
      <c r="I3197" s="57"/>
      <c r="J3197" s="57" t="s">
        <v>333</v>
      </c>
      <c r="K3197" s="57" t="s">
        <v>334</v>
      </c>
      <c r="L3197" s="60" t="s">
        <v>4656</v>
      </c>
      <c r="M3197" s="57" t="s">
        <v>336</v>
      </c>
      <c r="N3197" s="57" t="s">
        <v>381</v>
      </c>
      <c r="O3197" s="57" t="s">
        <v>729</v>
      </c>
      <c r="P3197" s="57" t="s">
        <v>4657</v>
      </c>
      <c r="Q3197" s="57" t="s">
        <v>698</v>
      </c>
    </row>
    <row r="3198" s="50" customFormat="true" ht="14.25" hidden="false" customHeight="true" outlineLevel="0" collapsed="false">
      <c r="A3198" s="50" t="s">
        <v>727</v>
      </c>
      <c r="B3198" s="57" t="s">
        <v>727</v>
      </c>
      <c r="C3198" s="57" t="s">
        <v>415</v>
      </c>
      <c r="D3198" s="58" t="n">
        <v>46056.2399768519</v>
      </c>
      <c r="E3198" s="58" t="n">
        <v>46056.2399768519</v>
      </c>
      <c r="F3198" s="58" t="n">
        <v>46056.2744212963</v>
      </c>
      <c r="G3198" s="59" t="n">
        <f aca="false">F3198-E3198</f>
        <v>0.0344444443981482</v>
      </c>
      <c r="H3198" s="57" t="s">
        <v>252</v>
      </c>
      <c r="I3198" s="57"/>
      <c r="J3198" s="57" t="s">
        <v>333</v>
      </c>
      <c r="K3198" s="57" t="s">
        <v>334</v>
      </c>
      <c r="L3198" s="60" t="s">
        <v>4658</v>
      </c>
      <c r="M3198" s="57" t="s">
        <v>336</v>
      </c>
      <c r="N3198" s="57" t="s">
        <v>381</v>
      </c>
      <c r="O3198" s="57" t="s">
        <v>729</v>
      </c>
      <c r="P3198" s="57" t="s">
        <v>4659</v>
      </c>
      <c r="Q3198" s="57" t="s">
        <v>698</v>
      </c>
    </row>
    <row r="3199" s="50" customFormat="true" ht="14.25" hidden="false" customHeight="true" outlineLevel="0" collapsed="false">
      <c r="A3199" s="50" t="s">
        <v>727</v>
      </c>
      <c r="B3199" s="57" t="s">
        <v>727</v>
      </c>
      <c r="C3199" s="57" t="s">
        <v>415</v>
      </c>
      <c r="D3199" s="58" t="n">
        <v>46056.2395833333</v>
      </c>
      <c r="E3199" s="58" t="n">
        <v>46056.2395833333</v>
      </c>
      <c r="F3199" s="58" t="n">
        <v>46056.2744212963</v>
      </c>
      <c r="G3199" s="59" t="n">
        <f aca="false">F3199-E3199</f>
        <v>0.0348379629976852</v>
      </c>
      <c r="H3199" s="57" t="s">
        <v>252</v>
      </c>
      <c r="I3199" s="57"/>
      <c r="J3199" s="57" t="s">
        <v>333</v>
      </c>
      <c r="K3199" s="57" t="s">
        <v>334</v>
      </c>
      <c r="L3199" s="60" t="s">
        <v>4660</v>
      </c>
      <c r="M3199" s="57" t="s">
        <v>336</v>
      </c>
      <c r="N3199" s="57" t="s">
        <v>381</v>
      </c>
      <c r="O3199" s="57" t="s">
        <v>729</v>
      </c>
      <c r="P3199" s="57" t="s">
        <v>4661</v>
      </c>
      <c r="Q3199" s="57" t="s">
        <v>698</v>
      </c>
    </row>
    <row r="3200" s="50" customFormat="true" ht="14.25" hidden="false" customHeight="true" outlineLevel="0" collapsed="false">
      <c r="A3200" s="50" t="s">
        <v>727</v>
      </c>
      <c r="B3200" s="57" t="s">
        <v>727</v>
      </c>
      <c r="C3200" s="57" t="s">
        <v>415</v>
      </c>
      <c r="D3200" s="58" t="n">
        <v>46055.788599537</v>
      </c>
      <c r="E3200" s="58" t="n">
        <v>46055.788599537</v>
      </c>
      <c r="F3200" s="58" t="n">
        <v>46055.7903819445</v>
      </c>
      <c r="G3200" s="59" t="n">
        <f aca="false">F3200-E3200</f>
        <v>0.0017824075</v>
      </c>
      <c r="H3200" s="57" t="s">
        <v>252</v>
      </c>
      <c r="I3200" s="57"/>
      <c r="J3200" s="57" t="s">
        <v>333</v>
      </c>
      <c r="K3200" s="57" t="s">
        <v>334</v>
      </c>
      <c r="L3200" s="60" t="s">
        <v>4662</v>
      </c>
      <c r="M3200" s="57" t="s">
        <v>336</v>
      </c>
      <c r="N3200" s="57" t="s">
        <v>381</v>
      </c>
      <c r="O3200" s="57" t="s">
        <v>729</v>
      </c>
      <c r="P3200" s="57" t="s">
        <v>4663</v>
      </c>
      <c r="Q3200" s="57" t="s">
        <v>698</v>
      </c>
    </row>
    <row r="3201" s="50" customFormat="true" ht="14.25" hidden="false" customHeight="true" outlineLevel="0" collapsed="false">
      <c r="A3201" s="50" t="s">
        <v>727</v>
      </c>
      <c r="B3201" s="57" t="s">
        <v>727</v>
      </c>
      <c r="C3201" s="57" t="s">
        <v>415</v>
      </c>
      <c r="D3201" s="58" t="n">
        <v>46055.7689699074</v>
      </c>
      <c r="E3201" s="58" t="n">
        <v>46055.7689699074</v>
      </c>
      <c r="F3201" s="58" t="n">
        <v>46055.7903819445</v>
      </c>
      <c r="G3201" s="59" t="n">
        <f aca="false">F3201-E3201</f>
        <v>0.0214120370949074</v>
      </c>
      <c r="H3201" s="57" t="s">
        <v>252</v>
      </c>
      <c r="I3201" s="57"/>
      <c r="J3201" s="57" t="s">
        <v>333</v>
      </c>
      <c r="K3201" s="57" t="s">
        <v>334</v>
      </c>
      <c r="L3201" s="60" t="s">
        <v>4664</v>
      </c>
      <c r="M3201" s="57" t="s">
        <v>336</v>
      </c>
      <c r="N3201" s="57" t="s">
        <v>381</v>
      </c>
      <c r="O3201" s="57" t="s">
        <v>729</v>
      </c>
      <c r="P3201" s="57" t="s">
        <v>4665</v>
      </c>
      <c r="Q3201" s="57" t="s">
        <v>698</v>
      </c>
    </row>
    <row r="3202" s="50" customFormat="true" ht="14.25" hidden="false" customHeight="true" outlineLevel="0" collapsed="false">
      <c r="A3202" s="50" t="s">
        <v>727</v>
      </c>
      <c r="B3202" s="57" t="s">
        <v>727</v>
      </c>
      <c r="C3202" s="57" t="s">
        <v>415</v>
      </c>
      <c r="D3202" s="58" t="n">
        <v>46055.7682523148</v>
      </c>
      <c r="E3202" s="58" t="n">
        <v>46055.7682523148</v>
      </c>
      <c r="F3202" s="58" t="n">
        <v>46055.7688078704</v>
      </c>
      <c r="G3202" s="59" t="n">
        <f aca="false">F3202-E3202</f>
        <v>0.000555555601851852</v>
      </c>
      <c r="H3202" s="57" t="s">
        <v>252</v>
      </c>
      <c r="I3202" s="57"/>
      <c r="J3202" s="57" t="s">
        <v>333</v>
      </c>
      <c r="K3202" s="57" t="s">
        <v>334</v>
      </c>
      <c r="L3202" s="60" t="s">
        <v>4666</v>
      </c>
      <c r="M3202" s="57" t="s">
        <v>336</v>
      </c>
      <c r="N3202" s="57" t="s">
        <v>381</v>
      </c>
      <c r="O3202" s="57" t="s">
        <v>729</v>
      </c>
      <c r="P3202" s="57" t="s">
        <v>4667</v>
      </c>
      <c r="Q3202" s="57" t="s">
        <v>698</v>
      </c>
    </row>
    <row r="3203" s="50" customFormat="true" ht="14.25" hidden="false" customHeight="true" outlineLevel="0" collapsed="false">
      <c r="A3203" s="50" t="s">
        <v>727</v>
      </c>
      <c r="B3203" s="57" t="s">
        <v>727</v>
      </c>
      <c r="C3203" s="57" t="s">
        <v>415</v>
      </c>
      <c r="D3203" s="58" t="n">
        <v>46055.7674189815</v>
      </c>
      <c r="E3203" s="58" t="n">
        <v>46055.7674189815</v>
      </c>
      <c r="F3203" s="58" t="n">
        <v>46055.7679398148</v>
      </c>
      <c r="G3203" s="59" t="n">
        <f aca="false">F3203-E3203</f>
        <v>0.000520833298611111</v>
      </c>
      <c r="H3203" s="57" t="s">
        <v>252</v>
      </c>
      <c r="I3203" s="57"/>
      <c r="J3203" s="57" t="s">
        <v>333</v>
      </c>
      <c r="K3203" s="57" t="s">
        <v>334</v>
      </c>
      <c r="L3203" s="60" t="s">
        <v>4668</v>
      </c>
      <c r="M3203" s="57" t="s">
        <v>336</v>
      </c>
      <c r="N3203" s="57" t="s">
        <v>381</v>
      </c>
      <c r="O3203" s="57" t="s">
        <v>729</v>
      </c>
      <c r="P3203" s="57" t="s">
        <v>4669</v>
      </c>
      <c r="Q3203" s="57" t="s">
        <v>698</v>
      </c>
    </row>
    <row r="3204" s="50" customFormat="true" ht="14.25" hidden="false" customHeight="true" outlineLevel="0" collapsed="false">
      <c r="A3204" s="50" t="s">
        <v>727</v>
      </c>
      <c r="B3204" s="57" t="s">
        <v>727</v>
      </c>
      <c r="C3204" s="57" t="s">
        <v>415</v>
      </c>
      <c r="D3204" s="58" t="n">
        <v>46055.7659606482</v>
      </c>
      <c r="E3204" s="58" t="n">
        <v>46055.7659606482</v>
      </c>
      <c r="F3204" s="58" t="n">
        <v>46055.767037037</v>
      </c>
      <c r="G3204" s="59" t="n">
        <f aca="false">F3204-E3204</f>
        <v>0.00107638880787037</v>
      </c>
      <c r="H3204" s="57" t="s">
        <v>252</v>
      </c>
      <c r="I3204" s="57"/>
      <c r="J3204" s="57" t="s">
        <v>333</v>
      </c>
      <c r="K3204" s="57" t="s">
        <v>334</v>
      </c>
      <c r="L3204" s="60" t="s">
        <v>4670</v>
      </c>
      <c r="M3204" s="57" t="s">
        <v>336</v>
      </c>
      <c r="N3204" s="57" t="s">
        <v>381</v>
      </c>
      <c r="O3204" s="57" t="s">
        <v>729</v>
      </c>
      <c r="P3204" s="57" t="s">
        <v>4671</v>
      </c>
      <c r="Q3204" s="57" t="s">
        <v>698</v>
      </c>
    </row>
    <row r="3205" s="50" customFormat="true" ht="14.25" hidden="false" customHeight="true" outlineLevel="0" collapsed="false">
      <c r="A3205" s="50" t="s">
        <v>727</v>
      </c>
      <c r="B3205" s="57" t="s">
        <v>727</v>
      </c>
      <c r="C3205" s="57" t="s">
        <v>415</v>
      </c>
      <c r="D3205" s="58" t="n">
        <v>46055.7172106481</v>
      </c>
      <c r="E3205" s="58" t="n">
        <v>46055.7172106481</v>
      </c>
      <c r="F3205" s="58" t="n">
        <v>46055.7177546296</v>
      </c>
      <c r="G3205" s="59" t="n">
        <f aca="false">F3205-E3205</f>
        <v>0.00054398150462963</v>
      </c>
      <c r="H3205" s="57" t="s">
        <v>252</v>
      </c>
      <c r="I3205" s="57"/>
      <c r="J3205" s="57" t="s">
        <v>333</v>
      </c>
      <c r="K3205" s="57" t="s">
        <v>334</v>
      </c>
      <c r="L3205" s="60" t="s">
        <v>4672</v>
      </c>
      <c r="M3205" s="57" t="s">
        <v>336</v>
      </c>
      <c r="N3205" s="57" t="s">
        <v>381</v>
      </c>
      <c r="O3205" s="57" t="s">
        <v>729</v>
      </c>
      <c r="P3205" s="57" t="s">
        <v>4673</v>
      </c>
      <c r="Q3205" s="57" t="s">
        <v>698</v>
      </c>
    </row>
    <row r="3206" s="50" customFormat="true" ht="14.25" hidden="false" customHeight="true" outlineLevel="0" collapsed="false">
      <c r="A3206" s="50" t="s">
        <v>727</v>
      </c>
      <c r="B3206" s="57" t="s">
        <v>727</v>
      </c>
      <c r="C3206" s="57" t="s">
        <v>415</v>
      </c>
      <c r="D3206" s="58" t="n">
        <v>46055.7100462963</v>
      </c>
      <c r="E3206" s="58" t="n">
        <v>46055.7100462963</v>
      </c>
      <c r="F3206" s="58" t="n">
        <v>46055.7105439815</v>
      </c>
      <c r="G3206" s="59" t="n">
        <f aca="false">F3206-E3206</f>
        <v>0.000497685196759259</v>
      </c>
      <c r="H3206" s="57" t="s">
        <v>252</v>
      </c>
      <c r="I3206" s="57"/>
      <c r="J3206" s="57" t="s">
        <v>333</v>
      </c>
      <c r="K3206" s="57" t="s">
        <v>334</v>
      </c>
      <c r="L3206" s="60" t="s">
        <v>4674</v>
      </c>
      <c r="M3206" s="57" t="s">
        <v>336</v>
      </c>
      <c r="N3206" s="57" t="s">
        <v>381</v>
      </c>
      <c r="O3206" s="57" t="s">
        <v>729</v>
      </c>
      <c r="P3206" s="57" t="s">
        <v>4675</v>
      </c>
      <c r="Q3206" s="57" t="s">
        <v>698</v>
      </c>
    </row>
    <row r="3207" s="50" customFormat="true" ht="14.25" hidden="false" customHeight="true" outlineLevel="0" collapsed="false">
      <c r="A3207" s="50" t="s">
        <v>727</v>
      </c>
      <c r="B3207" s="57" t="s">
        <v>727</v>
      </c>
      <c r="C3207" s="57" t="s">
        <v>415</v>
      </c>
      <c r="D3207" s="58" t="n">
        <v>46055.6981597222</v>
      </c>
      <c r="E3207" s="58" t="n">
        <v>46055.6981597222</v>
      </c>
      <c r="F3207" s="58" t="n">
        <v>46055.6987037037</v>
      </c>
      <c r="G3207" s="59" t="n">
        <f aca="false">F3207-E3207</f>
        <v>0.00054398150462963</v>
      </c>
      <c r="H3207" s="57" t="s">
        <v>252</v>
      </c>
      <c r="I3207" s="57"/>
      <c r="J3207" s="57" t="s">
        <v>333</v>
      </c>
      <c r="K3207" s="57" t="s">
        <v>334</v>
      </c>
      <c r="L3207" s="60" t="s">
        <v>4676</v>
      </c>
      <c r="M3207" s="57" t="s">
        <v>336</v>
      </c>
      <c r="N3207" s="57" t="s">
        <v>381</v>
      </c>
      <c r="O3207" s="57" t="s">
        <v>729</v>
      </c>
      <c r="P3207" s="57" t="s">
        <v>4677</v>
      </c>
      <c r="Q3207" s="57" t="s">
        <v>698</v>
      </c>
    </row>
    <row r="3208" s="50" customFormat="true" ht="14.25" hidden="false" customHeight="true" outlineLevel="0" collapsed="false">
      <c r="A3208" s="50" t="s">
        <v>727</v>
      </c>
      <c r="B3208" s="57" t="s">
        <v>727</v>
      </c>
      <c r="C3208" s="57" t="s">
        <v>415</v>
      </c>
      <c r="D3208" s="58" t="n">
        <v>46055.6804513889</v>
      </c>
      <c r="E3208" s="58" t="n">
        <v>46055.6804513889</v>
      </c>
      <c r="F3208" s="58" t="n">
        <v>46055.6815625</v>
      </c>
      <c r="G3208" s="59" t="n">
        <f aca="false">F3208-E3208</f>
        <v>0.00111111111111111</v>
      </c>
      <c r="H3208" s="57" t="s">
        <v>252</v>
      </c>
      <c r="I3208" s="57"/>
      <c r="J3208" s="57" t="s">
        <v>333</v>
      </c>
      <c r="K3208" s="57" t="s">
        <v>334</v>
      </c>
      <c r="L3208" s="60" t="s">
        <v>4678</v>
      </c>
      <c r="M3208" s="57" t="s">
        <v>336</v>
      </c>
      <c r="N3208" s="57" t="s">
        <v>381</v>
      </c>
      <c r="O3208" s="57" t="s">
        <v>729</v>
      </c>
      <c r="P3208" s="57" t="s">
        <v>4679</v>
      </c>
      <c r="Q3208" s="57" t="s">
        <v>698</v>
      </c>
    </row>
    <row r="3209" s="50" customFormat="true" ht="14.25" hidden="false" customHeight="true" outlineLevel="0" collapsed="false">
      <c r="A3209" s="50" t="s">
        <v>727</v>
      </c>
      <c r="B3209" s="57" t="s">
        <v>727</v>
      </c>
      <c r="C3209" s="57" t="s">
        <v>415</v>
      </c>
      <c r="D3209" s="58" t="n">
        <v>46055.6643171296</v>
      </c>
      <c r="E3209" s="58" t="n">
        <v>46055.6643171296</v>
      </c>
      <c r="F3209" s="58" t="n">
        <v>46055.664837963</v>
      </c>
      <c r="G3209" s="59" t="n">
        <f aca="false">F3209-E3209</f>
        <v>0.000520833391203704</v>
      </c>
      <c r="H3209" s="57" t="s">
        <v>252</v>
      </c>
      <c r="I3209" s="57"/>
      <c r="J3209" s="57" t="s">
        <v>333</v>
      </c>
      <c r="K3209" s="57" t="s">
        <v>334</v>
      </c>
      <c r="L3209" s="60" t="s">
        <v>4680</v>
      </c>
      <c r="M3209" s="57" t="s">
        <v>336</v>
      </c>
      <c r="N3209" s="57" t="s">
        <v>381</v>
      </c>
      <c r="O3209" s="57" t="s">
        <v>729</v>
      </c>
      <c r="P3209" s="57" t="s">
        <v>4681</v>
      </c>
      <c r="Q3209" s="57" t="s">
        <v>698</v>
      </c>
    </row>
    <row r="3210" s="50" customFormat="true" ht="14.25" hidden="false" customHeight="true" outlineLevel="0" collapsed="false">
      <c r="A3210" s="50" t="s">
        <v>727</v>
      </c>
      <c r="B3210" s="57" t="s">
        <v>727</v>
      </c>
      <c r="C3210" s="57" t="s">
        <v>415</v>
      </c>
      <c r="D3210" s="58" t="n">
        <v>46055.6566898148</v>
      </c>
      <c r="E3210" s="58" t="n">
        <v>46055.6566898148</v>
      </c>
      <c r="F3210" s="58" t="n">
        <v>46055.6571990741</v>
      </c>
      <c r="G3210" s="59" t="n">
        <f aca="false">F3210-E3210</f>
        <v>0.000509259293981482</v>
      </c>
      <c r="H3210" s="57" t="s">
        <v>252</v>
      </c>
      <c r="I3210" s="57"/>
      <c r="J3210" s="57" t="s">
        <v>333</v>
      </c>
      <c r="K3210" s="57" t="s">
        <v>334</v>
      </c>
      <c r="L3210" s="60" t="s">
        <v>4682</v>
      </c>
      <c r="M3210" s="57" t="s">
        <v>336</v>
      </c>
      <c r="N3210" s="57" t="s">
        <v>381</v>
      </c>
      <c r="O3210" s="57" t="s">
        <v>729</v>
      </c>
      <c r="P3210" s="57" t="s">
        <v>4683</v>
      </c>
      <c r="Q3210" s="57" t="s">
        <v>698</v>
      </c>
    </row>
    <row r="3211" s="50" customFormat="true" ht="14.25" hidden="false" customHeight="true" outlineLevel="0" collapsed="false">
      <c r="A3211" s="50" t="s">
        <v>727</v>
      </c>
      <c r="B3211" s="57" t="s">
        <v>727</v>
      </c>
      <c r="C3211" s="57" t="s">
        <v>415</v>
      </c>
      <c r="D3211" s="58" t="n">
        <v>46055.6396412037</v>
      </c>
      <c r="E3211" s="58" t="n">
        <v>46055.6396412037</v>
      </c>
      <c r="F3211" s="58" t="n">
        <v>46055.640162037</v>
      </c>
      <c r="G3211" s="59" t="n">
        <f aca="false">F3211-E3211</f>
        <v>0.000520833298611111</v>
      </c>
      <c r="H3211" s="57" t="s">
        <v>252</v>
      </c>
      <c r="I3211" s="57"/>
      <c r="J3211" s="57" t="s">
        <v>333</v>
      </c>
      <c r="K3211" s="57" t="s">
        <v>334</v>
      </c>
      <c r="L3211" s="60" t="s">
        <v>4684</v>
      </c>
      <c r="M3211" s="57" t="s">
        <v>336</v>
      </c>
      <c r="N3211" s="57" t="s">
        <v>381</v>
      </c>
      <c r="O3211" s="57" t="s">
        <v>729</v>
      </c>
      <c r="P3211" s="57" t="s">
        <v>4685</v>
      </c>
      <c r="Q3211" s="57" t="s">
        <v>698</v>
      </c>
    </row>
    <row r="3212" s="50" customFormat="true" ht="14.25" hidden="false" customHeight="true" outlineLevel="0" collapsed="false">
      <c r="A3212" s="50" t="s">
        <v>727</v>
      </c>
      <c r="B3212" s="57" t="s">
        <v>727</v>
      </c>
      <c r="C3212" s="57" t="s">
        <v>415</v>
      </c>
      <c r="D3212" s="58" t="n">
        <v>46055.6259027778</v>
      </c>
      <c r="E3212" s="58" t="n">
        <v>46055.6259027778</v>
      </c>
      <c r="F3212" s="58" t="n">
        <v>46055.6264236111</v>
      </c>
      <c r="G3212" s="59" t="n">
        <f aca="false">F3212-E3212</f>
        <v>0.000520833298611111</v>
      </c>
      <c r="H3212" s="57" t="s">
        <v>252</v>
      </c>
      <c r="I3212" s="57"/>
      <c r="J3212" s="57" t="s">
        <v>333</v>
      </c>
      <c r="K3212" s="57" t="s">
        <v>334</v>
      </c>
      <c r="L3212" s="60" t="s">
        <v>4686</v>
      </c>
      <c r="M3212" s="57" t="s">
        <v>336</v>
      </c>
      <c r="N3212" s="57" t="s">
        <v>381</v>
      </c>
      <c r="O3212" s="57" t="s">
        <v>729</v>
      </c>
      <c r="P3212" s="57" t="s">
        <v>4687</v>
      </c>
      <c r="Q3212" s="57" t="s">
        <v>698</v>
      </c>
    </row>
    <row r="3213" s="50" customFormat="true" ht="14.25" hidden="false" customHeight="true" outlineLevel="0" collapsed="false">
      <c r="A3213" s="50" t="s">
        <v>727</v>
      </c>
      <c r="B3213" s="57" t="s">
        <v>727</v>
      </c>
      <c r="C3213" s="57" t="s">
        <v>415</v>
      </c>
      <c r="D3213" s="58" t="n">
        <v>46055.5961689815</v>
      </c>
      <c r="E3213" s="58" t="n">
        <v>46055.5961689815</v>
      </c>
      <c r="F3213" s="58" t="n">
        <v>46055.596712963</v>
      </c>
      <c r="G3213" s="59" t="n">
        <f aca="false">F3213-E3213</f>
        <v>0.00054398150462963</v>
      </c>
      <c r="H3213" s="57" t="s">
        <v>252</v>
      </c>
      <c r="I3213" s="57"/>
      <c r="J3213" s="57" t="s">
        <v>333</v>
      </c>
      <c r="K3213" s="57" t="s">
        <v>334</v>
      </c>
      <c r="L3213" s="60" t="s">
        <v>4688</v>
      </c>
      <c r="M3213" s="57" t="s">
        <v>336</v>
      </c>
      <c r="N3213" s="57" t="s">
        <v>381</v>
      </c>
      <c r="O3213" s="57" t="s">
        <v>729</v>
      </c>
      <c r="P3213" s="57" t="s">
        <v>4689</v>
      </c>
      <c r="Q3213" s="57" t="s">
        <v>698</v>
      </c>
    </row>
    <row r="3214" s="50" customFormat="true" ht="14.25" hidden="false" customHeight="true" outlineLevel="0" collapsed="false">
      <c r="A3214" s="50" t="s">
        <v>727</v>
      </c>
      <c r="B3214" s="57" t="s">
        <v>727</v>
      </c>
      <c r="C3214" s="57" t="s">
        <v>415</v>
      </c>
      <c r="D3214" s="58" t="n">
        <v>46055.5764699074</v>
      </c>
      <c r="E3214" s="58" t="n">
        <v>46055.5764699074</v>
      </c>
      <c r="F3214" s="58" t="n">
        <v>46055.5770138889</v>
      </c>
      <c r="G3214" s="59" t="n">
        <f aca="false">F3214-E3214</f>
        <v>0.00054398150462963</v>
      </c>
      <c r="H3214" s="57" t="s">
        <v>252</v>
      </c>
      <c r="I3214" s="57"/>
      <c r="J3214" s="57" t="s">
        <v>333</v>
      </c>
      <c r="K3214" s="57" t="s">
        <v>334</v>
      </c>
      <c r="L3214" s="60" t="s">
        <v>4690</v>
      </c>
      <c r="M3214" s="57" t="s">
        <v>336</v>
      </c>
      <c r="N3214" s="57" t="s">
        <v>381</v>
      </c>
      <c r="O3214" s="57" t="s">
        <v>729</v>
      </c>
      <c r="P3214" s="57" t="s">
        <v>4691</v>
      </c>
      <c r="Q3214" s="57" t="s">
        <v>698</v>
      </c>
    </row>
    <row r="3215" s="50" customFormat="true" ht="14.25" hidden="false" customHeight="true" outlineLevel="0" collapsed="false">
      <c r="A3215" s="50" t="s">
        <v>727</v>
      </c>
      <c r="B3215" s="57" t="s">
        <v>727</v>
      </c>
      <c r="C3215" s="57" t="s">
        <v>415</v>
      </c>
      <c r="D3215" s="58" t="n">
        <v>46055.5658333333</v>
      </c>
      <c r="E3215" s="58" t="n">
        <v>46055.5658333333</v>
      </c>
      <c r="F3215" s="58" t="n">
        <v>46055.5663541667</v>
      </c>
      <c r="G3215" s="59" t="n">
        <f aca="false">F3215-E3215</f>
        <v>0.000520833402777778</v>
      </c>
      <c r="H3215" s="57" t="s">
        <v>252</v>
      </c>
      <c r="I3215" s="57"/>
      <c r="J3215" s="57" t="s">
        <v>333</v>
      </c>
      <c r="K3215" s="57" t="s">
        <v>334</v>
      </c>
      <c r="L3215" s="60" t="s">
        <v>4692</v>
      </c>
      <c r="M3215" s="57" t="s">
        <v>336</v>
      </c>
      <c r="N3215" s="57" t="s">
        <v>381</v>
      </c>
      <c r="O3215" s="57" t="s">
        <v>729</v>
      </c>
      <c r="P3215" s="57" t="s">
        <v>4693</v>
      </c>
      <c r="Q3215" s="57" t="s">
        <v>698</v>
      </c>
    </row>
    <row r="3216" s="50" customFormat="true" ht="14.25" hidden="false" customHeight="true" outlineLevel="0" collapsed="false">
      <c r="A3216" s="50" t="s">
        <v>727</v>
      </c>
      <c r="B3216" s="57" t="s">
        <v>727</v>
      </c>
      <c r="C3216" s="57" t="s">
        <v>415</v>
      </c>
      <c r="D3216" s="58" t="n">
        <v>46055.5589583333</v>
      </c>
      <c r="E3216" s="58" t="n">
        <v>46055.5589583333</v>
      </c>
      <c r="F3216" s="58" t="n">
        <v>46055.5595717593</v>
      </c>
      <c r="G3216" s="59" t="n">
        <f aca="false">F3216-E3216</f>
        <v>0.000613426006944444</v>
      </c>
      <c r="H3216" s="57" t="s">
        <v>252</v>
      </c>
      <c r="I3216" s="57"/>
      <c r="J3216" s="57" t="s">
        <v>333</v>
      </c>
      <c r="K3216" s="57" t="s">
        <v>334</v>
      </c>
      <c r="L3216" s="60" t="s">
        <v>4694</v>
      </c>
      <c r="M3216" s="57" t="s">
        <v>336</v>
      </c>
      <c r="N3216" s="57" t="s">
        <v>381</v>
      </c>
      <c r="O3216" s="57" t="s">
        <v>729</v>
      </c>
      <c r="P3216" s="57" t="s">
        <v>4695</v>
      </c>
      <c r="Q3216" s="57" t="s">
        <v>698</v>
      </c>
    </row>
    <row r="3217" s="50" customFormat="true" ht="14.25" hidden="false" customHeight="true" outlineLevel="0" collapsed="false">
      <c r="A3217" s="50" t="s">
        <v>727</v>
      </c>
      <c r="B3217" s="57" t="s">
        <v>727</v>
      </c>
      <c r="C3217" s="57" t="s">
        <v>415</v>
      </c>
      <c r="D3217" s="58" t="n">
        <v>46055.5523958333</v>
      </c>
      <c r="E3217" s="58" t="n">
        <v>46055.5523958333</v>
      </c>
      <c r="F3217" s="58" t="n">
        <v>46055.5529166667</v>
      </c>
      <c r="G3217" s="59" t="n">
        <f aca="false">F3217-E3217</f>
        <v>0.000520833391203704</v>
      </c>
      <c r="H3217" s="57" t="s">
        <v>252</v>
      </c>
      <c r="I3217" s="57"/>
      <c r="J3217" s="57" t="s">
        <v>333</v>
      </c>
      <c r="K3217" s="57" t="s">
        <v>334</v>
      </c>
      <c r="L3217" s="60" t="s">
        <v>4696</v>
      </c>
      <c r="M3217" s="57" t="s">
        <v>336</v>
      </c>
      <c r="N3217" s="57" t="s">
        <v>381</v>
      </c>
      <c r="O3217" s="57" t="s">
        <v>729</v>
      </c>
      <c r="P3217" s="57" t="s">
        <v>4697</v>
      </c>
      <c r="Q3217" s="57" t="s">
        <v>698</v>
      </c>
    </row>
    <row r="3218" s="50" customFormat="true" ht="14.25" hidden="false" customHeight="true" outlineLevel="0" collapsed="false">
      <c r="A3218" s="50" t="s">
        <v>727</v>
      </c>
      <c r="B3218" s="57" t="s">
        <v>727</v>
      </c>
      <c r="C3218" s="57" t="s">
        <v>415</v>
      </c>
      <c r="D3218" s="58" t="n">
        <v>46055.5361458333</v>
      </c>
      <c r="E3218" s="58" t="n">
        <v>46055.5361458333</v>
      </c>
      <c r="F3218" s="58" t="n">
        <v>46055.5368055556</v>
      </c>
      <c r="G3218" s="59" t="n">
        <f aca="false">F3218-E3218</f>
        <v>0.000659722303240741</v>
      </c>
      <c r="H3218" s="57" t="s">
        <v>252</v>
      </c>
      <c r="I3218" s="57"/>
      <c r="J3218" s="57" t="s">
        <v>333</v>
      </c>
      <c r="K3218" s="57" t="s">
        <v>334</v>
      </c>
      <c r="L3218" s="60" t="s">
        <v>4698</v>
      </c>
      <c r="M3218" s="57" t="s">
        <v>336</v>
      </c>
      <c r="N3218" s="57" t="s">
        <v>381</v>
      </c>
      <c r="O3218" s="57" t="s">
        <v>729</v>
      </c>
      <c r="P3218" s="57" t="s">
        <v>4699</v>
      </c>
      <c r="Q3218" s="57" t="s">
        <v>698</v>
      </c>
    </row>
    <row r="3219" s="50" customFormat="true" ht="14.25" hidden="false" customHeight="true" outlineLevel="0" collapsed="false">
      <c r="A3219" s="50" t="s">
        <v>727</v>
      </c>
      <c r="B3219" s="57" t="s">
        <v>727</v>
      </c>
      <c r="C3219" s="57" t="s">
        <v>415</v>
      </c>
      <c r="D3219" s="58" t="n">
        <v>46055.5286921296</v>
      </c>
      <c r="E3219" s="58" t="n">
        <v>46055.5286921296</v>
      </c>
      <c r="F3219" s="58" t="n">
        <v>46055.5293865741</v>
      </c>
      <c r="G3219" s="59" t="n">
        <f aca="false">F3219-E3219</f>
        <v>0.000694444502314815</v>
      </c>
      <c r="H3219" s="57" t="s">
        <v>252</v>
      </c>
      <c r="I3219" s="57"/>
      <c r="J3219" s="57" t="s">
        <v>333</v>
      </c>
      <c r="K3219" s="57" t="s">
        <v>334</v>
      </c>
      <c r="L3219" s="60" t="s">
        <v>4700</v>
      </c>
      <c r="M3219" s="57" t="s">
        <v>336</v>
      </c>
      <c r="N3219" s="57" t="s">
        <v>381</v>
      </c>
      <c r="O3219" s="57" t="s">
        <v>729</v>
      </c>
      <c r="P3219" s="57" t="s">
        <v>4701</v>
      </c>
      <c r="Q3219" s="57" t="s">
        <v>698</v>
      </c>
    </row>
    <row r="3220" s="50" customFormat="true" ht="14.25" hidden="false" customHeight="true" outlineLevel="0" collapsed="false">
      <c r="A3220" s="50" t="s">
        <v>727</v>
      </c>
      <c r="B3220" s="57" t="s">
        <v>727</v>
      </c>
      <c r="C3220" s="57" t="s">
        <v>415</v>
      </c>
      <c r="D3220" s="58" t="n">
        <v>46055.514525463</v>
      </c>
      <c r="E3220" s="58" t="n">
        <v>46055.514525463</v>
      </c>
      <c r="F3220" s="58" t="n">
        <v>46055.5150694444</v>
      </c>
      <c r="G3220" s="59" t="n">
        <f aca="false">F3220-E3220</f>
        <v>0.000543981400462963</v>
      </c>
      <c r="H3220" s="57" t="s">
        <v>252</v>
      </c>
      <c r="I3220" s="57"/>
      <c r="J3220" s="57" t="s">
        <v>333</v>
      </c>
      <c r="K3220" s="57" t="s">
        <v>334</v>
      </c>
      <c r="L3220" s="60" t="s">
        <v>4702</v>
      </c>
      <c r="M3220" s="57" t="s">
        <v>336</v>
      </c>
      <c r="N3220" s="57" t="s">
        <v>381</v>
      </c>
      <c r="O3220" s="57" t="s">
        <v>729</v>
      </c>
      <c r="P3220" s="57" t="s">
        <v>4703</v>
      </c>
      <c r="Q3220" s="57" t="s">
        <v>698</v>
      </c>
    </row>
    <row r="3221" s="50" customFormat="true" ht="14.25" hidden="false" customHeight="true" outlineLevel="0" collapsed="false">
      <c r="A3221" s="50" t="s">
        <v>727</v>
      </c>
      <c r="B3221" s="57" t="s">
        <v>727</v>
      </c>
      <c r="C3221" s="57" t="s">
        <v>415</v>
      </c>
      <c r="D3221" s="58" t="n">
        <v>46055.5144675926</v>
      </c>
      <c r="E3221" s="58" t="n">
        <v>46055.5144675926</v>
      </c>
      <c r="F3221" s="58" t="n">
        <v>46055.514525463</v>
      </c>
      <c r="G3221" s="59" t="n">
        <f aca="false">F3221-E3221</f>
        <v>5.78703935185185E-005</v>
      </c>
      <c r="H3221" s="57" t="s">
        <v>252</v>
      </c>
      <c r="I3221" s="57"/>
      <c r="J3221" s="57" t="s">
        <v>333</v>
      </c>
      <c r="K3221" s="57" t="s">
        <v>334</v>
      </c>
      <c r="L3221" s="60" t="s">
        <v>4704</v>
      </c>
      <c r="M3221" s="57" t="s">
        <v>336</v>
      </c>
      <c r="N3221" s="57" t="s">
        <v>381</v>
      </c>
      <c r="O3221" s="57" t="s">
        <v>729</v>
      </c>
      <c r="P3221" s="57" t="s">
        <v>4705</v>
      </c>
      <c r="Q3221" s="57" t="s">
        <v>698</v>
      </c>
    </row>
    <row r="3222" s="50" customFormat="true" ht="14.25" hidden="false" customHeight="true" outlineLevel="0" collapsed="false">
      <c r="A3222" s="50" t="s">
        <v>727</v>
      </c>
      <c r="B3222" s="57" t="s">
        <v>727</v>
      </c>
      <c r="C3222" s="57" t="s">
        <v>415</v>
      </c>
      <c r="D3222" s="58" t="n">
        <v>46055.5035300926</v>
      </c>
      <c r="E3222" s="58" t="n">
        <v>46055.5035300926</v>
      </c>
      <c r="F3222" s="58" t="n">
        <v>46055.5040509259</v>
      </c>
      <c r="G3222" s="59" t="n">
        <f aca="false">F3222-E3222</f>
        <v>0.000520833298611111</v>
      </c>
      <c r="H3222" s="57" t="s">
        <v>252</v>
      </c>
      <c r="I3222" s="57"/>
      <c r="J3222" s="57" t="s">
        <v>333</v>
      </c>
      <c r="K3222" s="57" t="s">
        <v>334</v>
      </c>
      <c r="L3222" s="60" t="s">
        <v>4706</v>
      </c>
      <c r="M3222" s="57" t="s">
        <v>336</v>
      </c>
      <c r="N3222" s="57" t="s">
        <v>381</v>
      </c>
      <c r="O3222" s="57" t="s">
        <v>729</v>
      </c>
      <c r="P3222" s="57" t="s">
        <v>4707</v>
      </c>
      <c r="Q3222" s="57" t="s">
        <v>698</v>
      </c>
    </row>
    <row r="3223" s="50" customFormat="true" ht="14.25" hidden="false" customHeight="true" outlineLevel="0" collapsed="false">
      <c r="A3223" s="50" t="s">
        <v>727</v>
      </c>
      <c r="B3223" s="57" t="s">
        <v>727</v>
      </c>
      <c r="C3223" s="57" t="s">
        <v>415</v>
      </c>
      <c r="D3223" s="58" t="n">
        <v>46055.4896064815</v>
      </c>
      <c r="E3223" s="58" t="n">
        <v>46055.4896064815</v>
      </c>
      <c r="F3223" s="58" t="n">
        <v>46055.490162037</v>
      </c>
      <c r="G3223" s="59" t="n">
        <f aca="false">F3223-E3223</f>
        <v>0.000555555509259259</v>
      </c>
      <c r="H3223" s="57" t="s">
        <v>252</v>
      </c>
      <c r="I3223" s="57"/>
      <c r="J3223" s="57" t="s">
        <v>333</v>
      </c>
      <c r="K3223" s="57" t="s">
        <v>334</v>
      </c>
      <c r="L3223" s="60" t="s">
        <v>4708</v>
      </c>
      <c r="M3223" s="57" t="s">
        <v>336</v>
      </c>
      <c r="N3223" s="57" t="s">
        <v>381</v>
      </c>
      <c r="O3223" s="57" t="s">
        <v>729</v>
      </c>
      <c r="P3223" s="57" t="s">
        <v>4709</v>
      </c>
      <c r="Q3223" s="57" t="s">
        <v>698</v>
      </c>
    </row>
    <row r="3224" s="50" customFormat="true" ht="14.25" hidden="false" customHeight="true" outlineLevel="0" collapsed="false">
      <c r="A3224" s="50" t="s">
        <v>727</v>
      </c>
      <c r="B3224" s="57" t="s">
        <v>727</v>
      </c>
      <c r="C3224" s="57" t="s">
        <v>415</v>
      </c>
      <c r="D3224" s="58" t="n">
        <v>46055.4731018519</v>
      </c>
      <c r="E3224" s="58" t="n">
        <v>46055.4731018519</v>
      </c>
      <c r="F3224" s="58" t="n">
        <v>46055.4736226852</v>
      </c>
      <c r="G3224" s="59" t="n">
        <f aca="false">F3224-E3224</f>
        <v>0.000520833298611111</v>
      </c>
      <c r="H3224" s="57" t="s">
        <v>252</v>
      </c>
      <c r="I3224" s="57"/>
      <c r="J3224" s="57" t="s">
        <v>333</v>
      </c>
      <c r="K3224" s="57" t="s">
        <v>334</v>
      </c>
      <c r="L3224" s="60" t="s">
        <v>4710</v>
      </c>
      <c r="M3224" s="57" t="s">
        <v>336</v>
      </c>
      <c r="N3224" s="57" t="s">
        <v>381</v>
      </c>
      <c r="O3224" s="57" t="s">
        <v>729</v>
      </c>
      <c r="P3224" s="57" t="s">
        <v>4711</v>
      </c>
      <c r="Q3224" s="57" t="s">
        <v>698</v>
      </c>
    </row>
    <row r="3225" s="50" customFormat="true" ht="14.25" hidden="false" customHeight="true" outlineLevel="0" collapsed="false">
      <c r="A3225" s="50" t="s">
        <v>727</v>
      </c>
      <c r="B3225" s="57" t="s">
        <v>727</v>
      </c>
      <c r="C3225" s="57" t="s">
        <v>415</v>
      </c>
      <c r="D3225" s="58" t="n">
        <v>46055.466724537</v>
      </c>
      <c r="E3225" s="58" t="n">
        <v>46055.466724537</v>
      </c>
      <c r="F3225" s="58" t="n">
        <v>46055.4672685185</v>
      </c>
      <c r="G3225" s="59" t="n">
        <f aca="false">F3225-E3225</f>
        <v>0.00054398150462963</v>
      </c>
      <c r="H3225" s="57" t="s">
        <v>252</v>
      </c>
      <c r="I3225" s="57"/>
      <c r="J3225" s="57" t="s">
        <v>333</v>
      </c>
      <c r="K3225" s="57" t="s">
        <v>334</v>
      </c>
      <c r="L3225" s="60" t="s">
        <v>4712</v>
      </c>
      <c r="M3225" s="57" t="s">
        <v>336</v>
      </c>
      <c r="N3225" s="57" t="s">
        <v>381</v>
      </c>
      <c r="O3225" s="57" t="s">
        <v>729</v>
      </c>
      <c r="P3225" s="57" t="s">
        <v>4713</v>
      </c>
      <c r="Q3225" s="57" t="s">
        <v>698</v>
      </c>
    </row>
    <row r="3226" s="50" customFormat="true" ht="14.25" hidden="false" customHeight="true" outlineLevel="0" collapsed="false">
      <c r="A3226" s="50" t="s">
        <v>727</v>
      </c>
      <c r="B3226" s="57" t="s">
        <v>727</v>
      </c>
      <c r="C3226" s="57" t="s">
        <v>415</v>
      </c>
      <c r="D3226" s="58" t="n">
        <v>46055.4424305556</v>
      </c>
      <c r="E3226" s="58" t="n">
        <v>46055.4424305556</v>
      </c>
      <c r="F3226" s="58" t="n">
        <v>46055.4429861111</v>
      </c>
      <c r="G3226" s="59" t="n">
        <f aca="false">F3226-E3226</f>
        <v>0.000555555497685185</v>
      </c>
      <c r="H3226" s="57" t="s">
        <v>252</v>
      </c>
      <c r="I3226" s="57"/>
      <c r="J3226" s="57" t="s">
        <v>333</v>
      </c>
      <c r="K3226" s="57" t="s">
        <v>334</v>
      </c>
      <c r="L3226" s="60" t="s">
        <v>4714</v>
      </c>
      <c r="M3226" s="57" t="s">
        <v>336</v>
      </c>
      <c r="N3226" s="57" t="s">
        <v>381</v>
      </c>
      <c r="O3226" s="57" t="s">
        <v>729</v>
      </c>
      <c r="P3226" s="57" t="s">
        <v>4715</v>
      </c>
      <c r="Q3226" s="57" t="s">
        <v>698</v>
      </c>
    </row>
    <row r="3227" s="50" customFormat="true" ht="14.25" hidden="false" customHeight="true" outlineLevel="0" collapsed="false">
      <c r="A3227" s="50" t="s">
        <v>727</v>
      </c>
      <c r="B3227" s="57" t="s">
        <v>727</v>
      </c>
      <c r="C3227" s="57" t="s">
        <v>415</v>
      </c>
      <c r="D3227" s="58" t="n">
        <v>46055.4374768519</v>
      </c>
      <c r="E3227" s="58" t="n">
        <v>46055.4374768519</v>
      </c>
      <c r="F3227" s="58" t="n">
        <v>46055.4380439815</v>
      </c>
      <c r="G3227" s="59" t="n">
        <f aca="false">F3227-E3227</f>
        <v>0.000567129606481481</v>
      </c>
      <c r="H3227" s="57" t="s">
        <v>252</v>
      </c>
      <c r="I3227" s="57"/>
      <c r="J3227" s="57" t="s">
        <v>333</v>
      </c>
      <c r="K3227" s="57" t="s">
        <v>334</v>
      </c>
      <c r="L3227" s="60" t="s">
        <v>4716</v>
      </c>
      <c r="M3227" s="57" t="s">
        <v>336</v>
      </c>
      <c r="N3227" s="57" t="s">
        <v>381</v>
      </c>
      <c r="O3227" s="57" t="s">
        <v>729</v>
      </c>
      <c r="P3227" s="57" t="s">
        <v>4717</v>
      </c>
      <c r="Q3227" s="57" t="s">
        <v>698</v>
      </c>
    </row>
    <row r="3228" s="50" customFormat="true" ht="14.25" hidden="false" customHeight="true" outlineLevel="0" collapsed="false">
      <c r="A3228" s="50" t="s">
        <v>727</v>
      </c>
      <c r="B3228" s="57" t="s">
        <v>727</v>
      </c>
      <c r="C3228" s="57" t="s">
        <v>415</v>
      </c>
      <c r="D3228" s="58" t="n">
        <v>46055.4011689815</v>
      </c>
      <c r="E3228" s="58" t="n">
        <v>46055.4011689815</v>
      </c>
      <c r="F3228" s="58" t="n">
        <v>46055.401712963</v>
      </c>
      <c r="G3228" s="59" t="n">
        <f aca="false">F3228-E3228</f>
        <v>0.00054398150462963</v>
      </c>
      <c r="H3228" s="57" t="s">
        <v>252</v>
      </c>
      <c r="I3228" s="57"/>
      <c r="J3228" s="57" t="s">
        <v>333</v>
      </c>
      <c r="K3228" s="57" t="s">
        <v>334</v>
      </c>
      <c r="L3228" s="60" t="s">
        <v>4718</v>
      </c>
      <c r="M3228" s="57" t="s">
        <v>336</v>
      </c>
      <c r="N3228" s="57" t="s">
        <v>381</v>
      </c>
      <c r="O3228" s="57" t="s">
        <v>729</v>
      </c>
      <c r="P3228" s="57" t="s">
        <v>4719</v>
      </c>
      <c r="Q3228" s="57" t="s">
        <v>698</v>
      </c>
    </row>
    <row r="3229" s="50" customFormat="true" ht="14.25" hidden="false" customHeight="true" outlineLevel="0" collapsed="false">
      <c r="A3229" s="50" t="s">
        <v>727</v>
      </c>
      <c r="B3229" s="57" t="s">
        <v>727</v>
      </c>
      <c r="C3229" s="57" t="s">
        <v>415</v>
      </c>
      <c r="D3229" s="58" t="n">
        <v>46055.3944675926</v>
      </c>
      <c r="E3229" s="58" t="n">
        <v>46055.3944675926</v>
      </c>
      <c r="F3229" s="58" t="n">
        <v>46055.3950810185</v>
      </c>
      <c r="G3229" s="59" t="n">
        <f aca="false">F3229-E3229</f>
        <v>0.000613425891203704</v>
      </c>
      <c r="H3229" s="57" t="s">
        <v>252</v>
      </c>
      <c r="I3229" s="57"/>
      <c r="J3229" s="57" t="s">
        <v>333</v>
      </c>
      <c r="K3229" s="57" t="s">
        <v>334</v>
      </c>
      <c r="L3229" s="60" t="s">
        <v>4720</v>
      </c>
      <c r="M3229" s="57" t="s">
        <v>336</v>
      </c>
      <c r="N3229" s="57" t="s">
        <v>381</v>
      </c>
      <c r="O3229" s="57" t="s">
        <v>729</v>
      </c>
      <c r="P3229" s="57" t="s">
        <v>4721</v>
      </c>
      <c r="Q3229" s="57" t="s">
        <v>698</v>
      </c>
    </row>
    <row r="3230" s="50" customFormat="true" ht="14.25" hidden="false" customHeight="true" outlineLevel="0" collapsed="false">
      <c r="A3230" s="50" t="s">
        <v>727</v>
      </c>
      <c r="B3230" s="57" t="s">
        <v>727</v>
      </c>
      <c r="C3230" s="57" t="s">
        <v>415</v>
      </c>
      <c r="D3230" s="58" t="n">
        <v>46055.3520486111</v>
      </c>
      <c r="E3230" s="58" t="n">
        <v>46055.3520486111</v>
      </c>
      <c r="F3230" s="58" t="n">
        <v>46055.3525347222</v>
      </c>
      <c r="G3230" s="59" t="n">
        <f aca="false">F3230-E3230</f>
        <v>0.000486111111111111</v>
      </c>
      <c r="H3230" s="57" t="s">
        <v>252</v>
      </c>
      <c r="I3230" s="57"/>
      <c r="J3230" s="57" t="s">
        <v>333</v>
      </c>
      <c r="K3230" s="57" t="s">
        <v>334</v>
      </c>
      <c r="L3230" s="60" t="s">
        <v>4722</v>
      </c>
      <c r="M3230" s="57" t="s">
        <v>336</v>
      </c>
      <c r="N3230" s="57" t="s">
        <v>381</v>
      </c>
      <c r="O3230" s="57" t="s">
        <v>729</v>
      </c>
      <c r="P3230" s="57" t="s">
        <v>4723</v>
      </c>
      <c r="Q3230" s="57" t="s">
        <v>698</v>
      </c>
    </row>
    <row r="3231" s="50" customFormat="true" ht="14.25" hidden="false" customHeight="true" outlineLevel="0" collapsed="false">
      <c r="A3231" s="50" t="s">
        <v>727</v>
      </c>
      <c r="B3231" s="57" t="s">
        <v>727</v>
      </c>
      <c r="C3231" s="57" t="s">
        <v>415</v>
      </c>
      <c r="D3231" s="58" t="n">
        <v>46055.3513773148</v>
      </c>
      <c r="E3231" s="58" t="n">
        <v>46055.3513773148</v>
      </c>
      <c r="F3231" s="58" t="n">
        <v>46055.3518634259</v>
      </c>
      <c r="G3231" s="59" t="n">
        <f aca="false">F3231-E3231</f>
        <v>0.000486111111111111</v>
      </c>
      <c r="H3231" s="57" t="s">
        <v>252</v>
      </c>
      <c r="I3231" s="57"/>
      <c r="J3231" s="57" t="s">
        <v>333</v>
      </c>
      <c r="K3231" s="57" t="s">
        <v>334</v>
      </c>
      <c r="L3231" s="60" t="s">
        <v>4724</v>
      </c>
      <c r="M3231" s="57" t="s">
        <v>336</v>
      </c>
      <c r="N3231" s="57" t="s">
        <v>381</v>
      </c>
      <c r="O3231" s="57" t="s">
        <v>729</v>
      </c>
      <c r="P3231" s="57" t="s">
        <v>4725</v>
      </c>
      <c r="Q3231" s="57" t="s">
        <v>698</v>
      </c>
    </row>
    <row r="3232" s="50" customFormat="true" ht="14.25" hidden="false" customHeight="true" outlineLevel="0" collapsed="false">
      <c r="A3232" s="50" t="s">
        <v>727</v>
      </c>
      <c r="B3232" s="57" t="s">
        <v>727</v>
      </c>
      <c r="C3232" s="57" t="s">
        <v>415</v>
      </c>
      <c r="D3232" s="58" t="n">
        <v>46055.3506712963</v>
      </c>
      <c r="E3232" s="58" t="n">
        <v>46055.3506712963</v>
      </c>
      <c r="F3232" s="58" t="n">
        <v>46055.3511805556</v>
      </c>
      <c r="G3232" s="59" t="n">
        <f aca="false">F3232-E3232</f>
        <v>0.000509259293981482</v>
      </c>
      <c r="H3232" s="57" t="s">
        <v>252</v>
      </c>
      <c r="I3232" s="57"/>
      <c r="J3232" s="57" t="s">
        <v>333</v>
      </c>
      <c r="K3232" s="57" t="s">
        <v>334</v>
      </c>
      <c r="L3232" s="60" t="s">
        <v>4726</v>
      </c>
      <c r="M3232" s="57" t="s">
        <v>336</v>
      </c>
      <c r="N3232" s="57" t="s">
        <v>381</v>
      </c>
      <c r="O3232" s="57" t="s">
        <v>729</v>
      </c>
      <c r="P3232" s="57" t="s">
        <v>4727</v>
      </c>
      <c r="Q3232" s="57" t="s">
        <v>698</v>
      </c>
    </row>
    <row r="3233" s="50" customFormat="true" ht="14.25" hidden="false" customHeight="true" outlineLevel="0" collapsed="false">
      <c r="A3233" s="50" t="s">
        <v>727</v>
      </c>
      <c r="B3233" s="57" t="s">
        <v>727</v>
      </c>
      <c r="C3233" s="57" t="s">
        <v>415</v>
      </c>
      <c r="D3233" s="58" t="n">
        <v>46055.3451736111</v>
      </c>
      <c r="E3233" s="58" t="n">
        <v>46055.3451736111</v>
      </c>
      <c r="F3233" s="58" t="n">
        <v>46055.3456944445</v>
      </c>
      <c r="G3233" s="59" t="n">
        <f aca="false">F3233-E3233</f>
        <v>0.000520833391203704</v>
      </c>
      <c r="H3233" s="57" t="s">
        <v>252</v>
      </c>
      <c r="I3233" s="57"/>
      <c r="J3233" s="57" t="s">
        <v>333</v>
      </c>
      <c r="K3233" s="57" t="s">
        <v>334</v>
      </c>
      <c r="L3233" s="60" t="s">
        <v>4728</v>
      </c>
      <c r="M3233" s="57" t="s">
        <v>336</v>
      </c>
      <c r="N3233" s="57" t="s">
        <v>381</v>
      </c>
      <c r="O3233" s="57" t="s">
        <v>729</v>
      </c>
      <c r="P3233" s="57" t="s">
        <v>4729</v>
      </c>
      <c r="Q3233" s="57" t="s">
        <v>698</v>
      </c>
    </row>
    <row r="3234" s="50" customFormat="true" ht="14.25" hidden="false" customHeight="true" outlineLevel="0" collapsed="false">
      <c r="A3234" s="50" t="s">
        <v>727</v>
      </c>
      <c r="B3234" s="57" t="s">
        <v>727</v>
      </c>
      <c r="C3234" s="57" t="s">
        <v>415</v>
      </c>
      <c r="D3234" s="58" t="n">
        <v>46055.335150463</v>
      </c>
      <c r="E3234" s="58" t="n">
        <v>46055.335150463</v>
      </c>
      <c r="F3234" s="58" t="n">
        <v>46055.3398263889</v>
      </c>
      <c r="G3234" s="59" t="n">
        <f aca="false">F3234-E3234</f>
        <v>0.00467592590277778</v>
      </c>
      <c r="H3234" s="57" t="s">
        <v>252</v>
      </c>
      <c r="I3234" s="57"/>
      <c r="J3234" s="57" t="s">
        <v>333</v>
      </c>
      <c r="K3234" s="57" t="s">
        <v>334</v>
      </c>
      <c r="L3234" s="60" t="s">
        <v>4730</v>
      </c>
      <c r="M3234" s="57" t="s">
        <v>336</v>
      </c>
      <c r="N3234" s="57" t="s">
        <v>381</v>
      </c>
      <c r="O3234" s="57" t="s">
        <v>729</v>
      </c>
      <c r="P3234" s="57" t="s">
        <v>4731</v>
      </c>
      <c r="Q3234" s="57" t="s">
        <v>698</v>
      </c>
    </row>
    <row r="3235" s="50" customFormat="true" ht="14.25" hidden="false" customHeight="true" outlineLevel="0" collapsed="false">
      <c r="A3235" s="50" t="s">
        <v>727</v>
      </c>
      <c r="B3235" s="57" t="s">
        <v>727</v>
      </c>
      <c r="C3235" s="57" t="s">
        <v>415</v>
      </c>
      <c r="D3235" s="58" t="n">
        <v>46055.3265162037</v>
      </c>
      <c r="E3235" s="58" t="n">
        <v>46055.3265162037</v>
      </c>
      <c r="F3235" s="58" t="n">
        <v>46055.3310763889</v>
      </c>
      <c r="G3235" s="59" t="n">
        <f aca="false">F3235-E3235</f>
        <v>0.00456018520833333</v>
      </c>
      <c r="H3235" s="57" t="s">
        <v>252</v>
      </c>
      <c r="I3235" s="57"/>
      <c r="J3235" s="57" t="s">
        <v>333</v>
      </c>
      <c r="K3235" s="57" t="s">
        <v>334</v>
      </c>
      <c r="L3235" s="60" t="s">
        <v>4732</v>
      </c>
      <c r="M3235" s="57" t="s">
        <v>336</v>
      </c>
      <c r="N3235" s="57" t="s">
        <v>381</v>
      </c>
      <c r="O3235" s="57" t="s">
        <v>729</v>
      </c>
      <c r="P3235" s="57" t="s">
        <v>4733</v>
      </c>
      <c r="Q3235" s="57" t="s">
        <v>698</v>
      </c>
    </row>
    <row r="3236" s="50" customFormat="true" ht="14.25" hidden="false" customHeight="true" outlineLevel="0" collapsed="false">
      <c r="A3236" s="50" t="s">
        <v>727</v>
      </c>
      <c r="B3236" s="57" t="s">
        <v>727</v>
      </c>
      <c r="C3236" s="57" t="s">
        <v>415</v>
      </c>
      <c r="D3236" s="58" t="n">
        <v>46055.2397685185</v>
      </c>
      <c r="E3236" s="58" t="n">
        <v>46055.2397685185</v>
      </c>
      <c r="F3236" s="58" t="n">
        <v>46055.3161921296</v>
      </c>
      <c r="G3236" s="59" t="n">
        <f aca="false">F3236-E3236</f>
        <v>0.076423611099537</v>
      </c>
      <c r="H3236" s="57" t="s">
        <v>252</v>
      </c>
      <c r="I3236" s="57"/>
      <c r="J3236" s="57" t="s">
        <v>333</v>
      </c>
      <c r="K3236" s="57" t="s">
        <v>334</v>
      </c>
      <c r="L3236" s="60" t="s">
        <v>4734</v>
      </c>
      <c r="M3236" s="57" t="s">
        <v>336</v>
      </c>
      <c r="N3236" s="57" t="s">
        <v>381</v>
      </c>
      <c r="O3236" s="57" t="s">
        <v>729</v>
      </c>
      <c r="P3236" s="57" t="s">
        <v>4735</v>
      </c>
      <c r="Q3236" s="57" t="s">
        <v>698</v>
      </c>
    </row>
    <row r="3237" s="50" customFormat="true" ht="14.25" hidden="false" customHeight="true" outlineLevel="0" collapsed="false">
      <c r="A3237" s="50" t="s">
        <v>727</v>
      </c>
      <c r="B3237" s="57" t="s">
        <v>727</v>
      </c>
      <c r="C3237" s="57" t="s">
        <v>415</v>
      </c>
      <c r="D3237" s="58" t="n">
        <v>46055.239375</v>
      </c>
      <c r="E3237" s="58" t="n">
        <v>46055.239375</v>
      </c>
      <c r="F3237" s="58" t="n">
        <v>46055.3161921296</v>
      </c>
      <c r="G3237" s="59" t="n">
        <f aca="false">F3237-E3237</f>
        <v>0.0768171295949074</v>
      </c>
      <c r="H3237" s="57" t="s">
        <v>252</v>
      </c>
      <c r="I3237" s="57"/>
      <c r="J3237" s="57" t="s">
        <v>333</v>
      </c>
      <c r="K3237" s="57" t="s">
        <v>334</v>
      </c>
      <c r="L3237" s="60" t="s">
        <v>4736</v>
      </c>
      <c r="M3237" s="57" t="s">
        <v>336</v>
      </c>
      <c r="N3237" s="57" t="s">
        <v>381</v>
      </c>
      <c r="O3237" s="57" t="s">
        <v>729</v>
      </c>
      <c r="P3237" s="57" t="s">
        <v>4737</v>
      </c>
      <c r="Q3237" s="57" t="s">
        <v>698</v>
      </c>
    </row>
    <row r="3238" s="50" customFormat="true" ht="14.25" hidden="false" customHeight="true" outlineLevel="0" collapsed="false">
      <c r="A3238" s="50" t="s">
        <v>727</v>
      </c>
      <c r="B3238" s="57" t="s">
        <v>727</v>
      </c>
      <c r="C3238" s="57" t="s">
        <v>415</v>
      </c>
      <c r="D3238" s="58" t="n">
        <v>46054.7634953704</v>
      </c>
      <c r="E3238" s="58" t="n">
        <v>46054.7634953704</v>
      </c>
      <c r="F3238" s="58" t="n">
        <v>46054.7901851852</v>
      </c>
      <c r="G3238" s="59" t="n">
        <f aca="false">F3238-E3238</f>
        <v>0.0266898148148148</v>
      </c>
      <c r="H3238" s="57" t="s">
        <v>252</v>
      </c>
      <c r="I3238" s="57"/>
      <c r="J3238" s="57" t="s">
        <v>333</v>
      </c>
      <c r="K3238" s="57" t="s">
        <v>334</v>
      </c>
      <c r="L3238" s="60" t="s">
        <v>4738</v>
      </c>
      <c r="M3238" s="57" t="s">
        <v>336</v>
      </c>
      <c r="N3238" s="57" t="s">
        <v>381</v>
      </c>
      <c r="O3238" s="57" t="s">
        <v>729</v>
      </c>
      <c r="P3238" s="57" t="s">
        <v>4739</v>
      </c>
      <c r="Q3238" s="57" t="s">
        <v>698</v>
      </c>
    </row>
    <row r="3239" s="50" customFormat="true" ht="14.25" hidden="false" customHeight="true" outlineLevel="0" collapsed="false">
      <c r="A3239" s="50" t="s">
        <v>727</v>
      </c>
      <c r="B3239" s="57" t="s">
        <v>727</v>
      </c>
      <c r="C3239" s="57" t="s">
        <v>415</v>
      </c>
      <c r="D3239" s="58" t="n">
        <v>46054.7613888889</v>
      </c>
      <c r="E3239" s="58" t="n">
        <v>46054.7613888889</v>
      </c>
      <c r="F3239" s="58" t="n">
        <v>46054.7619097222</v>
      </c>
      <c r="G3239" s="59" t="n">
        <f aca="false">F3239-E3239</f>
        <v>0.000520833298611111</v>
      </c>
      <c r="H3239" s="57" t="s">
        <v>252</v>
      </c>
      <c r="I3239" s="57"/>
      <c r="J3239" s="57" t="s">
        <v>333</v>
      </c>
      <c r="K3239" s="57" t="s">
        <v>334</v>
      </c>
      <c r="L3239" s="60" t="s">
        <v>4740</v>
      </c>
      <c r="M3239" s="57" t="s">
        <v>336</v>
      </c>
      <c r="N3239" s="57" t="s">
        <v>381</v>
      </c>
      <c r="O3239" s="57" t="s">
        <v>729</v>
      </c>
      <c r="P3239" s="57" t="s">
        <v>4741</v>
      </c>
      <c r="Q3239" s="57" t="s">
        <v>698</v>
      </c>
    </row>
    <row r="3240" s="50" customFormat="true" ht="14.25" hidden="false" customHeight="true" outlineLevel="0" collapsed="false">
      <c r="A3240" s="50" t="s">
        <v>727</v>
      </c>
      <c r="B3240" s="57" t="s">
        <v>727</v>
      </c>
      <c r="C3240" s="57" t="s">
        <v>415</v>
      </c>
      <c r="D3240" s="58" t="n">
        <v>46054.7380208333</v>
      </c>
      <c r="E3240" s="58" t="n">
        <v>46054.7380208333</v>
      </c>
      <c r="F3240" s="58" t="n">
        <v>46054.7385416667</v>
      </c>
      <c r="G3240" s="59" t="n">
        <f aca="false">F3240-E3240</f>
        <v>0.000520833402777778</v>
      </c>
      <c r="H3240" s="57" t="s">
        <v>252</v>
      </c>
      <c r="I3240" s="57"/>
      <c r="J3240" s="57" t="s">
        <v>333</v>
      </c>
      <c r="K3240" s="57" t="s">
        <v>334</v>
      </c>
      <c r="L3240" s="60" t="s">
        <v>4742</v>
      </c>
      <c r="M3240" s="57" t="s">
        <v>336</v>
      </c>
      <c r="N3240" s="57" t="s">
        <v>381</v>
      </c>
      <c r="O3240" s="57" t="s">
        <v>729</v>
      </c>
      <c r="P3240" s="57" t="s">
        <v>4743</v>
      </c>
      <c r="Q3240" s="57" t="s">
        <v>698</v>
      </c>
    </row>
    <row r="3241" s="50" customFormat="true" ht="14.25" hidden="false" customHeight="true" outlineLevel="0" collapsed="false">
      <c r="A3241" s="50" t="s">
        <v>727</v>
      </c>
      <c r="B3241" s="57" t="s">
        <v>727</v>
      </c>
      <c r="C3241" s="57" t="s">
        <v>415</v>
      </c>
      <c r="D3241" s="58" t="n">
        <v>46054.7291666667</v>
      </c>
      <c r="E3241" s="58" t="n">
        <v>46054.7291666667</v>
      </c>
      <c r="F3241" s="58" t="n">
        <v>46054.7296875</v>
      </c>
      <c r="G3241" s="59" t="n">
        <f aca="false">F3241-E3241</f>
        <v>0.000520833298611111</v>
      </c>
      <c r="H3241" s="57" t="s">
        <v>252</v>
      </c>
      <c r="I3241" s="57"/>
      <c r="J3241" s="57" t="s">
        <v>333</v>
      </c>
      <c r="K3241" s="57" t="s">
        <v>334</v>
      </c>
      <c r="L3241" s="60" t="s">
        <v>4744</v>
      </c>
      <c r="M3241" s="57" t="s">
        <v>336</v>
      </c>
      <c r="N3241" s="57" t="s">
        <v>381</v>
      </c>
      <c r="O3241" s="57" t="s">
        <v>729</v>
      </c>
      <c r="P3241" s="57" t="s">
        <v>4745</v>
      </c>
      <c r="Q3241" s="57" t="s">
        <v>698</v>
      </c>
    </row>
    <row r="3242" s="50" customFormat="true" ht="14.25" hidden="false" customHeight="true" outlineLevel="0" collapsed="false">
      <c r="A3242" s="50" t="s">
        <v>727</v>
      </c>
      <c r="B3242" s="57" t="s">
        <v>727</v>
      </c>
      <c r="C3242" s="57" t="s">
        <v>415</v>
      </c>
      <c r="D3242" s="58" t="n">
        <v>46054.6906944444</v>
      </c>
      <c r="E3242" s="58" t="n">
        <v>46054.6906944444</v>
      </c>
      <c r="F3242" s="58" t="n">
        <v>46054.6912962963</v>
      </c>
      <c r="G3242" s="59" t="n">
        <f aca="false">F3242-E3242</f>
        <v>0.000601851909722222</v>
      </c>
      <c r="H3242" s="57" t="s">
        <v>252</v>
      </c>
      <c r="I3242" s="57"/>
      <c r="J3242" s="57" t="s">
        <v>333</v>
      </c>
      <c r="K3242" s="57" t="s">
        <v>334</v>
      </c>
      <c r="L3242" s="60" t="s">
        <v>4746</v>
      </c>
      <c r="M3242" s="57" t="s">
        <v>336</v>
      </c>
      <c r="N3242" s="57" t="s">
        <v>381</v>
      </c>
      <c r="O3242" s="57" t="s">
        <v>729</v>
      </c>
      <c r="P3242" s="57" t="s">
        <v>4747</v>
      </c>
      <c r="Q3242" s="57" t="s">
        <v>698</v>
      </c>
    </row>
    <row r="3243" s="50" customFormat="true" ht="14.25" hidden="false" customHeight="true" outlineLevel="0" collapsed="false">
      <c r="A3243" s="50" t="s">
        <v>727</v>
      </c>
      <c r="B3243" s="57" t="s">
        <v>727</v>
      </c>
      <c r="C3243" s="57" t="s">
        <v>415</v>
      </c>
      <c r="D3243" s="58" t="n">
        <v>46054.6849074074</v>
      </c>
      <c r="E3243" s="58" t="n">
        <v>46054.6849074074</v>
      </c>
      <c r="F3243" s="58" t="n">
        <v>46054.6854282407</v>
      </c>
      <c r="G3243" s="59" t="n">
        <f aca="false">F3243-E3243</f>
        <v>0.000520833298611111</v>
      </c>
      <c r="H3243" s="57" t="s">
        <v>252</v>
      </c>
      <c r="I3243" s="57"/>
      <c r="J3243" s="57" t="s">
        <v>333</v>
      </c>
      <c r="K3243" s="57" t="s">
        <v>334</v>
      </c>
      <c r="L3243" s="60" t="s">
        <v>4748</v>
      </c>
      <c r="M3243" s="57" t="s">
        <v>336</v>
      </c>
      <c r="N3243" s="57" t="s">
        <v>381</v>
      </c>
      <c r="O3243" s="57" t="s">
        <v>729</v>
      </c>
      <c r="P3243" s="57" t="s">
        <v>4749</v>
      </c>
      <c r="Q3243" s="57" t="s">
        <v>698</v>
      </c>
    </row>
    <row r="3244" s="50" customFormat="true" ht="14.25" hidden="false" customHeight="true" outlineLevel="0" collapsed="false">
      <c r="A3244" s="50" t="s">
        <v>727</v>
      </c>
      <c r="B3244" s="57" t="s">
        <v>727</v>
      </c>
      <c r="C3244" s="57" t="s">
        <v>415</v>
      </c>
      <c r="D3244" s="58" t="n">
        <v>46054.6743981482</v>
      </c>
      <c r="E3244" s="58" t="n">
        <v>46054.6743981482</v>
      </c>
      <c r="F3244" s="58" t="n">
        <v>46054.6749189815</v>
      </c>
      <c r="G3244" s="59" t="n">
        <f aca="false">F3244-E3244</f>
        <v>0.000520833298611111</v>
      </c>
      <c r="H3244" s="57" t="s">
        <v>252</v>
      </c>
      <c r="I3244" s="57"/>
      <c r="J3244" s="57" t="s">
        <v>333</v>
      </c>
      <c r="K3244" s="57" t="s">
        <v>334</v>
      </c>
      <c r="L3244" s="60" t="s">
        <v>4750</v>
      </c>
      <c r="M3244" s="57" t="s">
        <v>336</v>
      </c>
      <c r="N3244" s="57" t="s">
        <v>381</v>
      </c>
      <c r="O3244" s="57" t="s">
        <v>729</v>
      </c>
      <c r="P3244" s="57" t="s">
        <v>4751</v>
      </c>
      <c r="Q3244" s="57" t="s">
        <v>698</v>
      </c>
    </row>
    <row r="3245" s="50" customFormat="true" ht="14.25" hidden="false" customHeight="true" outlineLevel="0" collapsed="false">
      <c r="A3245" s="50" t="s">
        <v>727</v>
      </c>
      <c r="B3245" s="57" t="s">
        <v>727</v>
      </c>
      <c r="C3245" s="57" t="s">
        <v>415</v>
      </c>
      <c r="D3245" s="58" t="n">
        <v>46054.6581712963</v>
      </c>
      <c r="E3245" s="58" t="n">
        <v>46054.6581712963</v>
      </c>
      <c r="F3245" s="58" t="n">
        <v>46054.6586805556</v>
      </c>
      <c r="G3245" s="59" t="n">
        <f aca="false">F3245-E3245</f>
        <v>0.000509259293981482</v>
      </c>
      <c r="H3245" s="57" t="s">
        <v>252</v>
      </c>
      <c r="I3245" s="57"/>
      <c r="J3245" s="57" t="s">
        <v>333</v>
      </c>
      <c r="K3245" s="57" t="s">
        <v>334</v>
      </c>
      <c r="L3245" s="60" t="s">
        <v>4752</v>
      </c>
      <c r="M3245" s="57" t="s">
        <v>336</v>
      </c>
      <c r="N3245" s="57" t="s">
        <v>381</v>
      </c>
      <c r="O3245" s="57" t="s">
        <v>729</v>
      </c>
      <c r="P3245" s="57" t="s">
        <v>4753</v>
      </c>
      <c r="Q3245" s="57" t="s">
        <v>698</v>
      </c>
    </row>
    <row r="3246" s="50" customFormat="true" ht="14.25" hidden="false" customHeight="true" outlineLevel="0" collapsed="false">
      <c r="A3246" s="50" t="s">
        <v>727</v>
      </c>
      <c r="B3246" s="57" t="s">
        <v>727</v>
      </c>
      <c r="C3246" s="57" t="s">
        <v>415</v>
      </c>
      <c r="D3246" s="58" t="n">
        <v>46054.635474537</v>
      </c>
      <c r="E3246" s="58" t="n">
        <v>46054.635474537</v>
      </c>
      <c r="F3246" s="58" t="n">
        <v>46054.6359837963</v>
      </c>
      <c r="G3246" s="59" t="n">
        <f aca="false">F3246-E3246</f>
        <v>0.000509259305555556</v>
      </c>
      <c r="H3246" s="57" t="s">
        <v>252</v>
      </c>
      <c r="I3246" s="57"/>
      <c r="J3246" s="57" t="s">
        <v>333</v>
      </c>
      <c r="K3246" s="57" t="s">
        <v>334</v>
      </c>
      <c r="L3246" s="60" t="s">
        <v>4754</v>
      </c>
      <c r="M3246" s="57" t="s">
        <v>336</v>
      </c>
      <c r="N3246" s="57" t="s">
        <v>381</v>
      </c>
      <c r="O3246" s="57" t="s">
        <v>729</v>
      </c>
      <c r="P3246" s="57" t="s">
        <v>4755</v>
      </c>
      <c r="Q3246" s="57" t="s">
        <v>698</v>
      </c>
    </row>
    <row r="3247" s="50" customFormat="true" ht="14.25" hidden="false" customHeight="true" outlineLevel="0" collapsed="false">
      <c r="A3247" s="50" t="s">
        <v>727</v>
      </c>
      <c r="B3247" s="57" t="s">
        <v>727</v>
      </c>
      <c r="C3247" s="57" t="s">
        <v>415</v>
      </c>
      <c r="D3247" s="58" t="n">
        <v>46054.6245949074</v>
      </c>
      <c r="E3247" s="58" t="n">
        <v>46054.6245949074</v>
      </c>
      <c r="F3247" s="58" t="n">
        <v>46054.6250925926</v>
      </c>
      <c r="G3247" s="59" t="n">
        <f aca="false">F3247-E3247</f>
        <v>0.000497685196759259</v>
      </c>
      <c r="H3247" s="57" t="s">
        <v>252</v>
      </c>
      <c r="I3247" s="57"/>
      <c r="J3247" s="57" t="s">
        <v>333</v>
      </c>
      <c r="K3247" s="57" t="s">
        <v>334</v>
      </c>
      <c r="L3247" s="60" t="s">
        <v>4756</v>
      </c>
      <c r="M3247" s="57" t="s">
        <v>336</v>
      </c>
      <c r="N3247" s="57" t="s">
        <v>381</v>
      </c>
      <c r="O3247" s="57" t="s">
        <v>729</v>
      </c>
      <c r="P3247" s="57" t="s">
        <v>4757</v>
      </c>
      <c r="Q3247" s="57" t="s">
        <v>698</v>
      </c>
    </row>
    <row r="3248" s="50" customFormat="true" ht="14.25" hidden="false" customHeight="true" outlineLevel="0" collapsed="false">
      <c r="A3248" s="50" t="s">
        <v>727</v>
      </c>
      <c r="B3248" s="57" t="s">
        <v>727</v>
      </c>
      <c r="C3248" s="57" t="s">
        <v>415</v>
      </c>
      <c r="D3248" s="58" t="n">
        <v>46054.603912037</v>
      </c>
      <c r="E3248" s="58" t="n">
        <v>46054.603912037</v>
      </c>
      <c r="F3248" s="58" t="n">
        <v>46054.6044444444</v>
      </c>
      <c r="G3248" s="59" t="n">
        <f aca="false">F3248-E3248</f>
        <v>0.000532407407407407</v>
      </c>
      <c r="H3248" s="57" t="s">
        <v>252</v>
      </c>
      <c r="I3248" s="57"/>
      <c r="J3248" s="57" t="s">
        <v>333</v>
      </c>
      <c r="K3248" s="57" t="s">
        <v>334</v>
      </c>
      <c r="L3248" s="60" t="s">
        <v>4758</v>
      </c>
      <c r="M3248" s="57" t="s">
        <v>336</v>
      </c>
      <c r="N3248" s="57" t="s">
        <v>381</v>
      </c>
      <c r="O3248" s="57" t="s">
        <v>729</v>
      </c>
      <c r="P3248" s="57" t="s">
        <v>4759</v>
      </c>
      <c r="Q3248" s="57" t="s">
        <v>698</v>
      </c>
    </row>
    <row r="3249" s="50" customFormat="true" ht="14.25" hidden="false" customHeight="true" outlineLevel="0" collapsed="false">
      <c r="A3249" s="50" t="s">
        <v>727</v>
      </c>
      <c r="B3249" s="57" t="s">
        <v>727</v>
      </c>
      <c r="C3249" s="57" t="s">
        <v>415</v>
      </c>
      <c r="D3249" s="58" t="n">
        <v>46054.5941435185</v>
      </c>
      <c r="E3249" s="58" t="n">
        <v>46054.5941435185</v>
      </c>
      <c r="F3249" s="58" t="n">
        <v>46054.5946875</v>
      </c>
      <c r="G3249" s="59" t="n">
        <f aca="false">F3249-E3249</f>
        <v>0.00054398150462963</v>
      </c>
      <c r="H3249" s="57" t="s">
        <v>252</v>
      </c>
      <c r="I3249" s="57"/>
      <c r="J3249" s="57" t="s">
        <v>333</v>
      </c>
      <c r="K3249" s="57" t="s">
        <v>334</v>
      </c>
      <c r="L3249" s="60" t="s">
        <v>4760</v>
      </c>
      <c r="M3249" s="57" t="s">
        <v>336</v>
      </c>
      <c r="N3249" s="57" t="s">
        <v>381</v>
      </c>
      <c r="O3249" s="57" t="s">
        <v>729</v>
      </c>
      <c r="P3249" s="57" t="s">
        <v>4761</v>
      </c>
      <c r="Q3249" s="57" t="s">
        <v>698</v>
      </c>
    </row>
    <row r="3250" s="50" customFormat="true" ht="14.25" hidden="false" customHeight="true" outlineLevel="0" collapsed="false">
      <c r="A3250" s="50" t="s">
        <v>727</v>
      </c>
      <c r="B3250" s="57" t="s">
        <v>727</v>
      </c>
      <c r="C3250" s="57" t="s">
        <v>415</v>
      </c>
      <c r="D3250" s="58" t="n">
        <v>46054.5856944444</v>
      </c>
      <c r="E3250" s="58" t="n">
        <v>46054.5856944444</v>
      </c>
      <c r="F3250" s="58" t="n">
        <v>46054.5861921296</v>
      </c>
      <c r="G3250" s="59" t="n">
        <f aca="false">F3250-E3250</f>
        <v>0.000497685196759259</v>
      </c>
      <c r="H3250" s="57" t="s">
        <v>252</v>
      </c>
      <c r="I3250" s="57"/>
      <c r="J3250" s="57" t="s">
        <v>333</v>
      </c>
      <c r="K3250" s="57" t="s">
        <v>334</v>
      </c>
      <c r="L3250" s="60" t="s">
        <v>4762</v>
      </c>
      <c r="M3250" s="57" t="s">
        <v>336</v>
      </c>
      <c r="N3250" s="57" t="s">
        <v>381</v>
      </c>
      <c r="O3250" s="57" t="s">
        <v>729</v>
      </c>
      <c r="P3250" s="57" t="s">
        <v>4763</v>
      </c>
      <c r="Q3250" s="57" t="s">
        <v>698</v>
      </c>
    </row>
    <row r="3251" s="50" customFormat="true" ht="14.25" hidden="false" customHeight="true" outlineLevel="0" collapsed="false">
      <c r="A3251" s="50" t="s">
        <v>727</v>
      </c>
      <c r="B3251" s="57" t="s">
        <v>727</v>
      </c>
      <c r="C3251" s="57" t="s">
        <v>415</v>
      </c>
      <c r="D3251" s="58" t="n">
        <v>46054.539849537</v>
      </c>
      <c r="E3251" s="58" t="n">
        <v>46054.539849537</v>
      </c>
      <c r="F3251" s="58" t="n">
        <v>46054.5403587963</v>
      </c>
      <c r="G3251" s="59" t="n">
        <f aca="false">F3251-E3251</f>
        <v>0.000509259293981482</v>
      </c>
      <c r="H3251" s="57" t="s">
        <v>252</v>
      </c>
      <c r="I3251" s="57"/>
      <c r="J3251" s="57" t="s">
        <v>333</v>
      </c>
      <c r="K3251" s="57" t="s">
        <v>334</v>
      </c>
      <c r="L3251" s="60" t="s">
        <v>4764</v>
      </c>
      <c r="M3251" s="57" t="s">
        <v>336</v>
      </c>
      <c r="N3251" s="57" t="s">
        <v>381</v>
      </c>
      <c r="O3251" s="57" t="s">
        <v>729</v>
      </c>
      <c r="P3251" s="57" t="s">
        <v>4765</v>
      </c>
      <c r="Q3251" s="57" t="s">
        <v>698</v>
      </c>
    </row>
    <row r="3252" s="50" customFormat="true" ht="14.25" hidden="false" customHeight="true" outlineLevel="0" collapsed="false">
      <c r="A3252" s="50" t="s">
        <v>727</v>
      </c>
      <c r="B3252" s="57" t="s">
        <v>727</v>
      </c>
      <c r="C3252" s="57" t="s">
        <v>415</v>
      </c>
      <c r="D3252" s="58" t="n">
        <v>46054.5345486111</v>
      </c>
      <c r="E3252" s="58" t="n">
        <v>46054.5345486111</v>
      </c>
      <c r="F3252" s="58" t="n">
        <v>46054.5350578704</v>
      </c>
      <c r="G3252" s="59" t="n">
        <f aca="false">F3252-E3252</f>
        <v>0.000509259305555556</v>
      </c>
      <c r="H3252" s="57" t="s">
        <v>252</v>
      </c>
      <c r="I3252" s="57"/>
      <c r="J3252" s="57" t="s">
        <v>333</v>
      </c>
      <c r="K3252" s="57" t="s">
        <v>334</v>
      </c>
      <c r="L3252" s="60" t="s">
        <v>4766</v>
      </c>
      <c r="M3252" s="57" t="s">
        <v>336</v>
      </c>
      <c r="N3252" s="57" t="s">
        <v>381</v>
      </c>
      <c r="O3252" s="57" t="s">
        <v>729</v>
      </c>
      <c r="P3252" s="57" t="s">
        <v>4767</v>
      </c>
      <c r="Q3252" s="57" t="s">
        <v>698</v>
      </c>
    </row>
    <row r="3253" s="50" customFormat="true" ht="14.25" hidden="false" customHeight="true" outlineLevel="0" collapsed="false">
      <c r="A3253" s="50" t="s">
        <v>727</v>
      </c>
      <c r="B3253" s="57" t="s">
        <v>727</v>
      </c>
      <c r="C3253" s="57" t="s">
        <v>415</v>
      </c>
      <c r="D3253" s="58" t="n">
        <v>46054.5193634259</v>
      </c>
      <c r="E3253" s="58" t="n">
        <v>46054.5193634259</v>
      </c>
      <c r="F3253" s="58" t="n">
        <v>46054.5200115741</v>
      </c>
      <c r="G3253" s="59" t="n">
        <f aca="false">F3253-E3253</f>
        <v>0.000648148206018519</v>
      </c>
      <c r="H3253" s="57" t="s">
        <v>252</v>
      </c>
      <c r="I3253" s="57"/>
      <c r="J3253" s="57" t="s">
        <v>333</v>
      </c>
      <c r="K3253" s="57" t="s">
        <v>334</v>
      </c>
      <c r="L3253" s="60" t="s">
        <v>4768</v>
      </c>
      <c r="M3253" s="57" t="s">
        <v>336</v>
      </c>
      <c r="N3253" s="57" t="s">
        <v>381</v>
      </c>
      <c r="O3253" s="57" t="s">
        <v>729</v>
      </c>
      <c r="P3253" s="57" t="s">
        <v>4769</v>
      </c>
      <c r="Q3253" s="57" t="s">
        <v>698</v>
      </c>
    </row>
    <row r="3254" s="50" customFormat="true" ht="14.25" hidden="false" customHeight="true" outlineLevel="0" collapsed="false">
      <c r="A3254" s="50" t="s">
        <v>727</v>
      </c>
      <c r="B3254" s="57" t="s">
        <v>727</v>
      </c>
      <c r="C3254" s="57" t="s">
        <v>415</v>
      </c>
      <c r="D3254" s="58" t="n">
        <v>46054.5088541667</v>
      </c>
      <c r="E3254" s="58" t="n">
        <v>46054.5088541667</v>
      </c>
      <c r="F3254" s="58" t="n">
        <v>46054.5093981482</v>
      </c>
      <c r="G3254" s="59" t="n">
        <f aca="false">F3254-E3254</f>
        <v>0.00054398150462963</v>
      </c>
      <c r="H3254" s="57" t="s">
        <v>252</v>
      </c>
      <c r="I3254" s="57"/>
      <c r="J3254" s="57" t="s">
        <v>333</v>
      </c>
      <c r="K3254" s="57" t="s">
        <v>334</v>
      </c>
      <c r="L3254" s="60" t="s">
        <v>4770</v>
      </c>
      <c r="M3254" s="57" t="s">
        <v>336</v>
      </c>
      <c r="N3254" s="57" t="s">
        <v>381</v>
      </c>
      <c r="O3254" s="57" t="s">
        <v>729</v>
      </c>
      <c r="P3254" s="57" t="s">
        <v>4771</v>
      </c>
      <c r="Q3254" s="57" t="s">
        <v>698</v>
      </c>
    </row>
    <row r="3255" s="50" customFormat="true" ht="14.25" hidden="false" customHeight="true" outlineLevel="0" collapsed="false">
      <c r="A3255" s="50" t="s">
        <v>727</v>
      </c>
      <c r="B3255" s="57" t="s">
        <v>727</v>
      </c>
      <c r="C3255" s="57" t="s">
        <v>415</v>
      </c>
      <c r="D3255" s="58" t="n">
        <v>46054.4990740741</v>
      </c>
      <c r="E3255" s="58" t="n">
        <v>46054.4990740741</v>
      </c>
      <c r="F3255" s="58" t="n">
        <v>46054.4995949074</v>
      </c>
      <c r="G3255" s="59" t="n">
        <f aca="false">F3255-E3255</f>
        <v>0.000520833298611111</v>
      </c>
      <c r="H3255" s="57" t="s">
        <v>252</v>
      </c>
      <c r="I3255" s="57"/>
      <c r="J3255" s="57" t="s">
        <v>333</v>
      </c>
      <c r="K3255" s="57" t="s">
        <v>334</v>
      </c>
      <c r="L3255" s="60" t="s">
        <v>4772</v>
      </c>
      <c r="M3255" s="57" t="s">
        <v>336</v>
      </c>
      <c r="N3255" s="57" t="s">
        <v>381</v>
      </c>
      <c r="O3255" s="57" t="s">
        <v>729</v>
      </c>
      <c r="P3255" s="57" t="s">
        <v>4773</v>
      </c>
      <c r="Q3255" s="57" t="s">
        <v>698</v>
      </c>
    </row>
    <row r="3256" s="50" customFormat="true" ht="14.25" hidden="false" customHeight="true" outlineLevel="0" collapsed="false">
      <c r="A3256" s="50" t="s">
        <v>727</v>
      </c>
      <c r="B3256" s="57" t="s">
        <v>727</v>
      </c>
      <c r="C3256" s="57" t="s">
        <v>415</v>
      </c>
      <c r="D3256" s="58" t="n">
        <v>46054.4904166667</v>
      </c>
      <c r="E3256" s="58" t="n">
        <v>46054.4904166667</v>
      </c>
      <c r="F3256" s="58" t="n">
        <v>46054.4909259259</v>
      </c>
      <c r="G3256" s="59" t="n">
        <f aca="false">F3256-E3256</f>
        <v>0.000509259201388889</v>
      </c>
      <c r="H3256" s="57" t="s">
        <v>252</v>
      </c>
      <c r="I3256" s="57"/>
      <c r="J3256" s="57" t="s">
        <v>333</v>
      </c>
      <c r="K3256" s="57" t="s">
        <v>334</v>
      </c>
      <c r="L3256" s="60" t="s">
        <v>4774</v>
      </c>
      <c r="M3256" s="57" t="s">
        <v>336</v>
      </c>
      <c r="N3256" s="57" t="s">
        <v>381</v>
      </c>
      <c r="O3256" s="57" t="s">
        <v>729</v>
      </c>
      <c r="P3256" s="57" t="s">
        <v>4775</v>
      </c>
      <c r="Q3256" s="57" t="s">
        <v>698</v>
      </c>
    </row>
    <row r="3257" s="50" customFormat="true" ht="14.25" hidden="false" customHeight="true" outlineLevel="0" collapsed="false">
      <c r="A3257" s="50" t="s">
        <v>727</v>
      </c>
      <c r="B3257" s="57" t="s">
        <v>727</v>
      </c>
      <c r="C3257" s="57" t="s">
        <v>415</v>
      </c>
      <c r="D3257" s="58" t="n">
        <v>46054.4841898148</v>
      </c>
      <c r="E3257" s="58" t="n">
        <v>46054.4841898148</v>
      </c>
      <c r="F3257" s="58" t="n">
        <v>46054.4847337963</v>
      </c>
      <c r="G3257" s="59" t="n">
        <f aca="false">F3257-E3257</f>
        <v>0.00054398150462963</v>
      </c>
      <c r="H3257" s="57" t="s">
        <v>252</v>
      </c>
      <c r="I3257" s="57"/>
      <c r="J3257" s="57" t="s">
        <v>333</v>
      </c>
      <c r="K3257" s="57" t="s">
        <v>334</v>
      </c>
      <c r="L3257" s="60" t="s">
        <v>4776</v>
      </c>
      <c r="M3257" s="57" t="s">
        <v>336</v>
      </c>
      <c r="N3257" s="57" t="s">
        <v>381</v>
      </c>
      <c r="O3257" s="57" t="s">
        <v>729</v>
      </c>
      <c r="P3257" s="57" t="s">
        <v>4777</v>
      </c>
      <c r="Q3257" s="57" t="s">
        <v>698</v>
      </c>
    </row>
    <row r="3258" s="50" customFormat="true" ht="14.25" hidden="false" customHeight="true" outlineLevel="0" collapsed="false">
      <c r="A3258" s="50" t="s">
        <v>727</v>
      </c>
      <c r="B3258" s="57" t="s">
        <v>727</v>
      </c>
      <c r="C3258" s="57" t="s">
        <v>415</v>
      </c>
      <c r="D3258" s="58" t="n">
        <v>46054.470162037</v>
      </c>
      <c r="E3258" s="58" t="n">
        <v>46054.470162037</v>
      </c>
      <c r="F3258" s="58" t="n">
        <v>46054.4706712963</v>
      </c>
      <c r="G3258" s="59" t="n">
        <f aca="false">F3258-E3258</f>
        <v>0.000509259293981482</v>
      </c>
      <c r="H3258" s="57" t="s">
        <v>252</v>
      </c>
      <c r="I3258" s="57"/>
      <c r="J3258" s="57" t="s">
        <v>333</v>
      </c>
      <c r="K3258" s="57" t="s">
        <v>334</v>
      </c>
      <c r="L3258" s="60" t="s">
        <v>4778</v>
      </c>
      <c r="M3258" s="57" t="s">
        <v>336</v>
      </c>
      <c r="N3258" s="57" t="s">
        <v>381</v>
      </c>
      <c r="O3258" s="57" t="s">
        <v>729</v>
      </c>
      <c r="P3258" s="57" t="s">
        <v>4779</v>
      </c>
      <c r="Q3258" s="57" t="s">
        <v>698</v>
      </c>
    </row>
    <row r="3259" s="50" customFormat="true" ht="14.25" hidden="false" customHeight="true" outlineLevel="0" collapsed="false">
      <c r="A3259" s="50" t="s">
        <v>727</v>
      </c>
      <c r="B3259" s="57" t="s">
        <v>727</v>
      </c>
      <c r="C3259" s="57" t="s">
        <v>415</v>
      </c>
      <c r="D3259" s="58" t="n">
        <v>46054.4615972222</v>
      </c>
      <c r="E3259" s="58" t="n">
        <v>46054.4615972222</v>
      </c>
      <c r="F3259" s="58" t="n">
        <v>46054.4621412037</v>
      </c>
      <c r="G3259" s="59" t="n">
        <f aca="false">F3259-E3259</f>
        <v>0.00054398150462963</v>
      </c>
      <c r="H3259" s="57" t="s">
        <v>252</v>
      </c>
      <c r="I3259" s="57"/>
      <c r="J3259" s="57" t="s">
        <v>333</v>
      </c>
      <c r="K3259" s="57" t="s">
        <v>334</v>
      </c>
      <c r="L3259" s="60" t="s">
        <v>4780</v>
      </c>
      <c r="M3259" s="57" t="s">
        <v>336</v>
      </c>
      <c r="N3259" s="57" t="s">
        <v>381</v>
      </c>
      <c r="O3259" s="57" t="s">
        <v>729</v>
      </c>
      <c r="P3259" s="57" t="s">
        <v>4781</v>
      </c>
      <c r="Q3259" s="57" t="s">
        <v>698</v>
      </c>
    </row>
    <row r="3260" s="50" customFormat="true" ht="14.25" hidden="false" customHeight="true" outlineLevel="0" collapsed="false">
      <c r="A3260" s="50" t="s">
        <v>727</v>
      </c>
      <c r="B3260" s="57" t="s">
        <v>727</v>
      </c>
      <c r="C3260" s="57" t="s">
        <v>415</v>
      </c>
      <c r="D3260" s="58" t="n">
        <v>46054.4532523148</v>
      </c>
      <c r="E3260" s="58" t="n">
        <v>46054.4532523148</v>
      </c>
      <c r="F3260" s="58" t="n">
        <v>46054.4537731482</v>
      </c>
      <c r="G3260" s="59" t="n">
        <f aca="false">F3260-E3260</f>
        <v>0.000520833391203704</v>
      </c>
      <c r="H3260" s="57" t="s">
        <v>252</v>
      </c>
      <c r="I3260" s="57"/>
      <c r="J3260" s="57" t="s">
        <v>333</v>
      </c>
      <c r="K3260" s="57" t="s">
        <v>334</v>
      </c>
      <c r="L3260" s="60" t="s">
        <v>4782</v>
      </c>
      <c r="M3260" s="57" t="s">
        <v>336</v>
      </c>
      <c r="N3260" s="57" t="s">
        <v>381</v>
      </c>
      <c r="O3260" s="57" t="s">
        <v>729</v>
      </c>
      <c r="P3260" s="57" t="s">
        <v>4783</v>
      </c>
      <c r="Q3260" s="57" t="s">
        <v>698</v>
      </c>
    </row>
    <row r="3261" s="50" customFormat="true" ht="14.25" hidden="false" customHeight="true" outlineLevel="0" collapsed="false">
      <c r="A3261" s="50" t="s">
        <v>727</v>
      </c>
      <c r="B3261" s="57" t="s">
        <v>727</v>
      </c>
      <c r="C3261" s="57" t="s">
        <v>415</v>
      </c>
      <c r="D3261" s="58" t="n">
        <v>46054.4466666667</v>
      </c>
      <c r="E3261" s="58" t="n">
        <v>46054.4466666667</v>
      </c>
      <c r="F3261" s="58" t="n">
        <v>46054.4471875</v>
      </c>
      <c r="G3261" s="59" t="n">
        <f aca="false">F3261-E3261</f>
        <v>0.000520833298611111</v>
      </c>
      <c r="H3261" s="57" t="s">
        <v>252</v>
      </c>
      <c r="I3261" s="57"/>
      <c r="J3261" s="57" t="s">
        <v>333</v>
      </c>
      <c r="K3261" s="57" t="s">
        <v>334</v>
      </c>
      <c r="L3261" s="60" t="s">
        <v>4784</v>
      </c>
      <c r="M3261" s="57" t="s">
        <v>336</v>
      </c>
      <c r="N3261" s="57" t="s">
        <v>381</v>
      </c>
      <c r="O3261" s="57" t="s">
        <v>729</v>
      </c>
      <c r="P3261" s="57" t="s">
        <v>4785</v>
      </c>
      <c r="Q3261" s="57" t="s">
        <v>698</v>
      </c>
    </row>
    <row r="3262" s="50" customFormat="true" ht="14.25" hidden="false" customHeight="true" outlineLevel="0" collapsed="false">
      <c r="A3262" s="50" t="s">
        <v>727</v>
      </c>
      <c r="B3262" s="57" t="s">
        <v>727</v>
      </c>
      <c r="C3262" s="57" t="s">
        <v>415</v>
      </c>
      <c r="D3262" s="58" t="n">
        <v>46054.4328472222</v>
      </c>
      <c r="E3262" s="58" t="n">
        <v>46054.4328472222</v>
      </c>
      <c r="F3262" s="58" t="n">
        <v>46054.4333912037</v>
      </c>
      <c r="G3262" s="59" t="n">
        <f aca="false">F3262-E3262</f>
        <v>0.00054398150462963</v>
      </c>
      <c r="H3262" s="57" t="s">
        <v>252</v>
      </c>
      <c r="I3262" s="57"/>
      <c r="J3262" s="57" t="s">
        <v>333</v>
      </c>
      <c r="K3262" s="57" t="s">
        <v>334</v>
      </c>
      <c r="L3262" s="60" t="s">
        <v>4786</v>
      </c>
      <c r="M3262" s="57" t="s">
        <v>336</v>
      </c>
      <c r="N3262" s="57" t="s">
        <v>381</v>
      </c>
      <c r="O3262" s="57" t="s">
        <v>729</v>
      </c>
      <c r="P3262" s="57" t="s">
        <v>4787</v>
      </c>
      <c r="Q3262" s="57" t="s">
        <v>698</v>
      </c>
    </row>
    <row r="3263" s="50" customFormat="true" ht="14.25" hidden="false" customHeight="true" outlineLevel="0" collapsed="false">
      <c r="A3263" s="50" t="s">
        <v>727</v>
      </c>
      <c r="B3263" s="57" t="s">
        <v>727</v>
      </c>
      <c r="C3263" s="57" t="s">
        <v>415</v>
      </c>
      <c r="D3263" s="58" t="n">
        <v>46054.4234953704</v>
      </c>
      <c r="E3263" s="58" t="n">
        <v>46054.4234953704</v>
      </c>
      <c r="F3263" s="58" t="n">
        <v>46054.4240162037</v>
      </c>
      <c r="G3263" s="59" t="n">
        <f aca="false">F3263-E3263</f>
        <v>0.000520833298611111</v>
      </c>
      <c r="H3263" s="57" t="s">
        <v>252</v>
      </c>
      <c r="I3263" s="57"/>
      <c r="J3263" s="57" t="s">
        <v>333</v>
      </c>
      <c r="K3263" s="57" t="s">
        <v>334</v>
      </c>
      <c r="L3263" s="60" t="s">
        <v>4788</v>
      </c>
      <c r="M3263" s="57" t="s">
        <v>336</v>
      </c>
      <c r="N3263" s="57" t="s">
        <v>381</v>
      </c>
      <c r="O3263" s="57" t="s">
        <v>729</v>
      </c>
      <c r="P3263" s="57" t="s">
        <v>4789</v>
      </c>
      <c r="Q3263" s="57" t="s">
        <v>698</v>
      </c>
    </row>
    <row r="3264" s="50" customFormat="true" ht="14.25" hidden="false" customHeight="true" outlineLevel="0" collapsed="false">
      <c r="A3264" s="50" t="s">
        <v>727</v>
      </c>
      <c r="B3264" s="57" t="s">
        <v>727</v>
      </c>
      <c r="C3264" s="57" t="s">
        <v>415</v>
      </c>
      <c r="D3264" s="58" t="n">
        <v>46054.4160300926</v>
      </c>
      <c r="E3264" s="58" t="n">
        <v>46054.4160300926</v>
      </c>
      <c r="F3264" s="58" t="n">
        <v>46054.4165277778</v>
      </c>
      <c r="G3264" s="59" t="n">
        <f aca="false">F3264-E3264</f>
        <v>0.000497685196759259</v>
      </c>
      <c r="H3264" s="57" t="s">
        <v>252</v>
      </c>
      <c r="I3264" s="57"/>
      <c r="J3264" s="57" t="s">
        <v>333</v>
      </c>
      <c r="K3264" s="57" t="s">
        <v>334</v>
      </c>
      <c r="L3264" s="60" t="s">
        <v>4790</v>
      </c>
      <c r="M3264" s="57" t="s">
        <v>336</v>
      </c>
      <c r="N3264" s="57" t="s">
        <v>381</v>
      </c>
      <c r="O3264" s="57" t="s">
        <v>729</v>
      </c>
      <c r="P3264" s="57" t="s">
        <v>4791</v>
      </c>
      <c r="Q3264" s="57" t="s">
        <v>698</v>
      </c>
    </row>
    <row r="3265" s="50" customFormat="true" ht="14.25" hidden="false" customHeight="true" outlineLevel="0" collapsed="false">
      <c r="A3265" s="50" t="s">
        <v>727</v>
      </c>
      <c r="B3265" s="57" t="s">
        <v>727</v>
      </c>
      <c r="C3265" s="57" t="s">
        <v>415</v>
      </c>
      <c r="D3265" s="58" t="n">
        <v>46054.4024768519</v>
      </c>
      <c r="E3265" s="58" t="n">
        <v>46054.4024768519</v>
      </c>
      <c r="F3265" s="58" t="n">
        <v>46054.4029976852</v>
      </c>
      <c r="G3265" s="59" t="n">
        <f aca="false">F3265-E3265</f>
        <v>0.000520833298611111</v>
      </c>
      <c r="H3265" s="57" t="s">
        <v>252</v>
      </c>
      <c r="I3265" s="57"/>
      <c r="J3265" s="57" t="s">
        <v>333</v>
      </c>
      <c r="K3265" s="57" t="s">
        <v>334</v>
      </c>
      <c r="L3265" s="60" t="s">
        <v>4792</v>
      </c>
      <c r="M3265" s="57" t="s">
        <v>336</v>
      </c>
      <c r="N3265" s="57" t="s">
        <v>381</v>
      </c>
      <c r="O3265" s="57" t="s">
        <v>729</v>
      </c>
      <c r="P3265" s="57" t="s">
        <v>4793</v>
      </c>
      <c r="Q3265" s="57" t="s">
        <v>698</v>
      </c>
    </row>
    <row r="3266" s="50" customFormat="true" ht="14.25" hidden="false" customHeight="true" outlineLevel="0" collapsed="false">
      <c r="A3266" s="50" t="s">
        <v>727</v>
      </c>
      <c r="B3266" s="57" t="s">
        <v>727</v>
      </c>
      <c r="C3266" s="57" t="s">
        <v>415</v>
      </c>
      <c r="D3266" s="58" t="n">
        <v>46054.3960185185</v>
      </c>
      <c r="E3266" s="58" t="n">
        <v>46054.3960185185</v>
      </c>
      <c r="F3266" s="58" t="n">
        <v>46054.3965625</v>
      </c>
      <c r="G3266" s="59" t="n">
        <f aca="false">F3266-E3266</f>
        <v>0.00054398150462963</v>
      </c>
      <c r="H3266" s="57" t="s">
        <v>252</v>
      </c>
      <c r="I3266" s="57"/>
      <c r="J3266" s="57" t="s">
        <v>333</v>
      </c>
      <c r="K3266" s="57" t="s">
        <v>334</v>
      </c>
      <c r="L3266" s="60" t="s">
        <v>4794</v>
      </c>
      <c r="M3266" s="57" t="s">
        <v>336</v>
      </c>
      <c r="N3266" s="57" t="s">
        <v>381</v>
      </c>
      <c r="O3266" s="57" t="s">
        <v>729</v>
      </c>
      <c r="P3266" s="57" t="s">
        <v>4795</v>
      </c>
      <c r="Q3266" s="57" t="s">
        <v>698</v>
      </c>
    </row>
    <row r="3267" s="50" customFormat="true" ht="14.25" hidden="false" customHeight="true" outlineLevel="0" collapsed="false">
      <c r="A3267" s="50" t="s">
        <v>727</v>
      </c>
      <c r="B3267" s="57" t="s">
        <v>727</v>
      </c>
      <c r="C3267" s="57" t="s">
        <v>415</v>
      </c>
      <c r="D3267" s="58" t="n">
        <v>46054.3833564815</v>
      </c>
      <c r="E3267" s="58" t="n">
        <v>46054.3833564815</v>
      </c>
      <c r="F3267" s="58" t="n">
        <v>46054.3838888889</v>
      </c>
      <c r="G3267" s="59" t="n">
        <f aca="false">F3267-E3267</f>
        <v>0.000532407407407407</v>
      </c>
      <c r="H3267" s="57" t="s">
        <v>252</v>
      </c>
      <c r="I3267" s="57"/>
      <c r="J3267" s="57" t="s">
        <v>333</v>
      </c>
      <c r="K3267" s="57" t="s">
        <v>334</v>
      </c>
      <c r="L3267" s="60" t="s">
        <v>4796</v>
      </c>
      <c r="M3267" s="57" t="s">
        <v>336</v>
      </c>
      <c r="N3267" s="57" t="s">
        <v>381</v>
      </c>
      <c r="O3267" s="57" t="s">
        <v>729</v>
      </c>
      <c r="P3267" s="57" t="s">
        <v>4797</v>
      </c>
      <c r="Q3267" s="57" t="s">
        <v>698</v>
      </c>
    </row>
    <row r="3268" s="50" customFormat="true" ht="14.25" hidden="false" customHeight="true" outlineLevel="0" collapsed="false">
      <c r="A3268" s="50" t="s">
        <v>727</v>
      </c>
      <c r="B3268" s="57" t="s">
        <v>727</v>
      </c>
      <c r="C3268" s="57" t="s">
        <v>415</v>
      </c>
      <c r="D3268" s="58" t="n">
        <v>46054.3714467593</v>
      </c>
      <c r="E3268" s="58" t="n">
        <v>46054.3714467593</v>
      </c>
      <c r="F3268" s="58" t="n">
        <v>46054.3719560185</v>
      </c>
      <c r="G3268" s="59" t="n">
        <f aca="false">F3268-E3268</f>
        <v>0.000509259201388889</v>
      </c>
      <c r="H3268" s="57" t="s">
        <v>252</v>
      </c>
      <c r="I3268" s="57"/>
      <c r="J3268" s="57" t="s">
        <v>333</v>
      </c>
      <c r="K3268" s="57" t="s">
        <v>334</v>
      </c>
      <c r="L3268" s="60" t="s">
        <v>4798</v>
      </c>
      <c r="M3268" s="57" t="s">
        <v>336</v>
      </c>
      <c r="N3268" s="57" t="s">
        <v>381</v>
      </c>
      <c r="O3268" s="57" t="s">
        <v>729</v>
      </c>
      <c r="P3268" s="57" t="s">
        <v>4799</v>
      </c>
      <c r="Q3268" s="57" t="s">
        <v>698</v>
      </c>
    </row>
    <row r="3269" s="50" customFormat="true" ht="14.25" hidden="false" customHeight="true" outlineLevel="0" collapsed="false">
      <c r="A3269" s="50" t="s">
        <v>727</v>
      </c>
      <c r="B3269" s="57" t="s">
        <v>727</v>
      </c>
      <c r="C3269" s="57" t="s">
        <v>415</v>
      </c>
      <c r="D3269" s="58" t="n">
        <v>46054.3602199074</v>
      </c>
      <c r="E3269" s="58" t="n">
        <v>46054.3602199074</v>
      </c>
      <c r="F3269" s="58" t="n">
        <v>46054.3607175926</v>
      </c>
      <c r="G3269" s="59" t="n">
        <f aca="false">F3269-E3269</f>
        <v>0.000497685196759259</v>
      </c>
      <c r="H3269" s="57" t="s">
        <v>252</v>
      </c>
      <c r="I3269" s="57"/>
      <c r="J3269" s="57" t="s">
        <v>333</v>
      </c>
      <c r="K3269" s="57" t="s">
        <v>334</v>
      </c>
      <c r="L3269" s="60" t="s">
        <v>4800</v>
      </c>
      <c r="M3269" s="57" t="s">
        <v>336</v>
      </c>
      <c r="N3269" s="57" t="s">
        <v>381</v>
      </c>
      <c r="O3269" s="57" t="s">
        <v>729</v>
      </c>
      <c r="P3269" s="57" t="s">
        <v>4801</v>
      </c>
      <c r="Q3269" s="57" t="s">
        <v>698</v>
      </c>
    </row>
    <row r="3270" s="50" customFormat="true" ht="14.25" hidden="false" customHeight="true" outlineLevel="0" collapsed="false">
      <c r="A3270" s="50" t="s">
        <v>727</v>
      </c>
      <c r="B3270" s="57" t="s">
        <v>727</v>
      </c>
      <c r="C3270" s="57" t="s">
        <v>415</v>
      </c>
      <c r="D3270" s="58" t="n">
        <v>46054.3545023148</v>
      </c>
      <c r="E3270" s="58" t="n">
        <v>46054.3545023148</v>
      </c>
      <c r="F3270" s="58" t="n">
        <v>46054.3550115741</v>
      </c>
      <c r="G3270" s="59" t="n">
        <f aca="false">F3270-E3270</f>
        <v>0.000509259293981482</v>
      </c>
      <c r="H3270" s="57" t="s">
        <v>252</v>
      </c>
      <c r="I3270" s="57"/>
      <c r="J3270" s="57" t="s">
        <v>333</v>
      </c>
      <c r="K3270" s="57" t="s">
        <v>334</v>
      </c>
      <c r="L3270" s="60" t="s">
        <v>4802</v>
      </c>
      <c r="M3270" s="57" t="s">
        <v>336</v>
      </c>
      <c r="N3270" s="57" t="s">
        <v>381</v>
      </c>
      <c r="O3270" s="57" t="s">
        <v>729</v>
      </c>
      <c r="P3270" s="57" t="s">
        <v>4803</v>
      </c>
      <c r="Q3270" s="57" t="s">
        <v>698</v>
      </c>
    </row>
    <row r="3271" s="50" customFormat="true" ht="14.25" hidden="false" customHeight="true" outlineLevel="0" collapsed="false">
      <c r="A3271" s="50" t="s">
        <v>727</v>
      </c>
      <c r="B3271" s="57" t="s">
        <v>727</v>
      </c>
      <c r="C3271" s="57" t="s">
        <v>415</v>
      </c>
      <c r="D3271" s="58" t="n">
        <v>46054.3456712963</v>
      </c>
      <c r="E3271" s="58" t="n">
        <v>46054.3456712963</v>
      </c>
      <c r="F3271" s="58" t="n">
        <v>46054.3461805556</v>
      </c>
      <c r="G3271" s="59" t="n">
        <f aca="false">F3271-E3271</f>
        <v>0.000509259293981482</v>
      </c>
      <c r="H3271" s="57" t="s">
        <v>252</v>
      </c>
      <c r="I3271" s="57"/>
      <c r="J3271" s="57" t="s">
        <v>333</v>
      </c>
      <c r="K3271" s="57" t="s">
        <v>334</v>
      </c>
      <c r="L3271" s="60" t="s">
        <v>4804</v>
      </c>
      <c r="M3271" s="57" t="s">
        <v>336</v>
      </c>
      <c r="N3271" s="57" t="s">
        <v>381</v>
      </c>
      <c r="O3271" s="57" t="s">
        <v>729</v>
      </c>
      <c r="P3271" s="57" t="s">
        <v>4805</v>
      </c>
      <c r="Q3271" s="57" t="s">
        <v>698</v>
      </c>
    </row>
    <row r="3272" s="50" customFormat="true" ht="14.25" hidden="false" customHeight="true" outlineLevel="0" collapsed="false">
      <c r="A3272" s="50" t="s">
        <v>727</v>
      </c>
      <c r="B3272" s="57" t="s">
        <v>727</v>
      </c>
      <c r="C3272" s="57" t="s">
        <v>415</v>
      </c>
      <c r="D3272" s="58" t="n">
        <v>46054.3338541667</v>
      </c>
      <c r="E3272" s="58" t="n">
        <v>46054.3338541667</v>
      </c>
      <c r="F3272" s="58" t="n">
        <v>46054.3343981481</v>
      </c>
      <c r="G3272" s="59" t="n">
        <f aca="false">F3272-E3272</f>
        <v>0.000543981400462963</v>
      </c>
      <c r="H3272" s="57" t="s">
        <v>252</v>
      </c>
      <c r="I3272" s="57"/>
      <c r="J3272" s="57" t="s">
        <v>333</v>
      </c>
      <c r="K3272" s="57" t="s">
        <v>334</v>
      </c>
      <c r="L3272" s="60" t="s">
        <v>4806</v>
      </c>
      <c r="M3272" s="57" t="s">
        <v>336</v>
      </c>
      <c r="N3272" s="57" t="s">
        <v>381</v>
      </c>
      <c r="O3272" s="57" t="s">
        <v>729</v>
      </c>
      <c r="P3272" s="57" t="s">
        <v>4807</v>
      </c>
      <c r="Q3272" s="57" t="s">
        <v>698</v>
      </c>
    </row>
    <row r="3273" s="50" customFormat="true" ht="14.25" hidden="false" customHeight="true" outlineLevel="0" collapsed="false">
      <c r="A3273" s="50" t="s">
        <v>727</v>
      </c>
      <c r="B3273" s="57" t="s">
        <v>727</v>
      </c>
      <c r="C3273" s="57" t="s">
        <v>415</v>
      </c>
      <c r="D3273" s="58" t="n">
        <v>46054.2828587963</v>
      </c>
      <c r="E3273" s="58" t="n">
        <v>46054.2828587963</v>
      </c>
      <c r="F3273" s="58" t="n">
        <v>46054.2833796296</v>
      </c>
      <c r="G3273" s="59" t="n">
        <f aca="false">F3273-E3273</f>
        <v>0.000520833298611111</v>
      </c>
      <c r="H3273" s="57" t="s">
        <v>252</v>
      </c>
      <c r="I3273" s="57"/>
      <c r="J3273" s="57" t="s">
        <v>333</v>
      </c>
      <c r="K3273" s="57" t="s">
        <v>334</v>
      </c>
      <c r="L3273" s="60" t="s">
        <v>4808</v>
      </c>
      <c r="M3273" s="57" t="s">
        <v>336</v>
      </c>
      <c r="N3273" s="57" t="s">
        <v>381</v>
      </c>
      <c r="O3273" s="57" t="s">
        <v>729</v>
      </c>
      <c r="P3273" s="57" t="s">
        <v>4809</v>
      </c>
      <c r="Q3273" s="57" t="s">
        <v>698</v>
      </c>
    </row>
    <row r="3274" s="50" customFormat="true" ht="14.25" hidden="false" customHeight="true" outlineLevel="0" collapsed="false">
      <c r="A3274" s="50" t="s">
        <v>727</v>
      </c>
      <c r="B3274" s="57" t="s">
        <v>727</v>
      </c>
      <c r="C3274" s="57" t="s">
        <v>415</v>
      </c>
      <c r="D3274" s="58" t="n">
        <v>46054.2616319444</v>
      </c>
      <c r="E3274" s="58" t="n">
        <v>46054.2616319444</v>
      </c>
      <c r="F3274" s="58" t="n">
        <v>46054.2621527778</v>
      </c>
      <c r="G3274" s="59" t="n">
        <f aca="false">F3274-E3274</f>
        <v>0.000520833402777778</v>
      </c>
      <c r="H3274" s="57" t="s">
        <v>252</v>
      </c>
      <c r="I3274" s="57"/>
      <c r="J3274" s="57" t="s">
        <v>333</v>
      </c>
      <c r="K3274" s="57" t="s">
        <v>334</v>
      </c>
      <c r="L3274" s="60" t="s">
        <v>4810</v>
      </c>
      <c r="M3274" s="57" t="s">
        <v>336</v>
      </c>
      <c r="N3274" s="57" t="s">
        <v>381</v>
      </c>
      <c r="O3274" s="57" t="s">
        <v>729</v>
      </c>
      <c r="P3274" s="57" t="s">
        <v>4811</v>
      </c>
      <c r="Q3274" s="57" t="s">
        <v>698</v>
      </c>
    </row>
    <row r="3275" s="50" customFormat="true" ht="14.25" hidden="false" customHeight="true" outlineLevel="0" collapsed="false">
      <c r="A3275" s="50" t="s">
        <v>727</v>
      </c>
      <c r="B3275" s="57" t="s">
        <v>727</v>
      </c>
      <c r="C3275" s="57" t="s">
        <v>415</v>
      </c>
      <c r="D3275" s="58" t="n">
        <v>46054.2358796296</v>
      </c>
      <c r="E3275" s="58" t="n">
        <v>46054.2358796296</v>
      </c>
      <c r="F3275" s="58" t="n">
        <v>46054.2581944445</v>
      </c>
      <c r="G3275" s="59" t="n">
        <f aca="false">F3275-E3275</f>
        <v>0.0223148148958333</v>
      </c>
      <c r="H3275" s="57" t="s">
        <v>252</v>
      </c>
      <c r="I3275" s="57"/>
      <c r="J3275" s="57" t="s">
        <v>333</v>
      </c>
      <c r="K3275" s="57" t="s">
        <v>334</v>
      </c>
      <c r="L3275" s="60" t="s">
        <v>4812</v>
      </c>
      <c r="M3275" s="57" t="s">
        <v>336</v>
      </c>
      <c r="N3275" s="57" t="s">
        <v>381</v>
      </c>
      <c r="O3275" s="57" t="s">
        <v>729</v>
      </c>
      <c r="P3275" s="57" t="s">
        <v>4813</v>
      </c>
      <c r="Q3275" s="57" t="s">
        <v>698</v>
      </c>
    </row>
    <row r="3276" s="50" customFormat="true" ht="14.25" hidden="false" customHeight="true" outlineLevel="0" collapsed="false">
      <c r="A3276" s="50" t="s">
        <v>727</v>
      </c>
      <c r="B3276" s="57" t="s">
        <v>727</v>
      </c>
      <c r="C3276" s="57" t="s">
        <v>415</v>
      </c>
      <c r="D3276" s="58" t="n">
        <v>46054.2355092593</v>
      </c>
      <c r="E3276" s="58" t="n">
        <v>46054.2355092593</v>
      </c>
      <c r="F3276" s="58" t="n">
        <v>46054.2581944445</v>
      </c>
      <c r="G3276" s="59" t="n">
        <f aca="false">F3276-E3276</f>
        <v>0.0226851851967593</v>
      </c>
      <c r="H3276" s="57" t="s">
        <v>252</v>
      </c>
      <c r="I3276" s="57"/>
      <c r="J3276" s="57" t="s">
        <v>333</v>
      </c>
      <c r="K3276" s="57" t="s">
        <v>334</v>
      </c>
      <c r="L3276" s="60" t="s">
        <v>4814</v>
      </c>
      <c r="M3276" s="57" t="s">
        <v>336</v>
      </c>
      <c r="N3276" s="57" t="s">
        <v>381</v>
      </c>
      <c r="O3276" s="57" t="s">
        <v>729</v>
      </c>
      <c r="P3276" s="57" t="s">
        <v>4815</v>
      </c>
      <c r="Q3276" s="57" t="s">
        <v>698</v>
      </c>
    </row>
    <row r="3277" s="50" customFormat="true" ht="14.25" hidden="false" customHeight="true" outlineLevel="0" collapsed="false">
      <c r="A3277" s="50" t="s">
        <v>1558</v>
      </c>
      <c r="B3277" s="1" t="s">
        <v>342</v>
      </c>
      <c r="C3277" s="1" t="s">
        <v>343</v>
      </c>
      <c r="D3277" s="58" t="n">
        <v>46077.6611574074</v>
      </c>
      <c r="E3277" s="58" t="n">
        <v>46077.6611574074</v>
      </c>
      <c r="F3277" s="58" t="n">
        <v>46077.6622569444</v>
      </c>
      <c r="G3277" s="59" t="n">
        <f aca="false">F3277-E3277</f>
        <v>0.00109953700231481</v>
      </c>
      <c r="H3277" s="57" t="s">
        <v>252</v>
      </c>
      <c r="I3277" s="57"/>
      <c r="J3277" s="57" t="s">
        <v>333</v>
      </c>
      <c r="K3277" s="57" t="s">
        <v>334</v>
      </c>
      <c r="L3277" s="1" t="s">
        <v>4816</v>
      </c>
      <c r="M3277" s="57" t="s">
        <v>336</v>
      </c>
      <c r="N3277" s="1" t="s">
        <v>4817</v>
      </c>
      <c r="O3277" s="1" t="s">
        <v>4817</v>
      </c>
      <c r="P3277" s="1"/>
      <c r="Q3277" s="1"/>
    </row>
    <row r="3278" s="50" customFormat="true" ht="14.25" hidden="false" customHeight="true" outlineLevel="0" collapsed="false">
      <c r="A3278" s="50" t="s">
        <v>1558</v>
      </c>
      <c r="B3278" s="1" t="s">
        <v>342</v>
      </c>
      <c r="C3278" s="1" t="s">
        <v>4818</v>
      </c>
      <c r="D3278" s="58" t="n">
        <v>46069.6065509259</v>
      </c>
      <c r="E3278" s="58" t="n">
        <v>46069.6065509259</v>
      </c>
      <c r="F3278" s="58" t="n">
        <v>46069.6086458333</v>
      </c>
      <c r="G3278" s="59" t="n">
        <f aca="false">F3278-E3278</f>
        <v>0.00209490740740741</v>
      </c>
      <c r="H3278" s="57" t="s">
        <v>252</v>
      </c>
      <c r="I3278" s="57"/>
      <c r="J3278" s="57" t="s">
        <v>333</v>
      </c>
      <c r="K3278" s="57" t="s">
        <v>334</v>
      </c>
      <c r="L3278" s="1" t="s">
        <v>4816</v>
      </c>
      <c r="M3278" s="57" t="s">
        <v>336</v>
      </c>
      <c r="N3278" s="1" t="s">
        <v>4817</v>
      </c>
      <c r="O3278" s="1" t="s">
        <v>4817</v>
      </c>
      <c r="P3278" s="1"/>
      <c r="Q3278" s="1"/>
    </row>
    <row r="3279" s="50" customFormat="true" ht="14.25" hidden="false" customHeight="true" outlineLevel="0" collapsed="false">
      <c r="A3279" s="50" t="s">
        <v>1558</v>
      </c>
      <c r="B3279" s="1" t="s">
        <v>342</v>
      </c>
      <c r="C3279" s="1" t="s">
        <v>4819</v>
      </c>
      <c r="D3279" s="58" t="n">
        <v>46069.6065162037</v>
      </c>
      <c r="E3279" s="58" t="n">
        <v>46069.6065162037</v>
      </c>
      <c r="F3279" s="58" t="n">
        <v>46069.608599537</v>
      </c>
      <c r="G3279" s="59" t="n">
        <f aca="false">F3279-E3279</f>
        <v>0.00208333329861111</v>
      </c>
      <c r="H3279" s="57" t="s">
        <v>252</v>
      </c>
      <c r="I3279" s="57"/>
      <c r="J3279" s="57" t="s">
        <v>333</v>
      </c>
      <c r="K3279" s="57" t="s">
        <v>334</v>
      </c>
      <c r="L3279" s="1" t="s">
        <v>4816</v>
      </c>
      <c r="M3279" s="57" t="s">
        <v>336</v>
      </c>
      <c r="N3279" s="1" t="s">
        <v>4817</v>
      </c>
      <c r="O3279" s="1" t="s">
        <v>4817</v>
      </c>
      <c r="P3279" s="1"/>
      <c r="Q3279" s="1"/>
    </row>
    <row r="3280" s="50" customFormat="true" ht="14.25" hidden="false" customHeight="true" outlineLevel="0" collapsed="false">
      <c r="A3280" s="50" t="s">
        <v>1558</v>
      </c>
      <c r="B3280" s="1" t="s">
        <v>342</v>
      </c>
      <c r="C3280" s="1" t="s">
        <v>4818</v>
      </c>
      <c r="D3280" s="58" t="n">
        <v>46069.5946180556</v>
      </c>
      <c r="E3280" s="58" t="n">
        <v>46069.5946180556</v>
      </c>
      <c r="F3280" s="58" t="n">
        <v>46069.5967013889</v>
      </c>
      <c r="G3280" s="59" t="n">
        <f aca="false">F3280-E3280</f>
        <v>0.00208333329861111</v>
      </c>
      <c r="H3280" s="57" t="s">
        <v>252</v>
      </c>
      <c r="I3280" s="57"/>
      <c r="J3280" s="57" t="s">
        <v>333</v>
      </c>
      <c r="K3280" s="57" t="s">
        <v>334</v>
      </c>
      <c r="L3280" s="1" t="s">
        <v>4816</v>
      </c>
      <c r="M3280" s="57" t="s">
        <v>336</v>
      </c>
      <c r="N3280" s="1" t="s">
        <v>4817</v>
      </c>
      <c r="O3280" s="1" t="s">
        <v>4817</v>
      </c>
      <c r="P3280" s="1"/>
      <c r="Q3280" s="1"/>
    </row>
    <row r="3281" s="50" customFormat="true" ht="14.25" hidden="false" customHeight="true" outlineLevel="0" collapsed="false">
      <c r="A3281" s="50" t="s">
        <v>1558</v>
      </c>
      <c r="B3281" s="1" t="s">
        <v>342</v>
      </c>
      <c r="C3281" s="1" t="s">
        <v>4820</v>
      </c>
      <c r="D3281" s="58" t="n">
        <v>46069.5882291667</v>
      </c>
      <c r="E3281" s="58" t="n">
        <v>46069.5882291667</v>
      </c>
      <c r="F3281" s="58" t="n">
        <v>46069.5903009259</v>
      </c>
      <c r="G3281" s="59" t="n">
        <f aca="false">F3281-E3281</f>
        <v>0.00207175920138889</v>
      </c>
      <c r="H3281" s="57" t="s">
        <v>252</v>
      </c>
      <c r="I3281" s="57"/>
      <c r="J3281" s="57" t="s">
        <v>333</v>
      </c>
      <c r="K3281" s="57" t="s">
        <v>334</v>
      </c>
      <c r="L3281" s="1" t="s">
        <v>4816</v>
      </c>
      <c r="M3281" s="57" t="s">
        <v>336</v>
      </c>
      <c r="N3281" s="1" t="s">
        <v>4817</v>
      </c>
      <c r="O3281" s="1" t="s">
        <v>4817</v>
      </c>
      <c r="P3281" s="1"/>
      <c r="Q3281" s="1"/>
    </row>
    <row r="3282" s="50" customFormat="true" ht="14.25" hidden="false" customHeight="true" outlineLevel="0" collapsed="false">
      <c r="A3282" s="50" t="s">
        <v>1558</v>
      </c>
      <c r="B3282" s="1" t="s">
        <v>342</v>
      </c>
      <c r="C3282" s="1" t="s">
        <v>4821</v>
      </c>
      <c r="D3282" s="58" t="n">
        <v>46069.5881944444</v>
      </c>
      <c r="E3282" s="58" t="n">
        <v>46069.5881944444</v>
      </c>
      <c r="F3282" s="58" t="n">
        <v>46069.5902662037</v>
      </c>
      <c r="G3282" s="59" t="n">
        <f aca="false">F3282-E3282</f>
        <v>0.00207175929398148</v>
      </c>
      <c r="H3282" s="57" t="s">
        <v>252</v>
      </c>
      <c r="I3282" s="57"/>
      <c r="J3282" s="57" t="s">
        <v>333</v>
      </c>
      <c r="K3282" s="57" t="s">
        <v>334</v>
      </c>
      <c r="L3282" s="1" t="s">
        <v>4816</v>
      </c>
      <c r="M3282" s="57" t="s">
        <v>336</v>
      </c>
      <c r="N3282" s="1" t="s">
        <v>4817</v>
      </c>
      <c r="O3282" s="1" t="s">
        <v>4817</v>
      </c>
      <c r="P3282" s="1"/>
      <c r="Q3282" s="1"/>
    </row>
    <row r="3283" s="50" customFormat="true" ht="14.25" hidden="false" customHeight="true" outlineLevel="0" collapsed="false">
      <c r="A3283" s="50" t="s">
        <v>1558</v>
      </c>
      <c r="B3283" s="1" t="s">
        <v>342</v>
      </c>
      <c r="C3283" s="1" t="s">
        <v>4818</v>
      </c>
      <c r="D3283" s="58" t="n">
        <v>46069.5881712963</v>
      </c>
      <c r="E3283" s="58" t="n">
        <v>46069.5881712963</v>
      </c>
      <c r="F3283" s="58" t="n">
        <v>46069.5902430556</v>
      </c>
      <c r="G3283" s="59" t="n">
        <f aca="false">F3283-E3283</f>
        <v>0.00207175929398148</v>
      </c>
      <c r="H3283" s="57" t="s">
        <v>252</v>
      </c>
      <c r="I3283" s="57"/>
      <c r="J3283" s="57" t="s">
        <v>333</v>
      </c>
      <c r="K3283" s="57" t="s">
        <v>334</v>
      </c>
      <c r="L3283" s="1" t="s">
        <v>4816</v>
      </c>
      <c r="M3283" s="57" t="s">
        <v>336</v>
      </c>
      <c r="N3283" s="1" t="s">
        <v>4817</v>
      </c>
      <c r="O3283" s="1" t="s">
        <v>4817</v>
      </c>
      <c r="P3283" s="1"/>
      <c r="Q3283" s="1"/>
    </row>
    <row r="3284" s="50" customFormat="true" ht="14.25" hidden="false" customHeight="true" outlineLevel="0" collapsed="false">
      <c r="A3284" s="50" t="s">
        <v>1558</v>
      </c>
      <c r="B3284" s="1" t="s">
        <v>342</v>
      </c>
      <c r="C3284" s="1" t="s">
        <v>4822</v>
      </c>
      <c r="D3284" s="58" t="n">
        <v>46069.584212963</v>
      </c>
      <c r="E3284" s="58" t="n">
        <v>46069.584212963</v>
      </c>
      <c r="F3284" s="58" t="n">
        <v>46069.5863425926</v>
      </c>
      <c r="G3284" s="59" t="n">
        <f aca="false">F3284-E3284</f>
        <v>0.00212962960648148</v>
      </c>
      <c r="H3284" s="57" t="s">
        <v>252</v>
      </c>
      <c r="I3284" s="57"/>
      <c r="J3284" s="57" t="s">
        <v>333</v>
      </c>
      <c r="K3284" s="57" t="s">
        <v>334</v>
      </c>
      <c r="L3284" s="1" t="s">
        <v>4816</v>
      </c>
      <c r="M3284" s="57" t="s">
        <v>336</v>
      </c>
      <c r="N3284" s="1" t="s">
        <v>4817</v>
      </c>
      <c r="O3284" s="1" t="s">
        <v>4817</v>
      </c>
      <c r="P3284" s="1"/>
      <c r="Q3284" s="1"/>
    </row>
    <row r="3285" s="50" customFormat="true" ht="14.25" hidden="false" customHeight="true" outlineLevel="0" collapsed="false">
      <c r="A3285" s="50" t="s">
        <v>1558</v>
      </c>
      <c r="B3285" s="1" t="s">
        <v>342</v>
      </c>
      <c r="C3285" s="1" t="s">
        <v>4823</v>
      </c>
      <c r="D3285" s="58" t="n">
        <v>46069.5842013889</v>
      </c>
      <c r="E3285" s="58" t="n">
        <v>46069.5842013889</v>
      </c>
      <c r="F3285" s="58" t="n">
        <v>46069.5863078704</v>
      </c>
      <c r="G3285" s="59" t="n">
        <f aca="false">F3285-E3285</f>
        <v>0.00210648150462963</v>
      </c>
      <c r="H3285" s="57" t="s">
        <v>252</v>
      </c>
      <c r="I3285" s="57"/>
      <c r="J3285" s="57" t="s">
        <v>333</v>
      </c>
      <c r="K3285" s="57" t="s">
        <v>334</v>
      </c>
      <c r="L3285" s="1" t="s">
        <v>4816</v>
      </c>
      <c r="M3285" s="57" t="s">
        <v>336</v>
      </c>
      <c r="N3285" s="1" t="s">
        <v>4817</v>
      </c>
      <c r="O3285" s="1" t="s">
        <v>4817</v>
      </c>
      <c r="P3285" s="1"/>
      <c r="Q3285" s="1"/>
    </row>
    <row r="3286" s="50" customFormat="true" ht="14.25" hidden="false" customHeight="true" outlineLevel="0" collapsed="false">
      <c r="A3286" s="50" t="s">
        <v>1558</v>
      </c>
      <c r="B3286" s="1" t="s">
        <v>342</v>
      </c>
      <c r="C3286" s="1" t="s">
        <v>4823</v>
      </c>
      <c r="D3286" s="58" t="n">
        <v>46069.5449537037</v>
      </c>
      <c r="E3286" s="58" t="n">
        <v>46069.5449537037</v>
      </c>
      <c r="F3286" s="58" t="n">
        <v>46069.547025463</v>
      </c>
      <c r="G3286" s="59" t="n">
        <f aca="false">F3286-E3286</f>
        <v>0.00207175929398148</v>
      </c>
      <c r="H3286" s="57" t="s">
        <v>252</v>
      </c>
      <c r="I3286" s="57"/>
      <c r="J3286" s="57" t="s">
        <v>333</v>
      </c>
      <c r="K3286" s="57" t="s">
        <v>334</v>
      </c>
      <c r="L3286" s="1" t="s">
        <v>4816</v>
      </c>
      <c r="M3286" s="57" t="s">
        <v>336</v>
      </c>
      <c r="N3286" s="1" t="s">
        <v>4817</v>
      </c>
      <c r="O3286" s="1" t="s">
        <v>4817</v>
      </c>
      <c r="P3286" s="1"/>
      <c r="Q3286" s="1"/>
    </row>
    <row r="3287" s="50" customFormat="true" ht="14.25" hidden="false" customHeight="true" outlineLevel="0" collapsed="false">
      <c r="A3287" s="50" t="s">
        <v>1558</v>
      </c>
      <c r="B3287" s="1" t="s">
        <v>342</v>
      </c>
      <c r="C3287" s="1" t="s">
        <v>4822</v>
      </c>
      <c r="D3287" s="58" t="n">
        <v>46069.5438657407</v>
      </c>
      <c r="E3287" s="58" t="n">
        <v>46069.5438657407</v>
      </c>
      <c r="F3287" s="58" t="n">
        <v>46069.5459953704</v>
      </c>
      <c r="G3287" s="59" t="n">
        <f aca="false">F3287-E3287</f>
        <v>0.00212962969907407</v>
      </c>
      <c r="H3287" s="57" t="s">
        <v>252</v>
      </c>
      <c r="I3287" s="57"/>
      <c r="J3287" s="57" t="s">
        <v>333</v>
      </c>
      <c r="K3287" s="57" t="s">
        <v>334</v>
      </c>
      <c r="L3287" s="1" t="s">
        <v>4816</v>
      </c>
      <c r="M3287" s="57" t="s">
        <v>336</v>
      </c>
      <c r="N3287" s="1" t="s">
        <v>4817</v>
      </c>
      <c r="O3287" s="1" t="s">
        <v>4817</v>
      </c>
      <c r="P3287" s="1"/>
      <c r="Q3287" s="1"/>
    </row>
    <row r="3288" s="50" customFormat="true" ht="14.25" hidden="false" customHeight="true" outlineLevel="0" collapsed="false">
      <c r="A3288" s="50" t="s">
        <v>1558</v>
      </c>
      <c r="B3288" s="1" t="s">
        <v>342</v>
      </c>
      <c r="C3288" s="1" t="s">
        <v>4819</v>
      </c>
      <c r="D3288" s="58" t="n">
        <v>46069.527650463</v>
      </c>
      <c r="E3288" s="58" t="n">
        <v>46069.527650463</v>
      </c>
      <c r="F3288" s="58" t="n">
        <v>46069.5297453704</v>
      </c>
      <c r="G3288" s="59" t="n">
        <f aca="false">F3288-E3288</f>
        <v>0.00209490739583333</v>
      </c>
      <c r="H3288" s="57" t="s">
        <v>252</v>
      </c>
      <c r="I3288" s="57"/>
      <c r="J3288" s="57" t="s">
        <v>333</v>
      </c>
      <c r="K3288" s="57" t="s">
        <v>334</v>
      </c>
      <c r="L3288" s="1" t="s">
        <v>4816</v>
      </c>
      <c r="M3288" s="57" t="s">
        <v>336</v>
      </c>
      <c r="N3288" s="1" t="s">
        <v>4817</v>
      </c>
      <c r="O3288" s="1" t="s">
        <v>4817</v>
      </c>
      <c r="P3288" s="1"/>
      <c r="Q3288" s="1"/>
    </row>
    <row r="3289" s="50" customFormat="true" ht="14.25" hidden="false" customHeight="true" outlineLevel="0" collapsed="false">
      <c r="A3289" s="50" t="s">
        <v>1558</v>
      </c>
      <c r="B3289" s="1" t="s">
        <v>342</v>
      </c>
      <c r="C3289" s="1" t="s">
        <v>4822</v>
      </c>
      <c r="D3289" s="58" t="n">
        <v>46069.5182175926</v>
      </c>
      <c r="E3289" s="58" t="n">
        <v>46069.5182175926</v>
      </c>
      <c r="F3289" s="58" t="n">
        <v>46069.5202893519</v>
      </c>
      <c r="G3289" s="59" t="n">
        <f aca="false">F3289-E3289</f>
        <v>0.00207175929398148</v>
      </c>
      <c r="H3289" s="57" t="s">
        <v>252</v>
      </c>
      <c r="I3289" s="57"/>
      <c r="J3289" s="57" t="s">
        <v>333</v>
      </c>
      <c r="K3289" s="57" t="s">
        <v>334</v>
      </c>
      <c r="L3289" s="1" t="s">
        <v>4816</v>
      </c>
      <c r="M3289" s="57" t="s">
        <v>336</v>
      </c>
      <c r="N3289" s="1" t="s">
        <v>4817</v>
      </c>
      <c r="O3289" s="1" t="s">
        <v>4817</v>
      </c>
      <c r="P3289" s="1"/>
      <c r="Q3289" s="1"/>
    </row>
    <row r="3290" s="50" customFormat="true" ht="14.25" hidden="false" customHeight="true" outlineLevel="0" collapsed="false">
      <c r="A3290" s="50" t="s">
        <v>1558</v>
      </c>
      <c r="B3290" s="1" t="s">
        <v>342</v>
      </c>
      <c r="C3290" s="1" t="s">
        <v>4822</v>
      </c>
      <c r="D3290" s="58" t="n">
        <v>46069.5093981482</v>
      </c>
      <c r="E3290" s="58" t="n">
        <v>46069.5093981482</v>
      </c>
      <c r="F3290" s="58" t="n">
        <v>46069.5114699074</v>
      </c>
      <c r="G3290" s="59" t="n">
        <f aca="false">F3290-E3290</f>
        <v>0.00207175920138889</v>
      </c>
      <c r="H3290" s="57" t="s">
        <v>252</v>
      </c>
      <c r="I3290" s="57"/>
      <c r="J3290" s="57" t="s">
        <v>333</v>
      </c>
      <c r="K3290" s="57" t="s">
        <v>334</v>
      </c>
      <c r="L3290" s="1" t="s">
        <v>4816</v>
      </c>
      <c r="M3290" s="57" t="s">
        <v>336</v>
      </c>
      <c r="N3290" s="1" t="s">
        <v>4817</v>
      </c>
      <c r="O3290" s="1" t="s">
        <v>4817</v>
      </c>
      <c r="P3290" s="1"/>
      <c r="Q3290" s="1"/>
    </row>
    <row r="3291" s="50" customFormat="true" ht="14.25" hidden="false" customHeight="true" outlineLevel="0" collapsed="false">
      <c r="A3291" s="50" t="s">
        <v>1558</v>
      </c>
      <c r="B3291" s="1" t="s">
        <v>342</v>
      </c>
      <c r="C3291" s="1" t="s">
        <v>4819</v>
      </c>
      <c r="D3291" s="58" t="n">
        <v>46068.4646180556</v>
      </c>
      <c r="E3291" s="58" t="n">
        <v>46068.4646180556</v>
      </c>
      <c r="F3291" s="58" t="n">
        <v>46068.4667013889</v>
      </c>
      <c r="G3291" s="59" t="n">
        <f aca="false">F3291-E3291</f>
        <v>0.00208333329861111</v>
      </c>
      <c r="H3291" s="57" t="s">
        <v>252</v>
      </c>
      <c r="I3291" s="57"/>
      <c r="J3291" s="57" t="s">
        <v>333</v>
      </c>
      <c r="K3291" s="57" t="s">
        <v>334</v>
      </c>
      <c r="L3291" s="1" t="s">
        <v>4816</v>
      </c>
      <c r="M3291" s="57" t="s">
        <v>336</v>
      </c>
      <c r="N3291" s="1" t="s">
        <v>4817</v>
      </c>
      <c r="O3291" s="1" t="s">
        <v>4817</v>
      </c>
      <c r="P3291" s="1"/>
      <c r="Q3291" s="1"/>
    </row>
    <row r="3292" s="50" customFormat="true" ht="14.25" hidden="false" customHeight="true" outlineLevel="0" collapsed="false">
      <c r="A3292" s="50" t="s">
        <v>1558</v>
      </c>
      <c r="B3292" s="1" t="s">
        <v>342</v>
      </c>
      <c r="C3292" s="1" t="s">
        <v>343</v>
      </c>
      <c r="D3292" s="58" t="n">
        <v>46057.5857175926</v>
      </c>
      <c r="E3292" s="58" t="n">
        <v>46057.5857175926</v>
      </c>
      <c r="F3292" s="58" t="n">
        <v>46057.5878240741</v>
      </c>
      <c r="G3292" s="59" t="n">
        <f aca="false">F3292-E3292</f>
        <v>0.00210648150462963</v>
      </c>
      <c r="H3292" s="57" t="s">
        <v>252</v>
      </c>
      <c r="I3292" s="57"/>
      <c r="J3292" s="57" t="s">
        <v>333</v>
      </c>
      <c r="K3292" s="57" t="s">
        <v>334</v>
      </c>
      <c r="L3292" s="1" t="s">
        <v>4816</v>
      </c>
      <c r="M3292" s="57" t="s">
        <v>336</v>
      </c>
      <c r="N3292" s="1" t="s">
        <v>4817</v>
      </c>
      <c r="O3292" s="1" t="s">
        <v>4817</v>
      </c>
      <c r="P3292" s="1"/>
      <c r="Q3292" s="1"/>
    </row>
    <row r="3293" s="50" customFormat="true" ht="14.25" hidden="false" customHeight="true" outlineLevel="0" collapsed="false">
      <c r="A3293" s="50" t="s">
        <v>1558</v>
      </c>
      <c r="B3293" s="1" t="s">
        <v>342</v>
      </c>
      <c r="C3293" s="1" t="s">
        <v>343</v>
      </c>
      <c r="D3293" s="58" t="n">
        <v>46055.4968402778</v>
      </c>
      <c r="E3293" s="58" t="n">
        <v>46055.4968402778</v>
      </c>
      <c r="F3293" s="58" t="n">
        <v>46055.4989351852</v>
      </c>
      <c r="G3293" s="59" t="n">
        <f aca="false">F3293-E3293</f>
        <v>0.00209490739583333</v>
      </c>
      <c r="H3293" s="57" t="s">
        <v>252</v>
      </c>
      <c r="I3293" s="57"/>
      <c r="J3293" s="57" t="s">
        <v>333</v>
      </c>
      <c r="K3293" s="57" t="s">
        <v>334</v>
      </c>
      <c r="L3293" s="1" t="s">
        <v>4816</v>
      </c>
      <c r="M3293" s="57" t="s">
        <v>336</v>
      </c>
      <c r="N3293" s="1" t="s">
        <v>4817</v>
      </c>
      <c r="O3293" s="1" t="s">
        <v>4817</v>
      </c>
      <c r="P3293" s="1"/>
      <c r="Q3293" s="1"/>
    </row>
    <row r="3294" s="50" customFormat="true" ht="14.25" hidden="false" customHeight="true" outlineLevel="0" collapsed="false">
      <c r="A3294" s="50" t="s">
        <v>4824</v>
      </c>
      <c r="B3294" s="1" t="s">
        <v>18</v>
      </c>
      <c r="C3294" s="1" t="s">
        <v>394</v>
      </c>
      <c r="D3294" s="58" t="n">
        <v>46078.4974074074</v>
      </c>
      <c r="E3294" s="58" t="n">
        <v>46078.4974074074</v>
      </c>
      <c r="F3294" s="58" t="n">
        <v>46078.4995138889</v>
      </c>
      <c r="G3294" s="59" t="n">
        <f aca="false">F3294-E3294</f>
        <v>0.00210648150462963</v>
      </c>
      <c r="H3294" s="57" t="s">
        <v>252</v>
      </c>
      <c r="I3294" s="57"/>
      <c r="J3294" s="57" t="s">
        <v>333</v>
      </c>
      <c r="K3294" s="57" t="s">
        <v>334</v>
      </c>
      <c r="L3294" s="1" t="s">
        <v>4816</v>
      </c>
      <c r="M3294" s="57" t="s">
        <v>336</v>
      </c>
      <c r="N3294" s="1" t="s">
        <v>4817</v>
      </c>
      <c r="O3294" s="1" t="s">
        <v>4817</v>
      </c>
      <c r="P3294" s="1"/>
      <c r="Q3294" s="1"/>
    </row>
    <row r="3295" s="50" customFormat="true" ht="14.25" hidden="false" customHeight="true" outlineLevel="0" collapsed="false">
      <c r="A3295" s="50" t="s">
        <v>4824</v>
      </c>
      <c r="B3295" s="1" t="s">
        <v>18</v>
      </c>
      <c r="C3295" s="1" t="s">
        <v>395</v>
      </c>
      <c r="D3295" s="58" t="n">
        <v>46075.2633449074</v>
      </c>
      <c r="E3295" s="58" t="n">
        <v>46075.2633449074</v>
      </c>
      <c r="F3295" s="58" t="n">
        <v>46075.2653472222</v>
      </c>
      <c r="G3295" s="59" t="n">
        <f aca="false">F3295-E3295</f>
        <v>0.00200231480324074</v>
      </c>
      <c r="H3295" s="57" t="s">
        <v>252</v>
      </c>
      <c r="I3295" s="57"/>
      <c r="J3295" s="57" t="s">
        <v>333</v>
      </c>
      <c r="K3295" s="57" t="s">
        <v>334</v>
      </c>
      <c r="L3295" s="1" t="s">
        <v>4825</v>
      </c>
      <c r="M3295" s="57" t="s">
        <v>336</v>
      </c>
      <c r="N3295" s="1" t="s">
        <v>4817</v>
      </c>
      <c r="O3295" s="1" t="s">
        <v>4817</v>
      </c>
      <c r="P3295" s="1"/>
      <c r="Q3295" s="1"/>
    </row>
    <row r="3296" s="50" customFormat="true" ht="14.25" hidden="false" customHeight="true" outlineLevel="0" collapsed="false">
      <c r="A3296" s="50" t="s">
        <v>4824</v>
      </c>
      <c r="B3296" s="1" t="s">
        <v>18</v>
      </c>
      <c r="C3296" s="1" t="s">
        <v>395</v>
      </c>
      <c r="D3296" s="58" t="n">
        <v>46074.3333680556</v>
      </c>
      <c r="E3296" s="58" t="n">
        <v>46074.3333680556</v>
      </c>
      <c r="F3296" s="58" t="n">
        <v>46074.3354050926</v>
      </c>
      <c r="G3296" s="59" t="n">
        <f aca="false">F3296-E3296</f>
        <v>0.00203703700231482</v>
      </c>
      <c r="H3296" s="57" t="s">
        <v>252</v>
      </c>
      <c r="I3296" s="57"/>
      <c r="J3296" s="57" t="s">
        <v>333</v>
      </c>
      <c r="K3296" s="57" t="s">
        <v>334</v>
      </c>
      <c r="L3296" s="1" t="s">
        <v>4825</v>
      </c>
      <c r="M3296" s="57" t="s">
        <v>336</v>
      </c>
      <c r="N3296" s="1" t="s">
        <v>4817</v>
      </c>
      <c r="O3296" s="1" t="s">
        <v>4817</v>
      </c>
      <c r="P3296" s="1"/>
      <c r="Q3296" s="1"/>
    </row>
    <row r="3297" s="50" customFormat="true" ht="14.25" hidden="false" customHeight="true" outlineLevel="0" collapsed="false">
      <c r="A3297" s="50" t="s">
        <v>4824</v>
      </c>
      <c r="B3297" s="1" t="s">
        <v>18</v>
      </c>
      <c r="C3297" s="1" t="s">
        <v>395</v>
      </c>
      <c r="D3297" s="58" t="n">
        <v>46074.2929861111</v>
      </c>
      <c r="E3297" s="58" t="n">
        <v>46074.2929861111</v>
      </c>
      <c r="F3297" s="58" t="n">
        <v>46074.2949768519</v>
      </c>
      <c r="G3297" s="59" t="n">
        <f aca="false">F3297-E3297</f>
        <v>0.00199074081018519</v>
      </c>
      <c r="H3297" s="57" t="s">
        <v>252</v>
      </c>
      <c r="I3297" s="57"/>
      <c r="J3297" s="57" t="s">
        <v>333</v>
      </c>
      <c r="K3297" s="57" t="s">
        <v>334</v>
      </c>
      <c r="L3297" s="1" t="s">
        <v>4825</v>
      </c>
      <c r="M3297" s="57" t="s">
        <v>336</v>
      </c>
      <c r="N3297" s="1" t="s">
        <v>4817</v>
      </c>
      <c r="O3297" s="1" t="s">
        <v>4817</v>
      </c>
      <c r="P3297" s="1"/>
      <c r="Q3297" s="1"/>
    </row>
    <row r="3298" s="50" customFormat="true" ht="14.25" hidden="false" customHeight="true" outlineLevel="0" collapsed="false">
      <c r="A3298" s="50" t="s">
        <v>4824</v>
      </c>
      <c r="B3298" s="1" t="s">
        <v>18</v>
      </c>
      <c r="C3298" s="1" t="s">
        <v>395</v>
      </c>
      <c r="D3298" s="58" t="n">
        <v>46072.2575347222</v>
      </c>
      <c r="E3298" s="58" t="n">
        <v>46072.2575347222</v>
      </c>
      <c r="F3298" s="58" t="n">
        <v>46072.2595717593</v>
      </c>
      <c r="G3298" s="59" t="n">
        <f aca="false">F3298-E3298</f>
        <v>0.00203703709490741</v>
      </c>
      <c r="H3298" s="57" t="s">
        <v>252</v>
      </c>
      <c r="I3298" s="57"/>
      <c r="J3298" s="57" t="s">
        <v>333</v>
      </c>
      <c r="K3298" s="57" t="s">
        <v>334</v>
      </c>
      <c r="L3298" s="1" t="s">
        <v>4825</v>
      </c>
      <c r="M3298" s="57" t="s">
        <v>336</v>
      </c>
      <c r="N3298" s="1" t="s">
        <v>4817</v>
      </c>
      <c r="O3298" s="1" t="s">
        <v>4817</v>
      </c>
      <c r="P3298" s="1"/>
      <c r="Q3298" s="1"/>
    </row>
    <row r="3299" s="50" customFormat="true" ht="14.25" hidden="false" customHeight="true" outlineLevel="0" collapsed="false">
      <c r="A3299" s="50" t="s">
        <v>4824</v>
      </c>
      <c r="B3299" s="1" t="s">
        <v>18</v>
      </c>
      <c r="C3299" s="1" t="s">
        <v>395</v>
      </c>
      <c r="D3299" s="58" t="n">
        <v>46071.7836805556</v>
      </c>
      <c r="E3299" s="58" t="n">
        <v>46071.7836805556</v>
      </c>
      <c r="F3299" s="58" t="n">
        <v>46071.785775463</v>
      </c>
      <c r="G3299" s="59" t="n">
        <f aca="false">F3299-E3299</f>
        <v>0.00209490740740741</v>
      </c>
      <c r="H3299" s="57" t="s">
        <v>252</v>
      </c>
      <c r="I3299" s="57"/>
      <c r="J3299" s="57" t="s">
        <v>333</v>
      </c>
      <c r="K3299" s="57" t="s">
        <v>334</v>
      </c>
      <c r="L3299" s="1" t="s">
        <v>4825</v>
      </c>
      <c r="M3299" s="57" t="s">
        <v>336</v>
      </c>
      <c r="N3299" s="1" t="s">
        <v>4817</v>
      </c>
      <c r="O3299" s="1" t="s">
        <v>4817</v>
      </c>
      <c r="P3299" s="1"/>
      <c r="Q3299" s="1"/>
    </row>
    <row r="3300" s="50" customFormat="true" ht="14.25" hidden="false" customHeight="true" outlineLevel="0" collapsed="false">
      <c r="A3300" s="50" t="s">
        <v>4824</v>
      </c>
      <c r="B3300" s="1" t="s">
        <v>18</v>
      </c>
      <c r="C3300" s="1" t="s">
        <v>395</v>
      </c>
      <c r="D3300" s="58" t="n">
        <v>46067.2568518519</v>
      </c>
      <c r="E3300" s="58" t="n">
        <v>46067.2568518519</v>
      </c>
      <c r="F3300" s="58" t="n">
        <v>46067.2588773148</v>
      </c>
      <c r="G3300" s="59" t="n">
        <f aca="false">F3300-E3300</f>
        <v>0.00202546290509259</v>
      </c>
      <c r="H3300" s="57" t="s">
        <v>252</v>
      </c>
      <c r="I3300" s="57"/>
      <c r="J3300" s="57" t="s">
        <v>333</v>
      </c>
      <c r="K3300" s="57" t="s">
        <v>334</v>
      </c>
      <c r="L3300" s="1" t="s">
        <v>4825</v>
      </c>
      <c r="M3300" s="57" t="s">
        <v>336</v>
      </c>
      <c r="N3300" s="1" t="s">
        <v>4817</v>
      </c>
      <c r="O3300" s="1" t="s">
        <v>4817</v>
      </c>
      <c r="P3300" s="1"/>
      <c r="Q3300" s="1"/>
    </row>
    <row r="3301" s="50" customFormat="true" ht="14.25" hidden="false" customHeight="true" outlineLevel="0" collapsed="false">
      <c r="A3301" s="50" t="s">
        <v>4824</v>
      </c>
      <c r="B3301" s="1" t="s">
        <v>18</v>
      </c>
      <c r="C3301" s="1" t="s">
        <v>395</v>
      </c>
      <c r="D3301" s="58" t="n">
        <v>46065.7826388889</v>
      </c>
      <c r="E3301" s="58" t="n">
        <v>46065.7826388889</v>
      </c>
      <c r="F3301" s="58" t="n">
        <v>46065.7846643519</v>
      </c>
      <c r="G3301" s="59" t="n">
        <f aca="false">F3301-E3301</f>
        <v>0.00202546299768519</v>
      </c>
      <c r="H3301" s="57" t="s">
        <v>252</v>
      </c>
      <c r="I3301" s="57"/>
      <c r="J3301" s="57" t="s">
        <v>333</v>
      </c>
      <c r="K3301" s="57" t="s">
        <v>334</v>
      </c>
      <c r="L3301" s="1" t="s">
        <v>4825</v>
      </c>
      <c r="M3301" s="57" t="s">
        <v>336</v>
      </c>
      <c r="N3301" s="1" t="s">
        <v>4817</v>
      </c>
      <c r="O3301" s="1" t="s">
        <v>4817</v>
      </c>
      <c r="P3301" s="1"/>
      <c r="Q3301" s="1"/>
    </row>
    <row r="3302" s="50" customFormat="true" ht="14.25" hidden="false" customHeight="true" outlineLevel="0" collapsed="false">
      <c r="A3302" s="50" t="s">
        <v>4824</v>
      </c>
      <c r="B3302" s="1" t="s">
        <v>18</v>
      </c>
      <c r="C3302" s="1" t="s">
        <v>395</v>
      </c>
      <c r="D3302" s="58" t="n">
        <v>46062.7795833333</v>
      </c>
      <c r="E3302" s="58" t="n">
        <v>46062.7795833333</v>
      </c>
      <c r="F3302" s="58" t="n">
        <v>46062.7816087963</v>
      </c>
      <c r="G3302" s="59" t="n">
        <f aca="false">F3302-E3302</f>
        <v>0.00202546299768519</v>
      </c>
      <c r="H3302" s="57" t="s">
        <v>252</v>
      </c>
      <c r="I3302" s="57"/>
      <c r="J3302" s="57" t="s">
        <v>333</v>
      </c>
      <c r="K3302" s="57" t="s">
        <v>334</v>
      </c>
      <c r="L3302" s="1" t="s">
        <v>4825</v>
      </c>
      <c r="M3302" s="57" t="s">
        <v>336</v>
      </c>
      <c r="N3302" s="1" t="s">
        <v>4817</v>
      </c>
      <c r="O3302" s="1" t="s">
        <v>4817</v>
      </c>
      <c r="P3302" s="1"/>
      <c r="Q3302" s="1"/>
    </row>
    <row r="3303" s="50" customFormat="true" ht="14.25" hidden="false" customHeight="true" outlineLevel="0" collapsed="false">
      <c r="A3303" s="50" t="s">
        <v>4824</v>
      </c>
      <c r="B3303" s="1" t="s">
        <v>18</v>
      </c>
      <c r="C3303" s="1" t="s">
        <v>394</v>
      </c>
      <c r="D3303" s="58" t="n">
        <v>46061.421712963</v>
      </c>
      <c r="E3303" s="58" t="n">
        <v>46061.421712963</v>
      </c>
      <c r="F3303" s="58" t="n">
        <v>46061.4238310185</v>
      </c>
      <c r="G3303" s="59" t="n">
        <f aca="false">F3303-E3303</f>
        <v>0.00211805550925926</v>
      </c>
      <c r="H3303" s="57" t="s">
        <v>252</v>
      </c>
      <c r="I3303" s="57"/>
      <c r="J3303" s="57" t="s">
        <v>333</v>
      </c>
      <c r="K3303" s="57" t="s">
        <v>334</v>
      </c>
      <c r="L3303" s="1" t="s">
        <v>4816</v>
      </c>
      <c r="M3303" s="57" t="s">
        <v>336</v>
      </c>
      <c r="N3303" s="1" t="s">
        <v>4817</v>
      </c>
      <c r="O3303" s="1" t="s">
        <v>4817</v>
      </c>
      <c r="P3303" s="1"/>
      <c r="Q3303" s="1"/>
    </row>
    <row r="3304" s="50" customFormat="true" ht="14.25" hidden="false" customHeight="true" outlineLevel="0" collapsed="false">
      <c r="A3304" s="50" t="s">
        <v>4824</v>
      </c>
      <c r="B3304" s="1" t="s">
        <v>18</v>
      </c>
      <c r="C3304" s="1" t="s">
        <v>395</v>
      </c>
      <c r="D3304" s="58" t="n">
        <v>46059.7880439815</v>
      </c>
      <c r="E3304" s="58" t="n">
        <v>46059.7880439815</v>
      </c>
      <c r="F3304" s="58" t="n">
        <v>46059.7900694445</v>
      </c>
      <c r="G3304" s="59" t="n">
        <f aca="false">F3304-E3304</f>
        <v>0.00202546299768519</v>
      </c>
      <c r="H3304" s="57" t="s">
        <v>252</v>
      </c>
      <c r="I3304" s="57"/>
      <c r="J3304" s="57" t="s">
        <v>333</v>
      </c>
      <c r="K3304" s="57" t="s">
        <v>334</v>
      </c>
      <c r="L3304" s="1" t="s">
        <v>4825</v>
      </c>
      <c r="M3304" s="57" t="s">
        <v>336</v>
      </c>
      <c r="N3304" s="1" t="s">
        <v>4817</v>
      </c>
      <c r="O3304" s="1" t="s">
        <v>4817</v>
      </c>
      <c r="P3304" s="1"/>
      <c r="Q3304" s="1"/>
    </row>
    <row r="3305" s="50" customFormat="true" ht="14.25" hidden="false" customHeight="true" outlineLevel="0" collapsed="false">
      <c r="A3305" s="50" t="s">
        <v>4824</v>
      </c>
      <c r="B3305" s="1" t="s">
        <v>18</v>
      </c>
      <c r="C3305" s="1" t="s">
        <v>395</v>
      </c>
      <c r="D3305" s="58" t="n">
        <v>46059.2618634259</v>
      </c>
      <c r="E3305" s="58" t="n">
        <v>46059.2618634259</v>
      </c>
      <c r="F3305" s="58" t="n">
        <v>46059.2639467593</v>
      </c>
      <c r="G3305" s="59" t="n">
        <f aca="false">F3305-E3305</f>
        <v>0.00208333340277778</v>
      </c>
      <c r="H3305" s="57" t="s">
        <v>252</v>
      </c>
      <c r="I3305" s="57"/>
      <c r="J3305" s="57" t="s">
        <v>333</v>
      </c>
      <c r="K3305" s="57" t="s">
        <v>334</v>
      </c>
      <c r="L3305" s="1" t="s">
        <v>4825</v>
      </c>
      <c r="M3305" s="57" t="s">
        <v>336</v>
      </c>
      <c r="N3305" s="1" t="s">
        <v>4817</v>
      </c>
      <c r="O3305" s="1" t="s">
        <v>4817</v>
      </c>
      <c r="P3305" s="1"/>
      <c r="Q3305" s="1"/>
    </row>
    <row r="3306" s="50" customFormat="true" ht="14.25" hidden="false" customHeight="true" outlineLevel="0" collapsed="false">
      <c r="A3306" s="50" t="s">
        <v>4824</v>
      </c>
      <c r="B3306" s="1" t="s">
        <v>18</v>
      </c>
      <c r="C3306" s="1" t="s">
        <v>395</v>
      </c>
      <c r="D3306" s="58" t="n">
        <v>46056.7884143519</v>
      </c>
      <c r="E3306" s="58" t="n">
        <v>46056.7884143519</v>
      </c>
      <c r="F3306" s="58" t="n">
        <v>46056.7904976852</v>
      </c>
      <c r="G3306" s="59" t="n">
        <f aca="false">F3306-E3306</f>
        <v>0.00208333329861111</v>
      </c>
      <c r="H3306" s="57" t="s">
        <v>252</v>
      </c>
      <c r="I3306" s="57"/>
      <c r="J3306" s="57" t="s">
        <v>333</v>
      </c>
      <c r="K3306" s="57" t="s">
        <v>334</v>
      </c>
      <c r="L3306" s="1" t="s">
        <v>4825</v>
      </c>
      <c r="M3306" s="57" t="s">
        <v>336</v>
      </c>
      <c r="N3306" s="1" t="s">
        <v>4817</v>
      </c>
      <c r="O3306" s="1" t="s">
        <v>4817</v>
      </c>
      <c r="P3306" s="1"/>
      <c r="Q3306" s="1"/>
    </row>
    <row r="3307" s="50" customFormat="true" ht="14.25" hidden="false" customHeight="true" outlineLevel="0" collapsed="false">
      <c r="A3307" s="50" t="s">
        <v>4824</v>
      </c>
      <c r="B3307" s="1" t="s">
        <v>18</v>
      </c>
      <c r="C3307" s="1" t="s">
        <v>395</v>
      </c>
      <c r="D3307" s="58" t="n">
        <v>46056.2620717593</v>
      </c>
      <c r="E3307" s="58" t="n">
        <v>46056.2620717593</v>
      </c>
      <c r="F3307" s="58" t="n">
        <v>46056.2641087963</v>
      </c>
      <c r="G3307" s="59" t="n">
        <f aca="false">F3307-E3307</f>
        <v>0.00203703700231482</v>
      </c>
      <c r="H3307" s="57" t="s">
        <v>252</v>
      </c>
      <c r="I3307" s="57"/>
      <c r="J3307" s="57" t="s">
        <v>333</v>
      </c>
      <c r="K3307" s="57" t="s">
        <v>334</v>
      </c>
      <c r="L3307" s="1" t="s">
        <v>4825</v>
      </c>
      <c r="M3307" s="57" t="s">
        <v>336</v>
      </c>
      <c r="N3307" s="1" t="s">
        <v>4817</v>
      </c>
      <c r="O3307" s="1" t="s">
        <v>4817</v>
      </c>
      <c r="P3307" s="1"/>
      <c r="Q3307" s="1"/>
    </row>
    <row r="3308" s="50" customFormat="true" ht="14.25" hidden="false" customHeight="true" outlineLevel="0" collapsed="false">
      <c r="A3308" s="50" t="s">
        <v>4824</v>
      </c>
      <c r="B3308" s="1" t="s">
        <v>18</v>
      </c>
      <c r="C3308" s="1" t="s">
        <v>395</v>
      </c>
      <c r="D3308" s="58" t="n">
        <v>46054.7871759259</v>
      </c>
      <c r="E3308" s="58" t="n">
        <v>46054.7871759259</v>
      </c>
      <c r="F3308" s="58" t="n">
        <v>46054.7892708333</v>
      </c>
      <c r="G3308" s="59" t="n">
        <f aca="false">F3308-E3308</f>
        <v>0.00209490740740741</v>
      </c>
      <c r="H3308" s="57" t="s">
        <v>252</v>
      </c>
      <c r="I3308" s="57"/>
      <c r="J3308" s="57" t="s">
        <v>333</v>
      </c>
      <c r="K3308" s="57" t="s">
        <v>334</v>
      </c>
      <c r="L3308" s="1" t="s">
        <v>4825</v>
      </c>
      <c r="M3308" s="57" t="s">
        <v>336</v>
      </c>
      <c r="N3308" s="1" t="s">
        <v>4817</v>
      </c>
      <c r="O3308" s="1" t="s">
        <v>4817</v>
      </c>
      <c r="P3308" s="1"/>
      <c r="Q3308" s="1"/>
    </row>
    <row r="3309" s="50" customFormat="true" ht="14.25" hidden="false" customHeight="true" outlineLevel="0" collapsed="false">
      <c r="A3309" s="50" t="s">
        <v>519</v>
      </c>
      <c r="B3309" s="1" t="s">
        <v>519</v>
      </c>
      <c r="C3309" s="1" t="s">
        <v>328</v>
      </c>
      <c r="D3309" s="58" t="n">
        <v>46072.7743402778</v>
      </c>
      <c r="E3309" s="58" t="s">
        <v>4826</v>
      </c>
      <c r="F3309" s="58" t="n">
        <v>46072.7744097222</v>
      </c>
      <c r="G3309" s="59" t="n">
        <f aca="false">F3309-E3309</f>
        <v>6.94444242939815E-005</v>
      </c>
      <c r="H3309" s="1" t="s">
        <v>252</v>
      </c>
      <c r="I3309" s="1"/>
      <c r="J3309" s="1" t="s">
        <v>253</v>
      </c>
      <c r="K3309" s="1" t="s">
        <v>266</v>
      </c>
      <c r="L3309" s="1" t="s">
        <v>4827</v>
      </c>
      <c r="M3309" s="1" t="s">
        <v>255</v>
      </c>
      <c r="N3309" s="1" t="s">
        <v>268</v>
      </c>
      <c r="O3309" s="1" t="s">
        <v>662</v>
      </c>
      <c r="P3309" s="1" t="s">
        <v>4828</v>
      </c>
      <c r="Q3309" s="1" t="s">
        <v>706</v>
      </c>
    </row>
    <row r="3310" s="50" customFormat="true" ht="14.25" hidden="false" customHeight="true" outlineLevel="0" collapsed="false">
      <c r="A3310" s="50" t="s">
        <v>519</v>
      </c>
      <c r="B3310" s="1" t="s">
        <v>519</v>
      </c>
      <c r="C3310" s="1" t="s">
        <v>324</v>
      </c>
      <c r="D3310" s="58" t="n">
        <v>46072.7743402778</v>
      </c>
      <c r="E3310" s="58" t="s">
        <v>4826</v>
      </c>
      <c r="F3310" s="58" t="n">
        <v>46072.7744097222</v>
      </c>
      <c r="G3310" s="59" t="n">
        <f aca="false">F3310-E3310</f>
        <v>6.94444242939815E-005</v>
      </c>
      <c r="H3310" s="1" t="s">
        <v>252</v>
      </c>
      <c r="I3310" s="1"/>
      <c r="J3310" s="1" t="s">
        <v>253</v>
      </c>
      <c r="K3310" s="1" t="s">
        <v>266</v>
      </c>
      <c r="L3310" s="1" t="s">
        <v>4827</v>
      </c>
      <c r="M3310" s="1" t="s">
        <v>255</v>
      </c>
      <c r="N3310" s="1" t="s">
        <v>268</v>
      </c>
      <c r="O3310" s="1" t="s">
        <v>662</v>
      </c>
      <c r="P3310" s="1" t="s">
        <v>4829</v>
      </c>
      <c r="Q3310" s="1" t="s">
        <v>706</v>
      </c>
    </row>
    <row r="3311" s="50" customFormat="true" ht="14.25" hidden="false" customHeight="true" outlineLevel="0" collapsed="false">
      <c r="A3311" s="50" t="s">
        <v>519</v>
      </c>
      <c r="B3311" s="1" t="s">
        <v>519</v>
      </c>
      <c r="C3311" s="1" t="s">
        <v>428</v>
      </c>
      <c r="D3311" s="58" t="n">
        <v>46072.7743402778</v>
      </c>
      <c r="E3311" s="58" t="s">
        <v>4826</v>
      </c>
      <c r="F3311" s="58" t="n">
        <v>46072.7744097222</v>
      </c>
      <c r="G3311" s="59" t="n">
        <f aca="false">F3311-E3311</f>
        <v>6.94444242939815E-005</v>
      </c>
      <c r="H3311" s="1" t="s">
        <v>252</v>
      </c>
      <c r="I3311" s="1"/>
      <c r="J3311" s="1" t="s">
        <v>253</v>
      </c>
      <c r="K3311" s="1" t="s">
        <v>266</v>
      </c>
      <c r="L3311" s="1" t="s">
        <v>4827</v>
      </c>
      <c r="M3311" s="1" t="s">
        <v>255</v>
      </c>
      <c r="N3311" s="1" t="s">
        <v>268</v>
      </c>
      <c r="O3311" s="1" t="s">
        <v>662</v>
      </c>
      <c r="P3311" s="1" t="s">
        <v>4830</v>
      </c>
      <c r="Q3311" s="1" t="s">
        <v>706</v>
      </c>
    </row>
    <row r="3312" s="50" customFormat="true" ht="14.25" hidden="false" customHeight="true" outlineLevel="0" collapsed="false">
      <c r="A3312" s="50" t="s">
        <v>519</v>
      </c>
      <c r="B3312" s="1" t="s">
        <v>519</v>
      </c>
      <c r="C3312" s="1" t="s">
        <v>326</v>
      </c>
      <c r="D3312" s="58" t="n">
        <v>46072.7743402778</v>
      </c>
      <c r="E3312" s="58" t="s">
        <v>4826</v>
      </c>
      <c r="F3312" s="58" t="n">
        <v>46072.7744212963</v>
      </c>
      <c r="G3312" s="59" t="n">
        <f aca="false">F3312-E3312</f>
        <v>8.10185185185185E-005</v>
      </c>
      <c r="H3312" s="1" t="s">
        <v>252</v>
      </c>
      <c r="I3312" s="1"/>
      <c r="J3312" s="1" t="s">
        <v>253</v>
      </c>
      <c r="K3312" s="1" t="s">
        <v>266</v>
      </c>
      <c r="L3312" s="1" t="s">
        <v>4827</v>
      </c>
      <c r="M3312" s="1" t="s">
        <v>255</v>
      </c>
      <c r="N3312" s="1" t="s">
        <v>268</v>
      </c>
      <c r="O3312" s="1" t="s">
        <v>662</v>
      </c>
      <c r="P3312" s="1" t="s">
        <v>4831</v>
      </c>
      <c r="Q3312" s="1" t="s">
        <v>706</v>
      </c>
    </row>
    <row r="3313" s="50" customFormat="true" ht="14.25" hidden="false" customHeight="true" outlineLevel="0" collapsed="false">
      <c r="A3313" s="50" t="s">
        <v>519</v>
      </c>
      <c r="B3313" s="1" t="s">
        <v>519</v>
      </c>
      <c r="C3313" s="1" t="s">
        <v>327</v>
      </c>
      <c r="D3313" s="58" t="n">
        <v>46072.7743402778</v>
      </c>
      <c r="E3313" s="58" t="s">
        <v>4826</v>
      </c>
      <c r="F3313" s="58" t="n">
        <v>46072.7744212963</v>
      </c>
      <c r="G3313" s="59" t="n">
        <f aca="false">F3313-E3313</f>
        <v>8.10185185185185E-005</v>
      </c>
      <c r="H3313" s="1" t="s">
        <v>252</v>
      </c>
      <c r="I3313" s="1"/>
      <c r="J3313" s="1" t="s">
        <v>253</v>
      </c>
      <c r="K3313" s="1" t="s">
        <v>266</v>
      </c>
      <c r="L3313" s="1" t="s">
        <v>4827</v>
      </c>
      <c r="M3313" s="1" t="s">
        <v>255</v>
      </c>
      <c r="N3313" s="1" t="s">
        <v>268</v>
      </c>
      <c r="O3313" s="1" t="s">
        <v>662</v>
      </c>
      <c r="P3313" s="1" t="s">
        <v>4832</v>
      </c>
      <c r="Q3313" s="1" t="s">
        <v>706</v>
      </c>
    </row>
    <row r="3314" s="50" customFormat="true" ht="14.25" hidden="false" customHeight="true" outlineLevel="0" collapsed="false">
      <c r="A3314" s="50" t="s">
        <v>467</v>
      </c>
      <c r="B3314" s="1" t="s">
        <v>467</v>
      </c>
      <c r="C3314" s="1" t="s">
        <v>4833</v>
      </c>
      <c r="D3314" s="58" t="n">
        <v>46072.7743402778</v>
      </c>
      <c r="E3314" s="58" t="s">
        <v>4826</v>
      </c>
      <c r="F3314" s="58" t="n">
        <v>46072.7744097222</v>
      </c>
      <c r="G3314" s="59" t="n">
        <f aca="false">F3314-E3314</f>
        <v>6.94444242939815E-005</v>
      </c>
      <c r="H3314" s="1" t="s">
        <v>252</v>
      </c>
      <c r="I3314" s="1"/>
      <c r="J3314" s="1" t="s">
        <v>253</v>
      </c>
      <c r="K3314" s="1" t="s">
        <v>266</v>
      </c>
      <c r="L3314" s="1" t="s">
        <v>4827</v>
      </c>
      <c r="M3314" s="1" t="s">
        <v>255</v>
      </c>
      <c r="N3314" s="1" t="s">
        <v>268</v>
      </c>
      <c r="O3314" s="1" t="s">
        <v>662</v>
      </c>
      <c r="P3314" s="1" t="s">
        <v>4834</v>
      </c>
      <c r="Q3314" s="1" t="s">
        <v>706</v>
      </c>
    </row>
    <row r="3315" s="50" customFormat="true" ht="14.25" hidden="false" customHeight="true" outlineLevel="0" collapsed="false">
      <c r="A3315" s="50" t="s">
        <v>467</v>
      </c>
      <c r="B3315" s="1" t="s">
        <v>467</v>
      </c>
      <c r="C3315" s="1" t="s">
        <v>4835</v>
      </c>
      <c r="D3315" s="58" t="n">
        <v>46072.7743402778</v>
      </c>
      <c r="E3315" s="58" t="s">
        <v>4826</v>
      </c>
      <c r="F3315" s="58" t="n">
        <v>46072.7744212963</v>
      </c>
      <c r="G3315" s="59" t="n">
        <f aca="false">F3315-E3315</f>
        <v>8.10185185185185E-005</v>
      </c>
      <c r="H3315" s="1" t="s">
        <v>252</v>
      </c>
      <c r="I3315" s="1"/>
      <c r="J3315" s="1" t="s">
        <v>253</v>
      </c>
      <c r="K3315" s="1" t="s">
        <v>266</v>
      </c>
      <c r="L3315" s="1" t="s">
        <v>4827</v>
      </c>
      <c r="M3315" s="1" t="s">
        <v>255</v>
      </c>
      <c r="N3315" s="1" t="s">
        <v>268</v>
      </c>
      <c r="O3315" s="1" t="s">
        <v>662</v>
      </c>
      <c r="P3315" s="1" t="s">
        <v>4836</v>
      </c>
      <c r="Q3315" s="1" t="s">
        <v>706</v>
      </c>
    </row>
    <row r="3316" s="50" customFormat="true" ht="14.25" hidden="false" customHeight="true" outlineLevel="0" collapsed="false">
      <c r="A3316" s="50" t="s">
        <v>467</v>
      </c>
      <c r="B3316" s="1" t="s">
        <v>467</v>
      </c>
      <c r="C3316" s="1" t="s">
        <v>4837</v>
      </c>
      <c r="D3316" s="58" t="n">
        <v>46072.7743402778</v>
      </c>
      <c r="E3316" s="58" t="s">
        <v>4826</v>
      </c>
      <c r="F3316" s="58" t="n">
        <v>46072.7744212963</v>
      </c>
      <c r="G3316" s="59" t="n">
        <f aca="false">F3316-E3316</f>
        <v>8.10185185185185E-005</v>
      </c>
      <c r="H3316" s="1" t="s">
        <v>252</v>
      </c>
      <c r="I3316" s="1"/>
      <c r="J3316" s="1" t="s">
        <v>253</v>
      </c>
      <c r="K3316" s="1" t="s">
        <v>266</v>
      </c>
      <c r="L3316" s="1" t="s">
        <v>4827</v>
      </c>
      <c r="M3316" s="1" t="s">
        <v>255</v>
      </c>
      <c r="N3316" s="1" t="s">
        <v>268</v>
      </c>
      <c r="O3316" s="1" t="s">
        <v>662</v>
      </c>
      <c r="P3316" s="1" t="s">
        <v>4838</v>
      </c>
      <c r="Q3316" s="1" t="s">
        <v>706</v>
      </c>
    </row>
    <row r="3317" s="50" customFormat="true" ht="14.25" hidden="false" customHeight="true" outlineLevel="0" collapsed="false">
      <c r="A3317" s="50" t="s">
        <v>467</v>
      </c>
      <c r="B3317" s="1" t="s">
        <v>467</v>
      </c>
      <c r="C3317" s="1" t="s">
        <v>4839</v>
      </c>
      <c r="D3317" s="58" t="n">
        <v>46072.7743287037</v>
      </c>
      <c r="E3317" s="58" t="s">
        <v>4840</v>
      </c>
      <c r="F3317" s="58" t="n">
        <v>46072.7744097222</v>
      </c>
      <c r="G3317" s="59" t="n">
        <f aca="false">F3317-E3317</f>
        <v>8.10185010763889E-005</v>
      </c>
      <c r="H3317" s="1" t="s">
        <v>252</v>
      </c>
      <c r="I3317" s="1"/>
      <c r="J3317" s="1" t="s">
        <v>253</v>
      </c>
      <c r="K3317" s="1" t="s">
        <v>266</v>
      </c>
      <c r="L3317" s="1" t="s">
        <v>4827</v>
      </c>
      <c r="M3317" s="1" t="s">
        <v>255</v>
      </c>
      <c r="N3317" s="1" t="s">
        <v>268</v>
      </c>
      <c r="O3317" s="1" t="s">
        <v>662</v>
      </c>
      <c r="P3317" s="1" t="s">
        <v>4841</v>
      </c>
      <c r="Q3317" s="1" t="s">
        <v>706</v>
      </c>
    </row>
    <row r="3318" s="50" customFormat="true" ht="14.25" hidden="false" customHeight="true" outlineLevel="0" collapsed="false">
      <c r="A3318" s="50" t="s">
        <v>467</v>
      </c>
      <c r="B3318" s="1" t="s">
        <v>467</v>
      </c>
      <c r="C3318" s="1" t="s">
        <v>4842</v>
      </c>
      <c r="D3318" s="58" t="n">
        <v>46072.7743287037</v>
      </c>
      <c r="E3318" s="58" t="s">
        <v>4840</v>
      </c>
      <c r="F3318" s="58" t="n">
        <v>46072.7743981482</v>
      </c>
      <c r="G3318" s="59" t="n">
        <f aca="false">F3318-E3318</f>
        <v>6.94444970486111E-005</v>
      </c>
      <c r="H3318" s="1" t="s">
        <v>252</v>
      </c>
      <c r="I3318" s="1"/>
      <c r="J3318" s="1" t="s">
        <v>253</v>
      </c>
      <c r="K3318" s="1" t="s">
        <v>266</v>
      </c>
      <c r="L3318" s="1" t="s">
        <v>4827</v>
      </c>
      <c r="M3318" s="1" t="s">
        <v>255</v>
      </c>
      <c r="N3318" s="1" t="s">
        <v>268</v>
      </c>
      <c r="O3318" s="1" t="s">
        <v>662</v>
      </c>
      <c r="P3318" s="1" t="s">
        <v>4843</v>
      </c>
      <c r="Q3318" s="1" t="s">
        <v>706</v>
      </c>
    </row>
    <row r="3319" s="50" customFormat="true" ht="14.25" hidden="false" customHeight="true" outlineLevel="0" collapsed="false">
      <c r="A3319" s="50" t="s">
        <v>727</v>
      </c>
      <c r="B3319" s="1" t="s">
        <v>727</v>
      </c>
      <c r="C3319" s="1" t="s">
        <v>1338</v>
      </c>
      <c r="D3319" s="58" t="n">
        <v>46072.7743171296</v>
      </c>
      <c r="E3319" s="58" t="s">
        <v>4844</v>
      </c>
      <c r="F3319" s="58" t="n">
        <v>46072.7743981482</v>
      </c>
      <c r="G3319" s="59" t="n">
        <f aca="false">F3319-E3319</f>
        <v>8.10185665509259E-005</v>
      </c>
      <c r="H3319" s="1" t="s">
        <v>252</v>
      </c>
      <c r="I3319" s="1"/>
      <c r="J3319" s="1" t="s">
        <v>253</v>
      </c>
      <c r="K3319" s="1" t="s">
        <v>266</v>
      </c>
      <c r="L3319" s="1" t="s">
        <v>4827</v>
      </c>
      <c r="M3319" s="1" t="s">
        <v>255</v>
      </c>
      <c r="N3319" s="1" t="s">
        <v>268</v>
      </c>
      <c r="O3319" s="1" t="s">
        <v>662</v>
      </c>
      <c r="P3319" s="1" t="s">
        <v>4845</v>
      </c>
      <c r="Q3319" s="1" t="s">
        <v>706</v>
      </c>
    </row>
    <row r="3320" s="50" customFormat="true" ht="14.25" hidden="false" customHeight="true" outlineLevel="0" collapsed="false">
      <c r="A3320" s="50" t="s">
        <v>727</v>
      </c>
      <c r="B3320" s="1" t="s">
        <v>727</v>
      </c>
      <c r="C3320" s="1" t="s">
        <v>327</v>
      </c>
      <c r="D3320" s="58" t="n">
        <v>46072.7743171296</v>
      </c>
      <c r="E3320" s="58" t="s">
        <v>4844</v>
      </c>
      <c r="F3320" s="58" t="n">
        <v>46072.7743981482</v>
      </c>
      <c r="G3320" s="59" t="n">
        <f aca="false">F3320-E3320</f>
        <v>8.10185665509259E-005</v>
      </c>
      <c r="H3320" s="1" t="s">
        <v>252</v>
      </c>
      <c r="I3320" s="1"/>
      <c r="J3320" s="1" t="s">
        <v>253</v>
      </c>
      <c r="K3320" s="1" t="s">
        <v>266</v>
      </c>
      <c r="L3320" s="1" t="s">
        <v>4827</v>
      </c>
      <c r="M3320" s="1" t="s">
        <v>255</v>
      </c>
      <c r="N3320" s="1" t="s">
        <v>268</v>
      </c>
      <c r="O3320" s="1" t="s">
        <v>662</v>
      </c>
      <c r="P3320" s="1" t="s">
        <v>4846</v>
      </c>
      <c r="Q3320" s="1" t="s">
        <v>706</v>
      </c>
    </row>
    <row r="3321" s="50" customFormat="true" ht="14.25" hidden="false" customHeight="true" outlineLevel="0" collapsed="false">
      <c r="A3321" s="50" t="s">
        <v>727</v>
      </c>
      <c r="B3321" s="1" t="s">
        <v>727</v>
      </c>
      <c r="C3321" s="1" t="s">
        <v>265</v>
      </c>
      <c r="D3321" s="58" t="n">
        <v>46072.7743171296</v>
      </c>
      <c r="E3321" s="58" t="s">
        <v>4844</v>
      </c>
      <c r="F3321" s="58" t="n">
        <v>46072.7743981482</v>
      </c>
      <c r="G3321" s="59" t="n">
        <f aca="false">F3321-E3321</f>
        <v>8.10185665509259E-005</v>
      </c>
      <c r="H3321" s="1" t="s">
        <v>252</v>
      </c>
      <c r="I3321" s="1"/>
      <c r="J3321" s="1" t="s">
        <v>253</v>
      </c>
      <c r="K3321" s="1" t="s">
        <v>266</v>
      </c>
      <c r="L3321" s="1" t="s">
        <v>4827</v>
      </c>
      <c r="M3321" s="1" t="s">
        <v>255</v>
      </c>
      <c r="N3321" s="1" t="s">
        <v>268</v>
      </c>
      <c r="O3321" s="1" t="s">
        <v>662</v>
      </c>
      <c r="P3321" s="1" t="s">
        <v>4847</v>
      </c>
      <c r="Q3321" s="1" t="s">
        <v>706</v>
      </c>
    </row>
    <row r="3322" s="50" customFormat="true" ht="14.25" hidden="false" customHeight="true" outlineLevel="0" collapsed="false">
      <c r="A3322" s="50" t="s">
        <v>419</v>
      </c>
      <c r="B3322" s="57" t="s">
        <v>419</v>
      </c>
      <c r="C3322" s="67" t="s">
        <v>265</v>
      </c>
      <c r="D3322" s="51" t="n">
        <v>46072.7742939815</v>
      </c>
      <c r="E3322" s="51" t="n">
        <v>46072.7742939815</v>
      </c>
      <c r="F3322" s="51" t="n">
        <v>46072.774375</v>
      </c>
      <c r="G3322" s="59" t="n">
        <f aca="false">F3322-E3322</f>
        <v>8.10184953703704E-005</v>
      </c>
      <c r="H3322" s="57" t="s">
        <v>252</v>
      </c>
      <c r="I3322" s="57"/>
      <c r="J3322" s="57" t="s">
        <v>253</v>
      </c>
      <c r="K3322" s="57" t="s">
        <v>266</v>
      </c>
      <c r="L3322" s="1" t="s">
        <v>4848</v>
      </c>
      <c r="M3322" s="57" t="s">
        <v>255</v>
      </c>
      <c r="N3322" s="57" t="s">
        <v>256</v>
      </c>
      <c r="O3322" s="57" t="s">
        <v>4849</v>
      </c>
      <c r="P3322" s="57" t="s">
        <v>2347</v>
      </c>
      <c r="Q3322" s="57" t="s">
        <v>1227</v>
      </c>
    </row>
    <row r="3323" s="50" customFormat="true" ht="14.25" hidden="false" customHeight="true" outlineLevel="0" collapsed="false">
      <c r="A3323" s="50" t="s">
        <v>419</v>
      </c>
      <c r="B3323" s="57" t="s">
        <v>419</v>
      </c>
      <c r="C3323" s="67" t="s">
        <v>326</v>
      </c>
      <c r="D3323" s="51" t="n">
        <v>46069.3894907407</v>
      </c>
      <c r="E3323" s="51" t="n">
        <v>46069.3894907407</v>
      </c>
      <c r="F3323" s="51" t="n">
        <v>46069.4114930556</v>
      </c>
      <c r="G3323" s="59" t="n">
        <f aca="false">F3323-E3323</f>
        <v>0.0220023148958333</v>
      </c>
      <c r="H3323" s="57" t="s">
        <v>252</v>
      </c>
      <c r="I3323" s="57"/>
      <c r="J3323" s="57" t="s">
        <v>253</v>
      </c>
      <c r="K3323" s="57" t="s">
        <v>266</v>
      </c>
      <c r="L3323" s="1" t="s">
        <v>4848</v>
      </c>
      <c r="M3323" s="57" t="s">
        <v>255</v>
      </c>
      <c r="N3323" s="57" t="s">
        <v>256</v>
      </c>
      <c r="O3323" s="57" t="s">
        <v>4849</v>
      </c>
      <c r="P3323" s="57" t="s">
        <v>2347</v>
      </c>
      <c r="Q3323" s="57" t="s">
        <v>1227</v>
      </c>
    </row>
    <row r="3324" s="50" customFormat="true" ht="14.25" hidden="false" customHeight="true" outlineLevel="0" collapsed="false">
      <c r="A3324" s="50" t="s">
        <v>419</v>
      </c>
      <c r="B3324" s="57" t="s">
        <v>419</v>
      </c>
      <c r="C3324" s="67" t="s">
        <v>324</v>
      </c>
      <c r="D3324" s="51" t="n">
        <v>46069.3894791667</v>
      </c>
      <c r="E3324" s="51" t="n">
        <v>46069.3894791667</v>
      </c>
      <c r="F3324" s="51" t="n">
        <v>46069.4114930556</v>
      </c>
      <c r="G3324" s="59" t="n">
        <f aca="false">F3324-E3324</f>
        <v>0.022013888900463</v>
      </c>
      <c r="H3324" s="57" t="s">
        <v>252</v>
      </c>
      <c r="I3324" s="57"/>
      <c r="J3324" s="57" t="s">
        <v>253</v>
      </c>
      <c r="K3324" s="57" t="s">
        <v>266</v>
      </c>
      <c r="L3324" s="1" t="s">
        <v>4848</v>
      </c>
      <c r="M3324" s="57" t="s">
        <v>255</v>
      </c>
      <c r="N3324" s="57" t="s">
        <v>256</v>
      </c>
      <c r="O3324" s="57" t="s">
        <v>4849</v>
      </c>
      <c r="P3324" s="57" t="s">
        <v>2347</v>
      </c>
      <c r="Q3324" s="57" t="s">
        <v>1227</v>
      </c>
    </row>
    <row r="3325" s="50" customFormat="true" ht="14.25" hidden="false" customHeight="true" outlineLevel="0" collapsed="false">
      <c r="A3325" s="50" t="s">
        <v>419</v>
      </c>
      <c r="B3325" s="57" t="s">
        <v>419</v>
      </c>
      <c r="C3325" s="67" t="s">
        <v>265</v>
      </c>
      <c r="D3325" s="51" t="n">
        <v>46069.3894791667</v>
      </c>
      <c r="E3325" s="51" t="n">
        <v>46069.3894791667</v>
      </c>
      <c r="F3325" s="51" t="n">
        <v>46069.4114930556</v>
      </c>
      <c r="G3325" s="59" t="n">
        <f aca="false">F3325-E3325</f>
        <v>0.022013888900463</v>
      </c>
      <c r="H3325" s="57" t="s">
        <v>252</v>
      </c>
      <c r="I3325" s="57"/>
      <c r="J3325" s="57" t="s">
        <v>253</v>
      </c>
      <c r="K3325" s="57" t="s">
        <v>266</v>
      </c>
      <c r="L3325" s="1" t="s">
        <v>4848</v>
      </c>
      <c r="M3325" s="57" t="s">
        <v>255</v>
      </c>
      <c r="N3325" s="57" t="s">
        <v>256</v>
      </c>
      <c r="O3325" s="57" t="s">
        <v>4849</v>
      </c>
      <c r="P3325" s="57" t="s">
        <v>2347</v>
      </c>
      <c r="Q3325" s="57" t="s">
        <v>1227</v>
      </c>
    </row>
    <row r="3326" s="50" customFormat="true" ht="14.25" hidden="false" customHeight="true" outlineLevel="0" collapsed="false">
      <c r="A3326" s="50" t="s">
        <v>419</v>
      </c>
      <c r="B3326" s="57" t="s">
        <v>419</v>
      </c>
      <c r="C3326" s="67" t="s">
        <v>326</v>
      </c>
      <c r="D3326" s="51" t="n">
        <v>46069.387025463</v>
      </c>
      <c r="E3326" s="51" t="n">
        <v>46069.387025463</v>
      </c>
      <c r="F3326" s="51" t="n">
        <v>46069.3894212963</v>
      </c>
      <c r="G3326" s="59" t="n">
        <f aca="false">F3326-E3326</f>
        <v>0.00239583329861111</v>
      </c>
      <c r="H3326" s="57" t="s">
        <v>252</v>
      </c>
      <c r="I3326" s="57"/>
      <c r="J3326" s="57" t="s">
        <v>253</v>
      </c>
      <c r="K3326" s="57" t="s">
        <v>266</v>
      </c>
      <c r="L3326" s="1" t="s">
        <v>4848</v>
      </c>
      <c r="M3326" s="57" t="s">
        <v>255</v>
      </c>
      <c r="N3326" s="57" t="s">
        <v>256</v>
      </c>
      <c r="O3326" s="57" t="s">
        <v>4849</v>
      </c>
      <c r="P3326" s="57" t="s">
        <v>2347</v>
      </c>
      <c r="Q3326" s="57" t="s">
        <v>1227</v>
      </c>
    </row>
    <row r="3327" s="50" customFormat="true" ht="14.25" hidden="false" customHeight="true" outlineLevel="0" collapsed="false">
      <c r="A3327" s="50" t="s">
        <v>419</v>
      </c>
      <c r="B3327" s="57" t="s">
        <v>419</v>
      </c>
      <c r="C3327" s="67" t="s">
        <v>324</v>
      </c>
      <c r="D3327" s="51" t="n">
        <v>46069.387025463</v>
      </c>
      <c r="E3327" s="51" t="n">
        <v>46069.387025463</v>
      </c>
      <c r="F3327" s="51" t="n">
        <v>46069.3894212963</v>
      </c>
      <c r="G3327" s="59" t="n">
        <f aca="false">F3327-E3327</f>
        <v>0.00239583329861111</v>
      </c>
      <c r="H3327" s="57" t="s">
        <v>252</v>
      </c>
      <c r="I3327" s="57"/>
      <c r="J3327" s="57" t="s">
        <v>253</v>
      </c>
      <c r="K3327" s="57" t="s">
        <v>266</v>
      </c>
      <c r="L3327" s="1" t="s">
        <v>4848</v>
      </c>
      <c r="M3327" s="57" t="s">
        <v>255</v>
      </c>
      <c r="N3327" s="57" t="s">
        <v>256</v>
      </c>
      <c r="O3327" s="57" t="s">
        <v>4849</v>
      </c>
      <c r="P3327" s="57" t="s">
        <v>2347</v>
      </c>
      <c r="Q3327" s="57" t="s">
        <v>1227</v>
      </c>
    </row>
    <row r="3328" s="50" customFormat="true" ht="14.25" hidden="false" customHeight="true" outlineLevel="0" collapsed="false">
      <c r="A3328" s="50" t="s">
        <v>419</v>
      </c>
      <c r="B3328" s="57" t="s">
        <v>419</v>
      </c>
      <c r="C3328" s="67" t="s">
        <v>265</v>
      </c>
      <c r="D3328" s="51" t="n">
        <v>46069.3870138889</v>
      </c>
      <c r="E3328" s="51" t="n">
        <v>46069.3870138889</v>
      </c>
      <c r="F3328" s="51" t="n">
        <v>46069.3894097222</v>
      </c>
      <c r="G3328" s="59" t="n">
        <f aca="false">F3328-E3328</f>
        <v>0.00239583329861111</v>
      </c>
      <c r="H3328" s="57" t="s">
        <v>252</v>
      </c>
      <c r="I3328" s="57"/>
      <c r="J3328" s="57" t="s">
        <v>253</v>
      </c>
      <c r="K3328" s="57" t="s">
        <v>266</v>
      </c>
      <c r="L3328" s="1" t="s">
        <v>4848</v>
      </c>
      <c r="M3328" s="57" t="s">
        <v>255</v>
      </c>
      <c r="N3328" s="57" t="s">
        <v>256</v>
      </c>
      <c r="O3328" s="57" t="s">
        <v>4849</v>
      </c>
      <c r="P3328" s="57" t="s">
        <v>2347</v>
      </c>
      <c r="Q3328" s="57" t="s">
        <v>1227</v>
      </c>
    </row>
    <row r="3329" s="50" customFormat="true" ht="14.25" hidden="false" customHeight="true" outlineLevel="0" collapsed="false">
      <c r="A3329" s="50" t="s">
        <v>419</v>
      </c>
      <c r="B3329" s="57" t="s">
        <v>419</v>
      </c>
      <c r="C3329" s="67" t="s">
        <v>326</v>
      </c>
      <c r="D3329" s="51" t="n">
        <v>46069.3866666667</v>
      </c>
      <c r="E3329" s="51" t="n">
        <v>46069.3866666667</v>
      </c>
      <c r="F3329" s="51" t="n">
        <v>46069.3869560185</v>
      </c>
      <c r="G3329" s="59" t="n">
        <f aca="false">F3329-E3329</f>
        <v>0.000289351793981481</v>
      </c>
      <c r="H3329" s="57" t="s">
        <v>252</v>
      </c>
      <c r="I3329" s="57"/>
      <c r="J3329" s="57" t="s">
        <v>253</v>
      </c>
      <c r="K3329" s="57" t="s">
        <v>266</v>
      </c>
      <c r="L3329" s="1" t="s">
        <v>4848</v>
      </c>
      <c r="M3329" s="57" t="s">
        <v>255</v>
      </c>
      <c r="N3329" s="57" t="s">
        <v>256</v>
      </c>
      <c r="O3329" s="57" t="s">
        <v>4849</v>
      </c>
      <c r="P3329" s="57" t="s">
        <v>2347</v>
      </c>
      <c r="Q3329" s="57" t="s">
        <v>1227</v>
      </c>
    </row>
    <row r="3330" s="50" customFormat="true" ht="14.25" hidden="false" customHeight="true" outlineLevel="0" collapsed="false">
      <c r="A3330" s="50" t="s">
        <v>419</v>
      </c>
      <c r="B3330" s="57" t="s">
        <v>419</v>
      </c>
      <c r="C3330" s="67" t="s">
        <v>324</v>
      </c>
      <c r="D3330" s="51" t="n">
        <v>46069.3866666667</v>
      </c>
      <c r="E3330" s="51" t="n">
        <v>46069.3866666667</v>
      </c>
      <c r="F3330" s="51" t="n">
        <v>46069.3869560185</v>
      </c>
      <c r="G3330" s="59" t="n">
        <f aca="false">F3330-E3330</f>
        <v>0.000289351793981481</v>
      </c>
      <c r="H3330" s="57" t="s">
        <v>252</v>
      </c>
      <c r="I3330" s="57"/>
      <c r="J3330" s="57" t="s">
        <v>253</v>
      </c>
      <c r="K3330" s="57" t="s">
        <v>266</v>
      </c>
      <c r="L3330" s="1" t="s">
        <v>4848</v>
      </c>
      <c r="M3330" s="57" t="s">
        <v>255</v>
      </c>
      <c r="N3330" s="57" t="s">
        <v>256</v>
      </c>
      <c r="O3330" s="57" t="s">
        <v>4849</v>
      </c>
      <c r="P3330" s="57" t="s">
        <v>2347</v>
      </c>
      <c r="Q3330" s="57" t="s">
        <v>1227</v>
      </c>
    </row>
    <row r="3331" s="50" customFormat="true" ht="14.25" hidden="false" customHeight="true" outlineLevel="0" collapsed="false">
      <c r="A3331" s="50" t="s">
        <v>419</v>
      </c>
      <c r="B3331" s="57" t="s">
        <v>419</v>
      </c>
      <c r="C3331" s="67" t="s">
        <v>265</v>
      </c>
      <c r="D3331" s="51" t="n">
        <v>46069.3866666667</v>
      </c>
      <c r="E3331" s="51" t="n">
        <v>46069.3866666667</v>
      </c>
      <c r="F3331" s="51" t="n">
        <v>46069.3869560185</v>
      </c>
      <c r="G3331" s="59" t="n">
        <f aca="false">F3331-E3331</f>
        <v>0.000289351793981481</v>
      </c>
      <c r="H3331" s="57" t="s">
        <v>252</v>
      </c>
      <c r="I3331" s="57"/>
      <c r="J3331" s="57" t="s">
        <v>253</v>
      </c>
      <c r="K3331" s="57" t="s">
        <v>266</v>
      </c>
      <c r="L3331" s="1" t="s">
        <v>4848</v>
      </c>
      <c r="M3331" s="57" t="s">
        <v>255</v>
      </c>
      <c r="N3331" s="57" t="s">
        <v>256</v>
      </c>
      <c r="O3331" s="57" t="s">
        <v>4849</v>
      </c>
      <c r="P3331" s="57" t="s">
        <v>2347</v>
      </c>
      <c r="Q3331" s="57" t="s">
        <v>1227</v>
      </c>
    </row>
    <row r="3332" s="50" customFormat="true" ht="14.25" hidden="false" customHeight="true" outlineLevel="0" collapsed="false">
      <c r="A3332" s="50" t="s">
        <v>419</v>
      </c>
      <c r="B3332" s="57" t="s">
        <v>419</v>
      </c>
      <c r="C3332" s="67" t="s">
        <v>326</v>
      </c>
      <c r="D3332" s="51" t="n">
        <v>46069.3864351852</v>
      </c>
      <c r="E3332" s="51" t="n">
        <v>46069.3864351852</v>
      </c>
      <c r="F3332" s="51" t="n">
        <v>46069.3866087963</v>
      </c>
      <c r="G3332" s="59" t="n">
        <f aca="false">F3332-E3332</f>
        <v>0.000173611111111111</v>
      </c>
      <c r="H3332" s="57" t="s">
        <v>252</v>
      </c>
      <c r="I3332" s="57"/>
      <c r="J3332" s="57" t="s">
        <v>253</v>
      </c>
      <c r="K3332" s="57" t="s">
        <v>266</v>
      </c>
      <c r="L3332" s="1" t="s">
        <v>4848</v>
      </c>
      <c r="M3332" s="57" t="s">
        <v>255</v>
      </c>
      <c r="N3332" s="57" t="s">
        <v>256</v>
      </c>
      <c r="O3332" s="57" t="s">
        <v>4849</v>
      </c>
      <c r="P3332" s="57" t="s">
        <v>2347</v>
      </c>
      <c r="Q3332" s="57" t="s">
        <v>1227</v>
      </c>
    </row>
    <row r="3333" s="50" customFormat="true" ht="14.25" hidden="false" customHeight="true" outlineLevel="0" collapsed="false">
      <c r="A3333" s="50" t="s">
        <v>419</v>
      </c>
      <c r="B3333" s="57" t="s">
        <v>419</v>
      </c>
      <c r="C3333" s="67" t="s">
        <v>324</v>
      </c>
      <c r="D3333" s="51" t="n">
        <v>46069.3864351852</v>
      </c>
      <c r="E3333" s="51" t="n">
        <v>46069.3864351852</v>
      </c>
      <c r="F3333" s="51" t="n">
        <v>46069.3865972222</v>
      </c>
      <c r="G3333" s="59" t="n">
        <f aca="false">F3333-E3333</f>
        <v>0.000162036990740741</v>
      </c>
      <c r="H3333" s="57" t="s">
        <v>252</v>
      </c>
      <c r="I3333" s="57"/>
      <c r="J3333" s="57" t="s">
        <v>253</v>
      </c>
      <c r="K3333" s="57" t="s">
        <v>266</v>
      </c>
      <c r="L3333" s="1" t="s">
        <v>4848</v>
      </c>
      <c r="M3333" s="57" t="s">
        <v>255</v>
      </c>
      <c r="N3333" s="57" t="s">
        <v>256</v>
      </c>
      <c r="O3333" s="57" t="s">
        <v>4849</v>
      </c>
      <c r="P3333" s="57" t="s">
        <v>2347</v>
      </c>
      <c r="Q3333" s="57" t="s">
        <v>1227</v>
      </c>
    </row>
    <row r="3334" s="50" customFormat="true" ht="14.25" hidden="false" customHeight="true" outlineLevel="0" collapsed="false">
      <c r="A3334" s="50" t="s">
        <v>419</v>
      </c>
      <c r="B3334" s="57" t="s">
        <v>419</v>
      </c>
      <c r="C3334" s="67" t="s">
        <v>265</v>
      </c>
      <c r="D3334" s="51" t="n">
        <v>46069.3864351852</v>
      </c>
      <c r="E3334" s="51" t="n">
        <v>46069.3864351852</v>
      </c>
      <c r="F3334" s="51" t="n">
        <v>46069.3865972222</v>
      </c>
      <c r="G3334" s="59" t="n">
        <f aca="false">F3334-E3334</f>
        <v>0.000162036990740741</v>
      </c>
      <c r="H3334" s="57" t="s">
        <v>252</v>
      </c>
      <c r="I3334" s="57"/>
      <c r="J3334" s="57" t="s">
        <v>253</v>
      </c>
      <c r="K3334" s="57" t="s">
        <v>266</v>
      </c>
      <c r="L3334" s="1" t="s">
        <v>4848</v>
      </c>
      <c r="M3334" s="57" t="s">
        <v>255</v>
      </c>
      <c r="N3334" s="57" t="s">
        <v>256</v>
      </c>
      <c r="O3334" s="57" t="s">
        <v>4849</v>
      </c>
      <c r="P3334" s="57" t="s">
        <v>2347</v>
      </c>
      <c r="Q3334" s="57" t="s">
        <v>1227</v>
      </c>
    </row>
    <row r="3335" s="50" customFormat="true" ht="14.25" hidden="false" customHeight="true" outlineLevel="0" collapsed="false">
      <c r="A3335" s="50" t="s">
        <v>419</v>
      </c>
      <c r="B3335" s="57" t="s">
        <v>419</v>
      </c>
      <c r="C3335" s="67" t="s">
        <v>326</v>
      </c>
      <c r="D3335" s="51" t="n">
        <v>46067.7097916667</v>
      </c>
      <c r="E3335" s="51" t="n">
        <v>46067.7097916667</v>
      </c>
      <c r="F3335" s="51" t="n">
        <v>46067.7099652778</v>
      </c>
      <c r="G3335" s="59" t="n">
        <f aca="false">F3335-E3335</f>
        <v>0.000173611111111111</v>
      </c>
      <c r="H3335" s="57" t="s">
        <v>252</v>
      </c>
      <c r="I3335" s="57"/>
      <c r="J3335" s="57" t="s">
        <v>253</v>
      </c>
      <c r="K3335" s="57" t="s">
        <v>266</v>
      </c>
      <c r="L3335" s="1" t="s">
        <v>4848</v>
      </c>
      <c r="M3335" s="57" t="s">
        <v>255</v>
      </c>
      <c r="N3335" s="57" t="s">
        <v>256</v>
      </c>
      <c r="O3335" s="57" t="s">
        <v>4849</v>
      </c>
      <c r="P3335" s="57" t="s">
        <v>2347</v>
      </c>
      <c r="Q3335" s="57" t="s">
        <v>1227</v>
      </c>
    </row>
    <row r="3336" s="50" customFormat="true" ht="14.25" hidden="false" customHeight="true" outlineLevel="0" collapsed="false">
      <c r="A3336" s="50" t="s">
        <v>419</v>
      </c>
      <c r="B3336" s="57" t="s">
        <v>419</v>
      </c>
      <c r="C3336" s="67" t="s">
        <v>324</v>
      </c>
      <c r="D3336" s="51" t="n">
        <v>46067.7097916667</v>
      </c>
      <c r="E3336" s="51" t="n">
        <v>46067.7097916667</v>
      </c>
      <c r="F3336" s="51" t="n">
        <v>46067.7099652778</v>
      </c>
      <c r="G3336" s="59" t="n">
        <f aca="false">F3336-E3336</f>
        <v>0.000173611111111111</v>
      </c>
      <c r="H3336" s="57" t="s">
        <v>252</v>
      </c>
      <c r="I3336" s="57"/>
      <c r="J3336" s="57" t="s">
        <v>253</v>
      </c>
      <c r="K3336" s="57" t="s">
        <v>266</v>
      </c>
      <c r="L3336" s="1" t="s">
        <v>4848</v>
      </c>
      <c r="M3336" s="57" t="s">
        <v>255</v>
      </c>
      <c r="N3336" s="57" t="s">
        <v>256</v>
      </c>
      <c r="O3336" s="57" t="s">
        <v>4849</v>
      </c>
      <c r="P3336" s="57" t="s">
        <v>2347</v>
      </c>
      <c r="Q3336" s="57" t="s">
        <v>1227</v>
      </c>
    </row>
    <row r="3337" s="50" customFormat="true" ht="14.25" hidden="false" customHeight="true" outlineLevel="0" collapsed="false">
      <c r="A3337" s="50" t="s">
        <v>419</v>
      </c>
      <c r="B3337" s="57" t="s">
        <v>419</v>
      </c>
      <c r="C3337" s="67" t="s">
        <v>265</v>
      </c>
      <c r="D3337" s="51" t="n">
        <v>46067.7097800926</v>
      </c>
      <c r="E3337" s="51" t="n">
        <v>46067.7097800926</v>
      </c>
      <c r="F3337" s="51" t="n">
        <v>46067.7099537037</v>
      </c>
      <c r="G3337" s="59" t="n">
        <f aca="false">F3337-E3337</f>
        <v>0.000173611111111111</v>
      </c>
      <c r="H3337" s="57" t="s">
        <v>252</v>
      </c>
      <c r="I3337" s="57"/>
      <c r="J3337" s="57" t="s">
        <v>253</v>
      </c>
      <c r="K3337" s="57" t="s">
        <v>266</v>
      </c>
      <c r="L3337" s="1" t="s">
        <v>4848</v>
      </c>
      <c r="M3337" s="57" t="s">
        <v>255</v>
      </c>
      <c r="N3337" s="57" t="s">
        <v>256</v>
      </c>
      <c r="O3337" s="57" t="s">
        <v>4849</v>
      </c>
      <c r="P3337" s="57" t="s">
        <v>2347</v>
      </c>
      <c r="Q3337" s="57" t="s">
        <v>1227</v>
      </c>
    </row>
    <row r="3338" s="50" customFormat="true" ht="14.25" hidden="false" customHeight="true" outlineLevel="0" collapsed="false">
      <c r="A3338" s="50" t="s">
        <v>419</v>
      </c>
      <c r="B3338" s="57" t="s">
        <v>419</v>
      </c>
      <c r="C3338" s="67" t="s">
        <v>265</v>
      </c>
      <c r="D3338" s="51" t="n">
        <v>46066.6646990741</v>
      </c>
      <c r="E3338" s="51" t="n">
        <v>46066.6646990741</v>
      </c>
      <c r="F3338" s="51" t="n">
        <v>46066.6653472222</v>
      </c>
      <c r="G3338" s="59" t="n">
        <f aca="false">F3338-E3338</f>
        <v>0.000648148101851852</v>
      </c>
      <c r="H3338" s="57" t="s">
        <v>252</v>
      </c>
      <c r="I3338" s="57"/>
      <c r="J3338" s="57" t="s">
        <v>333</v>
      </c>
      <c r="K3338" s="57" t="s">
        <v>334</v>
      </c>
      <c r="L3338" s="1" t="s">
        <v>4850</v>
      </c>
      <c r="M3338" s="57" t="s">
        <v>336</v>
      </c>
      <c r="N3338" s="57" t="s">
        <v>4849</v>
      </c>
      <c r="O3338" s="57" t="s">
        <v>4849</v>
      </c>
      <c r="P3338" s="57" t="s">
        <v>2347</v>
      </c>
      <c r="Q3338" s="57" t="s">
        <v>1227</v>
      </c>
    </row>
    <row r="3339" s="50" customFormat="true" ht="14.25" hidden="false" customHeight="true" outlineLevel="0" collapsed="false">
      <c r="A3339" s="50" t="s">
        <v>419</v>
      </c>
      <c r="B3339" s="57" t="s">
        <v>419</v>
      </c>
      <c r="C3339" s="67" t="s">
        <v>265</v>
      </c>
      <c r="D3339" s="51" t="n">
        <v>46065.4789699074</v>
      </c>
      <c r="E3339" s="51" t="n">
        <v>46065.4789699074</v>
      </c>
      <c r="F3339" s="51" t="n">
        <v>46065.4801041667</v>
      </c>
      <c r="G3339" s="59" t="n">
        <f aca="false">F3339-E3339</f>
        <v>0.00113425929398148</v>
      </c>
      <c r="H3339" s="57" t="s">
        <v>252</v>
      </c>
      <c r="I3339" s="57"/>
      <c r="J3339" s="57" t="s">
        <v>253</v>
      </c>
      <c r="K3339" s="57" t="s">
        <v>266</v>
      </c>
      <c r="L3339" s="1" t="s">
        <v>4848</v>
      </c>
      <c r="M3339" s="57" t="s">
        <v>255</v>
      </c>
      <c r="N3339" s="57" t="s">
        <v>256</v>
      </c>
      <c r="O3339" s="57" t="s">
        <v>4849</v>
      </c>
      <c r="P3339" s="57" t="s">
        <v>2347</v>
      </c>
      <c r="Q3339" s="57" t="s">
        <v>1227</v>
      </c>
    </row>
    <row r="3340" s="50" customFormat="true" ht="14.25" hidden="false" customHeight="true" outlineLevel="0" collapsed="false">
      <c r="A3340" s="50" t="s">
        <v>419</v>
      </c>
      <c r="B3340" s="57" t="s">
        <v>419</v>
      </c>
      <c r="C3340" s="67" t="s">
        <v>265</v>
      </c>
      <c r="D3340" s="51" t="n">
        <v>46059.6053935185</v>
      </c>
      <c r="E3340" s="51" t="n">
        <v>46059.6053935185</v>
      </c>
      <c r="F3340" s="51" t="n">
        <v>46059.6060416667</v>
      </c>
      <c r="G3340" s="59" t="n">
        <f aca="false">F3340-E3340</f>
        <v>0.000648148206018519</v>
      </c>
      <c r="H3340" s="57" t="s">
        <v>252</v>
      </c>
      <c r="I3340" s="57"/>
      <c r="J3340" s="57" t="s">
        <v>333</v>
      </c>
      <c r="K3340" s="57" t="s">
        <v>334</v>
      </c>
      <c r="L3340" s="1" t="s">
        <v>4850</v>
      </c>
      <c r="M3340" s="57" t="s">
        <v>336</v>
      </c>
      <c r="N3340" s="57" t="s">
        <v>4849</v>
      </c>
      <c r="O3340" s="57" t="s">
        <v>4849</v>
      </c>
      <c r="P3340" s="57" t="s">
        <v>2347</v>
      </c>
      <c r="Q3340" s="57" t="s">
        <v>1227</v>
      </c>
    </row>
    <row r="3341" s="50" customFormat="true" ht="14.25" hidden="false" customHeight="true" outlineLevel="0" collapsed="false">
      <c r="A3341" s="50" t="s">
        <v>419</v>
      </c>
      <c r="B3341" s="57" t="s">
        <v>419</v>
      </c>
      <c r="C3341" s="67" t="s">
        <v>324</v>
      </c>
      <c r="D3341" s="51" t="n">
        <v>46057.2440162037</v>
      </c>
      <c r="E3341" s="51" t="n">
        <v>46057.2440162037</v>
      </c>
      <c r="F3341" s="51" t="n">
        <v>46057.2441898148</v>
      </c>
      <c r="G3341" s="59" t="n">
        <f aca="false">F3341-E3341</f>
        <v>0.000173611111111111</v>
      </c>
      <c r="H3341" s="57" t="s">
        <v>252</v>
      </c>
      <c r="I3341" s="57"/>
      <c r="J3341" s="57" t="s">
        <v>253</v>
      </c>
      <c r="K3341" s="57" t="s">
        <v>266</v>
      </c>
      <c r="L3341" s="1" t="s">
        <v>4848</v>
      </c>
      <c r="M3341" s="57" t="s">
        <v>255</v>
      </c>
      <c r="N3341" s="57" t="s">
        <v>256</v>
      </c>
      <c r="O3341" s="57" t="s">
        <v>4849</v>
      </c>
      <c r="P3341" s="57" t="s">
        <v>2347</v>
      </c>
      <c r="Q3341" s="57" t="s">
        <v>1227</v>
      </c>
    </row>
    <row r="3342" s="50" customFormat="true" ht="14.25" hidden="false" customHeight="true" outlineLevel="0" collapsed="false">
      <c r="A3342" s="50" t="s">
        <v>419</v>
      </c>
      <c r="B3342" s="57" t="s">
        <v>419</v>
      </c>
      <c r="C3342" s="67" t="s">
        <v>326</v>
      </c>
      <c r="D3342" s="51" t="n">
        <v>46057.2440046296</v>
      </c>
      <c r="E3342" s="51" t="n">
        <v>46057.2440046296</v>
      </c>
      <c r="F3342" s="51" t="n">
        <v>46057.2442013889</v>
      </c>
      <c r="G3342" s="59" t="n">
        <f aca="false">F3342-E3342</f>
        <v>0.000196759293981481</v>
      </c>
      <c r="H3342" s="57" t="s">
        <v>252</v>
      </c>
      <c r="I3342" s="57"/>
      <c r="J3342" s="57" t="s">
        <v>253</v>
      </c>
      <c r="K3342" s="57" t="s">
        <v>266</v>
      </c>
      <c r="L3342" s="1" t="s">
        <v>4848</v>
      </c>
      <c r="M3342" s="57" t="s">
        <v>255</v>
      </c>
      <c r="N3342" s="57" t="s">
        <v>256</v>
      </c>
      <c r="O3342" s="57" t="s">
        <v>4849</v>
      </c>
      <c r="P3342" s="57" t="s">
        <v>2347</v>
      </c>
      <c r="Q3342" s="57" t="s">
        <v>1227</v>
      </c>
    </row>
    <row r="3343" s="50" customFormat="true" ht="14.25" hidden="false" customHeight="true" outlineLevel="0" collapsed="false">
      <c r="A3343" s="50" t="s">
        <v>419</v>
      </c>
      <c r="B3343" s="57" t="s">
        <v>419</v>
      </c>
      <c r="C3343" s="67" t="s">
        <v>265</v>
      </c>
      <c r="D3343" s="51" t="n">
        <v>46057.2440046296</v>
      </c>
      <c r="E3343" s="51" t="n">
        <v>46057.2440046296</v>
      </c>
      <c r="F3343" s="51" t="n">
        <v>46057.2441782407</v>
      </c>
      <c r="G3343" s="59" t="n">
        <f aca="false">F3343-E3343</f>
        <v>0.000173611087962963</v>
      </c>
      <c r="H3343" s="57" t="s">
        <v>252</v>
      </c>
      <c r="I3343" s="57"/>
      <c r="J3343" s="57" t="s">
        <v>253</v>
      </c>
      <c r="K3343" s="57" t="s">
        <v>266</v>
      </c>
      <c r="L3343" s="1" t="s">
        <v>4848</v>
      </c>
      <c r="M3343" s="57" t="s">
        <v>255</v>
      </c>
      <c r="N3343" s="57" t="s">
        <v>256</v>
      </c>
      <c r="O3343" s="57" t="s">
        <v>4849</v>
      </c>
      <c r="P3343" s="57" t="s">
        <v>2347</v>
      </c>
      <c r="Q3343" s="57" t="s">
        <v>1227</v>
      </c>
    </row>
  </sheetData>
  <autoFilter ref="A1:Q3343">
    <sortState ref="A2:Q3343">
      <sortCondition ref="A2:A3343" customList=""/>
    </sortState>
  </autoFilter>
  <mergeCells count="52">
    <mergeCell ref="B1241:B1242"/>
    <mergeCell ref="C1241:C1242"/>
    <mergeCell ref="E1241:E1242"/>
    <mergeCell ref="H1241:H1242"/>
    <mergeCell ref="I1241:I1242"/>
    <mergeCell ref="J1241:J1242"/>
    <mergeCell ref="K1241:K1242"/>
    <mergeCell ref="L1241:L1242"/>
    <mergeCell ref="M1241:M1242"/>
    <mergeCell ref="N1241:N1242"/>
    <mergeCell ref="O1241:O1242"/>
    <mergeCell ref="P1241:P1242"/>
    <mergeCell ref="Q1241:Q1242"/>
    <mergeCell ref="B1243:B1244"/>
    <mergeCell ref="C1243:C1244"/>
    <mergeCell ref="E1243:E1244"/>
    <mergeCell ref="H1243:H1244"/>
    <mergeCell ref="I1243:I1244"/>
    <mergeCell ref="J1243:J1244"/>
    <mergeCell ref="K1243:K1244"/>
    <mergeCell ref="L1243:L1244"/>
    <mergeCell ref="M1243:M1244"/>
    <mergeCell ref="N1243:N1244"/>
    <mergeCell ref="O1243:O1244"/>
    <mergeCell ref="P1243:P1244"/>
    <mergeCell ref="Q1243:Q1244"/>
    <mergeCell ref="B1245:B1246"/>
    <mergeCell ref="C1245:C1246"/>
    <mergeCell ref="E1245:E1246"/>
    <mergeCell ref="H1245:H1246"/>
    <mergeCell ref="I1245:I1246"/>
    <mergeCell ref="J1245:J1246"/>
    <mergeCell ref="K1245:K1246"/>
    <mergeCell ref="L1245:L1246"/>
    <mergeCell ref="M1245:M1246"/>
    <mergeCell ref="N1245:N1246"/>
    <mergeCell ref="O1245:O1246"/>
    <mergeCell ref="P1245:P1246"/>
    <mergeCell ref="Q1245:Q1246"/>
    <mergeCell ref="B1247:B1248"/>
    <mergeCell ref="C1247:C1248"/>
    <mergeCell ref="E1247:E1248"/>
    <mergeCell ref="H1247:H1248"/>
    <mergeCell ref="I1247:I1248"/>
    <mergeCell ref="J1247:J1248"/>
    <mergeCell ref="K1247:K1248"/>
    <mergeCell ref="L1247:L1248"/>
    <mergeCell ref="M1247:M1248"/>
    <mergeCell ref="N1247:N1248"/>
    <mergeCell ref="O1247:O1248"/>
    <mergeCell ref="P1247:P1248"/>
    <mergeCell ref="Q1247:Q1248"/>
  </mergeCells>
  <conditionalFormatting sqref="P3344:P1048576 P1 P3277:P3321">
    <cfRule type="duplicateValues" priority="2" aboveAverage="0" equalAverage="0" bottom="0" percent="0" rank="0" text="" dxfId="8"/>
  </conditionalFormatting>
  <conditionalFormatting sqref="P3344:P1048576 P3277:P3321">
    <cfRule type="duplicateValues" priority="3" aboveAverage="0" equalAverage="0" bottom="0" percent="0" rank="0" text="" dxfId="9"/>
  </conditionalFormatting>
  <conditionalFormatting sqref="P1">
    <cfRule type="duplicateValues" priority="4" aboveAverage="0" equalAverage="0" bottom="0" percent="0" rank="0" text="" dxfId="5"/>
    <cfRule type="duplicateValues" priority="5" aboveAverage="0" equalAverage="0" bottom="0" percent="0" rank="0" text="" dxfId="2"/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7" activeCellId="0" sqref="J17"/>
    </sheetView>
  </sheetViews>
  <sheetFormatPr defaultColWidth="8.6796875" defaultRowHeight="14.25" zeroHeight="false" outlineLevelRow="0" outlineLevelCol="0"/>
  <cols>
    <col collapsed="false" customWidth="true" hidden="false" outlineLevel="0" max="1" min="1" style="2" width="29.57"/>
    <col collapsed="false" customWidth="true" hidden="false" outlineLevel="0" max="2" min="2" style="2" width="14.29"/>
    <col collapsed="false" customWidth="true" hidden="false" outlineLevel="0" max="3" min="3" style="2" width="16.57"/>
    <col collapsed="false" customWidth="true" hidden="false" outlineLevel="0" max="5" min="5" style="2" width="18.71"/>
    <col collapsed="false" customWidth="true" hidden="false" outlineLevel="0" max="6" min="6" style="2" width="22"/>
  </cols>
  <sheetData>
    <row r="1" customFormat="false" ht="23.85" hidden="false" customHeight="false" outlineLevel="0" collapsed="false">
      <c r="A1" s="68" t="s">
        <v>246</v>
      </c>
      <c r="B1" s="68" t="s">
        <v>4851</v>
      </c>
      <c r="C1" s="68" t="s">
        <v>4852</v>
      </c>
      <c r="D1" s="68" t="s">
        <v>4853</v>
      </c>
      <c r="E1" s="68" t="s">
        <v>4854</v>
      </c>
      <c r="F1" s="68" t="s">
        <v>4855</v>
      </c>
    </row>
    <row r="2" customFormat="false" ht="14.25" hidden="false" customHeight="false" outlineLevel="0" collapsed="false">
      <c r="A2" s="2" t="s">
        <v>289</v>
      </c>
      <c r="B2" s="2" t="s">
        <v>283</v>
      </c>
      <c r="C2" s="2" t="s">
        <v>4856</v>
      </c>
      <c r="D2" s="2" t="s">
        <v>333</v>
      </c>
      <c r="E2" s="2" t="s">
        <v>334</v>
      </c>
      <c r="F2" s="2" t="s">
        <v>2302</v>
      </c>
    </row>
    <row r="3" customFormat="false" ht="14.25" hidden="false" customHeight="false" outlineLevel="0" collapsed="false">
      <c r="A3" s="2" t="s">
        <v>4857</v>
      </c>
      <c r="B3" s="2" t="s">
        <v>376</v>
      </c>
      <c r="C3" s="2" t="s">
        <v>4858</v>
      </c>
      <c r="D3" s="2" t="s">
        <v>253</v>
      </c>
      <c r="E3" s="2" t="s">
        <v>266</v>
      </c>
      <c r="F3" s="2" t="s">
        <v>4859</v>
      </c>
    </row>
    <row r="4" customFormat="false" ht="14.25" hidden="false" customHeight="false" outlineLevel="0" collapsed="false">
      <c r="A4" s="2" t="s">
        <v>502</v>
      </c>
      <c r="B4" s="2" t="s">
        <v>1632</v>
      </c>
      <c r="C4" s="2" t="s">
        <v>284</v>
      </c>
      <c r="D4" s="2" t="s">
        <v>285</v>
      </c>
      <c r="E4" s="2" t="s">
        <v>286</v>
      </c>
      <c r="F4" s="2" t="s">
        <v>4860</v>
      </c>
    </row>
    <row r="5" customFormat="false" ht="14.25" hidden="false" customHeight="false" outlineLevel="0" collapsed="false">
      <c r="A5" s="2" t="s">
        <v>256</v>
      </c>
      <c r="B5" s="2" t="s">
        <v>252</v>
      </c>
      <c r="C5" s="2" t="s">
        <v>4861</v>
      </c>
      <c r="D5" s="2" t="s">
        <v>4862</v>
      </c>
      <c r="E5" s="2" t="s">
        <v>4863</v>
      </c>
      <c r="F5" s="2" t="s">
        <v>4864</v>
      </c>
    </row>
    <row r="6" customFormat="false" ht="14.25" hidden="false" customHeight="false" outlineLevel="0" collapsed="false">
      <c r="A6" s="2" t="s">
        <v>1241</v>
      </c>
      <c r="B6" s="2" t="s">
        <v>384</v>
      </c>
      <c r="D6" s="2" t="s">
        <v>4865</v>
      </c>
      <c r="E6" s="2" t="s">
        <v>4866</v>
      </c>
      <c r="F6" s="2" t="s">
        <v>371</v>
      </c>
    </row>
    <row r="7" customFormat="false" ht="14.25" hidden="false" customHeight="false" outlineLevel="0" collapsed="false">
      <c r="A7" s="2" t="s">
        <v>2303</v>
      </c>
      <c r="D7" s="2" t="s">
        <v>369</v>
      </c>
      <c r="E7" s="2" t="s">
        <v>754</v>
      </c>
      <c r="F7" s="2" t="s">
        <v>288</v>
      </c>
    </row>
    <row r="8" customFormat="false" ht="14.25" hidden="false" customHeight="false" outlineLevel="0" collapsed="false">
      <c r="A8" s="2" t="s">
        <v>589</v>
      </c>
      <c r="D8" s="2" t="s">
        <v>437</v>
      </c>
      <c r="E8" s="2" t="s">
        <v>4867</v>
      </c>
      <c r="F8" s="2" t="s">
        <v>336</v>
      </c>
    </row>
    <row r="9" customFormat="false" ht="14.25" hidden="false" customHeight="false" outlineLevel="0" collapsed="false">
      <c r="A9" s="2" t="s">
        <v>4868</v>
      </c>
      <c r="D9" s="2" t="s">
        <v>377</v>
      </c>
      <c r="E9" s="2" t="s">
        <v>378</v>
      </c>
      <c r="F9" s="2" t="s">
        <v>255</v>
      </c>
    </row>
    <row r="10" customFormat="false" ht="14.25" hidden="false" customHeight="false" outlineLevel="0" collapsed="false">
      <c r="A10" s="2" t="s">
        <v>381</v>
      </c>
      <c r="D10" s="2" t="s">
        <v>234</v>
      </c>
      <c r="E10" s="2" t="s">
        <v>234</v>
      </c>
      <c r="F10" s="2" t="s">
        <v>4869</v>
      </c>
    </row>
    <row r="11" customFormat="false" ht="14.25" hidden="false" customHeight="false" outlineLevel="0" collapsed="false">
      <c r="A11" s="2" t="s">
        <v>440</v>
      </c>
      <c r="D11" s="2" t="s">
        <v>4870</v>
      </c>
      <c r="E11" s="2" t="s">
        <v>4871</v>
      </c>
      <c r="F11" s="2" t="s">
        <v>4872</v>
      </c>
    </row>
    <row r="12" customFormat="false" ht="14.25" hidden="false" customHeight="false" outlineLevel="0" collapsed="false">
      <c r="A12" s="2" t="s">
        <v>514</v>
      </c>
      <c r="D12" s="2" t="s">
        <v>699</v>
      </c>
      <c r="E12" s="2" t="s">
        <v>700</v>
      </c>
      <c r="F12" s="2" t="s">
        <v>483</v>
      </c>
    </row>
    <row r="13" customFormat="false" ht="14.25" hidden="false" customHeight="false" outlineLevel="0" collapsed="false">
      <c r="A13" s="2" t="s">
        <v>387</v>
      </c>
      <c r="F13" s="2" t="s">
        <v>2687</v>
      </c>
    </row>
    <row r="14" customFormat="false" ht="14.25" hidden="false" customHeight="false" outlineLevel="0" collapsed="false">
      <c r="F14" s="2" t="s">
        <v>4873</v>
      </c>
    </row>
    <row r="15" customFormat="false" ht="14.25" hidden="false" customHeight="false" outlineLevel="0" collapsed="false">
      <c r="F15" s="2" t="s">
        <v>386</v>
      </c>
    </row>
    <row r="16" customFormat="false" ht="14.25" hidden="false" customHeight="false" outlineLevel="0" collapsed="false">
      <c r="F16" s="2" t="s">
        <v>380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8.6796875" defaultRowHeight="14.25" zeroHeight="false" outlineLevelRow="0" outlineLevelCol="0"/>
  <cols>
    <col collapsed="false" customWidth="true" hidden="false" outlineLevel="0" max="1" min="1" style="2" width="16.71"/>
    <col collapsed="false" customWidth="true" hidden="false" outlineLevel="0" max="2" min="2" style="2" width="38.86"/>
    <col collapsed="false" customWidth="true" hidden="false" outlineLevel="0" max="3" min="3" style="2" width="17.42"/>
  </cols>
  <sheetData>
    <row r="1" customFormat="false" ht="14.25" hidden="false" customHeight="false" outlineLevel="0" collapsed="false">
      <c r="A1" s="69" t="s">
        <v>4874</v>
      </c>
      <c r="B1" s="69" t="s">
        <v>4875</v>
      </c>
      <c r="C1" s="69"/>
    </row>
    <row r="2" customFormat="false" ht="14.25" hidden="false" customHeight="false" outlineLevel="0" collapsed="false">
      <c r="A2" s="2" t="s">
        <v>358</v>
      </c>
      <c r="B2" s="70" t="s">
        <v>215</v>
      </c>
      <c r="C2" s="69" t="s">
        <v>358</v>
      </c>
    </row>
    <row r="3" customFormat="false" ht="14.25" hidden="false" customHeight="false" outlineLevel="0" collapsed="false">
      <c r="A3" s="2" t="s">
        <v>361</v>
      </c>
      <c r="B3" s="70" t="s">
        <v>218</v>
      </c>
      <c r="C3" s="69" t="s">
        <v>361</v>
      </c>
    </row>
    <row r="4" customFormat="false" ht="14.25" hidden="false" customHeight="false" outlineLevel="0" collapsed="false">
      <c r="A4" s="2" t="s">
        <v>362</v>
      </c>
      <c r="B4" s="70" t="s">
        <v>220</v>
      </c>
      <c r="C4" s="69" t="s">
        <v>362</v>
      </c>
    </row>
    <row r="5" customFormat="false" ht="14.25" hidden="false" customHeight="false" outlineLevel="0" collapsed="false">
      <c r="A5" s="2" t="s">
        <v>367</v>
      </c>
      <c r="B5" s="70" t="s">
        <v>222</v>
      </c>
      <c r="C5" s="69" t="s">
        <v>367</v>
      </c>
    </row>
    <row r="6" customFormat="false" ht="14.25" hidden="false" customHeight="false" outlineLevel="0" collapsed="false">
      <c r="A6" s="2" t="s">
        <v>460</v>
      </c>
      <c r="B6" s="70" t="s">
        <v>225</v>
      </c>
      <c r="C6" s="69" t="s">
        <v>460</v>
      </c>
    </row>
    <row r="7" customFormat="false" ht="14.25" hidden="false" customHeight="false" outlineLevel="0" collapsed="false">
      <c r="A7" s="2" t="s">
        <v>461</v>
      </c>
      <c r="B7" s="70" t="s">
        <v>227</v>
      </c>
      <c r="C7" s="69" t="s">
        <v>461</v>
      </c>
    </row>
    <row r="8" customFormat="false" ht="14.25" hidden="false" customHeight="false" outlineLevel="0" collapsed="false">
      <c r="A8" s="2" t="s">
        <v>2300</v>
      </c>
      <c r="B8" s="70" t="s">
        <v>14</v>
      </c>
      <c r="C8" s="69" t="s">
        <v>15</v>
      </c>
    </row>
    <row r="9" customFormat="false" ht="14.25" hidden="false" customHeight="false" outlineLevel="0" collapsed="false">
      <c r="A9" s="2" t="s">
        <v>4876</v>
      </c>
      <c r="B9" s="70" t="s">
        <v>17</v>
      </c>
      <c r="C9" s="69" t="s">
        <v>18</v>
      </c>
    </row>
    <row r="10" customFormat="false" ht="14.25" hidden="false" customHeight="false" outlineLevel="0" collapsed="false">
      <c r="A10" s="2" t="s">
        <v>4824</v>
      </c>
      <c r="B10" s="70" t="s">
        <v>20</v>
      </c>
      <c r="C10" s="69" t="s">
        <v>18</v>
      </c>
    </row>
    <row r="11" customFormat="false" ht="14.25" hidden="false" customHeight="false" outlineLevel="0" collapsed="false">
      <c r="A11" s="2" t="s">
        <v>4877</v>
      </c>
      <c r="B11" s="70" t="s">
        <v>22</v>
      </c>
      <c r="C11" s="69" t="s">
        <v>18</v>
      </c>
    </row>
    <row r="12" customFormat="false" ht="14.25" hidden="false" customHeight="false" outlineLevel="0" collapsed="false">
      <c r="A12" s="2" t="s">
        <v>4878</v>
      </c>
      <c r="B12" s="70" t="s">
        <v>24</v>
      </c>
      <c r="C12" s="69" t="s">
        <v>18</v>
      </c>
    </row>
    <row r="13" customFormat="false" ht="14.25" hidden="false" customHeight="false" outlineLevel="0" collapsed="false">
      <c r="A13" s="2" t="s">
        <v>2011</v>
      </c>
      <c r="B13" s="70" t="s">
        <v>26</v>
      </c>
      <c r="C13" s="69" t="s">
        <v>27</v>
      </c>
    </row>
    <row r="14" customFormat="false" ht="14.25" hidden="false" customHeight="false" outlineLevel="0" collapsed="false">
      <c r="A14" s="2" t="s">
        <v>2014</v>
      </c>
      <c r="B14" s="70" t="s">
        <v>29</v>
      </c>
      <c r="C14" s="69" t="s">
        <v>27</v>
      </c>
    </row>
    <row r="15" customFormat="false" ht="14.25" hidden="false" customHeight="false" outlineLevel="0" collapsed="false">
      <c r="A15" s="2" t="s">
        <v>762</v>
      </c>
      <c r="B15" s="70" t="s">
        <v>31</v>
      </c>
      <c r="C15" s="69" t="s">
        <v>32</v>
      </c>
    </row>
    <row r="16" customFormat="false" ht="14.25" hidden="false" customHeight="false" outlineLevel="0" collapsed="false">
      <c r="A16" s="2" t="s">
        <v>264</v>
      </c>
      <c r="B16" s="70" t="s">
        <v>179</v>
      </c>
      <c r="C16" s="69" t="s">
        <v>264</v>
      </c>
    </row>
    <row r="17" customFormat="false" ht="14.25" hidden="false" customHeight="false" outlineLevel="0" collapsed="false">
      <c r="A17" s="2" t="s">
        <v>270</v>
      </c>
      <c r="B17" s="70" t="s">
        <v>182</v>
      </c>
      <c r="C17" s="69" t="s">
        <v>270</v>
      </c>
    </row>
    <row r="18" customFormat="false" ht="14.25" hidden="false" customHeight="false" outlineLevel="0" collapsed="false">
      <c r="A18" s="2" t="s">
        <v>271</v>
      </c>
      <c r="B18" s="70" t="s">
        <v>184</v>
      </c>
      <c r="C18" s="69" t="s">
        <v>271</v>
      </c>
    </row>
    <row r="19" customFormat="false" ht="14.25" hidden="false" customHeight="false" outlineLevel="0" collapsed="false">
      <c r="A19" s="2" t="s">
        <v>272</v>
      </c>
      <c r="B19" s="70" t="s">
        <v>186</v>
      </c>
      <c r="C19" s="69" t="s">
        <v>272</v>
      </c>
    </row>
    <row r="20" customFormat="false" ht="14.25" hidden="false" customHeight="false" outlineLevel="0" collapsed="false">
      <c r="A20" s="2" t="s">
        <v>273</v>
      </c>
      <c r="B20" s="70" t="s">
        <v>188</v>
      </c>
      <c r="C20" s="69" t="s">
        <v>273</v>
      </c>
    </row>
    <row r="21" customFormat="false" ht="14.25" hidden="false" customHeight="false" outlineLevel="0" collapsed="false">
      <c r="A21" s="2" t="s">
        <v>2495</v>
      </c>
      <c r="B21" s="70" t="s">
        <v>35</v>
      </c>
      <c r="C21" s="69" t="s">
        <v>36</v>
      </c>
    </row>
    <row r="22" customFormat="false" ht="14.25" hidden="false" customHeight="false" outlineLevel="0" collapsed="false">
      <c r="A22" s="2" t="s">
        <v>2500</v>
      </c>
      <c r="B22" s="70" t="s">
        <v>39</v>
      </c>
      <c r="C22" s="69" t="s">
        <v>36</v>
      </c>
      <c r="D22" s="70"/>
    </row>
    <row r="23" customFormat="false" ht="14.25" hidden="false" customHeight="false" outlineLevel="0" collapsed="false">
      <c r="A23" s="2" t="s">
        <v>2509</v>
      </c>
      <c r="B23" s="70" t="s">
        <v>42</v>
      </c>
      <c r="C23" s="69" t="s">
        <v>36</v>
      </c>
      <c r="D23" s="70"/>
    </row>
    <row r="24" customFormat="false" ht="14.25" hidden="false" customHeight="false" outlineLevel="0" collapsed="false">
      <c r="A24" s="2" t="s">
        <v>739</v>
      </c>
      <c r="B24" s="70" t="s">
        <v>44</v>
      </c>
      <c r="C24" s="69" t="s">
        <v>45</v>
      </c>
      <c r="D24" s="70"/>
    </row>
    <row r="25" customFormat="false" ht="14.25" hidden="false" customHeight="false" outlineLevel="0" collapsed="false">
      <c r="A25" s="2" t="s">
        <v>937</v>
      </c>
      <c r="B25" s="70" t="s">
        <v>47</v>
      </c>
      <c r="C25" s="69" t="s">
        <v>48</v>
      </c>
      <c r="D25" s="70"/>
    </row>
    <row r="26" customFormat="false" ht="14.25" hidden="false" customHeight="false" outlineLevel="0" collapsed="false">
      <c r="A26" s="2" t="s">
        <v>946</v>
      </c>
      <c r="B26" s="70" t="s">
        <v>50</v>
      </c>
      <c r="C26" s="69" t="s">
        <v>48</v>
      </c>
      <c r="D26" s="70"/>
    </row>
    <row r="27" customFormat="false" ht="14.25" hidden="false" customHeight="false" outlineLevel="0" collapsed="false">
      <c r="A27" s="2" t="s">
        <v>954</v>
      </c>
      <c r="B27" s="70" t="s">
        <v>52</v>
      </c>
      <c r="C27" s="69" t="s">
        <v>48</v>
      </c>
    </row>
    <row r="28" customFormat="false" ht="14.25" hidden="false" customHeight="false" outlineLevel="0" collapsed="false">
      <c r="A28" s="2" t="s">
        <v>960</v>
      </c>
      <c r="B28" s="70" t="s">
        <v>54</v>
      </c>
      <c r="C28" s="69" t="s">
        <v>48</v>
      </c>
    </row>
    <row r="29" customFormat="false" ht="14.25" hidden="false" customHeight="false" outlineLevel="0" collapsed="false">
      <c r="A29" s="2" t="s">
        <v>965</v>
      </c>
      <c r="B29" s="70" t="s">
        <v>56</v>
      </c>
      <c r="C29" s="69" t="s">
        <v>48</v>
      </c>
    </row>
    <row r="30" customFormat="false" ht="14.25" hidden="false" customHeight="false" outlineLevel="0" collapsed="false">
      <c r="A30" s="2" t="s">
        <v>250</v>
      </c>
      <c r="B30" s="70" t="s">
        <v>58</v>
      </c>
      <c r="C30" s="69" t="s">
        <v>250</v>
      </c>
    </row>
    <row r="31" customFormat="false" ht="14.25" hidden="false" customHeight="false" outlineLevel="0" collapsed="false">
      <c r="A31" s="2" t="s">
        <v>262</v>
      </c>
      <c r="B31" s="70" t="s">
        <v>61</v>
      </c>
      <c r="C31" s="69" t="s">
        <v>262</v>
      </c>
    </row>
    <row r="32" customFormat="false" ht="14.25" hidden="false" customHeight="false" outlineLevel="0" collapsed="false">
      <c r="A32" s="2" t="s">
        <v>263</v>
      </c>
      <c r="B32" s="70" t="s">
        <v>63</v>
      </c>
      <c r="C32" s="69" t="s">
        <v>263</v>
      </c>
    </row>
    <row r="33" customFormat="false" ht="14.25" hidden="false" customHeight="false" outlineLevel="0" collapsed="false">
      <c r="A33" s="2" t="s">
        <v>424</v>
      </c>
      <c r="B33" s="70" t="s">
        <v>65</v>
      </c>
      <c r="C33" s="69" t="s">
        <v>424</v>
      </c>
    </row>
    <row r="34" customFormat="false" ht="14.25" hidden="false" customHeight="false" outlineLevel="0" collapsed="false">
      <c r="A34" s="2" t="s">
        <v>425</v>
      </c>
      <c r="B34" s="70" t="s">
        <v>68</v>
      </c>
      <c r="C34" s="69" t="s">
        <v>425</v>
      </c>
    </row>
    <row r="35" customFormat="false" ht="14.25" hidden="false" customHeight="false" outlineLevel="0" collapsed="false">
      <c r="A35" s="2" t="s">
        <v>429</v>
      </c>
      <c r="B35" s="70" t="s">
        <v>70</v>
      </c>
      <c r="C35" s="69" t="s">
        <v>429</v>
      </c>
    </row>
    <row r="36" customFormat="false" ht="14.25" hidden="false" customHeight="false" outlineLevel="0" collapsed="false">
      <c r="A36" s="2" t="s">
        <v>364</v>
      </c>
      <c r="B36" s="70" t="s">
        <v>72</v>
      </c>
      <c r="C36" s="69" t="s">
        <v>364</v>
      </c>
    </row>
    <row r="37" customFormat="false" ht="14.25" hidden="false" customHeight="false" outlineLevel="0" collapsed="false">
      <c r="A37" s="2" t="s">
        <v>430</v>
      </c>
      <c r="B37" s="70" t="s">
        <v>74</v>
      </c>
      <c r="C37" s="69" t="s">
        <v>430</v>
      </c>
    </row>
    <row r="38" customFormat="false" ht="14.25" hidden="false" customHeight="false" outlineLevel="0" collapsed="false">
      <c r="A38" s="2" t="s">
        <v>4879</v>
      </c>
      <c r="B38" s="70" t="s">
        <v>76</v>
      </c>
      <c r="C38" s="69" t="s">
        <v>4879</v>
      </c>
    </row>
    <row r="39" customFormat="false" ht="14.25" hidden="false" customHeight="false" outlineLevel="0" collapsed="false">
      <c r="A39" s="2" t="s">
        <v>4880</v>
      </c>
      <c r="B39" s="70" t="s">
        <v>79</v>
      </c>
      <c r="C39" s="69" t="s">
        <v>4880</v>
      </c>
    </row>
    <row r="40" customFormat="false" ht="14.25" hidden="false" customHeight="false" outlineLevel="0" collapsed="false">
      <c r="A40" s="2" t="s">
        <v>435</v>
      </c>
      <c r="B40" s="70" t="s">
        <v>81</v>
      </c>
      <c r="C40" s="69" t="s">
        <v>435</v>
      </c>
    </row>
    <row r="41" customFormat="false" ht="14.25" hidden="false" customHeight="false" outlineLevel="0" collapsed="false">
      <c r="A41" s="2" t="s">
        <v>487</v>
      </c>
      <c r="B41" s="70" t="s">
        <v>84</v>
      </c>
      <c r="C41" s="69" t="s">
        <v>487</v>
      </c>
    </row>
    <row r="42" customFormat="false" ht="14.25" hidden="false" customHeight="false" outlineLevel="0" collapsed="false">
      <c r="A42" s="2" t="s">
        <v>493</v>
      </c>
      <c r="B42" s="70" t="s">
        <v>86</v>
      </c>
      <c r="C42" s="69" t="s">
        <v>493</v>
      </c>
    </row>
    <row r="43" customFormat="false" ht="14.25" hidden="false" customHeight="false" outlineLevel="0" collapsed="false">
      <c r="A43" s="2" t="s">
        <v>497</v>
      </c>
      <c r="B43" s="70" t="s">
        <v>88</v>
      </c>
      <c r="C43" s="69" t="s">
        <v>497</v>
      </c>
    </row>
    <row r="44" customFormat="false" ht="14.25" hidden="false" customHeight="false" outlineLevel="0" collapsed="false">
      <c r="A44" s="2" t="s">
        <v>500</v>
      </c>
      <c r="B44" s="70" t="s">
        <v>91</v>
      </c>
      <c r="C44" s="69" t="s">
        <v>500</v>
      </c>
    </row>
    <row r="45" customFormat="false" ht="14.25" hidden="false" customHeight="false" outlineLevel="0" collapsed="false">
      <c r="A45" s="2" t="s">
        <v>501</v>
      </c>
      <c r="B45" s="70" t="s">
        <v>93</v>
      </c>
      <c r="C45" s="69" t="s">
        <v>501</v>
      </c>
    </row>
    <row r="46" customFormat="false" ht="14.25" hidden="false" customHeight="false" outlineLevel="0" collapsed="false">
      <c r="A46" s="2" t="s">
        <v>450</v>
      </c>
      <c r="B46" s="70" t="s">
        <v>201</v>
      </c>
      <c r="C46" s="69" t="s">
        <v>450</v>
      </c>
    </row>
    <row r="47" customFormat="false" ht="14.25" hidden="false" customHeight="false" outlineLevel="0" collapsed="false">
      <c r="A47" s="2" t="s">
        <v>337</v>
      </c>
      <c r="B47" s="70" t="s">
        <v>204</v>
      </c>
      <c r="C47" s="69" t="s">
        <v>337</v>
      </c>
    </row>
    <row r="48" customFormat="false" ht="14.25" hidden="false" customHeight="false" outlineLevel="0" collapsed="false">
      <c r="A48" s="2" t="s">
        <v>451</v>
      </c>
      <c r="B48" s="70" t="s">
        <v>206</v>
      </c>
      <c r="C48" s="69" t="s">
        <v>451</v>
      </c>
    </row>
    <row r="49" customFormat="false" ht="14.25" hidden="false" customHeight="false" outlineLevel="0" collapsed="false">
      <c r="A49" s="2" t="s">
        <v>339</v>
      </c>
      <c r="B49" s="70" t="s">
        <v>208</v>
      </c>
      <c r="C49" s="69" t="s">
        <v>339</v>
      </c>
    </row>
    <row r="50" customFormat="false" ht="14.25" hidden="false" customHeight="false" outlineLevel="0" collapsed="false">
      <c r="A50" s="2" t="s">
        <v>340</v>
      </c>
      <c r="B50" s="70" t="s">
        <v>211</v>
      </c>
      <c r="C50" s="69" t="s">
        <v>340</v>
      </c>
    </row>
    <row r="51" customFormat="false" ht="14.25" hidden="false" customHeight="false" outlineLevel="0" collapsed="false">
      <c r="A51" s="2" t="s">
        <v>341</v>
      </c>
      <c r="B51" s="70" t="s">
        <v>213</v>
      </c>
      <c r="C51" s="69" t="s">
        <v>341</v>
      </c>
    </row>
    <row r="52" customFormat="false" ht="14.25" hidden="false" customHeight="false" outlineLevel="0" collapsed="false">
      <c r="A52" s="2" t="s">
        <v>177</v>
      </c>
      <c r="B52" s="70" t="s">
        <v>176</v>
      </c>
      <c r="C52" s="69" t="s">
        <v>177</v>
      </c>
    </row>
    <row r="53" customFormat="false" ht="14.25" hidden="false" customHeight="false" outlineLevel="0" collapsed="false">
      <c r="A53" s="2" t="s">
        <v>770</v>
      </c>
      <c r="B53" s="70" t="s">
        <v>95</v>
      </c>
      <c r="C53" s="69" t="s">
        <v>771</v>
      </c>
    </row>
    <row r="54" customFormat="false" ht="14.25" hidden="false" customHeight="false" outlineLevel="0" collapsed="false">
      <c r="A54" s="2" t="s">
        <v>775</v>
      </c>
      <c r="B54" s="70" t="s">
        <v>98</v>
      </c>
      <c r="C54" s="69" t="s">
        <v>771</v>
      </c>
    </row>
    <row r="55" customFormat="false" ht="14.25" hidden="false" customHeight="false" outlineLevel="0" collapsed="false">
      <c r="A55" s="2" t="s">
        <v>778</v>
      </c>
      <c r="B55" s="70" t="s">
        <v>100</v>
      </c>
      <c r="C55" s="69" t="s">
        <v>771</v>
      </c>
    </row>
    <row r="56" customFormat="false" ht="14.25" hidden="false" customHeight="false" outlineLevel="0" collapsed="false">
      <c r="A56" s="2" t="s">
        <v>781</v>
      </c>
      <c r="B56" s="70" t="s">
        <v>102</v>
      </c>
      <c r="C56" s="69" t="s">
        <v>782</v>
      </c>
    </row>
    <row r="57" customFormat="false" ht="14.25" hidden="false" customHeight="false" outlineLevel="0" collapsed="false">
      <c r="A57" s="2" t="s">
        <v>785</v>
      </c>
      <c r="B57" s="70" t="s">
        <v>104</v>
      </c>
      <c r="C57" s="69" t="s">
        <v>782</v>
      </c>
    </row>
    <row r="58" customFormat="false" ht="14.25" hidden="false" customHeight="false" outlineLevel="0" collapsed="false">
      <c r="A58" s="2" t="s">
        <v>788</v>
      </c>
      <c r="B58" s="70" t="s">
        <v>106</v>
      </c>
      <c r="C58" s="69" t="s">
        <v>782</v>
      </c>
    </row>
    <row r="59" customFormat="false" ht="14.25" hidden="false" customHeight="false" outlineLevel="0" collapsed="false">
      <c r="A59" s="2" t="s">
        <v>791</v>
      </c>
      <c r="B59" s="70" t="s">
        <v>108</v>
      </c>
      <c r="C59" s="69" t="s">
        <v>782</v>
      </c>
    </row>
    <row r="60" customFormat="false" ht="14.25" hidden="false" customHeight="false" outlineLevel="0" collapsed="false">
      <c r="A60" s="2" t="s">
        <v>801</v>
      </c>
      <c r="B60" s="70" t="s">
        <v>111</v>
      </c>
      <c r="C60" s="69" t="s">
        <v>112</v>
      </c>
    </row>
    <row r="61" customFormat="false" ht="14.25" hidden="false" customHeight="false" outlineLevel="0" collapsed="false">
      <c r="A61" s="2" t="s">
        <v>812</v>
      </c>
      <c r="B61" s="70" t="s">
        <v>115</v>
      </c>
      <c r="C61" s="69" t="s">
        <v>112</v>
      </c>
    </row>
    <row r="62" customFormat="false" ht="14.25" hidden="false" customHeight="false" outlineLevel="0" collapsed="false">
      <c r="A62" s="2" t="s">
        <v>818</v>
      </c>
      <c r="B62" s="70" t="s">
        <v>118</v>
      </c>
      <c r="C62" s="69" t="s">
        <v>112</v>
      </c>
    </row>
    <row r="63" customFormat="false" ht="14.25" hidden="false" customHeight="false" outlineLevel="0" collapsed="false">
      <c r="A63" s="2" t="s">
        <v>825</v>
      </c>
      <c r="B63" s="70" t="s">
        <v>121</v>
      </c>
      <c r="C63" s="69" t="s">
        <v>112</v>
      </c>
    </row>
    <row r="64" customFormat="false" ht="14.25" hidden="false" customHeight="false" outlineLevel="0" collapsed="false">
      <c r="A64" s="2" t="s">
        <v>832</v>
      </c>
      <c r="B64" s="70" t="s">
        <v>124</v>
      </c>
      <c r="C64" s="69" t="s">
        <v>112</v>
      </c>
    </row>
    <row r="65" customFormat="false" ht="14.25" hidden="false" customHeight="false" outlineLevel="0" collapsed="false">
      <c r="A65" s="2" t="s">
        <v>836</v>
      </c>
      <c r="B65" s="70" t="s">
        <v>127</v>
      </c>
      <c r="C65" s="69" t="s">
        <v>112</v>
      </c>
    </row>
    <row r="66" customFormat="false" ht="14.25" hidden="false" customHeight="false" outlineLevel="0" collapsed="false">
      <c r="A66" s="2" t="s">
        <v>840</v>
      </c>
      <c r="B66" s="70" t="s">
        <v>130</v>
      </c>
      <c r="C66" s="69" t="s">
        <v>112</v>
      </c>
    </row>
    <row r="67" customFormat="false" ht="14.25" hidden="false" customHeight="false" outlineLevel="0" collapsed="false">
      <c r="A67" s="2" t="s">
        <v>847</v>
      </c>
      <c r="B67" s="70" t="s">
        <v>133</v>
      </c>
      <c r="C67" s="69" t="s">
        <v>112</v>
      </c>
    </row>
    <row r="68" customFormat="false" ht="14.25" hidden="false" customHeight="false" outlineLevel="0" collapsed="false">
      <c r="A68" s="2" t="s">
        <v>2102</v>
      </c>
      <c r="B68" s="70" t="s">
        <v>135</v>
      </c>
      <c r="C68" s="69" t="s">
        <v>136</v>
      </c>
    </row>
    <row r="69" customFormat="false" ht="14.25" hidden="false" customHeight="false" outlineLevel="0" collapsed="false">
      <c r="A69" s="2" t="s">
        <v>2121</v>
      </c>
      <c r="B69" s="70" t="s">
        <v>138</v>
      </c>
      <c r="C69" s="69" t="s">
        <v>139</v>
      </c>
    </row>
    <row r="70" customFormat="false" ht="14.25" hidden="false" customHeight="false" outlineLevel="0" collapsed="false">
      <c r="A70" s="2" t="s">
        <v>1182</v>
      </c>
      <c r="B70" s="70" t="s">
        <v>141</v>
      </c>
      <c r="C70" s="69" t="s">
        <v>142</v>
      </c>
    </row>
    <row r="71" customFormat="false" ht="14.25" hidden="false" customHeight="false" outlineLevel="0" collapsed="false">
      <c r="A71" s="2" t="s">
        <v>1186</v>
      </c>
      <c r="B71" s="70" t="s">
        <v>144</v>
      </c>
      <c r="C71" s="69" t="s">
        <v>142</v>
      </c>
    </row>
    <row r="72" customFormat="false" ht="14.25" hidden="false" customHeight="false" outlineLevel="0" collapsed="false">
      <c r="A72" s="2" t="s">
        <v>992</v>
      </c>
      <c r="B72" s="70" t="s">
        <v>146</v>
      </c>
      <c r="C72" s="69" t="s">
        <v>142</v>
      </c>
    </row>
    <row r="73" customFormat="false" ht="14.25" hidden="false" customHeight="false" outlineLevel="0" collapsed="false">
      <c r="A73" s="2" t="s">
        <v>474</v>
      </c>
      <c r="B73" s="70" t="s">
        <v>190</v>
      </c>
      <c r="C73" s="69" t="s">
        <v>474</v>
      </c>
    </row>
    <row r="74" customFormat="false" ht="14.25" hidden="false" customHeight="false" outlineLevel="0" collapsed="false">
      <c r="A74" s="2" t="s">
        <v>476</v>
      </c>
      <c r="B74" s="70" t="s">
        <v>193</v>
      </c>
      <c r="C74" s="69" t="s">
        <v>476</v>
      </c>
    </row>
    <row r="75" customFormat="false" ht="14.25" hidden="false" customHeight="false" outlineLevel="0" collapsed="false">
      <c r="A75" s="2" t="s">
        <v>477</v>
      </c>
      <c r="B75" s="70" t="s">
        <v>195</v>
      </c>
      <c r="C75" s="69" t="s">
        <v>477</v>
      </c>
    </row>
    <row r="76" customFormat="false" ht="14.25" hidden="false" customHeight="false" outlineLevel="0" collapsed="false">
      <c r="A76" s="2" t="s">
        <v>478</v>
      </c>
      <c r="B76" s="70" t="s">
        <v>197</v>
      </c>
      <c r="C76" s="69" t="s">
        <v>478</v>
      </c>
    </row>
    <row r="77" customFormat="false" ht="14.25" hidden="false" customHeight="false" outlineLevel="0" collapsed="false">
      <c r="A77" s="2" t="s">
        <v>479</v>
      </c>
      <c r="B77" s="70" t="s">
        <v>199</v>
      </c>
      <c r="C77" s="69" t="s">
        <v>479</v>
      </c>
    </row>
    <row r="78" customFormat="false" ht="14.25" hidden="false" customHeight="false" outlineLevel="0" collapsed="false">
      <c r="A78" s="2" t="s">
        <v>467</v>
      </c>
      <c r="B78" s="70" t="s">
        <v>148</v>
      </c>
      <c r="C78" s="69" t="s">
        <v>467</v>
      </c>
    </row>
    <row r="79" customFormat="false" ht="14.25" hidden="false" customHeight="false" outlineLevel="0" collapsed="false">
      <c r="A79" s="2" t="s">
        <v>519</v>
      </c>
      <c r="B79" s="70" t="s">
        <v>151</v>
      </c>
      <c r="C79" s="69" t="s">
        <v>519</v>
      </c>
    </row>
    <row r="80" customFormat="false" ht="14.25" hidden="false" customHeight="false" outlineLevel="0" collapsed="false">
      <c r="A80" s="2" t="s">
        <v>727</v>
      </c>
      <c r="B80" s="70" t="s">
        <v>153</v>
      </c>
      <c r="C80" s="69" t="s">
        <v>727</v>
      </c>
    </row>
    <row r="81" customFormat="false" ht="14.25" hidden="false" customHeight="false" outlineLevel="0" collapsed="false">
      <c r="A81" s="2" t="s">
        <v>410</v>
      </c>
      <c r="B81" s="70" t="s">
        <v>155</v>
      </c>
      <c r="C81" s="69" t="s">
        <v>410</v>
      </c>
    </row>
    <row r="82" customFormat="false" ht="14.25" hidden="false" customHeight="false" outlineLevel="0" collapsed="false">
      <c r="A82" s="2" t="s">
        <v>418</v>
      </c>
      <c r="B82" s="70" t="s">
        <v>158</v>
      </c>
      <c r="C82" s="69" t="s">
        <v>418</v>
      </c>
    </row>
    <row r="83" customFormat="false" ht="14.25" hidden="false" customHeight="false" outlineLevel="0" collapsed="false">
      <c r="A83" s="2" t="s">
        <v>419</v>
      </c>
      <c r="B83" s="70" t="s">
        <v>160</v>
      </c>
      <c r="C83" s="69" t="s">
        <v>419</v>
      </c>
    </row>
    <row r="84" customFormat="false" ht="14.25" hidden="false" customHeight="false" outlineLevel="0" collapsed="false">
      <c r="A84" s="2" t="s">
        <v>1558</v>
      </c>
      <c r="B84" s="70" t="s">
        <v>167</v>
      </c>
      <c r="C84" s="69" t="s">
        <v>342</v>
      </c>
    </row>
    <row r="85" customFormat="false" ht="14.25" hidden="false" customHeight="false" outlineLevel="0" collapsed="false">
      <c r="A85" s="2" t="s">
        <v>651</v>
      </c>
      <c r="B85" s="70" t="s">
        <v>172</v>
      </c>
      <c r="C85" s="69" t="s">
        <v>651</v>
      </c>
    </row>
    <row r="86" customFormat="false" ht="14.25" hidden="false" customHeight="false" outlineLevel="0" collapsed="false">
      <c r="A86" s="2" t="s">
        <v>622</v>
      </c>
      <c r="B86" s="70" t="s">
        <v>174</v>
      </c>
      <c r="C86" s="69" t="s">
        <v>622</v>
      </c>
    </row>
  </sheetData>
  <autoFilter ref="A1:C1">
    <sortState ref="A2:C1">
      <sortCondition ref="A2:A1" customList=""/>
    </sortState>
  </autoFilter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4FAEFA65429324B8E1F72AB29DFF588" ma:contentTypeVersion="0" ma:contentTypeDescription="Crie um novo documento." ma:contentTypeScope="" ma:versionID="312334f3253e39cf953a11ea6c98cf5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C3770B-87DC-4EE1-B26B-319DDE8B516F}"/>
</file>

<file path=customXml/itemProps2.xml><?xml version="1.0" encoding="utf-8"?>
<ds:datastoreItem xmlns:ds="http://schemas.openxmlformats.org/officeDocument/2006/customXml" ds:itemID="{BB8B7179-627A-475A-AF6B-ADB7BE839939}"/>
</file>

<file path=customXml/itemProps3.xml><?xml version="1.0" encoding="utf-8"?>
<ds:datastoreItem xmlns:ds="http://schemas.openxmlformats.org/officeDocument/2006/customXml" ds:itemID="{35145851-639E-444E-8780-F4993D920D5C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Nadia Gabrielle Silva Sales</dc:creator>
  <dc:description/>
  <dc:language>en-US</dc:language>
  <cp:lastModifiedBy/>
  <dcterms:modified xsi:type="dcterms:W3CDTF">2026-03-16T15:36:46Z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0x010100D4FAEFA65429324B8E1F72AB29DFF588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lcf76f155ced4ddcb4097134ff3c332f">
    <vt:lpwstr/>
  </property>
</Properties>
</file>