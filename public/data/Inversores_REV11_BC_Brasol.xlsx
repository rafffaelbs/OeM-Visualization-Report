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rafae\Downloads\"/>
    </mc:Choice>
  </mc:AlternateContent>
  <xr:revisionPtr revIDLastSave="0" documentId="13_ncr:1_{C1444BF0-0CD3-4F86-920E-CBF825F06F9B}" xr6:coauthVersionLast="47" xr6:coauthVersionMax="47" xr10:uidLastSave="{00000000-0000-0000-0000-000000000000}"/>
  <bookViews>
    <workbookView xWindow="-120" yWindow="-120" windowWidth="29040" windowHeight="16440" firstSheet="2" activeTab="2" xr2:uid="{0E6DE144-4726-44D1-82F2-829CE460C922}"/>
  </bookViews>
  <sheets>
    <sheet name="Informações_Usinas" sheetId="3" state="hidden" r:id="rId1"/>
    <sheet name="Exemplo de padrão de nomes" sheetId="4" state="hidden" r:id="rId2"/>
    <sheet name="Dados Inversores" sheetId="2" r:id="rId3"/>
    <sheet name="Relação_Monitoramento" sheetId="6" r:id="rId4"/>
    <sheet name="RESUMO" sheetId="1" r:id="rId5"/>
    <sheet name="Planilha2" sheetId="5" state="hidden" r:id="rId6"/>
  </sheets>
  <externalReferences>
    <externalReference r:id="rId7"/>
  </externalReferences>
  <definedNames>
    <definedName name="concessionaria">[1]!Tabela14[CONCESSIONÁRIA]</definedName>
    <definedName name="DadosExternos_1" localSheetId="0" hidden="1">Informações_Usinas!$A$1:$AR$179</definedName>
    <definedName name="ESTADOS_ÁREA">[1]!Tabela1218[ESTADOS ÁREAS]</definedName>
    <definedName name="SITUACAO_USINA">[1]!Tabela12[SITUAÇÃO USINA]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2" i="1" l="1"/>
  <c r="J318" i="2"/>
  <c r="J319" i="2"/>
  <c r="J324" i="2"/>
  <c r="J323" i="2"/>
  <c r="J322" i="2"/>
  <c r="J321" i="2"/>
  <c r="J316" i="2"/>
  <c r="J320" i="2"/>
  <c r="J325" i="2"/>
  <c r="J326" i="2"/>
  <c r="J327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0" i="2"/>
  <c r="J289" i="2"/>
  <c r="J298" i="2"/>
  <c r="J297" i="2"/>
  <c r="J296" i="2"/>
  <c r="J295" i="2"/>
  <c r="J294" i="2"/>
  <c r="J293" i="2"/>
  <c r="J292" i="2"/>
  <c r="J291" i="2"/>
  <c r="J317" i="2" l="1"/>
  <c r="J315" i="2"/>
  <c r="J245" i="2"/>
  <c r="J244" i="2"/>
  <c r="J243" i="2"/>
  <c r="J242" i="2"/>
  <c r="J241" i="2"/>
  <c r="J238" i="2"/>
  <c r="J237" i="2"/>
  <c r="J236" i="2"/>
  <c r="J240" i="2"/>
  <c r="J239" i="2"/>
  <c r="J246" i="2"/>
  <c r="J247" i="2"/>
  <c r="J248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19" i="2"/>
  <c r="J216" i="2"/>
  <c r="J221" i="2"/>
  <c r="J222" i="2"/>
  <c r="J220" i="2"/>
  <c r="J215" i="2"/>
  <c r="J218" i="2"/>
  <c r="J217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59" i="2"/>
  <c r="J263" i="2"/>
  <c r="J262" i="2"/>
  <c r="J261" i="2"/>
  <c r="J260" i="2"/>
  <c r="J258" i="2"/>
  <c r="J257" i="2"/>
  <c r="J256" i="2"/>
  <c r="J255" i="2"/>
  <c r="J254" i="2"/>
  <c r="J253" i="2"/>
  <c r="J252" i="2"/>
  <c r="J251" i="2"/>
  <c r="J250" i="2"/>
  <c r="J249" i="2"/>
  <c r="J190" i="2"/>
  <c r="J189" i="2"/>
  <c r="J188" i="2"/>
  <c r="J187" i="2"/>
  <c r="J186" i="2"/>
  <c r="J185" i="2"/>
  <c r="J184" i="2"/>
  <c r="J172" i="2"/>
  <c r="J191" i="2"/>
  <c r="J192" i="2"/>
  <c r="J178" i="2"/>
  <c r="J183" i="2"/>
  <c r="J182" i="2"/>
  <c r="J181" i="2"/>
  <c r="J180" i="2"/>
  <c r="J179" i="2"/>
  <c r="J177" i="2"/>
  <c r="J176" i="2"/>
  <c r="J175" i="2"/>
  <c r="J174" i="2"/>
  <c r="J173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41" i="2"/>
  <c r="J42" i="2"/>
  <c r="J40" i="2"/>
  <c r="J39" i="2"/>
  <c r="J38" i="2"/>
  <c r="J37" i="2"/>
  <c r="J36" i="2"/>
  <c r="J35" i="2"/>
  <c r="J34" i="2"/>
  <c r="J33" i="2"/>
  <c r="J32" i="2"/>
  <c r="J31" i="2"/>
  <c r="J30" i="2"/>
  <c r="J28" i="2"/>
  <c r="J29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J71" i="2" l="1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136" i="2"/>
  <c r="J145" i="2"/>
  <c r="J144" i="2"/>
  <c r="J140" i="2"/>
  <c r="J139" i="2"/>
  <c r="J143" i="2"/>
  <c r="J142" i="2"/>
  <c r="J141" i="2"/>
  <c r="J138" i="2"/>
  <c r="J137" i="2"/>
  <c r="J134" i="2"/>
  <c r="J133" i="2"/>
  <c r="J132" i="2"/>
  <c r="J135" i="2"/>
  <c r="J131" i="2"/>
  <c r="J130" i="2"/>
  <c r="J120" i="2"/>
  <c r="J128" i="2"/>
  <c r="J112" i="2"/>
  <c r="J127" i="2"/>
  <c r="J126" i="2"/>
  <c r="J125" i="2"/>
  <c r="J124" i="2"/>
  <c r="J123" i="2"/>
  <c r="J122" i="2"/>
  <c r="J121" i="2"/>
  <c r="J119" i="2"/>
  <c r="J118" i="2"/>
  <c r="J117" i="2"/>
  <c r="J116" i="2"/>
  <c r="J115" i="2"/>
  <c r="J114" i="2"/>
  <c r="J113" i="2"/>
  <c r="J149" i="2"/>
  <c r="J148" i="2"/>
  <c r="J147" i="2"/>
  <c r="J146" i="2"/>
  <c r="J81" i="2"/>
  <c r="J80" i="2"/>
  <c r="J77" i="2"/>
  <c r="J79" i="2"/>
  <c r="J82" i="2"/>
  <c r="J78" i="2"/>
  <c r="J76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75" i="2" l="1"/>
  <c r="J74" i="2"/>
  <c r="J73" i="2"/>
  <c r="J72" i="2"/>
  <c r="J111" i="2"/>
  <c r="J110" i="2"/>
  <c r="J109" i="2"/>
  <c r="J108" i="2"/>
  <c r="J93" i="2"/>
  <c r="J95" i="2"/>
  <c r="J94" i="2"/>
  <c r="J101" i="2"/>
  <c r="J100" i="2"/>
  <c r="J99" i="2"/>
  <c r="J97" i="2"/>
  <c r="J98" i="2"/>
  <c r="J96" i="2"/>
  <c r="J107" i="2"/>
  <c r="J106" i="2"/>
  <c r="J105" i="2"/>
  <c r="J104" i="2"/>
  <c r="J103" i="2"/>
  <c r="J102" i="2"/>
  <c r="J92" i="2"/>
  <c r="J91" i="2"/>
  <c r="J90" i="2"/>
  <c r="J83" i="2"/>
  <c r="J84" i="2"/>
  <c r="J85" i="2"/>
  <c r="J86" i="2"/>
  <c r="J87" i="2"/>
  <c r="J88" i="2"/>
  <c r="J8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782EA0-5D5D-4FBC-BD5C-2A6432E3AD74}" keepAlive="1" name="Consulta - Informações_Usinas" description="Conexão com a consulta 'Informações_Usinas' na pasta de trabalho." type="5" refreshedVersion="8" background="1" saveData="1">
    <dbPr connection="Provider=Microsoft.Mashup.OleDb.1;Data Source=$Workbook$;Location=Informações_Usinas;Extended Properties=&quot;&quot;" command="SELECT * FROM [Informações_Usinas]"/>
  </connection>
</connections>
</file>

<file path=xl/sharedStrings.xml><?xml version="1.0" encoding="utf-8"?>
<sst xmlns="http://schemas.openxmlformats.org/spreadsheetml/2006/main" count="7703" uniqueCount="1353">
  <si>
    <t>USINAS</t>
  </si>
  <si>
    <t>COMPLEXO DE OBRAS</t>
  </si>
  <si>
    <t>SITUAÇÃO DA USINA</t>
  </si>
  <si>
    <t>UF</t>
  </si>
  <si>
    <t>CIDADE</t>
  </si>
  <si>
    <t>Endereço</t>
  </si>
  <si>
    <t>CONCESSIONÁRIA</t>
  </si>
  <si>
    <t>UC</t>
  </si>
  <si>
    <t>USINA PRÓPRIA / ALUGADA</t>
  </si>
  <si>
    <t>Tipo de Usina</t>
  </si>
  <si>
    <t>Estrutura</t>
  </si>
  <si>
    <t>Potência KW</t>
  </si>
  <si>
    <t>Potencia KWp</t>
  </si>
  <si>
    <t>Quantidade de Módulos</t>
  </si>
  <si>
    <t>INVERSORES</t>
  </si>
  <si>
    <t>MÓDULOS</t>
  </si>
  <si>
    <t>Geração estimada Janeiro P50 (MWh)</t>
  </si>
  <si>
    <t>Geração estimada Fevereiro P50 (MWh)</t>
  </si>
  <si>
    <t>Geração estimada Março P50 (MWh)</t>
  </si>
  <si>
    <t>Geração estimada Abril P50 (MWh)</t>
  </si>
  <si>
    <t>Geração estimada Maio P50 (MWh)</t>
  </si>
  <si>
    <t>Geração estimada Junho P50 (MWh)</t>
  </si>
  <si>
    <t>Geração estimada Julho P50 (MWh)</t>
  </si>
  <si>
    <t>Geração estimada Agosto P50 (MWh)</t>
  </si>
  <si>
    <t>Geração estimada Setembro P50 (MWh)</t>
  </si>
  <si>
    <t>Geração estimada Outubro P50 (MWh)</t>
  </si>
  <si>
    <t>Geração estimada Novembro P50 (MWh)</t>
  </si>
  <si>
    <t>Geração estimada Dezembro P50 (MWh)</t>
  </si>
  <si>
    <t>Geração estimada P50 (MWh)/Ano</t>
  </si>
  <si>
    <t>Variação (MWh)</t>
  </si>
  <si>
    <t>Geração estimada P90 (MWh)/Ano</t>
  </si>
  <si>
    <t>Geração estimada P95 (MWh)/Ano</t>
  </si>
  <si>
    <t>P50 (MWh) / kWp / Ano</t>
  </si>
  <si>
    <t>Revisão da Simulação</t>
  </si>
  <si>
    <t>Ano de Projeção da Simulação no PVSyst</t>
  </si>
  <si>
    <t>Data da Simulação</t>
  </si>
  <si>
    <t>Controle de Revisão do PVSyst</t>
  </si>
  <si>
    <t>Previsão de entrega</t>
  </si>
  <si>
    <t>Data Início das Obras</t>
  </si>
  <si>
    <t>Data Finalização das Obras</t>
  </si>
  <si>
    <t>Previsão de Energização</t>
  </si>
  <si>
    <t>Data Energização</t>
  </si>
  <si>
    <t>Perda Primeiro Ano</t>
  </si>
  <si>
    <t>Perda Anual</t>
  </si>
  <si>
    <t>CGH Rio Bonito II</t>
  </si>
  <si>
    <t>CGH Rio Bonito I</t>
  </si>
  <si>
    <t>EM OPERAÇÃO</t>
  </si>
  <si>
    <t>Goias</t>
  </si>
  <si>
    <t>Caiapônia</t>
  </si>
  <si>
    <t>Fazenda Cachoeira, Município de Caiapônia, Estado de Goiás</t>
  </si>
  <si>
    <t>EQUATORIAL-GO</t>
  </si>
  <si>
    <t>PRÓPRIA</t>
  </si>
  <si>
    <t>CGH</t>
  </si>
  <si>
    <t>HIDRÁULICA</t>
  </si>
  <si>
    <t/>
  </si>
  <si>
    <t>Rio Bonito I</t>
  </si>
  <si>
    <t>UFV</t>
  </si>
  <si>
    <t>FIXA</t>
  </si>
  <si>
    <t>SUNGROW SG60KTL/SG36KTL</t>
  </si>
  <si>
    <t>GCL 345Wp</t>
  </si>
  <si>
    <t>B</t>
  </si>
  <si>
    <t>Atualizar a simulação para o ano de projeção 6!</t>
  </si>
  <si>
    <t>Rio Monte I</t>
  </si>
  <si>
    <t>Fazenda Santa Marta, Município de Caiapônia, Estado de Goiás</t>
  </si>
  <si>
    <t>SUNGROW SG75CX</t>
  </si>
  <si>
    <t>JA SOLAR-JAM72-S09-375-PR
JINKO SOLAR-JKM530M-72HL4-TV</t>
  </si>
  <si>
    <t>C</t>
  </si>
  <si>
    <t>Atualizado!</t>
  </si>
  <si>
    <t>Rio Monte II</t>
  </si>
  <si>
    <t>JA SOLAR-JAM72-S09-375-PR</t>
  </si>
  <si>
    <t>Rio Monte III</t>
  </si>
  <si>
    <t>SUNGROW SG60KTL</t>
  </si>
  <si>
    <t>Araçu I</t>
  </si>
  <si>
    <t>Inhumas</t>
  </si>
  <si>
    <t>Fazenda Mamoeiro, Município de Inhumas, Estado de Goiás</t>
  </si>
  <si>
    <t>SUNGROW SG125HV</t>
  </si>
  <si>
    <t>CANADIAN-CS3W-400P</t>
  </si>
  <si>
    <t>Araçu II</t>
  </si>
  <si>
    <t>TRACKER</t>
  </si>
  <si>
    <t>SUNGROW SG50CX</t>
  </si>
  <si>
    <t>LONGI SOLAR LR4-72 HPH 435M</t>
  </si>
  <si>
    <t>Araçu III</t>
  </si>
  <si>
    <t xml:space="preserve"> SUNGROW SG60KTL</t>
  </si>
  <si>
    <t>Araçu IV</t>
  </si>
  <si>
    <t xml:space="preserve"> SUNGROW SG60KTL/SG50CX</t>
  </si>
  <si>
    <t>Araçu V</t>
  </si>
  <si>
    <t>Araçu VI</t>
  </si>
  <si>
    <t>CANADIAN BIHIKU CS3W-400/405 PB-AG</t>
  </si>
  <si>
    <t>Atualizar a simulação para o ano de projeção 4!</t>
  </si>
  <si>
    <t>Araçu VII</t>
  </si>
  <si>
    <t>CANADIAN BIHIKU CS3W-400 PB-AG</t>
  </si>
  <si>
    <t>Bom Sucesso I</t>
  </si>
  <si>
    <t>Palmeiras de Goiás</t>
  </si>
  <si>
    <t>Fazenda Bom Sucesso, Rodovia GO-408 - Km 5 - Fazenda Bom Sucesso - Bairro: Zona Rural - CEP: 76.190-000 - Palmeiras de Goiás-GO</t>
  </si>
  <si>
    <t>ABB TRIO-50-TL-OUTD/ SUNGROW SG60KTL</t>
  </si>
  <si>
    <t>CANADIAN-CS6U-330P/CS3W-445MS</t>
  </si>
  <si>
    <t>Paranoá I</t>
  </si>
  <si>
    <t>Distrito Federal</t>
  </si>
  <si>
    <t>Paranoá</t>
  </si>
  <si>
    <t>FAZENDA SANTO ANTÔNIO, CHÁCARA 38, BR 270 KM 02, BRASÍLIA-DF, CEP:71570-990</t>
  </si>
  <si>
    <t>NEOENERGIA-DF</t>
  </si>
  <si>
    <t>2353016-2</t>
  </si>
  <si>
    <t>Atualizar a simulação para o ano de projeção 3!</t>
  </si>
  <si>
    <t>Paranoá II</t>
  </si>
  <si>
    <t>2352648-3</t>
  </si>
  <si>
    <t xml:space="preserve"> SUNGROW SG60KTL/SG40CX</t>
  </si>
  <si>
    <t>Paranoá III</t>
  </si>
  <si>
    <t>2353023-5</t>
  </si>
  <si>
    <t>Paranoá IV</t>
  </si>
  <si>
    <t>2346023-7</t>
  </si>
  <si>
    <t>Paranoá V</t>
  </si>
  <si>
    <t>2346009-1</t>
  </si>
  <si>
    <t>CANADIAN BIHIKU CS3W-400/410 PB-AG</t>
  </si>
  <si>
    <t>Paranoá VI</t>
  </si>
  <si>
    <t>2345997-2</t>
  </si>
  <si>
    <t>Paranoá VII</t>
  </si>
  <si>
    <t>2345992-1</t>
  </si>
  <si>
    <t>Paranoá VIII</t>
  </si>
  <si>
    <t>2352661-0</t>
  </si>
  <si>
    <t>Caiaponia I</t>
  </si>
  <si>
    <t>Sítio Ana Paula, RODOVIA BR 158 Km 02, Município de Caiapônia-GO</t>
  </si>
  <si>
    <t>CANADIAN BIHIKU CS3W-405 PB-AG</t>
  </si>
  <si>
    <t>Caiaponia II</t>
  </si>
  <si>
    <t>Caiaponia III</t>
  </si>
  <si>
    <t>Caiaponia IV</t>
  </si>
  <si>
    <t>Caiaponia V</t>
  </si>
  <si>
    <t>CANADIAN BIHIKU CS3W-400/405 PB-AG
CANADIAN HIKU CS3W-405</t>
  </si>
  <si>
    <t>Panamá I</t>
  </si>
  <si>
    <t>Panamá</t>
  </si>
  <si>
    <t>Rua Jatobá, Quadra 11, Lote 10, S/N, Residencial Ipê, Panamá-GO, CEP: 75580-000</t>
  </si>
  <si>
    <t>CANADIAN-CS3W-405P 1500VHE</t>
  </si>
  <si>
    <t>Panamá II</t>
  </si>
  <si>
    <t>Rua Jatobá, Quadra 11, Lote 14, S/N, Residencial Ipê, Panamá-GO, CEP: 75580-000</t>
  </si>
  <si>
    <t>JINKO SOLAR-JKM530M-72HL4-TV</t>
  </si>
  <si>
    <t>Panamá III</t>
  </si>
  <si>
    <t>Rua Jatobá, Quadra 11, Lote 18, S/N, Residencial Ipê, Panamá-GO, CEP: 75580-000</t>
  </si>
  <si>
    <t>Panamá IV</t>
  </si>
  <si>
    <t>Rua Jatobá, Quadra 08, Lote 15, S/N, Residencial Ipê, Panamá-GO, CEP: 75580-000</t>
  </si>
  <si>
    <t>Panamá V</t>
  </si>
  <si>
    <t>Rua Jatobá, Quadra 08, Lote 18, S/N, Residencial Ipê, Panamá-GO, CEP: 75580-000</t>
  </si>
  <si>
    <t>Panamá VI</t>
  </si>
  <si>
    <t>Rua Jatobá, Quadra 08, Lote 21, S/N, Residencial Ipê, Panamá-GO, CEP: 75580-000</t>
  </si>
  <si>
    <t>Panamá VII</t>
  </si>
  <si>
    <t>Rua Jatobá, Quadra 08, Lote 25, S/N, Residencial Ipê, Panamá-GO, CEP: 75580-000</t>
  </si>
  <si>
    <t>Araçu VIII</t>
  </si>
  <si>
    <t>D</t>
  </si>
  <si>
    <t>Vazante I</t>
  </si>
  <si>
    <t>Minas Gerais</t>
  </si>
  <si>
    <t>Vazante</t>
  </si>
  <si>
    <t>Fazenda Vazante, Vargem do Jaburu e Varginhas, Município de Vazante, Estado de Minas Gerais, Objeto da matrícula nº 1.504</t>
  </si>
  <si>
    <t>CEMIG</t>
  </si>
  <si>
    <t>Vazante II</t>
  </si>
  <si>
    <t>CANADIAN BIHIKU CS3W-410 PB-AG</t>
  </si>
  <si>
    <t>Vazante III</t>
  </si>
  <si>
    <t>Vazante IV</t>
  </si>
  <si>
    <t>HUAWEI SUN2000-215KTL-H0</t>
  </si>
  <si>
    <t>RISEN-RSM120-8-585BMDG</t>
  </si>
  <si>
    <t>E</t>
  </si>
  <si>
    <t>Vazante V</t>
  </si>
  <si>
    <t>Vazante VI</t>
  </si>
  <si>
    <t>HUAWEI SUN2000-215KTL-H0/SUN2000-100KTL-H1</t>
  </si>
  <si>
    <t>Rio Bonito II</t>
  </si>
  <si>
    <t>JA SOLAR JAM72-D30-540-BP</t>
  </si>
  <si>
    <t>Varjao de Minas I</t>
  </si>
  <si>
    <t>Varjão de Minas</t>
  </si>
  <si>
    <t>Fazenda São José e São Zeferino, Distrito de Galena, Município de Presidente
Olegário, Estado de Minas Gerais, Objeto da matrícula nº 14.933</t>
  </si>
  <si>
    <t>Atualizar a simulação para o ano de projeção 2!</t>
  </si>
  <si>
    <t>Varjao de Minas II</t>
  </si>
  <si>
    <t>Varjao de Minas III</t>
  </si>
  <si>
    <t>Varjão de Minas IV</t>
  </si>
  <si>
    <t>Fazenda São José e Santana, Distrito de Galena, Município de Presidente
Olegário, Estado de Minas Gerais, Objeto da matrícula nº 1.126</t>
  </si>
  <si>
    <t>Varjão de Minas V</t>
  </si>
  <si>
    <t>Varjão de Minas VI</t>
  </si>
  <si>
    <t>Barra do Garças I</t>
  </si>
  <si>
    <t>Mato Grosso</t>
  </si>
  <si>
    <t>Barra do Garças</t>
  </si>
  <si>
    <t>Sítios de Recreio Águas Quentes, Estrada 08, Quadra 17, Lotes 2, 3 e 4, Barra do Garças-MT</t>
  </si>
  <si>
    <t>ENERGISA-MT</t>
  </si>
  <si>
    <t>BG UC 01</t>
  </si>
  <si>
    <t>JA SOLAR JAM72-D30-540-MB</t>
  </si>
  <si>
    <t>Barra do Garças II</t>
  </si>
  <si>
    <t>BG UC 02</t>
  </si>
  <si>
    <t>Barra do Garças III</t>
  </si>
  <si>
    <t>BG UC 03</t>
  </si>
  <si>
    <t>SUNGROW SG40CX</t>
  </si>
  <si>
    <t>Corumbá I</t>
  </si>
  <si>
    <t>Corumbá de Goiás</t>
  </si>
  <si>
    <t>Quinhão N°01, localizado no imóvel "Chácara e Pasto das Cruzes", matrícula N°6.382, Corumbá de Goiás-GO</t>
  </si>
  <si>
    <t>HUAWEI SUN2000-215KTL-H3</t>
  </si>
  <si>
    <t>CANADIAN SOLAR BIHIKU7 CS7N-660MB-AG</t>
  </si>
  <si>
    <t>G</t>
  </si>
  <si>
    <t>Corumbá II</t>
  </si>
  <si>
    <t>Corumbá III</t>
  </si>
  <si>
    <t>HUAWEI SUN2000-215KTL-H3/SUN2000-100KTL-H1</t>
  </si>
  <si>
    <t>Camarão I</t>
  </si>
  <si>
    <t>Fazenda Camarão, Rodovia GO 408 Km 15 à direita, matrícula N°20.755, Palmeiras de Goiás-GO</t>
  </si>
  <si>
    <t>RISEN RSM132-8-660BMDG</t>
  </si>
  <si>
    <t>Camarão II</t>
  </si>
  <si>
    <t>Camarão III</t>
  </si>
  <si>
    <t>Camarão IV</t>
  </si>
  <si>
    <t>Camarão V</t>
  </si>
  <si>
    <t>Corumbá IV</t>
  </si>
  <si>
    <t>H</t>
  </si>
  <si>
    <t>Corumbá V</t>
  </si>
  <si>
    <t>Corumbá VI</t>
  </si>
  <si>
    <t>Clareira Araçu I</t>
  </si>
  <si>
    <t>Clareira Araçu II</t>
  </si>
  <si>
    <t>Caiaponia VI</t>
  </si>
  <si>
    <t>Caiaponia VII</t>
  </si>
  <si>
    <t>Caiaponia VIII</t>
  </si>
  <si>
    <t>Abadiânia I</t>
  </si>
  <si>
    <t xml:space="preserve">Abadiânia </t>
  </si>
  <si>
    <t>EM CONTRATAÇÃO</t>
  </si>
  <si>
    <t>Abadiânia</t>
  </si>
  <si>
    <t>Fazenda Serenata e Monjolinho,Rodovia GO-414, Municipio de Abadiânia, Estado de Goiás, Zona rural, CEP: 72940-000</t>
  </si>
  <si>
    <t>HUAWEI SUN2000-250KTL-H1</t>
  </si>
  <si>
    <t>RISEN RSM132-8-695BHDG</t>
  </si>
  <si>
    <t>Atualizada, simulação para o ano de projeção 1 por ser usina não conectada!</t>
  </si>
  <si>
    <t>Abadiânia II</t>
  </si>
  <si>
    <t>Abadiânia III</t>
  </si>
  <si>
    <t>Abadiânia IV</t>
  </si>
  <si>
    <t>Abadiânia V</t>
  </si>
  <si>
    <t>Araçu IX</t>
  </si>
  <si>
    <t>EM CONSTRUÇÃO</t>
  </si>
  <si>
    <t>TRINA SOLAR TSM-695NEG21C.20</t>
  </si>
  <si>
    <t>Araçu X</t>
  </si>
  <si>
    <t>Araçu XI</t>
  </si>
  <si>
    <t>Araçu XII</t>
  </si>
  <si>
    <t>Araçu XIII</t>
  </si>
  <si>
    <t>Corumbá VII</t>
  </si>
  <si>
    <t>Fazenda Mato Grande, Rodovia GO 225, Municipio de Corumbá de Goiás, Estado de Goiás, CEP.: 72960-000</t>
  </si>
  <si>
    <t>F</t>
  </si>
  <si>
    <t>Formoso I</t>
  </si>
  <si>
    <t>Formoso</t>
  </si>
  <si>
    <t>Estrada do Rodeio, Muncipio de Formoso, Estado de Goias, zonal rual, CEP.: 76470-000</t>
  </si>
  <si>
    <t>J</t>
  </si>
  <si>
    <t>Formoso II</t>
  </si>
  <si>
    <t>Estrada do Rodeio, Muncipio de Formoso, Estado de Goias, zonal rual, CEP.: 76470-001</t>
  </si>
  <si>
    <t>Formoso III</t>
  </si>
  <si>
    <t>Estrada do Rodeio, Muncipio de Formoso, Estado de Goias, zonal rual, CEP.: 76470-002</t>
  </si>
  <si>
    <t>Formoso IV</t>
  </si>
  <si>
    <t>Estrada do Rodeio, Muncipio de Formoso, Estado de Goias, zonal rual, CEP.: 76470-003</t>
  </si>
  <si>
    <t>Formoso V</t>
  </si>
  <si>
    <t>Estrada do Rodeio, Muncipio de Formoso, Estado de Goias, zonal rual, CEP.: 76470-004</t>
  </si>
  <si>
    <t>Formoso VI</t>
  </si>
  <si>
    <t>Estrada do Rodeio, Muncipio de Formoso, Estado de Goias, zonal rual, CEP.: 76470-005</t>
  </si>
  <si>
    <t>Mairipotaba I</t>
  </si>
  <si>
    <t>Mairipotaba</t>
  </si>
  <si>
    <t>Córrego Fundo e Flores, Municipio de Mairipotaba, Estado de Goiás, Zona Rural, CEP.: 75630-000, Matricula n°609</t>
  </si>
  <si>
    <t>Mairipotaba II</t>
  </si>
  <si>
    <t>Córrego Fundo e Flores, Municipio de Mairipotaba, Estado de Goiás, Zona Rural, CEP.: 75630-000, Matricula n°610</t>
  </si>
  <si>
    <t>Mairipotaba III</t>
  </si>
  <si>
    <t>Córrego Fundo e Flores, Municipio de Mairipotaba, Estado de Goiás, Zona Rural, CEP.: 75630-000, Matricula n°611</t>
  </si>
  <si>
    <t>Mairipotaba IV</t>
  </si>
  <si>
    <t>Córrego Fundo e Flores, Municipio de Mairipotaba, Estado de Goiás, Zona Rural, CEP.: 75630-000, Matricula n°612</t>
  </si>
  <si>
    <t>Mairipotaba V</t>
  </si>
  <si>
    <t>Córrego Fundo e Flores, Municipio de Mairipotaba, Estado de Goiás, Zona Rural, CEP.: 75630-000, Matricula n°613</t>
  </si>
  <si>
    <t>Mairipotaba VI</t>
  </si>
  <si>
    <t>Córrego Fundo e Flores, Municipio de Mairipotaba, Estado de Goiás, Zona Rural, CEP.: 75630-000, Matricula n°614</t>
  </si>
  <si>
    <t>Nazário I</t>
  </si>
  <si>
    <t xml:space="preserve">Nazário </t>
  </si>
  <si>
    <t>Nazário</t>
  </si>
  <si>
    <t>Fazenda Córrego de ouro, Rodovia GO-156, Municipio de Palmeiras de Goiás, Estado de Goiás, CEP.: 76190-000</t>
  </si>
  <si>
    <t>Nazário II</t>
  </si>
  <si>
    <t>Fazenda Córrego de ouro, Rodovia GO-156, Municipio de Palmeiras de Goiás, Estado de Goiás, CEP.: 76190-001</t>
  </si>
  <si>
    <t>Nazário III</t>
  </si>
  <si>
    <t>Fazenda Córrego de ouro, Rodovia GO-156, Municipio de Palmeiras de Goiás, Estado de Goiás, CEP.: 76190-002</t>
  </si>
  <si>
    <t>Nazário IV</t>
  </si>
  <si>
    <t>Fazenda Córrego de ouro, Rodovia GO-156, Municipio de Palmeiras de Goiás, Estado de Goiás, CEP.: 76190-003</t>
  </si>
  <si>
    <t>Nazário V</t>
  </si>
  <si>
    <t>Fazenda Córrego de ouro, Rodovia GO-156, Municipio de Palmeiras de Goiás, Estado de Goiás, CEP.: 76190-004</t>
  </si>
  <si>
    <t>Turvânia I</t>
  </si>
  <si>
    <t xml:space="preserve">Turvânia </t>
  </si>
  <si>
    <t>Turvânia</t>
  </si>
  <si>
    <t>Rodovia Go-060, zona Rural, Municipio de Turvânia, Estado de Goiás, CEP.: 76110-000</t>
  </si>
  <si>
    <t>A</t>
  </si>
  <si>
    <t>Turvânia II</t>
  </si>
  <si>
    <t>Rodovia Go-060, zona Rural, Municipio de Turvânia, Estado de Goiás, CEP.: 76110-001</t>
  </si>
  <si>
    <t>Turvânia III</t>
  </si>
  <si>
    <t>Rodovia Go-060, zona Rural, Municipio de Turvânia, Estado de Goiás, CEP.: 76110-002</t>
  </si>
  <si>
    <t>Turvânia IV</t>
  </si>
  <si>
    <t>Rodovia Go-060, zona Rural, Municipio de Turvânia, Estado de Goiás, CEP.: 76110-003</t>
  </si>
  <si>
    <t>Turvânia V</t>
  </si>
  <si>
    <t>Rodovia Go-060, zona Rural, Municipio de Turvânia, Estado de Goiás, CEP.: 76110-004</t>
  </si>
  <si>
    <t>Planaltina I</t>
  </si>
  <si>
    <t>Planaltina</t>
  </si>
  <si>
    <t>Fazenda Monjolos, Municipio de Planaltina, Estado de Brasilia, Bom sucesso, Matricula 25033, Parte A</t>
  </si>
  <si>
    <t>Planaltina II</t>
  </si>
  <si>
    <t>Planaltina III</t>
  </si>
  <si>
    <t>Planaltina IV</t>
  </si>
  <si>
    <t>Lençóis Paulista I</t>
  </si>
  <si>
    <t>Sao Paulo</t>
  </si>
  <si>
    <t>Lençóis Paulista</t>
  </si>
  <si>
    <t>Fazenda Faxinal, Estrada Mun. Lençois paulista/Borebik Km 08, Municipio de Lençóis Paulista, Estado de São Paulo, Zona Rural, CEP.: 18682-970</t>
  </si>
  <si>
    <t>CPFL-PAULISTA</t>
  </si>
  <si>
    <t>Araguatins I</t>
  </si>
  <si>
    <t>Tocantins</t>
  </si>
  <si>
    <t>Araguatins</t>
  </si>
  <si>
    <t>Rodovia TO-010, Fazenda São José, Gleba São Martinho, Lote 10, Zona Rutal</t>
  </si>
  <si>
    <t>ENERGISA-TO</t>
  </si>
  <si>
    <t>Araguatins II</t>
  </si>
  <si>
    <t>Araguatins III</t>
  </si>
  <si>
    <t>Araguatins IV</t>
  </si>
  <si>
    <t>Araguatins V</t>
  </si>
  <si>
    <t>Araguatins VI</t>
  </si>
  <si>
    <t>Ibiuna I</t>
  </si>
  <si>
    <t>Ibiuna</t>
  </si>
  <si>
    <t>Rua da Cerâmica, Zona Rural, Município de Ibiuná-SP, CEP 18150-000</t>
  </si>
  <si>
    <t>Ibiuna II</t>
  </si>
  <si>
    <t>Padrão de nomenclatura</t>
  </si>
  <si>
    <t>Exemplo 1:</t>
  </si>
  <si>
    <t>Complexo</t>
  </si>
  <si>
    <t>Usina</t>
  </si>
  <si>
    <t>Inversor</t>
  </si>
  <si>
    <t>Marca</t>
  </si>
  <si>
    <t>UFV X 1</t>
  </si>
  <si>
    <t>UFV X 1.1</t>
  </si>
  <si>
    <t>UFV X 1.1_Inv1</t>
  </si>
  <si>
    <t>Sungrow</t>
  </si>
  <si>
    <t>SG60KTL(COM1-014)_001_013</t>
  </si>
  <si>
    <t>UFV X 1.1_Inv2</t>
  </si>
  <si>
    <t>SG60KTL(COM1-013)_001_010</t>
  </si>
  <si>
    <t>UFV X 1.1_Inv3</t>
  </si>
  <si>
    <t>SG60KTL(COM1-012)_001_011</t>
  </si>
  <si>
    <t>UFV X 1.1_Inv4</t>
  </si>
  <si>
    <t>SG60KTL(COM1-011)_001_005</t>
  </si>
  <si>
    <t>UFV X 1.1_Inv5</t>
  </si>
  <si>
    <t>SG60KTL(COM1-010)_001_003</t>
  </si>
  <si>
    <t>SG60KTL(COM1-018)_001_012</t>
  </si>
  <si>
    <t>SG60KTL(COM1-017)_001_007</t>
  </si>
  <si>
    <t>SG60KTL(COM1-016)_001_006</t>
  </si>
  <si>
    <t>SG50CX(COM2-015)_001_017</t>
  </si>
  <si>
    <t>SN</t>
  </si>
  <si>
    <t>UFV Paranoá 1</t>
  </si>
  <si>
    <t>UFV Paranoá 1.1</t>
  </si>
  <si>
    <t>UFV Paranoá 1.1_Inv1</t>
  </si>
  <si>
    <t>A1912210308</t>
  </si>
  <si>
    <t>UFV Paranoá 1.1_Inv2</t>
  </si>
  <si>
    <t>A1912210339</t>
  </si>
  <si>
    <t>UFV Paranoá 1.1_Inv3</t>
  </si>
  <si>
    <t>A1912210173</t>
  </si>
  <si>
    <t>UFV Paranoá 1.1_Inv4</t>
  </si>
  <si>
    <t>A1912210209</t>
  </si>
  <si>
    <t>UFV Paranoá 1.1_Inv5</t>
  </si>
  <si>
    <t>A1908230295</t>
  </si>
  <si>
    <t>UFV Paranoá 1.1_Inv6</t>
  </si>
  <si>
    <t>A1908230297</t>
  </si>
  <si>
    <t>UFV Paranoá 1.1_Inv7</t>
  </si>
  <si>
    <t>A1912210294</t>
  </si>
  <si>
    <t>UFV Paranoá 1.1_Inv8</t>
  </si>
  <si>
    <t>A1912210298</t>
  </si>
  <si>
    <t>UFV Paranoá 1.1_Inv9</t>
  </si>
  <si>
    <t>A2110805895</t>
  </si>
  <si>
    <t>Exemplo 2:</t>
  </si>
  <si>
    <t>UFV CAIAPONIA II - UC 1</t>
  </si>
  <si>
    <t>Huawei</t>
  </si>
  <si>
    <t>215KTL-H3(MBUS-14)</t>
  </si>
  <si>
    <t>215KTL-H3(MBUS-13)</t>
  </si>
  <si>
    <t>215KTL-H3(MBUS-12)</t>
  </si>
  <si>
    <t>215KTL-H3(MBUS-15)</t>
  </si>
  <si>
    <t>215KTL-H3(MBUS-16)</t>
  </si>
  <si>
    <t>UFV Caiapônia 2</t>
  </si>
  <si>
    <t>UFV Caiapônia 2.1</t>
  </si>
  <si>
    <t>UFV Caiapônia 2.1_Inv1</t>
  </si>
  <si>
    <t>6T22C9013425</t>
  </si>
  <si>
    <t>UFV Caiapônia 2.1_Inv2</t>
  </si>
  <si>
    <t>ES22B0077185</t>
  </si>
  <si>
    <t>UFV Caiapônia 2.1_Inv3</t>
  </si>
  <si>
    <t>6T22C9026336</t>
  </si>
  <si>
    <t>UFV Caiapônia 2.1_Inv4</t>
  </si>
  <si>
    <t>ES22B0077259</t>
  </si>
  <si>
    <t>UFV Caiapônia 2.1_Inv5</t>
  </si>
  <si>
    <t>6T22C9026334</t>
  </si>
  <si>
    <t>Estado</t>
  </si>
  <si>
    <t>Nome Monitoramento Brasol</t>
  </si>
  <si>
    <t>Modelo</t>
  </si>
  <si>
    <t>Número de Série</t>
  </si>
  <si>
    <t>Potência Nominal [kW]</t>
  </si>
  <si>
    <t>Potência Pico [kWp]</t>
  </si>
  <si>
    <t>Status</t>
  </si>
  <si>
    <t>DF</t>
  </si>
  <si>
    <t>BC Paranoa</t>
  </si>
  <si>
    <t>SG60KTL</t>
  </si>
  <si>
    <t>Em operação</t>
  </si>
  <si>
    <t>SG50CX</t>
  </si>
  <si>
    <t>SG60KTL(COM1-009)_001_002</t>
  </si>
  <si>
    <t>A1908230274</t>
  </si>
  <si>
    <t>SG60KTL(COM1-008)_001_009</t>
  </si>
  <si>
    <t>A1908230303</t>
  </si>
  <si>
    <t>SG60KTL(COM1-007)_001_004</t>
  </si>
  <si>
    <t>A1912210244</t>
  </si>
  <si>
    <t>SG60KTL(COM1-006)_001_014</t>
  </si>
  <si>
    <t>A1912210310</t>
  </si>
  <si>
    <t>SG40CX(COM2-005)_001_015</t>
  </si>
  <si>
    <t>SG40CX</t>
  </si>
  <si>
    <t>A2140902845</t>
  </si>
  <si>
    <t>SG60KTL(COM1-019)_002_007</t>
  </si>
  <si>
    <t>A1912210212</t>
  </si>
  <si>
    <t>SG60KTL(COM1-020)_002_011</t>
  </si>
  <si>
    <t>A1912210278</t>
  </si>
  <si>
    <t>SG60KTL(COM1-021)_002_017</t>
  </si>
  <si>
    <t>A1908230367</t>
  </si>
  <si>
    <t>SG60KTL(COM1-022)_002_020</t>
  </si>
  <si>
    <t>A1912210272</t>
  </si>
  <si>
    <t>SG40CX(COM2-023)_002_024</t>
  </si>
  <si>
    <t>A2140902867</t>
  </si>
  <si>
    <t>SG40CX(COM2-024)_002_022</t>
  </si>
  <si>
    <t>A2140902869</t>
  </si>
  <si>
    <t>SG60KTL(COM1-007)_002_013</t>
  </si>
  <si>
    <t>A1912210323</t>
  </si>
  <si>
    <t>SG60KTL(COM1-008)_002_002</t>
  </si>
  <si>
    <t>A1912210176</t>
  </si>
  <si>
    <t>SG60KTL(COM1-009)_002_008</t>
  </si>
  <si>
    <t>A1912210205</t>
  </si>
  <si>
    <t>SG60KTL(COM1-010)_002_003</t>
  </si>
  <si>
    <t>A1912210206</t>
  </si>
  <si>
    <t>SG60KTL(COM1-011)_002_010</t>
  </si>
  <si>
    <t>A1908230371</t>
  </si>
  <si>
    <t>SG60KTL(COM1-012)_002_005</t>
  </si>
  <si>
    <t>A1912210305</t>
  </si>
  <si>
    <t>SG60KTL(COM1-001)_002_006</t>
  </si>
  <si>
    <t>A1912210184</t>
  </si>
  <si>
    <t>SG60KTL(COM1-002)_002_016</t>
  </si>
  <si>
    <t>A1912210183</t>
  </si>
  <si>
    <t>SG50CX(COM2-003)_002_021</t>
  </si>
  <si>
    <t>A2110805892</t>
  </si>
  <si>
    <t>SG50CX(COM2-004)_002_023</t>
  </si>
  <si>
    <t>A2110805896</t>
  </si>
  <si>
    <t>SG60KTL(COM1-005)_002_009</t>
  </si>
  <si>
    <t>A1912210292</t>
  </si>
  <si>
    <t>SG60KTL(COM1-006)_002_001</t>
  </si>
  <si>
    <t>A1912210302</t>
  </si>
  <si>
    <t>SG60KTL(COM1-013)_002_004</t>
  </si>
  <si>
    <t>A1908230365</t>
  </si>
  <si>
    <t>SG60KTL(COM1-014)_002_019</t>
  </si>
  <si>
    <t>A1908230366</t>
  </si>
  <si>
    <t>SG60KTL(COM1-015)_002_018</t>
  </si>
  <si>
    <t>A1908230368</t>
  </si>
  <si>
    <t>SG60KTL(COM1-016)_002_014</t>
  </si>
  <si>
    <t>A1908230306</t>
  </si>
  <si>
    <t>SG60KTL(COM1-017)_002_015</t>
  </si>
  <si>
    <t>A1912210311</t>
  </si>
  <si>
    <t>SG60KTL(COM1-018)_002_012</t>
  </si>
  <si>
    <t>A1908230313</t>
  </si>
  <si>
    <t>SG50CX(COM2-004)_001_018</t>
  </si>
  <si>
    <t>A2141000317</t>
  </si>
  <si>
    <t>SG50CX(COM2-003)_001_016</t>
  </si>
  <si>
    <t>A2110805894</t>
  </si>
  <si>
    <t>SG60KTL(COM1-002)_001_008</t>
  </si>
  <si>
    <t>A1912210196</t>
  </si>
  <si>
    <t>GO</t>
  </si>
  <si>
    <t>BC Caiaponia1</t>
  </si>
  <si>
    <t>SG60KTL(COM1-001)_001_007</t>
  </si>
  <si>
    <t>A1908230353</t>
  </si>
  <si>
    <t>SG60KTL(COM1-002)_001_010</t>
  </si>
  <si>
    <t>A1907310067</t>
  </si>
  <si>
    <t>SG60KTL(COM1-003)_001_011</t>
  </si>
  <si>
    <t>A1908230310</t>
  </si>
  <si>
    <t>SG60KTL(COM1-004)_001_014</t>
  </si>
  <si>
    <t>A1912210250</t>
  </si>
  <si>
    <t>SG60KTL(COM1-005)_001_017</t>
  </si>
  <si>
    <t>A1905103253</t>
  </si>
  <si>
    <t>SG60KTL(COM1-006)_001_016</t>
  </si>
  <si>
    <t>A1912210199</t>
  </si>
  <si>
    <t>SG60KTL(COM1-007)_001_013</t>
  </si>
  <si>
    <t>A1905050619</t>
  </si>
  <si>
    <t>SG60KTL(COM1-008)_001_001</t>
  </si>
  <si>
    <t>A1908200214</t>
  </si>
  <si>
    <t>SG60KTL(COM1-009)</t>
  </si>
  <si>
    <t>A1908230358</t>
  </si>
  <si>
    <t>SG60KTL(COM1-010)</t>
  </si>
  <si>
    <t>A1912210226</t>
  </si>
  <si>
    <t>SG60KTL(COM1-011)</t>
  </si>
  <si>
    <t>A1912210242</t>
  </si>
  <si>
    <t>SG60KTL(COM1-012)</t>
  </si>
  <si>
    <t>A1912210190</t>
  </si>
  <si>
    <t>SG60KTL(COM1-013)</t>
  </si>
  <si>
    <t>A1912210207</t>
  </si>
  <si>
    <t>SG60KTL(COM1-014)</t>
  </si>
  <si>
    <t>A1912210253</t>
  </si>
  <si>
    <t>SG60KTL(COM1-015)</t>
  </si>
  <si>
    <t>A1912210189</t>
  </si>
  <si>
    <t>SG60KTL(COM3-016)_001_009</t>
  </si>
  <si>
    <t>A1912210203</t>
  </si>
  <si>
    <t>SG60KTL(COM3-017)_001_012</t>
  </si>
  <si>
    <t>A1912210198</t>
  </si>
  <si>
    <t>SG60KTL(COM3-018)_001_008</t>
  </si>
  <si>
    <t>A1912210247</t>
  </si>
  <si>
    <t>SG60KTL(COM3-019)_001_019</t>
  </si>
  <si>
    <t>A1912210192</t>
  </si>
  <si>
    <t>SG60KTL(COM3-020)_001_020</t>
  </si>
  <si>
    <t>A1809100174</t>
  </si>
  <si>
    <t>SG60KTL(COM2-026)</t>
  </si>
  <si>
    <t>A1912210194</t>
  </si>
  <si>
    <t>SG60KTL(COM2-027)</t>
  </si>
  <si>
    <t>A1908230338</t>
  </si>
  <si>
    <t>SG60KTL(COM2-028)</t>
  </si>
  <si>
    <t>A1908230356</t>
  </si>
  <si>
    <t>SG60KTL(COM2-029)</t>
  </si>
  <si>
    <t>A1907310115</t>
  </si>
  <si>
    <t>SG50CX(COM1-021)</t>
  </si>
  <si>
    <t>A2141000323</t>
  </si>
  <si>
    <t>SG50CX(COM1-022)</t>
  </si>
  <si>
    <t>A2110805897</t>
  </si>
  <si>
    <t>SG50CX(COM1-023)</t>
  </si>
  <si>
    <t>A2141000322</t>
  </si>
  <si>
    <t>SG50CX(COM1-024)</t>
  </si>
  <si>
    <t>A2141000321</t>
  </si>
  <si>
    <t>SG50CX(COM1-025)</t>
  </si>
  <si>
    <t>A2141000319</t>
  </si>
  <si>
    <t>BC Aracu4</t>
  </si>
  <si>
    <t>SG75CX(COM1-018)_001_018</t>
  </si>
  <si>
    <t>SG75CX</t>
  </si>
  <si>
    <t>A2131501485</t>
  </si>
  <si>
    <t>SG75CX(COM1-019)_001_019</t>
  </si>
  <si>
    <t>A2152704915</t>
  </si>
  <si>
    <t>SG75CX(COM1-020)_001_020</t>
  </si>
  <si>
    <t>A2152704948</t>
  </si>
  <si>
    <t>SG75CX(COM1-021)_001_021</t>
  </si>
  <si>
    <t>A2152704955</t>
  </si>
  <si>
    <t>BC Panama1.1</t>
  </si>
  <si>
    <t>ITAPOAN 001 (COM1-001)_001_001</t>
  </si>
  <si>
    <t>A1907310196</t>
  </si>
  <si>
    <t>CEREAL_002</t>
  </si>
  <si>
    <t>A2010203203</t>
  </si>
  <si>
    <t>ITAPOAN_003</t>
  </si>
  <si>
    <t>A1907310224</t>
  </si>
  <si>
    <t>BC Panama1.2</t>
  </si>
  <si>
    <t>ART_004</t>
  </si>
  <si>
    <t>A1907310164</t>
  </si>
  <si>
    <t>COOGED_005</t>
  </si>
  <si>
    <t>A2160400251</t>
  </si>
  <si>
    <t>ART_006</t>
  </si>
  <si>
    <t>A2160400225</t>
  </si>
  <si>
    <t>RADIO_007</t>
  </si>
  <si>
    <t>A1907310163</t>
  </si>
  <si>
    <t>BC Aracu1</t>
  </si>
  <si>
    <t>Inverter71</t>
  </si>
  <si>
    <t>SG125HV</t>
  </si>
  <si>
    <t>A2111900190</t>
  </si>
  <si>
    <t>Inverter72</t>
  </si>
  <si>
    <t>A1808090276</t>
  </si>
  <si>
    <t>Inverter73</t>
  </si>
  <si>
    <t>A1901070197</t>
  </si>
  <si>
    <t>Inverter74</t>
  </si>
  <si>
    <t>A1808090281</t>
  </si>
  <si>
    <t>Inverter75</t>
  </si>
  <si>
    <t>A1808090283</t>
  </si>
  <si>
    <t>Inverter76</t>
  </si>
  <si>
    <t>A1808090282</t>
  </si>
  <si>
    <t>Inverter77</t>
  </si>
  <si>
    <t>A1808090355</t>
  </si>
  <si>
    <t>BC Aracu2</t>
  </si>
  <si>
    <t>araçu 2.1 inversor 1</t>
  </si>
  <si>
    <t>A1912260143</t>
  </si>
  <si>
    <t>araçu 2.1 inversor 2</t>
  </si>
  <si>
    <t>A1912260148</t>
  </si>
  <si>
    <t>araçu 2.1 inversor 3</t>
  </si>
  <si>
    <t>A1912260153</t>
  </si>
  <si>
    <t>araçu 2.2 inversor 1</t>
  </si>
  <si>
    <t>A1809100081</t>
  </si>
  <si>
    <t>araçu 2.2 inversor 2</t>
  </si>
  <si>
    <t>A1908230300</t>
  </si>
  <si>
    <t>araçu 2.2 inversor 3</t>
  </si>
  <si>
    <t>A2212260750</t>
  </si>
  <si>
    <t>Inverter83</t>
  </si>
  <si>
    <t>A1907310210</t>
  </si>
  <si>
    <t>araçu 2.3 inversor 5</t>
  </si>
  <si>
    <t>A1912260106</t>
  </si>
  <si>
    <t>araçu 2.3 inversor 1</t>
  </si>
  <si>
    <t>A1912260102</t>
  </si>
  <si>
    <t>araçu 2.3 inversor 2</t>
  </si>
  <si>
    <t>A1912260149</t>
  </si>
  <si>
    <t>araçu 2.3 inversor 4</t>
  </si>
  <si>
    <t>A1912260144</t>
  </si>
  <si>
    <t>araçu 2.3 inversor 3</t>
  </si>
  <si>
    <t>A1912260105</t>
  </si>
  <si>
    <t>araçu 2.4 inversor 3</t>
  </si>
  <si>
    <t>A1912210197</t>
  </si>
  <si>
    <t>araçu 2.4 inversor 1</t>
  </si>
  <si>
    <t>A1908230373</t>
  </si>
  <si>
    <t>araçu 2.4 inversor 6</t>
  </si>
  <si>
    <t>A1908230355</t>
  </si>
  <si>
    <t>araçu 2.4 inversor 4</t>
  </si>
  <si>
    <t>A1908230369</t>
  </si>
  <si>
    <t>araçu 2.4 inversor 2</t>
  </si>
  <si>
    <t>A1908230219</t>
  </si>
  <si>
    <t>araçu 2.4 inversor 5</t>
  </si>
  <si>
    <t>A2212260755</t>
  </si>
  <si>
    <t>BC Aracu3</t>
  </si>
  <si>
    <t>Inverter4</t>
  </si>
  <si>
    <t>A1907310269</t>
  </si>
  <si>
    <t>Inverter3</t>
  </si>
  <si>
    <t>A2141000316</t>
  </si>
  <si>
    <t>Inverter1</t>
  </si>
  <si>
    <t>A1907310240</t>
  </si>
  <si>
    <t>Inverter2</t>
  </si>
  <si>
    <t>A2110805893</t>
  </si>
  <si>
    <t>BC Rio Bonito1</t>
  </si>
  <si>
    <t>SG36KTL-M-17_001_017</t>
  </si>
  <si>
    <t>SG36KTL-M</t>
  </si>
  <si>
    <t>A1803293825</t>
  </si>
  <si>
    <t>SG60KTL-10_001_010</t>
  </si>
  <si>
    <t>A1809100173</t>
  </si>
  <si>
    <t>SG60KTL-11_001_011</t>
  </si>
  <si>
    <t>A1809100165</t>
  </si>
  <si>
    <t>SG60KTL-12_001_012</t>
  </si>
  <si>
    <t>A1907310116</t>
  </si>
  <si>
    <t>SG60KTL-13_001_013</t>
  </si>
  <si>
    <t>A1809100067</t>
  </si>
  <si>
    <t>SG60KTL-14_001_014</t>
  </si>
  <si>
    <t>A1809100116</t>
  </si>
  <si>
    <t>SG60KTL-15_001_015</t>
  </si>
  <si>
    <t>A1809100153</t>
  </si>
  <si>
    <t>SG60KTL-16_001_016</t>
  </si>
  <si>
    <t>A1809100068</t>
  </si>
  <si>
    <t>SG60KTL-1_001_001</t>
  </si>
  <si>
    <t>A1809100182</t>
  </si>
  <si>
    <t>SG60KTL-2_001_002</t>
  </si>
  <si>
    <t>A1809100181</t>
  </si>
  <si>
    <t>SG60KTL-3_001_003</t>
  </si>
  <si>
    <t>A1809100152</t>
  </si>
  <si>
    <t>SG60KTL-4_001_004</t>
  </si>
  <si>
    <t>A1809100166</t>
  </si>
  <si>
    <t>SG60KTL-5_001_005</t>
  </si>
  <si>
    <t>A1809100103</t>
  </si>
  <si>
    <t>SG60KTL-6_001_006</t>
  </si>
  <si>
    <t>A1809100204</t>
  </si>
  <si>
    <t>SG60KTL-7_001_007</t>
  </si>
  <si>
    <t>A1809100207</t>
  </si>
  <si>
    <t>SG60KTL-8_001_008</t>
  </si>
  <si>
    <t>A1907310176</t>
  </si>
  <si>
    <t>SG60KTL-9_001_009</t>
  </si>
  <si>
    <t>A1809100216</t>
  </si>
  <si>
    <t>BC Rio Monte1</t>
  </si>
  <si>
    <t>Inverter35</t>
  </si>
  <si>
    <t>SG75CX - P2</t>
  </si>
  <si>
    <t>A2531111782</t>
  </si>
  <si>
    <t>Inverter40</t>
  </si>
  <si>
    <t>A20C2900929</t>
  </si>
  <si>
    <t>Inverter42</t>
  </si>
  <si>
    <t>A1901051258</t>
  </si>
  <si>
    <t>Inverter41</t>
  </si>
  <si>
    <t>A1901051220</t>
  </si>
  <si>
    <t>Inverter44</t>
  </si>
  <si>
    <t>A1901051212</t>
  </si>
  <si>
    <t>Inverter43</t>
  </si>
  <si>
    <t>A1901051254</t>
  </si>
  <si>
    <t>Inverter45</t>
  </si>
  <si>
    <t>A1901051268</t>
  </si>
  <si>
    <t>Inverter34</t>
  </si>
  <si>
    <t>A1901051241</t>
  </si>
  <si>
    <t>Inverter37</t>
  </si>
  <si>
    <t>A1901051255</t>
  </si>
  <si>
    <t>Inverter33</t>
  </si>
  <si>
    <t>A1901051198</t>
  </si>
  <si>
    <t>Inverter29</t>
  </si>
  <si>
    <t>A1901051209</t>
  </si>
  <si>
    <t>Inverter36</t>
  </si>
  <si>
    <t>A1901051267</t>
  </si>
  <si>
    <t>Inverter39</t>
  </si>
  <si>
    <t>A1907310128</t>
  </si>
  <si>
    <t>Inverter31</t>
  </si>
  <si>
    <t>A1901051194</t>
  </si>
  <si>
    <t>Inverter30</t>
  </si>
  <si>
    <t>A1901051180</t>
  </si>
  <si>
    <t>Inverter38</t>
  </si>
  <si>
    <t>A1901051138</t>
  </si>
  <si>
    <t>Inverter32</t>
  </si>
  <si>
    <t>A1901051266</t>
  </si>
  <si>
    <t>BC Rio Bonito2</t>
  </si>
  <si>
    <t>INV-001</t>
  </si>
  <si>
    <t>A2210700937</t>
  </si>
  <si>
    <t>INV-002</t>
  </si>
  <si>
    <t>A2181802942</t>
  </si>
  <si>
    <t>INV-003</t>
  </si>
  <si>
    <t>A2210700930</t>
  </si>
  <si>
    <t>INV-004</t>
  </si>
  <si>
    <t>A2181802948</t>
  </si>
  <si>
    <t>MG</t>
  </si>
  <si>
    <t>Inverter01</t>
  </si>
  <si>
    <t>A1912210223</t>
  </si>
  <si>
    <t>Inverter02</t>
  </si>
  <si>
    <t>A1912210262</t>
  </si>
  <si>
    <t>Inverter03</t>
  </si>
  <si>
    <t>A1905103385</t>
  </si>
  <si>
    <t>Inverter04</t>
  </si>
  <si>
    <t>A1905103403</t>
  </si>
  <si>
    <t>Inverter05</t>
  </si>
  <si>
    <t>A1905103397</t>
  </si>
  <si>
    <t>Inverter06</t>
  </si>
  <si>
    <t>A1912210200</t>
  </si>
  <si>
    <t>Inverter07</t>
  </si>
  <si>
    <t>A1912210201</t>
  </si>
  <si>
    <t>Inverter08</t>
  </si>
  <si>
    <t>A1905103394</t>
  </si>
  <si>
    <t>Inverter09</t>
  </si>
  <si>
    <t>A1912210261</t>
  </si>
  <si>
    <t>Inverter10</t>
  </si>
  <si>
    <t>A1912210188</t>
  </si>
  <si>
    <t>Inverter11</t>
  </si>
  <si>
    <t>A1912210299</t>
  </si>
  <si>
    <t>Inverter12</t>
  </si>
  <si>
    <t>A1908230207</t>
  </si>
  <si>
    <t>Inverter13</t>
  </si>
  <si>
    <t>A1912210193</t>
  </si>
  <si>
    <t>Inverter14</t>
  </si>
  <si>
    <t>A1912210329</t>
  </si>
  <si>
    <t>Inverter15</t>
  </si>
  <si>
    <t>A1908230351</t>
  </si>
  <si>
    <t>Inverter16</t>
  </si>
  <si>
    <t>A1908230362</t>
  </si>
  <si>
    <t>Inverter17</t>
  </si>
  <si>
    <t>A2140902846</t>
  </si>
  <si>
    <t>BC Vazante1.2</t>
  </si>
  <si>
    <t>Inverter 1</t>
  </si>
  <si>
    <t>A1908230370</t>
  </si>
  <si>
    <t>Inverter 2</t>
  </si>
  <si>
    <t>A1907310260</t>
  </si>
  <si>
    <t>Inverter 3</t>
  </si>
  <si>
    <t>A1905101142</t>
  </si>
  <si>
    <t>Inverter 4</t>
  </si>
  <si>
    <t>A1908230343</t>
  </si>
  <si>
    <t>Inverter 5</t>
  </si>
  <si>
    <t>A1908230329</t>
  </si>
  <si>
    <t>Inverter 6</t>
  </si>
  <si>
    <t>A1912210251</t>
  </si>
  <si>
    <t>Inverter 7</t>
  </si>
  <si>
    <t>A1912210259</t>
  </si>
  <si>
    <t>Inverter 8</t>
  </si>
  <si>
    <t>A1912210224</t>
  </si>
  <si>
    <t>Inverter 9</t>
  </si>
  <si>
    <t>A1912210202</t>
  </si>
  <si>
    <t>Inverter 10</t>
  </si>
  <si>
    <t>A1908230216</t>
  </si>
  <si>
    <t>Inverter 11</t>
  </si>
  <si>
    <t>A1912210191</t>
  </si>
  <si>
    <t>Inverter 12</t>
  </si>
  <si>
    <t>A1912210181</t>
  </si>
  <si>
    <t>Inverter 13</t>
  </si>
  <si>
    <t>A1912210291</t>
  </si>
  <si>
    <t>Inverter 14</t>
  </si>
  <si>
    <t>A1908230349</t>
  </si>
  <si>
    <t>Inverter 15</t>
  </si>
  <si>
    <t>A1908230347</t>
  </si>
  <si>
    <t>Inverter 16</t>
  </si>
  <si>
    <t>A1912210182</t>
  </si>
  <si>
    <t>Inverter 17</t>
  </si>
  <si>
    <t>A2140902947</t>
  </si>
  <si>
    <t>BC Vazante1.3</t>
  </si>
  <si>
    <t>Inversor 1</t>
  </si>
  <si>
    <t>A1905050621</t>
  </si>
  <si>
    <t>Inversor 2</t>
  </si>
  <si>
    <t>A1908230342</t>
  </si>
  <si>
    <t>Inversor 3</t>
  </si>
  <si>
    <t>A1908230363</t>
  </si>
  <si>
    <t>Inversor 4</t>
  </si>
  <si>
    <t>A1908230345</t>
  </si>
  <si>
    <t>Inversor 5</t>
  </si>
  <si>
    <t>A1912210217</t>
  </si>
  <si>
    <t>Inversor 6</t>
  </si>
  <si>
    <t>A1908230372</t>
  </si>
  <si>
    <t>Inversor 7</t>
  </si>
  <si>
    <t>A1912210179</t>
  </si>
  <si>
    <t>Inversor 8</t>
  </si>
  <si>
    <t>A2140902844</t>
  </si>
  <si>
    <t>Inversor 9</t>
  </si>
  <si>
    <t>A2140902881</t>
  </si>
  <si>
    <t>MT</t>
  </si>
  <si>
    <t xml:space="preserve">Barra do Garças </t>
  </si>
  <si>
    <t>BC Barra1</t>
  </si>
  <si>
    <t>Inverter__5</t>
  </si>
  <si>
    <t>A2211847606</t>
  </si>
  <si>
    <t>Inverter__1</t>
  </si>
  <si>
    <t>A2211847595</t>
  </si>
  <si>
    <t>Inverter__4</t>
  </si>
  <si>
    <t>A21B2641649</t>
  </si>
  <si>
    <t>Inverter__3</t>
  </si>
  <si>
    <t>A21B0400532</t>
  </si>
  <si>
    <t>Inverter__2</t>
  </si>
  <si>
    <t>A2280501869</t>
  </si>
  <si>
    <t>Inverter__7</t>
  </si>
  <si>
    <t>A2280501882</t>
  </si>
  <si>
    <t>Inverter__9</t>
  </si>
  <si>
    <t>A2280501697</t>
  </si>
  <si>
    <t>Inverter__8</t>
  </si>
  <si>
    <t>A2280501820</t>
  </si>
  <si>
    <t>Inverter__10</t>
  </si>
  <si>
    <t>A2280501797</t>
  </si>
  <si>
    <t>Inverter__6</t>
  </si>
  <si>
    <t>A2280501719</t>
  </si>
  <si>
    <t>BC Bom Sucesso</t>
  </si>
  <si>
    <t>A2003100317</t>
  </si>
  <si>
    <t>ABB</t>
  </si>
  <si>
    <t>I</t>
  </si>
  <si>
    <t>ABB TRIO-50-TL-OUTD</t>
  </si>
  <si>
    <t>K</t>
  </si>
  <si>
    <t>BC Clareira1.1</t>
  </si>
  <si>
    <t>Inverter(MBUS-12)</t>
  </si>
  <si>
    <t>SUN2000-215KTL-H3</t>
  </si>
  <si>
    <t>ES22B0076977</t>
  </si>
  <si>
    <t>Inverter(MBUS-13)</t>
  </si>
  <si>
    <t>6T22C9026335</t>
  </si>
  <si>
    <t>Inverter(MBUS-14)</t>
  </si>
  <si>
    <t>ES22B0077202</t>
  </si>
  <si>
    <t>Inverter(MBUS-15)</t>
  </si>
  <si>
    <t>6T22C9013366</t>
  </si>
  <si>
    <t>Inverter(MBUS-16)</t>
  </si>
  <si>
    <t>ES22B0076972</t>
  </si>
  <si>
    <t>BC Clareira1.2</t>
  </si>
  <si>
    <t>ES22B0076424</t>
  </si>
  <si>
    <t>100KTL-H1(MBUS-14)</t>
  </si>
  <si>
    <t>SUN2000-100KTL-H1</t>
  </si>
  <si>
    <t>ES2380005159</t>
  </si>
  <si>
    <t>6T22C9013407</t>
  </si>
  <si>
    <t>BC Corumba1.1</t>
  </si>
  <si>
    <t>U01.I01</t>
  </si>
  <si>
    <t>6T22C9026342</t>
  </si>
  <si>
    <t>U01.I02</t>
  </si>
  <si>
    <t>ES2290094005</t>
  </si>
  <si>
    <t>U01.I03</t>
  </si>
  <si>
    <t>ES2290095666</t>
  </si>
  <si>
    <t>U01.I04</t>
  </si>
  <si>
    <t>6T22C9026420</t>
  </si>
  <si>
    <t>U01.I05</t>
  </si>
  <si>
    <t>6T22C9026416</t>
  </si>
  <si>
    <t>BC Corumba1.2</t>
  </si>
  <si>
    <t>U02.I01</t>
  </si>
  <si>
    <t>6T22C9012953</t>
  </si>
  <si>
    <t>U02.I02</t>
  </si>
  <si>
    <t>6T22C9026327</t>
  </si>
  <si>
    <t>U02.I03</t>
  </si>
  <si>
    <t>6T22C9013352</t>
  </si>
  <si>
    <t>U02.I04</t>
  </si>
  <si>
    <t>6T22C9012966</t>
  </si>
  <si>
    <t>U02.I05</t>
  </si>
  <si>
    <t>ES22B0077207</t>
  </si>
  <si>
    <t>BC Corumba1.3</t>
  </si>
  <si>
    <t>U03.I01</t>
  </si>
  <si>
    <t>ES2290093782</t>
  </si>
  <si>
    <t>U03.I02</t>
  </si>
  <si>
    <t>6T22C9013405</t>
  </si>
  <si>
    <t>U03.I03</t>
  </si>
  <si>
    <t>ES2380005127</t>
  </si>
  <si>
    <t>BC Corumba2.1</t>
  </si>
  <si>
    <t>ES22B0077127</t>
  </si>
  <si>
    <t>ES22B0077228</t>
  </si>
  <si>
    <t>ES22B0077113</t>
  </si>
  <si>
    <t>U01. I01</t>
  </si>
  <si>
    <t>ES22B0077139</t>
  </si>
  <si>
    <t>U01. I02</t>
  </si>
  <si>
    <t>ES22B0077168</t>
  </si>
  <si>
    <t>BC Corumba2.2</t>
  </si>
  <si>
    <t>6T24A9047134</t>
  </si>
  <si>
    <t>ES22B0076980</t>
  </si>
  <si>
    <t>ES22B0077055</t>
  </si>
  <si>
    <t>ES22B0077257</t>
  </si>
  <si>
    <t>ES22B0077188</t>
  </si>
  <si>
    <t>BC Corumba2.3</t>
  </si>
  <si>
    <t>ES22B0077189</t>
  </si>
  <si>
    <t>ES22B0076996</t>
  </si>
  <si>
    <t>ES2380005203</t>
  </si>
  <si>
    <t>BC Caiaponia2.1</t>
  </si>
  <si>
    <t>BC Caiaponia2.2</t>
  </si>
  <si>
    <t>ES22B0077260</t>
  </si>
  <si>
    <t>6T22C9026329</t>
  </si>
  <si>
    <t>ES22B0077145</t>
  </si>
  <si>
    <t>6T22C9026330</t>
  </si>
  <si>
    <t>ES22B0077256</t>
  </si>
  <si>
    <t>BC Caiaponia2.3</t>
  </si>
  <si>
    <t>ES22B0077131</t>
  </si>
  <si>
    <t>ES22B0077262</t>
  </si>
  <si>
    <t>6T22C9026417</t>
  </si>
  <si>
    <t>6T22C9026413</t>
  </si>
  <si>
    <t>6T22C9026341</t>
  </si>
  <si>
    <t>BC Camarao1.1</t>
  </si>
  <si>
    <t>Inverter(MBUS-1)</t>
  </si>
  <si>
    <t>6T24B9028336</t>
  </si>
  <si>
    <t>6T22A9041399</t>
  </si>
  <si>
    <t>6T22A9041725</t>
  </si>
  <si>
    <t>6T22C9012871</t>
  </si>
  <si>
    <t>6T22C9013249</t>
  </si>
  <si>
    <t>BC Camarao1.2</t>
  </si>
  <si>
    <t>6T24A9047135</t>
  </si>
  <si>
    <t>Inv. 3</t>
  </si>
  <si>
    <t>6T22A9041387</t>
  </si>
  <si>
    <t>Inv. 4</t>
  </si>
  <si>
    <t>6T22A9041730</t>
  </si>
  <si>
    <t>6T22C9037818</t>
  </si>
  <si>
    <t>6T22C9037836</t>
  </si>
  <si>
    <t>BC Camarao1.3</t>
  </si>
  <si>
    <t>6T22C9012970</t>
  </si>
  <si>
    <t>6T22C9012860</t>
  </si>
  <si>
    <t>6T22C9013002</t>
  </si>
  <si>
    <t>6T22C9012989</t>
  </si>
  <si>
    <t>6T22C9013401</t>
  </si>
  <si>
    <t>BC Camarao1.4</t>
  </si>
  <si>
    <t>INV-6T22A9041381</t>
  </si>
  <si>
    <t>6T22A9041381</t>
  </si>
  <si>
    <t>BN2281044701</t>
  </si>
  <si>
    <t>6T22C9012934</t>
  </si>
  <si>
    <t>6T22C9013245</t>
  </si>
  <si>
    <t>6T22C9013424</t>
  </si>
  <si>
    <t>BC Camarao1.5</t>
  </si>
  <si>
    <t>6T22C9012964</t>
  </si>
  <si>
    <t>6T22C9012961</t>
  </si>
  <si>
    <t>6T22A9037111</t>
  </si>
  <si>
    <t>215KTL-H3(MBUS-1)</t>
  </si>
  <si>
    <t>ES21C0090899</t>
  </si>
  <si>
    <t>ES2240051820</t>
  </si>
  <si>
    <t>BC Varjao1.1</t>
  </si>
  <si>
    <t>UFV 1 - INV 1</t>
  </si>
  <si>
    <t>SUN2000-215KTL-H0</t>
  </si>
  <si>
    <t>ES2170073111</t>
  </si>
  <si>
    <t>UFV 1 - INV 5</t>
  </si>
  <si>
    <t>ES2170073032</t>
  </si>
  <si>
    <t>UFV 1 - INV 4</t>
  </si>
  <si>
    <t>ES2170073086</t>
  </si>
  <si>
    <t>UFV 1 - INV 3</t>
  </si>
  <si>
    <t>ES2170056138</t>
  </si>
  <si>
    <t>UFV 1 - INV 2</t>
  </si>
  <si>
    <t>ES2180059127</t>
  </si>
  <si>
    <t>BC Varjao1.2</t>
  </si>
  <si>
    <t>215KTL-H0(MBUS-12)</t>
  </si>
  <si>
    <t>ES2180059063</t>
  </si>
  <si>
    <t>215KTL-H0(MBUS-13)</t>
  </si>
  <si>
    <t>ES2170080287</t>
  </si>
  <si>
    <t>215KTL-H0(MBUS-14)</t>
  </si>
  <si>
    <t>ES2180059055</t>
  </si>
  <si>
    <t>215KTL-H0(MBUS-15)</t>
  </si>
  <si>
    <t>ES2180056566</t>
  </si>
  <si>
    <t>215KTL-H0(MBUS-16)</t>
  </si>
  <si>
    <t>ES2170073084</t>
  </si>
  <si>
    <t>BC Varjao1.3</t>
  </si>
  <si>
    <t>ES2240060626</t>
  </si>
  <si>
    <t>UF3Inv2</t>
  </si>
  <si>
    <t>ES2180056569</t>
  </si>
  <si>
    <t>ES2170028163</t>
  </si>
  <si>
    <t>BC Varjao2.1</t>
  </si>
  <si>
    <t>ES2180059140</t>
  </si>
  <si>
    <t>ES2180059278</t>
  </si>
  <si>
    <t>ES2170055901</t>
  </si>
  <si>
    <t>ES2180059253</t>
  </si>
  <si>
    <t>ES2170028148</t>
  </si>
  <si>
    <t>BC Varjao2.2</t>
  </si>
  <si>
    <t>ES2180059238</t>
  </si>
  <si>
    <t>ES2180059249</t>
  </si>
  <si>
    <t>ES2180058755</t>
  </si>
  <si>
    <t>ES2170055751</t>
  </si>
  <si>
    <t>ES2180058754</t>
  </si>
  <si>
    <t>BC Varjao2.3</t>
  </si>
  <si>
    <t>100KTL-H1(MBUS-1)</t>
  </si>
  <si>
    <t>ES2240060672</t>
  </si>
  <si>
    <t>ES2180059250</t>
  </si>
  <si>
    <t>ES2180059243</t>
  </si>
  <si>
    <t>BC Vazante2.1</t>
  </si>
  <si>
    <t>ES2180058352</t>
  </si>
  <si>
    <t>Inverter(MBUS-5)</t>
  </si>
  <si>
    <t>ES2180059185</t>
  </si>
  <si>
    <t>Inverter(MBUS-4)</t>
  </si>
  <si>
    <t>ES2170080328</t>
  </si>
  <si>
    <t>ES2190011079</t>
  </si>
  <si>
    <t>Inverter(MBUS-2)</t>
  </si>
  <si>
    <t>6T24A9069364</t>
  </si>
  <si>
    <t>BC Vazante2.2</t>
  </si>
  <si>
    <t>6T2499045588</t>
  </si>
  <si>
    <t>Inverter(MBUS-10)</t>
  </si>
  <si>
    <t>ES2180058977</t>
  </si>
  <si>
    <t>6T2489012489</t>
  </si>
  <si>
    <t>Inverter(MBUS-6)</t>
  </si>
  <si>
    <t>ES2170027326</t>
  </si>
  <si>
    <t>Inverter(MBUS-7)</t>
  </si>
  <si>
    <t>ES2180058349</t>
  </si>
  <si>
    <t>BC Vazante2.3</t>
  </si>
  <si>
    <t>Inverter(MBUS-11)</t>
  </si>
  <si>
    <t>ES2190011070</t>
  </si>
  <si>
    <t>ES2180058350</t>
  </si>
  <si>
    <t>ES2240060614</t>
  </si>
  <si>
    <t>BC Turvania1.1</t>
  </si>
  <si>
    <t>SUN2000-250KTL-H1</t>
  </si>
  <si>
    <t>GR2449002685</t>
  </si>
  <si>
    <t>GR2449003960</t>
  </si>
  <si>
    <t>GR2449003952</t>
  </si>
  <si>
    <t>GR2449002677</t>
  </si>
  <si>
    <t>BC Turvania1.2</t>
  </si>
  <si>
    <t>GR2449003945</t>
  </si>
  <si>
    <t>GR2449002683</t>
  </si>
  <si>
    <t>GR2449003957</t>
  </si>
  <si>
    <t>GR2449002684</t>
  </si>
  <si>
    <t>BC Turvania1.3</t>
  </si>
  <si>
    <t>GR2449002585</t>
  </si>
  <si>
    <t>GR2449004090</t>
  </si>
  <si>
    <t>GR2449002587</t>
  </si>
  <si>
    <t>GR2449004127</t>
  </si>
  <si>
    <t>BC Turvania1.4</t>
  </si>
  <si>
    <t>GR2449003918</t>
  </si>
  <si>
    <t>GR2449003974</t>
  </si>
  <si>
    <t>GR2449003955</t>
  </si>
  <si>
    <t>GR2449004002</t>
  </si>
  <si>
    <t>BC Turvania1.5</t>
  </si>
  <si>
    <t>GR2449002680</t>
  </si>
  <si>
    <t>GR2449002536</t>
  </si>
  <si>
    <t>GR2449002621</t>
  </si>
  <si>
    <t>GR2449002593</t>
  </si>
  <si>
    <t>SP</t>
  </si>
  <si>
    <t>Lencois Paulista</t>
  </si>
  <si>
    <t>BC Lencois Paulista</t>
  </si>
  <si>
    <t>ES2380070431</t>
  </si>
  <si>
    <t>ES2330124377</t>
  </si>
  <si>
    <t>ES2330124409</t>
  </si>
  <si>
    <t>ES2380070432</t>
  </si>
  <si>
    <t>BC Aracu5.1</t>
  </si>
  <si>
    <t>6T22C9013364</t>
  </si>
  <si>
    <t>BC Aracu5.2</t>
  </si>
  <si>
    <t>ES2360057321</t>
  </si>
  <si>
    <t>BC Aracu5.3</t>
  </si>
  <si>
    <t>ES2460067862</t>
  </si>
  <si>
    <t>BC Aracu5.4</t>
  </si>
  <si>
    <t>ES2360057426</t>
  </si>
  <si>
    <t>BC Aracu5.5</t>
  </si>
  <si>
    <t>ES2360057375</t>
  </si>
  <si>
    <t>BC Formoso1.1</t>
  </si>
  <si>
    <t>ES2490083336</t>
  </si>
  <si>
    <t>ES2490083331</t>
  </si>
  <si>
    <t>ES2490083311</t>
  </si>
  <si>
    <t>ES2490083338</t>
  </si>
  <si>
    <t>BC Formoso1.2</t>
  </si>
  <si>
    <t>ES2490083190</t>
  </si>
  <si>
    <t>ES2490083176</t>
  </si>
  <si>
    <t>GR2449002689</t>
  </si>
  <si>
    <t>ES2490083297</t>
  </si>
  <si>
    <t>BC Formoso1.3</t>
  </si>
  <si>
    <t>ES2490083238</t>
  </si>
  <si>
    <t>ES2490083189</t>
  </si>
  <si>
    <t>BC Formoso2.1</t>
  </si>
  <si>
    <t>GR2449003904</t>
  </si>
  <si>
    <t>ES2490083200</t>
  </si>
  <si>
    <t>GR2449002530</t>
  </si>
  <si>
    <t>ES2490083326</t>
  </si>
  <si>
    <t>BC Formoso2.2</t>
  </si>
  <si>
    <t>GR24C9052668</t>
  </si>
  <si>
    <t>GR2449002690</t>
  </si>
  <si>
    <t>GR2449002748</t>
  </si>
  <si>
    <t>GR2449004053</t>
  </si>
  <si>
    <t>BC Formoso2.3</t>
  </si>
  <si>
    <t>GR2449003916</t>
  </si>
  <si>
    <t>GR2449002753</t>
  </si>
  <si>
    <t>TO</t>
  </si>
  <si>
    <t>ARAGUATINS 1.1</t>
  </si>
  <si>
    <t>ES2450052124</t>
  </si>
  <si>
    <t>ES2450052161</t>
  </si>
  <si>
    <t>ES2450054371</t>
  </si>
  <si>
    <t>ES2450052783</t>
  </si>
  <si>
    <t>ARAGUATINS 1.2</t>
  </si>
  <si>
    <t>ES2450052249</t>
  </si>
  <si>
    <t>ES2450052248</t>
  </si>
  <si>
    <t>ES2450054370</t>
  </si>
  <si>
    <t>ES2450052176</t>
  </si>
  <si>
    <t>ARAGUATINS 1.3</t>
  </si>
  <si>
    <t>Inverter(MBUS-20)</t>
  </si>
  <si>
    <t>ES2450052126</t>
  </si>
  <si>
    <t>ES2450052173</t>
  </si>
  <si>
    <t>ARAGUATINS 2.1</t>
  </si>
  <si>
    <t>ES2360114591</t>
  </si>
  <si>
    <t>ES2320059137</t>
  </si>
  <si>
    <t>ES2360114730</t>
  </si>
  <si>
    <t>ES2390025540</t>
  </si>
  <si>
    <t>ARAGUATINS 2.2</t>
  </si>
  <si>
    <t>ES2390024667</t>
  </si>
  <si>
    <t>ES2330124229</t>
  </si>
  <si>
    <t>ES2320029240</t>
  </si>
  <si>
    <t>ES2390024673</t>
  </si>
  <si>
    <t>ARAGUATINS 2.3</t>
  </si>
  <si>
    <t>ES2360113679</t>
  </si>
  <si>
    <t>ES2360113697</t>
  </si>
  <si>
    <t>BC Ibiuna 1.1</t>
  </si>
  <si>
    <t xml:space="preserve">	SUN2000-250KTL-H1</t>
  </si>
  <si>
    <t>GR2449002650</t>
  </si>
  <si>
    <t>GR2449002552</t>
  </si>
  <si>
    <t>ES2470039532</t>
  </si>
  <si>
    <t>ES2470039534</t>
  </si>
  <si>
    <t>BC Ibiuna 1.2</t>
  </si>
  <si>
    <t>GR2449002581</t>
  </si>
  <si>
    <t>GR2449002560</t>
  </si>
  <si>
    <t>ES2470040151</t>
  </si>
  <si>
    <t>ES2470040147</t>
  </si>
  <si>
    <t>CGH R. Bonito I, II</t>
  </si>
  <si>
    <t>CGH R. Bonito I</t>
  </si>
  <si>
    <t>NA</t>
  </si>
  <si>
    <t>M1/ M2</t>
  </si>
  <si>
    <t>CGH R. Bonito II</t>
  </si>
  <si>
    <t>M3</t>
  </si>
  <si>
    <t xml:space="preserve"> </t>
  </si>
  <si>
    <t>Sistema</t>
  </si>
  <si>
    <t>Nome no Sistema</t>
  </si>
  <si>
    <t>Quantidade de inversores funcionando</t>
  </si>
  <si>
    <t>IsolarCloud</t>
  </si>
  <si>
    <t>FusionSolar</t>
  </si>
  <si>
    <t>BC Vazante1.1</t>
  </si>
  <si>
    <t>IsolarCloud/ Smartsys</t>
  </si>
  <si>
    <t>UFV Bom Sucesso 1</t>
  </si>
  <si>
    <t>Usinas</t>
  </si>
  <si>
    <t>Complexo de Obras</t>
  </si>
  <si>
    <t>Situação da Usina</t>
  </si>
  <si>
    <t>Cidade</t>
  </si>
  <si>
    <t>Coordenadas</t>
  </si>
  <si>
    <t>Concessionária</t>
  </si>
  <si>
    <t>Inversores</t>
  </si>
  <si>
    <t>Quantidade Inversores</t>
  </si>
  <si>
    <t>Energização</t>
  </si>
  <si>
    <t>-16,395473,-49,648054</t>
  </si>
  <si>
    <t>-16,396165,-49,649513</t>
  </si>
  <si>
    <t>-16,395443,-49,649412</t>
  </si>
  <si>
    <t>-16,394847,-49,649222</t>
  </si>
  <si>
    <t>-16,395468,-49,650135</t>
  </si>
  <si>
    <t>-16,396486,-49,648508</t>
  </si>
  <si>
    <t>-16,396787,-49,647986</t>
  </si>
  <si>
    <t>-16,396573,-49,64949</t>
  </si>
  <si>
    <t>-15,880989,-52,182135</t>
  </si>
  <si>
    <t>-15,881362,-52,182025</t>
  </si>
  <si>
    <t>-15,880553,-52,182087</t>
  </si>
  <si>
    <t>-16,938104,-51,822761</t>
  </si>
  <si>
    <t>HUAWEI SUN2000-250KTL-H3</t>
  </si>
  <si>
    <t>-16,939999,-51,821647</t>
  </si>
  <si>
    <t>-16,940006,-51,821095</t>
  </si>
  <si>
    <t>-16,778246,-50,062613</t>
  </si>
  <si>
    <t>-16,779111,-50,0625</t>
  </si>
  <si>
    <t>-16,780003,-50,062528</t>
  </si>
  <si>
    <t>-16,780881,-50,062556</t>
  </si>
  <si>
    <t>-16,781692,-50,062472</t>
  </si>
  <si>
    <t>-16,398232,-49,64562</t>
  </si>
  <si>
    <t>-16,397823,-49,646318</t>
  </si>
  <si>
    <t>-15,908077,-48,814087</t>
  </si>
  <si>
    <t>-15,907581,-48,813185</t>
  </si>
  <si>
    <t>-15,907099,-48,812461</t>
  </si>
  <si>
    <t>-15,909234,-48,813822</t>
  </si>
  <si>
    <t>-15,908994,-48,812758</t>
  </si>
  <si>
    <t>-15,908753,-48,811724</t>
  </si>
  <si>
    <t>-18,365091,-46,055619</t>
  </si>
  <si>
    <t>-18,365059,-46,057745</t>
  </si>
  <si>
    <t>-18,364754,-46,059761</t>
  </si>
  <si>
    <t>-18,421855,-46,075842</t>
  </si>
  <si>
    <t>-18,422662,-46,076534</t>
  </si>
  <si>
    <t>-18,423581,-46,077069</t>
  </si>
  <si>
    <t>-17,997618,-46,875103</t>
  </si>
  <si>
    <t>-17,999012,-46,875659</t>
  </si>
  <si>
    <t>-18,000289,-46,876603</t>
  </si>
  <si>
    <t>-16,862132,-49,989699</t>
  </si>
  <si>
    <t>-16,939941,-51,823362</t>
  </si>
  <si>
    <t>-16,938999,-51,82333</t>
  </si>
  <si>
    <t>-16,940165,-51,822497</t>
  </si>
  <si>
    <t>-16,938947,-51,822408</t>
  </si>
  <si>
    <t>-16,939469,-51,822525</t>
  </si>
  <si>
    <t>-18,185352,-49,358174</t>
  </si>
  <si>
    <t>-18,185235,-49,357827</t>
  </si>
  <si>
    <t>-18,185063,-49,357538</t>
  </si>
  <si>
    <t>-18,184856,-49,357215</t>
  </si>
  <si>
    <t>-18,184702,-49,356887</t>
  </si>
  <si>
    <t>-18,18454,-49,356599</t>
  </si>
  <si>
    <t>-18,184368,-49,356281</t>
  </si>
  <si>
    <t>-15,93202,-47,579936</t>
  </si>
  <si>
    <t>-15,931435,-47,580042</t>
  </si>
  <si>
    <t>-15,931897,-47,578969</t>
  </si>
  <si>
    <t>-15,930825,-47,579225</t>
  </si>
  <si>
    <t>-15,930231,-47,57951</t>
  </si>
  <si>
    <t>-15,930247,-47,579097</t>
  </si>
  <si>
    <t>-15,931435,-47,579037</t>
  </si>
  <si>
    <t>-15,930989,-47,580076</t>
  </si>
  <si>
    <t>-16,810897,-51,703326</t>
  </si>
  <si>
    <t>-16,812226,-51,702436</t>
  </si>
  <si>
    <t>-16,937612,-51,819482</t>
  </si>
  <si>
    <t>-16,93867,-51,818984</t>
  </si>
  <si>
    <t>SUNGROW SG60KTL/SG40CX</t>
  </si>
  <si>
    <t>-16,939438,-51,818692</t>
  </si>
  <si>
    <t>-17,997008,-46,873827</t>
  </si>
  <si>
    <t>-17,996424,-46,873635</t>
  </si>
  <si>
    <t>-17,996023,-46,872528</t>
  </si>
  <si>
    <t>Estado do equipamento</t>
  </si>
  <si>
    <t>Nome do dispositivo</t>
  </si>
  <si>
    <t>Nome da central elétrica</t>
  </si>
  <si>
    <t>Tipo de equipamento</t>
  </si>
  <si>
    <t>Versão de Software</t>
  </si>
  <si>
    <t>Número SN</t>
  </si>
  <si>
    <t>Data de vencimento da garantia</t>
  </si>
  <si>
    <t>Equipamento superior</t>
  </si>
  <si>
    <t>Dispositivo de comunicação</t>
  </si>
  <si>
    <t>Número do dispositivo</t>
  </si>
  <si>
    <t>Em execução</t>
  </si>
  <si>
    <t>CORUMBÁ I - UFV 3</t>
  </si>
  <si>
    <t>V200R001C30SPC117</t>
  </si>
  <si>
    <t xml:space="preserve">	-/-/-</t>
  </si>
  <si>
    <t>Logger-102376198726</t>
  </si>
  <si>
    <t>NE=33821516</t>
  </si>
  <si>
    <t>V300R001C00SPC129</t>
  </si>
  <si>
    <t>NE=33821517</t>
  </si>
  <si>
    <t>NE=33821518</t>
  </si>
  <si>
    <t>CORUMBÁ I - UFV 1</t>
  </si>
  <si>
    <t>Logger-102376198794</t>
  </si>
  <si>
    <t>NE=33821548</t>
  </si>
  <si>
    <t>NE=33821549</t>
  </si>
  <si>
    <t>V300R001C00SPC138</t>
  </si>
  <si>
    <t>NE=33821550</t>
  </si>
  <si>
    <t>NE=33821551</t>
  </si>
  <si>
    <t>NE=33821552</t>
  </si>
  <si>
    <t>CORUMBÁ I - UFV 2</t>
  </si>
  <si>
    <t>Logger-102376198734</t>
  </si>
  <si>
    <t>NE=33821588</t>
  </si>
  <si>
    <t>NE=33821589</t>
  </si>
  <si>
    <t>NE=33821590</t>
  </si>
  <si>
    <t>NE=33821591</t>
  </si>
  <si>
    <t>NE=33821592</t>
  </si>
  <si>
    <t>UFV Palmeiras de Goiás 1.1</t>
  </si>
  <si>
    <t>Logger-102376069713</t>
  </si>
  <si>
    <t>NE=33822553</t>
  </si>
  <si>
    <t>V300R001C00SPC145</t>
  </si>
  <si>
    <t>6T22A9041681</t>
  </si>
  <si>
    <t>NE=33822554</t>
  </si>
  <si>
    <t>NE=33822555</t>
  </si>
  <si>
    <t>NE=33822556</t>
  </si>
  <si>
    <t>UFV Palmeiras de Goiás 1.2</t>
  </si>
  <si>
    <t>Logger-102386526996</t>
  </si>
  <si>
    <t>NE=33822572</t>
  </si>
  <si>
    <t>NE=33822574</t>
  </si>
  <si>
    <t>UFV Palmeiras de Goiás 1.3</t>
  </si>
  <si>
    <t>Logger-102376775734</t>
  </si>
  <si>
    <t>NE=33822586</t>
  </si>
  <si>
    <t>NE=33822587</t>
  </si>
  <si>
    <t>NE=33822588</t>
  </si>
  <si>
    <t>NE=33822589</t>
  </si>
  <si>
    <t>NE=33822590</t>
  </si>
  <si>
    <t>UFV Palmeiras de Goiás 1.4</t>
  </si>
  <si>
    <t>Logger-102376775733</t>
  </si>
  <si>
    <t>NE=33822601</t>
  </si>
  <si>
    <t>NE=33822602</t>
  </si>
  <si>
    <t>NE=33822603</t>
  </si>
  <si>
    <t>NE=33822604</t>
  </si>
  <si>
    <t>UFV Palmeiras de Goiás 1.5</t>
  </si>
  <si>
    <t>Logger-102376775818</t>
  </si>
  <si>
    <t>NE=33822614</t>
  </si>
  <si>
    <t>NE=33822616</t>
  </si>
  <si>
    <t>NE=33822617</t>
  </si>
  <si>
    <t>CORUMBÁ II - UFV 1</t>
  </si>
  <si>
    <t>Logger-102376198708</t>
  </si>
  <si>
    <t>NE=33826474</t>
  </si>
  <si>
    <t>NE=33826475</t>
  </si>
  <si>
    <t>NE=33826476</t>
  </si>
  <si>
    <t>NE=33826477</t>
  </si>
  <si>
    <t>NE=33826478</t>
  </si>
  <si>
    <t>CORUMBÁ II - UFV 2</t>
  </si>
  <si>
    <t>Logger-102376198744</t>
  </si>
  <si>
    <t>NE=33826722</t>
  </si>
  <si>
    <t>NE=33826723</t>
  </si>
  <si>
    <t>NE=33826724</t>
  </si>
  <si>
    <t>NE=33826725</t>
  </si>
  <si>
    <t>ES22B0077198</t>
  </si>
  <si>
    <t>NE=33826726</t>
  </si>
  <si>
    <t>CORUMBÁ II - UFV 3</t>
  </si>
  <si>
    <t>Logger-102376198739</t>
  </si>
  <si>
    <t>NE=33826803</t>
  </si>
  <si>
    <t>NE=33826804</t>
  </si>
  <si>
    <t>NE=33835558</t>
  </si>
  <si>
    <t>NE=33835998</t>
  </si>
  <si>
    <t>NE=33836648</t>
  </si>
  <si>
    <t>NE=33836990</t>
  </si>
  <si>
    <t>off-line</t>
  </si>
  <si>
    <t>ES22B0077204</t>
  </si>
  <si>
    <t>NE=33837010</t>
  </si>
  <si>
    <t>NE=33842424</t>
  </si>
  <si>
    <t>V300R001C00SPC126</t>
  </si>
  <si>
    <t>ES22B0077169</t>
  </si>
  <si>
    <t>NE=33843376</t>
  </si>
  <si>
    <t>V300R001C00SPC135</t>
  </si>
  <si>
    <t>ES2360057441</t>
  </si>
  <si>
    <t>NE=33850674</t>
  </si>
  <si>
    <t>NE=33866612</t>
  </si>
  <si>
    <t>NE=33866614</t>
  </si>
  <si>
    <t>Clareira de Araçu - UFV 1</t>
  </si>
  <si>
    <t>Logger-102376198797</t>
  </si>
  <si>
    <t>NE=33943413</t>
  </si>
  <si>
    <t>NE=33943412</t>
  </si>
  <si>
    <t>NE=33943411</t>
  </si>
  <si>
    <t>NE=33943410</t>
  </si>
  <si>
    <t>NE=33943409</t>
  </si>
  <si>
    <t>Clareira de Araçu - UFV 2</t>
  </si>
  <si>
    <t>Logger-102376074572</t>
  </si>
  <si>
    <t>NE=33943423</t>
  </si>
  <si>
    <t>NE=33943422</t>
  </si>
  <si>
    <t>NE=33943421</t>
  </si>
  <si>
    <t>Logger-102376198738</t>
  </si>
  <si>
    <t>NE=33970679</t>
  </si>
  <si>
    <t>NE=33970678</t>
  </si>
  <si>
    <t>NE=33970677</t>
  </si>
  <si>
    <t>NE=33970676</t>
  </si>
  <si>
    <t>NE=33970675</t>
  </si>
  <si>
    <t>UFV CAIAPONIA II - UC 3</t>
  </si>
  <si>
    <t>Logger-102376198771</t>
  </si>
  <si>
    <t>NE=33970701</t>
  </si>
  <si>
    <t>NE=33970700</t>
  </si>
  <si>
    <t>NE=33970699</t>
  </si>
  <si>
    <t>NE=33970698</t>
  </si>
  <si>
    <t>NE=33970697</t>
  </si>
  <si>
    <t>UFV CAIAPONIA II - UC 2</t>
  </si>
  <si>
    <t>Logger-102376198800</t>
  </si>
  <si>
    <t>NE=33970739</t>
  </si>
  <si>
    <t>NE=33970738</t>
  </si>
  <si>
    <t>NE=33970737</t>
  </si>
  <si>
    <t>NE=33970736</t>
  </si>
  <si>
    <t>NE=33970735</t>
  </si>
  <si>
    <t>INV-ES2360057449</t>
  </si>
  <si>
    <t>ES2360057449</t>
  </si>
  <si>
    <t>NE=34642184</t>
  </si>
  <si>
    <t>UFV LENÇOIS PAULISTA</t>
  </si>
  <si>
    <t>V500R023C00SPC110</t>
  </si>
  <si>
    <t>Logger-102255801993</t>
  </si>
  <si>
    <t>NE=35008076</t>
  </si>
  <si>
    <t>NE=35008077</t>
  </si>
  <si>
    <t>NE=35008078</t>
  </si>
  <si>
    <t>NE=35008079</t>
  </si>
  <si>
    <t>TURVANIA - UFV2</t>
  </si>
  <si>
    <t>V500R023C00SPC108</t>
  </si>
  <si>
    <t>Logger-102475259697</t>
  </si>
  <si>
    <t>NE=35423228</t>
  </si>
  <si>
    <t>NE=35423229</t>
  </si>
  <si>
    <t>NE=35423230</t>
  </si>
  <si>
    <t>NE=35423231</t>
  </si>
  <si>
    <t>TURVANIA - UFV3</t>
  </si>
  <si>
    <t>GR2449004055</t>
  </si>
  <si>
    <t>Logger-102475259651</t>
  </si>
  <si>
    <t>NE=35432088</t>
  </si>
  <si>
    <t>NE=35432089</t>
  </si>
  <si>
    <t>NE=35432090</t>
  </si>
  <si>
    <t>NE=35432091</t>
  </si>
  <si>
    <t>TURVANIA - UFV5</t>
  </si>
  <si>
    <t>Logger-102475259702</t>
  </si>
  <si>
    <t>NE=35432584</t>
  </si>
  <si>
    <t>NE=35432585</t>
  </si>
  <si>
    <t>NE=35432586</t>
  </si>
  <si>
    <t>NE=35432587</t>
  </si>
  <si>
    <t>TURVANIA - UFV1</t>
  </si>
  <si>
    <t>Logger-102475259630</t>
  </si>
  <si>
    <t>NE=35432698</t>
  </si>
  <si>
    <t>NE=35432699</t>
  </si>
  <si>
    <t>NE=35432700</t>
  </si>
  <si>
    <t>NE=35432701</t>
  </si>
  <si>
    <t>TURVANIA - UFV4</t>
  </si>
  <si>
    <t>Logger-102475376595</t>
  </si>
  <si>
    <t>NE=35435032</t>
  </si>
  <si>
    <t>NE=35435033</t>
  </si>
  <si>
    <t>NE=35435034</t>
  </si>
  <si>
    <t>NE=35435035</t>
  </si>
  <si>
    <t>NE=35517396</t>
  </si>
  <si>
    <t>V300R001C00SPC128</t>
  </si>
  <si>
    <t>NE=35518356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</si>
</sst>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</font>
    <font>
      <sz val="10"/>
      <color rgb="FF000000"/>
      <name val="Aptos Narrow"/>
      <family val="2"/>
      <scheme val="minor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indexed="1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4" fillId="0" borderId="0"/>
    <xf numFmtId="43" fontId="1" fillId="0" borderId="0" applyFont="0" applyFill="0" applyBorder="0" applyAlignment="0" applyProtection="0"/>
    <xf numFmtId="0" fontId="4" fillId="0" borderId="0"/>
  </cellStyleXfs>
  <cellXfs count="68">
    <xf numFmtId="0" fontId="0" fillId="0" borderId="0" xfId="0"/>
    <xf numFmtId="0" fontId="1" fillId="0" borderId="0" xfId="0" applyFont="1"/>
    <xf numFmtId="0" fontId="3" fillId="0" borderId="0" xfId="0" applyFont="1"/>
    <xf numFmtId="0" fontId="6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3" fontId="6" fillId="0" borderId="0" xfId="1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43" fontId="6" fillId="0" borderId="3" xfId="1" applyFont="1" applyBorder="1" applyAlignment="1">
      <alignment horizontal="center" vertical="center" wrapText="1"/>
    </xf>
    <xf numFmtId="14" fontId="0" fillId="0" borderId="0" xfId="0" applyNumberFormat="1"/>
    <xf numFmtId="49" fontId="8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9" fillId="0" borderId="1" xfId="0" applyFont="1" applyBorder="1"/>
    <xf numFmtId="0" fontId="9" fillId="0" borderId="0" xfId="0" applyFont="1"/>
    <xf numFmtId="0" fontId="6" fillId="2" borderId="4" xfId="0" applyFont="1" applyFill="1" applyBorder="1" applyAlignment="1">
      <alignment horizontal="center" vertical="center"/>
    </xf>
    <xf numFmtId="0" fontId="9" fillId="4" borderId="1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3" fillId="0" borderId="1" xfId="2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3" fillId="0" borderId="1" xfId="0" applyFont="1" applyBorder="1"/>
    <xf numFmtId="0" fontId="3" fillId="0" borderId="5" xfId="0" applyFont="1" applyBorder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/>
    <xf numFmtId="0" fontId="3" fillId="0" borderId="7" xfId="0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right" vertical="center"/>
    </xf>
    <xf numFmtId="0" fontId="3" fillId="0" borderId="1" xfId="2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6" fillId="2" borderId="2" xfId="0" applyFont="1" applyFill="1" applyBorder="1" applyAlignment="1">
      <alignment vertical="center"/>
    </xf>
    <xf numFmtId="0" fontId="10" fillId="0" borderId="1" xfId="0" applyFont="1" applyBorder="1"/>
    <xf numFmtId="0" fontId="10" fillId="0" borderId="6" xfId="0" applyFont="1" applyBorder="1"/>
    <xf numFmtId="0" fontId="3" fillId="0" borderId="7" xfId="0" applyFont="1" applyBorder="1" applyAlignment="1">
      <alignment vertical="center"/>
    </xf>
    <xf numFmtId="2" fontId="3" fillId="0" borderId="1" xfId="2" applyNumberFormat="1" applyFont="1" applyBorder="1" applyAlignment="1">
      <alignment horizontal="center" vertical="center" wrapText="1"/>
    </xf>
    <xf numFmtId="1" fontId="3" fillId="0" borderId="1" xfId="2" applyNumberFormat="1" applyFont="1" applyBorder="1" applyAlignment="1">
      <alignment horizontal="center" vertical="center" wrapText="1"/>
    </xf>
    <xf numFmtId="0" fontId="3" fillId="0" borderId="5" xfId="2" applyFont="1" applyBorder="1" applyAlignment="1">
      <alignment horizontal="center" vertical="center" wrapText="1"/>
    </xf>
    <xf numFmtId="2" fontId="3" fillId="0" borderId="5" xfId="2" applyNumberFormat="1" applyFont="1" applyBorder="1" applyAlignment="1">
      <alignment horizontal="center" vertical="center" wrapText="1"/>
    </xf>
    <xf numFmtId="1" fontId="3" fillId="0" borderId="5" xfId="2" applyNumberFormat="1" applyFont="1" applyBorder="1" applyAlignment="1">
      <alignment horizontal="center" vertical="center" wrapText="1"/>
    </xf>
    <xf numFmtId="14" fontId="3" fillId="0" borderId="5" xfId="2" applyNumberFormat="1" applyFont="1" applyBorder="1" applyAlignment="1">
      <alignment horizontal="center" vertical="center" wrapText="1"/>
    </xf>
    <xf numFmtId="0" fontId="3" fillId="5" borderId="5" xfId="0" applyFont="1" applyFill="1" applyBorder="1" applyAlignment="1">
      <alignment vertical="center"/>
    </xf>
    <xf numFmtId="0" fontId="3" fillId="5" borderId="5" xfId="0" applyFont="1" applyFill="1" applyBorder="1" applyAlignment="1">
      <alignment horizontal="center" vertical="center"/>
    </xf>
    <xf numFmtId="49" fontId="3" fillId="5" borderId="5" xfId="0" applyNumberFormat="1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5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</cellXfs>
  <cellStyles count="6">
    <cellStyle name="Comma" xfId="1" builtinId="3"/>
    <cellStyle name="Normal" xfId="0" builtinId="0"/>
    <cellStyle name="Normal 2" xfId="2" xr:uid="{D6AF73E8-FC9B-4647-B564-DBFA34A2171E}"/>
    <cellStyle name="Normal 2 2" xfId="5" xr:uid="{E7FE30F4-FD33-49BE-8C32-EAC95737D9C6}"/>
    <cellStyle name="Normal 4" xfId="3" xr:uid="{20162D63-7D58-4AA5-8AD6-90CF5D11B3BD}"/>
    <cellStyle name="Vírgula 2" xfId="4" xr:uid="{F2DD0AC6-36B6-4361-ADE1-A9B238D2281E}"/>
  </cellStyles>
  <dxfs count="58"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theme="0" tint="-0.24994659260841701"/>
        </top>
      </border>
    </dxf>
    <dxf>
      <border outline="0">
        <top style="thin">
          <color theme="0" tint="-0.24994659260841701"/>
        </top>
        <bottom style="thin">
          <color theme="0" tint="-0.2499465926084170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bottom style="thin">
          <color theme="0" tint="-0.2499465926084170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theme="1"/>
        </top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72.16.0.11\Data\BC%20Desenvolvimento\DESENVOLVIMENTO_Vers&#227;o%202.xlsm" TargetMode="External"/><Relationship Id="rId1" Type="http://schemas.openxmlformats.org/officeDocument/2006/relationships/externalLinkPath" Target="file:///\\172.16.0.11\Data\BC%20Desenvolvimento\DESENVOLVIMENTO_Vers&#227;o%20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RMAÇÕES GERAIS USINAS"/>
      <sheetName val="PARECERES DE ACESSO"/>
      <sheetName val="REGULATORIO"/>
      <sheetName val="FATOR K"/>
      <sheetName val="Estados-Siglas"/>
      <sheetName val="DADOS"/>
      <sheetName val="DESENVOLVIMENTO_Versão 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270BDD5-897A-408D-A3A4-A0C157CD7394}" autoFormatId="16" applyNumberFormats="0" applyBorderFormats="0" applyFontFormats="0" applyPatternFormats="0" applyAlignmentFormats="0" applyWidthHeightFormats="0">
  <queryTableRefresh nextId="45">
    <queryTableFields count="44">
      <queryTableField id="1" name="USINAS" tableColumnId="1"/>
      <queryTableField id="2" name="COMPLEXO DE OBRAS" tableColumnId="2"/>
      <queryTableField id="3" name="SITUAÇÃO DA USINA" tableColumnId="3"/>
      <queryTableField id="4" name="UF" tableColumnId="4"/>
      <queryTableField id="5" name="CIDADE" tableColumnId="5"/>
      <queryTableField id="6" name="Endereço" tableColumnId="6"/>
      <queryTableField id="7" name="CONCESSIONÁRIA" tableColumnId="7"/>
      <queryTableField id="8" name="UC" tableColumnId="8"/>
      <queryTableField id="9" name="USINA PRÓPRIA / ALUGADA" tableColumnId="9"/>
      <queryTableField id="10" name="Tipo de Usina" tableColumnId="10"/>
      <queryTableField id="11" name="Estrutura" tableColumnId="11"/>
      <queryTableField id="12" name="Potência KW" tableColumnId="12"/>
      <queryTableField id="13" name="Potencia KWp" tableColumnId="13"/>
      <queryTableField id="14" name="Quantidade de Módulos" tableColumnId="14"/>
      <queryTableField id="15" name="INVERSORES" tableColumnId="15"/>
      <queryTableField id="16" name="MÓDULOS" tableColumnId="16"/>
      <queryTableField id="17" name="Geração estimada Janeiro P50 (MWh)" tableColumnId="17"/>
      <queryTableField id="18" name="Geração estimada Fevereiro P50 (MWh)" tableColumnId="18"/>
      <queryTableField id="19" name="Geração estimada Março P50 (MWh)" tableColumnId="19"/>
      <queryTableField id="20" name="Geração estimada Abril P50 (MWh)" tableColumnId="20"/>
      <queryTableField id="21" name="Geração estimada Maio P50 (MWh)" tableColumnId="21"/>
      <queryTableField id="22" name="Geração estimada Junho P50 (MWh)" tableColumnId="22"/>
      <queryTableField id="23" name="Geração estimada Julho P50 (MWh)" tableColumnId="23"/>
      <queryTableField id="24" name="Geração estimada Agosto P50 (MWh)" tableColumnId="24"/>
      <queryTableField id="25" name="Geração estimada Setembro P50 (MWh)" tableColumnId="25"/>
      <queryTableField id="26" name="Geração estimada Outubro P50 (MWh)" tableColumnId="26"/>
      <queryTableField id="27" name="Geração estimada Novembro P50 (MWh)" tableColumnId="27"/>
      <queryTableField id="28" name="Geração estimada Dezembro P50 (MWh)" tableColumnId="28"/>
      <queryTableField id="29" name="Geração estimada P50 (MWh)/Ano" tableColumnId="29"/>
      <queryTableField id="30" name="Variação (MWh)" tableColumnId="30"/>
      <queryTableField id="31" name="Geração estimada P90 (MWh)/Ano" tableColumnId="31"/>
      <queryTableField id="32" name="Geração estimada P95 (MWh)/Ano" tableColumnId="32"/>
      <queryTableField id="33" name="P50 (MWh) / kWp / Ano" tableColumnId="33"/>
      <queryTableField id="34" name="Revisão da Simulação" tableColumnId="34"/>
      <queryTableField id="35" name="Ano de Projeção da Simulação no PVSyst" tableColumnId="35"/>
      <queryTableField id="36" name="Data da Simulação" tableColumnId="36"/>
      <queryTableField id="37" name="Controle de Revisão do PVSyst" tableColumnId="37"/>
      <queryTableField id="38" name="Previsão de entrega" tableColumnId="38"/>
      <queryTableField id="39" name="Data Início das Obras" tableColumnId="39"/>
      <queryTableField id="40" name="Data Finalização das Obras" tableColumnId="40"/>
      <queryTableField id="41" name="Previsão de Energização" tableColumnId="41"/>
      <queryTableField id="42" name="Data Energização" tableColumnId="42"/>
      <queryTableField id="43" name="Perda Primeiro Ano" tableColumnId="43"/>
      <queryTableField id="44" name="Perda Anual" tableColumnId="4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6FAE4A-B8D3-4CE3-9247-B4D3D39D5F82}" name="Informações_Usinas" displayName="Informações_Usinas" ref="A1:AR179" tableType="queryTable" totalsRowShown="0">
  <autoFilter ref="A1:AR179" xr:uid="{F86FAE4A-B8D3-4CE3-9247-B4D3D39D5F82}"/>
  <tableColumns count="44">
    <tableColumn id="1" xr3:uid="{83F72D19-A7C8-41A2-8955-FCDDB1687863}" uniqueName="1" name="USINAS" queryTableFieldId="1" dataDxfId="57"/>
    <tableColumn id="2" xr3:uid="{0EBAD75F-45B7-46C5-ACD6-5B954071BD39}" uniqueName="2" name="COMPLEXO DE OBRAS" queryTableFieldId="2" dataDxfId="56"/>
    <tableColumn id="3" xr3:uid="{D6BAA91E-F87D-4E2A-8FCC-E8648037EA23}" uniqueName="3" name="SITUAÇÃO DA USINA" queryTableFieldId="3" dataDxfId="55"/>
    <tableColumn id="4" xr3:uid="{0A4B0EAB-BDC4-4F46-B157-A9D0A26624A9}" uniqueName="4" name="UF" queryTableFieldId="4" dataDxfId="54"/>
    <tableColumn id="5" xr3:uid="{D84F2F3B-E87F-4429-B927-60144CEFF230}" uniqueName="5" name="CIDADE" queryTableFieldId="5" dataDxfId="53"/>
    <tableColumn id="6" xr3:uid="{13C1C803-6E0D-4D9E-8F35-D5B7C4C3A2B2}" uniqueName="6" name="Endereço" queryTableFieldId="6" dataDxfId="52"/>
    <tableColumn id="7" xr3:uid="{05F773A8-938B-4479-A2F5-DE41296802F9}" uniqueName="7" name="CONCESSIONÁRIA" queryTableFieldId="7" dataDxfId="51"/>
    <tableColumn id="8" xr3:uid="{C8C8D3D4-6224-46C4-9A24-46D008F06EAB}" uniqueName="8" name="UC" queryTableFieldId="8"/>
    <tableColumn id="9" xr3:uid="{002051BB-CB77-430B-89A5-788F9CC0489D}" uniqueName="9" name="USINA PRÓPRIA / ALUGADA" queryTableFieldId="9" dataDxfId="50"/>
    <tableColumn id="10" xr3:uid="{5B083F84-E158-4399-99B3-AB9753AACCD9}" uniqueName="10" name="Tipo de Usina" queryTableFieldId="10" dataDxfId="49"/>
    <tableColumn id="11" xr3:uid="{17FAAB52-4C28-46B3-AAA3-BF22323C39CE}" uniqueName="11" name="Estrutura" queryTableFieldId="11" dataDxfId="48"/>
    <tableColumn id="12" xr3:uid="{992DD60E-7DAE-434F-838F-4BE57CF290F7}" uniqueName="12" name="Potência KW" queryTableFieldId="12"/>
    <tableColumn id="13" xr3:uid="{1DEC9C00-AF28-49D3-BD59-0A0C8D999C48}" uniqueName="13" name="Potencia KWp" queryTableFieldId="13"/>
    <tableColumn id="14" xr3:uid="{41C259A3-5972-4031-86B9-C29D2D564595}" uniqueName="14" name="Quantidade de Módulos" queryTableFieldId="14"/>
    <tableColumn id="15" xr3:uid="{B387ABE4-24AB-4614-9176-893371C1BF79}" uniqueName="15" name="INVERSORES" queryTableFieldId="15" dataDxfId="47"/>
    <tableColumn id="16" xr3:uid="{05320321-61C5-4BC1-A47E-3E5ACAB8E262}" uniqueName="16" name="MÓDULOS" queryTableFieldId="16" dataDxfId="46"/>
    <tableColumn id="17" xr3:uid="{FD84B979-1286-41A0-8C0B-B97885B2BE79}" uniqueName="17" name="Geração estimada Janeiro P50 (MWh)" queryTableFieldId="17"/>
    <tableColumn id="18" xr3:uid="{10290022-071E-4A56-AAA4-F4EA52F2B6DF}" uniqueName="18" name="Geração estimada Fevereiro P50 (MWh)" queryTableFieldId="18"/>
    <tableColumn id="19" xr3:uid="{A7E99315-BFD3-4E72-93E6-86AFA0F0469C}" uniqueName="19" name="Geração estimada Março P50 (MWh)" queryTableFieldId="19"/>
    <tableColumn id="20" xr3:uid="{CEA34EED-528E-4E1D-A9D5-866F2823A90E}" uniqueName="20" name="Geração estimada Abril P50 (MWh)" queryTableFieldId="20"/>
    <tableColumn id="21" xr3:uid="{F569739B-8C73-4732-9BC3-31B68EDFF072}" uniqueName="21" name="Geração estimada Maio P50 (MWh)" queryTableFieldId="21"/>
    <tableColumn id="22" xr3:uid="{1C334599-88D3-4C57-8A3E-F9F4903582CB}" uniqueName="22" name="Geração estimada Junho P50 (MWh)" queryTableFieldId="22"/>
    <tableColumn id="23" xr3:uid="{74D9E790-5352-4437-B0A0-CDDF72758F28}" uniqueName="23" name="Geração estimada Julho P50 (MWh)" queryTableFieldId="23"/>
    <tableColumn id="24" xr3:uid="{36B33636-077A-4B03-AB78-E169C9AA0C67}" uniqueName="24" name="Geração estimada Agosto P50 (MWh)" queryTableFieldId="24"/>
    <tableColumn id="25" xr3:uid="{14296E70-1B65-41D4-ACDD-C8A423D05FB1}" uniqueName="25" name="Geração estimada Setembro P50 (MWh)" queryTableFieldId="25"/>
    <tableColumn id="26" xr3:uid="{1D23B275-F938-43E7-A957-A4834E75FFA1}" uniqueName="26" name="Geração estimada Outubro P50 (MWh)" queryTableFieldId="26"/>
    <tableColumn id="27" xr3:uid="{2EED5930-AAD7-442E-A73D-FF0D3703EFB4}" uniqueName="27" name="Geração estimada Novembro P50 (MWh)" queryTableFieldId="27"/>
    <tableColumn id="28" xr3:uid="{461C2A9A-0662-442F-98B6-1120C97F994D}" uniqueName="28" name="Geração estimada Dezembro P50 (MWh)" queryTableFieldId="28"/>
    <tableColumn id="29" xr3:uid="{062BEE89-8C17-4BDB-A62C-41B26F5C3D01}" uniqueName="29" name="Geração estimada P50 (MWh)/Ano" queryTableFieldId="29"/>
    <tableColumn id="30" xr3:uid="{2F97F778-BBC0-4E87-8E44-D6001B2B25F2}" uniqueName="30" name="Variação (MWh)" queryTableFieldId="30"/>
    <tableColumn id="31" xr3:uid="{CCDD665B-53D2-414F-93A4-64F4DAE50C55}" uniqueName="31" name="Geração estimada P90 (MWh)/Ano" queryTableFieldId="31"/>
    <tableColumn id="32" xr3:uid="{DB09AE21-69E6-4AFF-92B4-24FEAB3840E4}" uniqueName="32" name="Geração estimada P95 (MWh)/Ano" queryTableFieldId="32"/>
    <tableColumn id="33" xr3:uid="{1EABBDAC-7A8A-4AC5-93EB-2AC562F1044B}" uniqueName="33" name="P50 (MWh) / kWp / Ano" queryTableFieldId="33"/>
    <tableColumn id="34" xr3:uid="{26EAE721-00F2-4903-95B4-7C60E03A5ED4}" uniqueName="34" name="Revisão da Simulação" queryTableFieldId="34" dataDxfId="45"/>
    <tableColumn id="35" xr3:uid="{93CD6DDC-8321-47DA-B661-B2DC411691CB}" uniqueName="35" name="Ano de Projeção da Simulação no PVSyst" queryTableFieldId="35"/>
    <tableColumn id="36" xr3:uid="{FB73E87B-4805-49BB-BF1B-A9536548FE37}" uniqueName="36" name="Data da Simulação" queryTableFieldId="36"/>
    <tableColumn id="37" xr3:uid="{AD496D63-184E-4E58-8B21-C410E17F5D51}" uniqueName="37" name="Controle de Revisão do PVSyst" queryTableFieldId="37" dataDxfId="44"/>
    <tableColumn id="38" xr3:uid="{A25B4337-E488-4C3C-9CE9-6B944DB38032}" uniqueName="38" name="Previsão de entrega" queryTableFieldId="38" dataDxfId="43"/>
    <tableColumn id="39" xr3:uid="{01507FCB-5FB1-4721-9534-A6F17BB0841C}" uniqueName="39" name="Data Início das Obras" queryTableFieldId="39" dataDxfId="42"/>
    <tableColumn id="40" xr3:uid="{ABF13D3A-6058-41BB-8A5D-D1A90EBB3BB4}" uniqueName="40" name="Data Finalização das Obras" queryTableFieldId="40" dataDxfId="41"/>
    <tableColumn id="41" xr3:uid="{DBC94352-BC95-4747-9827-C975BCE679D6}" uniqueName="41" name="Previsão de Energização" queryTableFieldId="41" dataDxfId="40"/>
    <tableColumn id="42" xr3:uid="{6AFA35AD-A212-40B1-975E-0D320803B257}" uniqueName="42" name="Data Energização" queryTableFieldId="42" dataDxfId="39"/>
    <tableColumn id="43" xr3:uid="{C1792D2E-F0AC-4C1C-BA59-EBB7BAA0F594}" uniqueName="43" name="Perda Primeiro Ano" queryTableFieldId="43"/>
    <tableColumn id="44" xr3:uid="{5EDDDDAD-3647-4893-A9B5-4B866CFC41BA}" uniqueName="44" name="Perda Anual" queryTableFieldId="4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F795A7-FB5D-4D55-B520-E20F93757F21}" name="Tabela3" displayName="Tabela3" ref="A1:K406" totalsRowShown="0" headerRowDxfId="38" dataDxfId="37" tableBorderDxfId="36">
  <autoFilter ref="A1:K406" xr:uid="{57F795A7-FB5D-4D55-B520-E20F93757F21}">
    <filterColumn colId="3">
      <filters>
        <filter val="BC Caiaponia1"/>
      </filters>
    </filterColumn>
  </autoFilter>
  <tableColumns count="11">
    <tableColumn id="1" xr3:uid="{CBB54126-422C-4E2A-8A71-84CCE8877CBB}" name="Estado" dataDxfId="35"/>
    <tableColumn id="2" xr3:uid="{EA660636-7C31-4956-B157-21D303FD5F0F}" name="Complexo" dataDxfId="34"/>
    <tableColumn id="3" xr3:uid="{2142591D-DDF3-4A3D-AA31-5C937D721EA4}" name="Usina" dataDxfId="33"/>
    <tableColumn id="11" xr3:uid="{715AC5A3-5F46-4741-A6A4-9DD478442DF6}" name="Nome Monitoramento Brasol" dataDxfId="32"/>
    <tableColumn id="7" xr3:uid="{533B3FCC-A7FD-46FC-B933-876EE1A87A0D}" name="Marca" dataDxfId="31"/>
    <tableColumn id="4" xr3:uid="{B3845849-9988-4C41-8583-B653BAFBF5AE}" name="Inversor" dataDxfId="30"/>
    <tableColumn id="8" xr3:uid="{C7890DE0-269D-48CF-9F77-9DB3DF2FEF81}" name="Modelo" dataDxfId="29"/>
    <tableColumn id="5" xr3:uid="{252D2277-7F9B-4993-9EED-56F769AD9A87}" name="Número de Série" dataDxfId="28"/>
    <tableColumn id="9" xr3:uid="{8DC045ED-6604-4193-B9A6-E30CB34DC752}" name="Potência Nominal [kW]" dataDxfId="27"/>
    <tableColumn id="13" xr3:uid="{6EDF4AF0-DEF3-4C38-9322-D5947D0B8728}" name="Potência Pico [kWp]" dataDxfId="26"/>
    <tableColumn id="10" xr3:uid="{8AABB550-CB1F-4349-9818-FDFFD1004E41}" name="Status" dataDxfId="2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FED2F3-001F-4573-A751-C2857D126F05}" name="Tabela4" displayName="Tabela4" ref="A1:C67" totalsRowShown="0" dataDxfId="24">
  <autoFilter ref="A1:C67" xr:uid="{0BFED2F3-001F-4573-A751-C2857D126F05}">
    <filterColumn colId="0">
      <filters>
        <filter val="FusionSolar"/>
        <filter val="IsolarCloud/ Smartsys"/>
      </filters>
    </filterColumn>
  </autoFilter>
  <tableColumns count="3">
    <tableColumn id="3" xr3:uid="{A0167B5C-E075-40F3-B932-893C68B6B5A4}" name="Sistema" dataDxfId="23"/>
    <tableColumn id="1" xr3:uid="{DD037715-3867-47D6-833B-768C32BAFAD9}" name="Nome no Sistema" dataDxfId="22"/>
    <tableColumn id="2" xr3:uid="{C3D45D59-027A-4BF8-AEFA-0F8D4D4F1372}" name="Quantidade de inversores funcionando" dataDxfId="21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6941CE-180A-4494-B8EB-3D386C365F45}" name="Tabela1" displayName="Tabela1" ref="A1:P91" totalsRowShown="0" headerRowDxfId="20" dataDxfId="18" headerRowBorderDxfId="19" tableBorderDxfId="17" totalsRowBorderDxfId="16" dataCellStyle="Normal 2">
  <autoFilter ref="A1:P91" xr:uid="{F26941CE-180A-4494-B8EB-3D386C365F45}"/>
  <sortState xmlns:xlrd2="http://schemas.microsoft.com/office/spreadsheetml/2017/richdata2" ref="A2:P66">
    <sortCondition ref="A1:A66"/>
  </sortState>
  <tableColumns count="16">
    <tableColumn id="1" xr3:uid="{AF7B0FB3-09EC-417E-9774-C0ED4B16243D}" name="Usinas" dataDxfId="15" dataCellStyle="Normal 2"/>
    <tableColumn id="2" xr3:uid="{D51D357E-1005-4667-92C6-83DDF93AA1BF}" name="Complexo de Obras" dataDxfId="14" dataCellStyle="Normal 2"/>
    <tableColumn id="3" xr3:uid="{B02CFC6B-4241-4F49-8028-C97AD308830D}" name="Situação da Usina" dataDxfId="13" dataCellStyle="Normal 2"/>
    <tableColumn id="4" xr3:uid="{BB5E7F6E-C8BB-4E39-802A-271FCE8B9C25}" name="UF" dataDxfId="12" dataCellStyle="Normal 2"/>
    <tableColumn id="5" xr3:uid="{FE86F201-9852-4950-A60F-7C8D8006EA98}" name="Cidade" dataDxfId="11" dataCellStyle="Normal 2"/>
    <tableColumn id="8" xr3:uid="{FA1026EF-F4FA-49AB-B4B3-C86DD3B660A7}" name="Endereço" dataDxfId="10" dataCellStyle="Normal 2"/>
    <tableColumn id="15" xr3:uid="{AC7F0CBE-8B66-4379-A511-35619571DD99}" name="Coordenadas" dataDxfId="9" dataCellStyle="Normal 2"/>
    <tableColumn id="6" xr3:uid="{4113B46F-F013-4F30-B359-D3C0458DB704}" name="Concessionária" dataDxfId="8" dataCellStyle="Normal 2"/>
    <tableColumn id="7" xr3:uid="{F56B0E13-8612-4784-AAC6-1804B958C53C}" name="UC" dataDxfId="7" dataCellStyle="Normal 2"/>
    <tableColumn id="9" xr3:uid="{5A9656D7-EEA8-45F9-8FF2-8AB81B29CD3C}" name="Tipo de Usina" dataDxfId="6" dataCellStyle="Normal 2"/>
    <tableColumn id="10" xr3:uid="{2161B953-029A-4A48-BB4A-DC10A17818B1}" name="Estrutura" dataDxfId="5" dataCellStyle="Normal 2"/>
    <tableColumn id="11" xr3:uid="{D692CF17-BFC2-4416-8025-551F44A980F4}" name="Potência KW" dataDxfId="4" dataCellStyle="Normal 2"/>
    <tableColumn id="12" xr3:uid="{999BC67D-AA04-4866-8DB3-8B2AD1B80819}" name="Potencia KWp" dataDxfId="3" dataCellStyle="Normal 2"/>
    <tableColumn id="13" xr3:uid="{63C89578-8A58-40DB-9734-D018E9B52023}" name="Inversores" dataDxfId="2" dataCellStyle="Normal 2"/>
    <tableColumn id="14" xr3:uid="{2BA88A48-93CE-4FE6-8BE3-37531FADC754}" name="Quantidade Inversores" dataDxfId="1" dataCellStyle="Normal 2"/>
    <tableColumn id="16" xr3:uid="{14429C45-3499-465D-A695-49C3F7126475}" name="Energização" dataDxfId="0" dataCellStyle="Normal 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C039-B076-45BA-8D25-25C70A3E4265}">
  <sheetPr codeName="Planilha1"/>
  <dimension ref="A1:AR179"/>
  <sheetViews>
    <sheetView topLeftCell="AK1" workbookViewId="0">
      <selection activeCell="AQ17" sqref="AQ17"/>
    </sheetView>
  </sheetViews>
  <sheetFormatPr defaultRowHeight="15" x14ac:dyDescent="0.25"/>
  <cols>
    <col min="1" max="1" width="15.7109375" bestFit="1" customWidth="1"/>
    <col min="2" max="2" width="21.5703125" bestFit="1" customWidth="1"/>
    <col min="3" max="3" width="20.28515625" bestFit="1" customWidth="1"/>
    <col min="4" max="4" width="13.28515625" bestFit="1" customWidth="1"/>
    <col min="5" max="5" width="16.5703125" bestFit="1" customWidth="1"/>
    <col min="6" max="6" width="80.85546875" bestFit="1" customWidth="1"/>
    <col min="7" max="7" width="18.7109375" bestFit="1" customWidth="1"/>
    <col min="8" max="8" width="12" bestFit="1" customWidth="1"/>
    <col min="9" max="9" width="26" bestFit="1" customWidth="1"/>
    <col min="10" max="10" width="14.28515625" bestFit="1" customWidth="1"/>
    <col min="11" max="11" width="11.140625" bestFit="1" customWidth="1"/>
    <col min="12" max="12" width="13.7109375" bestFit="1" customWidth="1"/>
    <col min="13" max="13" width="14.7109375" bestFit="1" customWidth="1"/>
    <col min="14" max="14" width="23" bestFit="1" customWidth="1"/>
    <col min="15" max="15" width="43.7109375" bestFit="1" customWidth="1"/>
    <col min="16" max="16" width="58.28515625" bestFit="1" customWidth="1"/>
    <col min="17" max="17" width="34.42578125" bestFit="1" customWidth="1"/>
    <col min="18" max="18" width="36.42578125" bestFit="1" customWidth="1"/>
    <col min="19" max="19" width="33.7109375" bestFit="1" customWidth="1"/>
    <col min="20" max="21" width="32.5703125" bestFit="1" customWidth="1"/>
    <col min="22" max="22" width="33.28515625" bestFit="1" customWidth="1"/>
    <col min="23" max="23" width="32.7109375" bestFit="1" customWidth="1"/>
    <col min="24" max="24" width="34.140625" bestFit="1" customWidth="1"/>
    <col min="25" max="25" width="36.85546875" bestFit="1" customWidth="1"/>
    <col min="26" max="26" width="35.28515625" bestFit="1" customWidth="1"/>
    <col min="27" max="28" width="37.28515625" bestFit="1" customWidth="1"/>
    <col min="29" max="29" width="32" bestFit="1" customWidth="1"/>
    <col min="30" max="30" width="16.42578125" bestFit="1" customWidth="1"/>
    <col min="31" max="32" width="32" bestFit="1" customWidth="1"/>
    <col min="33" max="33" width="21.85546875" bestFit="1" customWidth="1"/>
    <col min="34" max="34" width="21.5703125" bestFit="1" customWidth="1"/>
    <col min="35" max="35" width="37.28515625" bestFit="1" customWidth="1"/>
    <col min="36" max="36" width="18.85546875" bestFit="1" customWidth="1"/>
    <col min="37" max="37" width="63.28515625" bestFit="1" customWidth="1"/>
    <col min="38" max="38" width="19.5703125" bestFit="1" customWidth="1"/>
    <col min="39" max="39" width="21" bestFit="1" customWidth="1"/>
    <col min="40" max="40" width="26" bestFit="1" customWidth="1"/>
    <col min="41" max="41" width="23.28515625" bestFit="1" customWidth="1"/>
    <col min="42" max="42" width="17.5703125" bestFit="1" customWidth="1"/>
    <col min="43" max="43" width="19.28515625" bestFit="1" customWidth="1"/>
    <col min="44" max="44" width="13.140625" bestFit="1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>
        <v>10025711758</v>
      </c>
      <c r="I2" t="s">
        <v>51</v>
      </c>
      <c r="J2" t="s">
        <v>52</v>
      </c>
      <c r="K2" t="s">
        <v>53</v>
      </c>
      <c r="L2">
        <v>650</v>
      </c>
      <c r="M2">
        <v>750</v>
      </c>
      <c r="Q2">
        <v>250.1</v>
      </c>
      <c r="R2">
        <v>250</v>
      </c>
      <c r="S2">
        <v>250.2</v>
      </c>
      <c r="T2">
        <v>290.10000000000002</v>
      </c>
      <c r="U2">
        <v>90</v>
      </c>
      <c r="V2">
        <v>22</v>
      </c>
      <c r="W2">
        <v>0</v>
      </c>
      <c r="X2">
        <v>0</v>
      </c>
      <c r="Y2">
        <v>0</v>
      </c>
      <c r="Z2">
        <v>27</v>
      </c>
      <c r="AA2">
        <v>40</v>
      </c>
      <c r="AB2">
        <v>266.38333333333333</v>
      </c>
      <c r="AC2">
        <v>1485.7833333333333</v>
      </c>
      <c r="AG2">
        <v>1.9810444444444444</v>
      </c>
      <c r="AK2" t="s">
        <v>54</v>
      </c>
      <c r="AL2" s="9"/>
      <c r="AM2" s="9"/>
      <c r="AN2" s="9"/>
      <c r="AO2" s="9"/>
      <c r="AP2" s="9">
        <v>43131</v>
      </c>
    </row>
    <row r="3" spans="1:44" x14ac:dyDescent="0.25">
      <c r="A3" t="s">
        <v>45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>
        <v>10026446268</v>
      </c>
      <c r="I3" t="s">
        <v>51</v>
      </c>
      <c r="J3" t="s">
        <v>52</v>
      </c>
      <c r="K3" t="s">
        <v>53</v>
      </c>
      <c r="L3">
        <v>980</v>
      </c>
      <c r="M3">
        <v>1150</v>
      </c>
      <c r="Q3">
        <v>650</v>
      </c>
      <c r="R3">
        <v>600.35</v>
      </c>
      <c r="S3">
        <v>700</v>
      </c>
      <c r="T3">
        <v>500</v>
      </c>
      <c r="U3">
        <v>390.3</v>
      </c>
      <c r="V3">
        <v>275.2</v>
      </c>
      <c r="W3">
        <v>185.1</v>
      </c>
      <c r="X3">
        <v>140.1</v>
      </c>
      <c r="Y3">
        <v>130.19999999999999</v>
      </c>
      <c r="Z3">
        <v>200.3</v>
      </c>
      <c r="AA3">
        <v>140.1</v>
      </c>
      <c r="AB3">
        <v>360.2</v>
      </c>
      <c r="AC3">
        <v>4271.8499999999995</v>
      </c>
      <c r="AG3">
        <v>3.7146521739130431</v>
      </c>
      <c r="AK3" t="s">
        <v>54</v>
      </c>
      <c r="AL3" s="9"/>
      <c r="AM3" s="9"/>
      <c r="AN3" s="9"/>
      <c r="AO3" s="9"/>
      <c r="AP3" s="9">
        <v>43217</v>
      </c>
    </row>
    <row r="4" spans="1:44" x14ac:dyDescent="0.25">
      <c r="A4" t="s">
        <v>55</v>
      </c>
      <c r="B4" t="s">
        <v>55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>
        <v>10029355760</v>
      </c>
      <c r="I4" t="s">
        <v>51</v>
      </c>
      <c r="J4" t="s">
        <v>56</v>
      </c>
      <c r="K4" t="s">
        <v>57</v>
      </c>
      <c r="L4">
        <v>996</v>
      </c>
      <c r="M4">
        <v>1269.5999999999999</v>
      </c>
      <c r="N4">
        <v>3680</v>
      </c>
      <c r="O4" t="s">
        <v>58</v>
      </c>
      <c r="P4" t="s">
        <v>59</v>
      </c>
      <c r="Q4">
        <v>163.4</v>
      </c>
      <c r="R4">
        <v>126.5</v>
      </c>
      <c r="S4">
        <v>148.5</v>
      </c>
      <c r="T4">
        <v>159.1</v>
      </c>
      <c r="U4">
        <v>169.4</v>
      </c>
      <c r="V4">
        <v>164.6</v>
      </c>
      <c r="W4">
        <v>168.6</v>
      </c>
      <c r="X4">
        <v>183.6</v>
      </c>
      <c r="Y4">
        <v>171.8</v>
      </c>
      <c r="Z4">
        <v>166.8</v>
      </c>
      <c r="AA4">
        <v>158.69999999999999</v>
      </c>
      <c r="AB4">
        <v>160.4</v>
      </c>
      <c r="AC4">
        <v>1941.3999999999999</v>
      </c>
      <c r="AD4">
        <v>59.8</v>
      </c>
      <c r="AE4">
        <v>1864.7</v>
      </c>
      <c r="AF4">
        <v>1843.1</v>
      </c>
      <c r="AG4">
        <v>1.5291430371770636</v>
      </c>
      <c r="AH4" t="s">
        <v>60</v>
      </c>
      <c r="AI4">
        <v>5</v>
      </c>
      <c r="AJ4">
        <v>45156</v>
      </c>
      <c r="AK4" t="s">
        <v>61</v>
      </c>
      <c r="AL4" s="9"/>
      <c r="AM4" s="9"/>
      <c r="AN4" s="9"/>
      <c r="AO4" s="9"/>
      <c r="AP4" s="9">
        <v>43629</v>
      </c>
      <c r="AQ4">
        <v>2.5000000000000001E-2</v>
      </c>
      <c r="AR4">
        <v>6.0000000000000001E-3</v>
      </c>
    </row>
    <row r="5" spans="1:44" x14ac:dyDescent="0.25">
      <c r="A5" t="s">
        <v>62</v>
      </c>
      <c r="B5" t="s">
        <v>62</v>
      </c>
      <c r="C5" t="s">
        <v>46</v>
      </c>
      <c r="D5" t="s">
        <v>47</v>
      </c>
      <c r="E5" t="s">
        <v>48</v>
      </c>
      <c r="F5" t="s">
        <v>63</v>
      </c>
      <c r="G5" t="s">
        <v>50</v>
      </c>
      <c r="H5">
        <v>10029848863</v>
      </c>
      <c r="I5" t="s">
        <v>51</v>
      </c>
      <c r="J5" t="s">
        <v>56</v>
      </c>
      <c r="K5" t="s">
        <v>57</v>
      </c>
      <c r="L5">
        <v>75</v>
      </c>
      <c r="M5">
        <v>107.78</v>
      </c>
      <c r="N5">
        <v>256</v>
      </c>
      <c r="O5" t="s">
        <v>64</v>
      </c>
      <c r="P5" t="s">
        <v>65</v>
      </c>
      <c r="Q5">
        <v>13.94</v>
      </c>
      <c r="R5">
        <v>12.94</v>
      </c>
      <c r="S5">
        <v>13.41</v>
      </c>
      <c r="T5">
        <v>14.04</v>
      </c>
      <c r="U5">
        <v>15.02</v>
      </c>
      <c r="V5">
        <v>14.66</v>
      </c>
      <c r="W5">
        <v>13.53</v>
      </c>
      <c r="X5">
        <v>15.13</v>
      </c>
      <c r="Y5">
        <v>15.09</v>
      </c>
      <c r="Z5">
        <v>14.39</v>
      </c>
      <c r="AA5">
        <v>13.5</v>
      </c>
      <c r="AB5">
        <v>13.5</v>
      </c>
      <c r="AC5">
        <v>169.14999999999998</v>
      </c>
      <c r="AD5">
        <v>5.21</v>
      </c>
      <c r="AE5">
        <v>162.47</v>
      </c>
      <c r="AF5">
        <v>160.59</v>
      </c>
      <c r="AG5">
        <v>1.5694006309148263</v>
      </c>
      <c r="AH5" t="s">
        <v>66</v>
      </c>
      <c r="AI5">
        <v>5</v>
      </c>
      <c r="AJ5">
        <v>45379</v>
      </c>
      <c r="AK5" t="s">
        <v>67</v>
      </c>
      <c r="AL5" s="9"/>
      <c r="AM5" s="9"/>
      <c r="AN5" s="9"/>
      <c r="AO5" s="9"/>
      <c r="AP5" s="9">
        <v>43784</v>
      </c>
      <c r="AQ5">
        <v>0.03</v>
      </c>
      <c r="AR5">
        <v>5.0000000000000001E-3</v>
      </c>
    </row>
    <row r="6" spans="1:44" x14ac:dyDescent="0.25">
      <c r="A6" t="s">
        <v>68</v>
      </c>
      <c r="B6" t="s">
        <v>62</v>
      </c>
      <c r="C6" t="s">
        <v>46</v>
      </c>
      <c r="D6" t="s">
        <v>47</v>
      </c>
      <c r="E6" t="s">
        <v>48</v>
      </c>
      <c r="F6" t="s">
        <v>63</v>
      </c>
      <c r="G6" t="s">
        <v>50</v>
      </c>
      <c r="H6">
        <v>10029848855</v>
      </c>
      <c r="I6" t="s">
        <v>51</v>
      </c>
      <c r="J6" t="s">
        <v>56</v>
      </c>
      <c r="K6" t="s">
        <v>57</v>
      </c>
      <c r="L6">
        <v>336</v>
      </c>
      <c r="M6">
        <v>435</v>
      </c>
      <c r="N6">
        <v>1160</v>
      </c>
      <c r="O6" t="s">
        <v>58</v>
      </c>
      <c r="P6" t="s">
        <v>69</v>
      </c>
      <c r="Q6">
        <v>52.9</v>
      </c>
      <c r="R6">
        <v>52.48</v>
      </c>
      <c r="S6">
        <v>54.33</v>
      </c>
      <c r="T6">
        <v>57.55</v>
      </c>
      <c r="U6">
        <v>61.26</v>
      </c>
      <c r="V6">
        <v>59.86</v>
      </c>
      <c r="W6">
        <v>61.08</v>
      </c>
      <c r="X6">
        <v>66.510000000000005</v>
      </c>
      <c r="Y6">
        <v>61.92</v>
      </c>
      <c r="Z6">
        <v>52.14</v>
      </c>
      <c r="AA6">
        <v>55</v>
      </c>
      <c r="AB6">
        <v>54.8</v>
      </c>
      <c r="AC6">
        <v>689.82999999999993</v>
      </c>
      <c r="AD6">
        <v>21.3</v>
      </c>
      <c r="AE6">
        <v>662.6</v>
      </c>
      <c r="AF6">
        <v>654.9</v>
      </c>
      <c r="AG6">
        <v>1.5858160919540227</v>
      </c>
      <c r="AH6" t="s">
        <v>66</v>
      </c>
      <c r="AI6">
        <v>5</v>
      </c>
      <c r="AJ6">
        <v>45379</v>
      </c>
      <c r="AK6" t="s">
        <v>67</v>
      </c>
      <c r="AL6" s="9"/>
      <c r="AM6" s="9"/>
      <c r="AN6" s="9"/>
      <c r="AO6" s="9"/>
      <c r="AP6" s="9">
        <v>43784</v>
      </c>
      <c r="AQ6">
        <v>0.03</v>
      </c>
      <c r="AR6">
        <v>5.0000000000000001E-3</v>
      </c>
    </row>
    <row r="7" spans="1:44" x14ac:dyDescent="0.25">
      <c r="A7" t="s">
        <v>70</v>
      </c>
      <c r="B7" t="s">
        <v>62</v>
      </c>
      <c r="C7" t="s">
        <v>46</v>
      </c>
      <c r="D7" t="s">
        <v>47</v>
      </c>
      <c r="E7" t="s">
        <v>48</v>
      </c>
      <c r="F7" t="s">
        <v>63</v>
      </c>
      <c r="G7" t="s">
        <v>50</v>
      </c>
      <c r="H7">
        <v>10029848820</v>
      </c>
      <c r="I7" t="s">
        <v>51</v>
      </c>
      <c r="J7" t="s">
        <v>56</v>
      </c>
      <c r="K7" t="s">
        <v>57</v>
      </c>
      <c r="L7">
        <v>600</v>
      </c>
      <c r="M7">
        <v>795</v>
      </c>
      <c r="N7">
        <v>2120</v>
      </c>
      <c r="O7" t="s">
        <v>71</v>
      </c>
      <c r="P7" t="s">
        <v>69</v>
      </c>
      <c r="Q7">
        <v>99</v>
      </c>
      <c r="R7">
        <v>96.3</v>
      </c>
      <c r="S7">
        <v>108.4</v>
      </c>
      <c r="T7">
        <v>105.2</v>
      </c>
      <c r="U7">
        <v>111.9</v>
      </c>
      <c r="V7">
        <v>108.3</v>
      </c>
      <c r="W7">
        <v>101.6</v>
      </c>
      <c r="X7">
        <v>121.8</v>
      </c>
      <c r="Y7">
        <v>113.3</v>
      </c>
      <c r="Z7">
        <v>107.2</v>
      </c>
      <c r="AA7">
        <v>100.7</v>
      </c>
      <c r="AB7">
        <v>92.3</v>
      </c>
      <c r="AC7">
        <v>1266</v>
      </c>
      <c r="AD7">
        <v>39</v>
      </c>
      <c r="AE7">
        <v>1216</v>
      </c>
      <c r="AF7">
        <v>1201.9000000000001</v>
      </c>
      <c r="AG7">
        <v>1.5924528301886793</v>
      </c>
      <c r="AH7" t="s">
        <v>66</v>
      </c>
      <c r="AI7">
        <v>5</v>
      </c>
      <c r="AJ7">
        <v>45379</v>
      </c>
      <c r="AK7" t="s">
        <v>67</v>
      </c>
      <c r="AL7" s="9"/>
      <c r="AM7" s="9"/>
      <c r="AN7" s="9"/>
      <c r="AO7" s="9"/>
      <c r="AP7" s="9">
        <v>43784</v>
      </c>
      <c r="AQ7">
        <v>0.03</v>
      </c>
      <c r="AR7">
        <v>5.0000000000000001E-3</v>
      </c>
    </row>
    <row r="8" spans="1:44" x14ac:dyDescent="0.25">
      <c r="A8" t="s">
        <v>72</v>
      </c>
      <c r="B8" t="s">
        <v>72</v>
      </c>
      <c r="C8" t="s">
        <v>46</v>
      </c>
      <c r="D8" t="s">
        <v>47</v>
      </c>
      <c r="E8" t="s">
        <v>73</v>
      </c>
      <c r="F8" t="s">
        <v>74</v>
      </c>
      <c r="G8" t="s">
        <v>50</v>
      </c>
      <c r="H8">
        <v>10031214850</v>
      </c>
      <c r="I8" t="s">
        <v>51</v>
      </c>
      <c r="J8" t="s">
        <v>56</v>
      </c>
      <c r="K8" t="s">
        <v>57</v>
      </c>
      <c r="L8">
        <v>875</v>
      </c>
      <c r="M8">
        <v>1097.5999999999999</v>
      </c>
      <c r="N8">
        <v>2744</v>
      </c>
      <c r="O8" t="s">
        <v>75</v>
      </c>
      <c r="P8" t="s">
        <v>76</v>
      </c>
      <c r="Q8">
        <v>132.80000000000001</v>
      </c>
      <c r="R8">
        <v>129.1</v>
      </c>
      <c r="S8">
        <v>142</v>
      </c>
      <c r="T8">
        <v>146.19999999999999</v>
      </c>
      <c r="U8">
        <v>158.30000000000001</v>
      </c>
      <c r="V8">
        <v>155.69999999999999</v>
      </c>
      <c r="W8">
        <v>152.5</v>
      </c>
      <c r="X8">
        <v>178.4</v>
      </c>
      <c r="Y8">
        <v>159.80000000000001</v>
      </c>
      <c r="Z8">
        <v>145.6</v>
      </c>
      <c r="AA8">
        <v>132.6</v>
      </c>
      <c r="AB8">
        <v>130.30000000000001</v>
      </c>
      <c r="AC8">
        <v>1763.2999999999997</v>
      </c>
      <c r="AD8">
        <v>54.4</v>
      </c>
      <c r="AE8">
        <v>1693.7</v>
      </c>
      <c r="AF8">
        <v>1674.1</v>
      </c>
      <c r="AG8">
        <v>1.6065051020408163</v>
      </c>
      <c r="AH8" t="s">
        <v>66</v>
      </c>
      <c r="AI8">
        <v>5</v>
      </c>
      <c r="AJ8">
        <v>45378</v>
      </c>
      <c r="AK8" t="s">
        <v>67</v>
      </c>
      <c r="AL8" s="9"/>
      <c r="AM8" s="9"/>
      <c r="AN8" s="9"/>
      <c r="AO8" s="9"/>
      <c r="AP8" s="9">
        <v>43889</v>
      </c>
      <c r="AQ8">
        <v>0.02</v>
      </c>
      <c r="AR8">
        <v>4.4999999999999997E-3</v>
      </c>
    </row>
    <row r="9" spans="1:44" x14ac:dyDescent="0.25">
      <c r="A9" t="s">
        <v>77</v>
      </c>
      <c r="B9" t="s">
        <v>77</v>
      </c>
      <c r="C9" t="s">
        <v>46</v>
      </c>
      <c r="D9" t="s">
        <v>47</v>
      </c>
      <c r="E9" t="s">
        <v>73</v>
      </c>
      <c r="F9" t="s">
        <v>74</v>
      </c>
      <c r="G9" t="s">
        <v>50</v>
      </c>
      <c r="H9">
        <v>10031394475</v>
      </c>
      <c r="I9" t="s">
        <v>51</v>
      </c>
      <c r="J9" t="s">
        <v>56</v>
      </c>
      <c r="K9" t="s">
        <v>78</v>
      </c>
      <c r="L9">
        <v>150</v>
      </c>
      <c r="M9">
        <v>214.89</v>
      </c>
      <c r="N9">
        <v>494</v>
      </c>
      <c r="O9" t="s">
        <v>79</v>
      </c>
      <c r="P9" t="s">
        <v>80</v>
      </c>
      <c r="Q9">
        <v>37.15</v>
      </c>
      <c r="R9">
        <v>29.04</v>
      </c>
      <c r="S9">
        <v>31.41</v>
      </c>
      <c r="T9">
        <v>33.21</v>
      </c>
      <c r="U9">
        <v>33.86</v>
      </c>
      <c r="V9">
        <v>29.47</v>
      </c>
      <c r="W9">
        <v>34.76</v>
      </c>
      <c r="X9">
        <v>40.5</v>
      </c>
      <c r="Y9">
        <v>38.869999999999997</v>
      </c>
      <c r="Z9">
        <v>37.03</v>
      </c>
      <c r="AA9">
        <v>35.1</v>
      </c>
      <c r="AB9">
        <v>36.51</v>
      </c>
      <c r="AC9">
        <v>416.90999999999997</v>
      </c>
      <c r="AD9">
        <v>12.9</v>
      </c>
      <c r="AE9">
        <v>400.4</v>
      </c>
      <c r="AF9">
        <v>395.8</v>
      </c>
      <c r="AG9">
        <v>1.9401088929219601</v>
      </c>
      <c r="AH9" t="s">
        <v>66</v>
      </c>
      <c r="AI9">
        <v>4</v>
      </c>
      <c r="AJ9">
        <v>45378</v>
      </c>
      <c r="AK9" t="s">
        <v>67</v>
      </c>
      <c r="AL9" s="9">
        <v>44199</v>
      </c>
      <c r="AM9" s="9">
        <v>44019</v>
      </c>
      <c r="AN9" s="9">
        <v>44207</v>
      </c>
      <c r="AO9" s="9"/>
      <c r="AP9" s="9">
        <v>44228</v>
      </c>
      <c r="AQ9">
        <v>0.02</v>
      </c>
      <c r="AR9">
        <v>5.4999999999999997E-3</v>
      </c>
    </row>
    <row r="10" spans="1:44" x14ac:dyDescent="0.25">
      <c r="A10" t="s">
        <v>81</v>
      </c>
      <c r="B10" t="s">
        <v>77</v>
      </c>
      <c r="C10" t="s">
        <v>46</v>
      </c>
      <c r="D10" t="s">
        <v>47</v>
      </c>
      <c r="E10" t="s">
        <v>73</v>
      </c>
      <c r="F10" t="s">
        <v>74</v>
      </c>
      <c r="G10" t="s">
        <v>50</v>
      </c>
      <c r="H10">
        <v>10031394572</v>
      </c>
      <c r="I10" t="s">
        <v>51</v>
      </c>
      <c r="J10" t="s">
        <v>56</v>
      </c>
      <c r="K10" t="s">
        <v>78</v>
      </c>
      <c r="L10">
        <v>180</v>
      </c>
      <c r="M10">
        <v>264.48</v>
      </c>
      <c r="N10">
        <v>608</v>
      </c>
      <c r="O10" t="s">
        <v>82</v>
      </c>
      <c r="P10" t="s">
        <v>80</v>
      </c>
      <c r="Q10">
        <v>43.7</v>
      </c>
      <c r="R10">
        <v>34.450000000000003</v>
      </c>
      <c r="S10">
        <v>37.44</v>
      </c>
      <c r="T10">
        <v>39.96</v>
      </c>
      <c r="U10">
        <v>42.33</v>
      </c>
      <c r="V10">
        <v>37.729999999999997</v>
      </c>
      <c r="W10">
        <v>44.41</v>
      </c>
      <c r="X10">
        <v>49.93</v>
      </c>
      <c r="Y10">
        <v>46.88</v>
      </c>
      <c r="Z10">
        <v>44.15</v>
      </c>
      <c r="AA10">
        <v>41.08</v>
      </c>
      <c r="AB10">
        <v>43.11</v>
      </c>
      <c r="AC10">
        <v>505.16999999999996</v>
      </c>
      <c r="AD10">
        <v>15.6</v>
      </c>
      <c r="AE10">
        <v>485.2</v>
      </c>
      <c r="AF10">
        <v>479.6</v>
      </c>
      <c r="AG10">
        <v>1.910049909255898</v>
      </c>
      <c r="AH10" t="s">
        <v>66</v>
      </c>
      <c r="AI10">
        <v>4</v>
      </c>
      <c r="AJ10">
        <v>45378</v>
      </c>
      <c r="AK10" t="s">
        <v>67</v>
      </c>
      <c r="AL10" s="9">
        <v>44199</v>
      </c>
      <c r="AM10" s="9">
        <v>44019</v>
      </c>
      <c r="AN10" s="9">
        <v>44207</v>
      </c>
      <c r="AO10" s="9"/>
      <c r="AP10" s="9">
        <v>44228</v>
      </c>
      <c r="AQ10">
        <v>0.02</v>
      </c>
      <c r="AR10">
        <v>5.4999999999999997E-3</v>
      </c>
    </row>
    <row r="11" spans="1:44" x14ac:dyDescent="0.25">
      <c r="A11" t="s">
        <v>83</v>
      </c>
      <c r="B11" t="s">
        <v>77</v>
      </c>
      <c r="C11" t="s">
        <v>46</v>
      </c>
      <c r="D11" t="s">
        <v>47</v>
      </c>
      <c r="E11" t="s">
        <v>73</v>
      </c>
      <c r="F11" t="s">
        <v>74</v>
      </c>
      <c r="G11" t="s">
        <v>50</v>
      </c>
      <c r="H11">
        <v>10031394211</v>
      </c>
      <c r="I11" t="s">
        <v>51</v>
      </c>
      <c r="J11" t="s">
        <v>56</v>
      </c>
      <c r="K11" t="s">
        <v>78</v>
      </c>
      <c r="L11">
        <v>310</v>
      </c>
      <c r="M11">
        <v>479.37</v>
      </c>
      <c r="N11">
        <v>1102</v>
      </c>
      <c r="O11" t="s">
        <v>84</v>
      </c>
      <c r="P11" t="s">
        <v>80</v>
      </c>
      <c r="Q11">
        <v>78.45</v>
      </c>
      <c r="R11">
        <v>61.62</v>
      </c>
      <c r="S11">
        <v>66.849999999999994</v>
      </c>
      <c r="T11">
        <v>71.569999999999993</v>
      </c>
      <c r="U11">
        <v>75.790000000000006</v>
      </c>
      <c r="V11">
        <v>67.67</v>
      </c>
      <c r="W11">
        <v>79.8</v>
      </c>
      <c r="X11">
        <v>89.77</v>
      </c>
      <c r="Y11">
        <v>83.83</v>
      </c>
      <c r="Z11">
        <v>79.650000000000006</v>
      </c>
      <c r="AA11">
        <v>73.86</v>
      </c>
      <c r="AB11">
        <v>77.53</v>
      </c>
      <c r="AC11">
        <v>906.3900000000001</v>
      </c>
      <c r="AD11">
        <v>27.9</v>
      </c>
      <c r="AE11">
        <v>870.6</v>
      </c>
      <c r="AF11">
        <v>860.5</v>
      </c>
      <c r="AG11">
        <v>1.89079416734464</v>
      </c>
      <c r="AH11" t="s">
        <v>66</v>
      </c>
      <c r="AI11">
        <v>4</v>
      </c>
      <c r="AJ11">
        <v>45378</v>
      </c>
      <c r="AK11" t="s">
        <v>67</v>
      </c>
      <c r="AL11" s="9">
        <v>44199</v>
      </c>
      <c r="AM11" s="9">
        <v>44019</v>
      </c>
      <c r="AN11" s="9">
        <v>44207</v>
      </c>
      <c r="AO11" s="9"/>
      <c r="AP11" s="9">
        <v>44228</v>
      </c>
      <c r="AQ11">
        <v>0.02</v>
      </c>
      <c r="AR11">
        <v>5.4999999999999997E-3</v>
      </c>
    </row>
    <row r="12" spans="1:44" x14ac:dyDescent="0.25">
      <c r="A12" t="s">
        <v>85</v>
      </c>
      <c r="B12" t="s">
        <v>77</v>
      </c>
      <c r="C12" t="s">
        <v>46</v>
      </c>
      <c r="D12" t="s">
        <v>47</v>
      </c>
      <c r="E12" t="s">
        <v>73</v>
      </c>
      <c r="F12" t="s">
        <v>74</v>
      </c>
      <c r="G12" t="s">
        <v>50</v>
      </c>
      <c r="H12">
        <v>10031394599</v>
      </c>
      <c r="I12" t="s">
        <v>51</v>
      </c>
      <c r="J12" t="s">
        <v>56</v>
      </c>
      <c r="K12" t="s">
        <v>78</v>
      </c>
      <c r="L12">
        <v>360</v>
      </c>
      <c r="M12">
        <v>545.49</v>
      </c>
      <c r="N12">
        <v>1254</v>
      </c>
      <c r="O12" t="s">
        <v>82</v>
      </c>
      <c r="P12" t="s">
        <v>80</v>
      </c>
      <c r="Q12">
        <v>88</v>
      </c>
      <c r="R12">
        <v>69.400000000000006</v>
      </c>
      <c r="S12">
        <v>75.400000000000006</v>
      </c>
      <c r="T12">
        <v>80.599999999999994</v>
      </c>
      <c r="U12">
        <v>86.4</v>
      </c>
      <c r="V12">
        <v>78</v>
      </c>
      <c r="W12">
        <v>91.4</v>
      </c>
      <c r="X12">
        <v>101.4</v>
      </c>
      <c r="Y12">
        <v>94.4</v>
      </c>
      <c r="Z12">
        <v>89.8</v>
      </c>
      <c r="AA12">
        <v>82.9</v>
      </c>
      <c r="AB12">
        <v>87.3</v>
      </c>
      <c r="AC12">
        <v>1024.9999999999998</v>
      </c>
      <c r="AD12">
        <v>31.6</v>
      </c>
      <c r="AE12">
        <v>984.6</v>
      </c>
      <c r="AF12">
        <v>973.2</v>
      </c>
      <c r="AG12">
        <v>1.8790445287722961</v>
      </c>
      <c r="AH12" t="s">
        <v>66</v>
      </c>
      <c r="AI12">
        <v>4</v>
      </c>
      <c r="AJ12">
        <v>45379</v>
      </c>
      <c r="AK12" t="s">
        <v>67</v>
      </c>
      <c r="AL12" s="9">
        <v>44199</v>
      </c>
      <c r="AM12" s="9">
        <v>44019</v>
      </c>
      <c r="AN12" s="9">
        <v>44207</v>
      </c>
      <c r="AO12" s="9"/>
      <c r="AP12" s="9">
        <v>44228</v>
      </c>
      <c r="AQ12">
        <v>0.02</v>
      </c>
      <c r="AR12">
        <v>5.4999999999999997E-3</v>
      </c>
    </row>
    <row r="13" spans="1:44" x14ac:dyDescent="0.25">
      <c r="A13" t="s">
        <v>86</v>
      </c>
      <c r="B13" t="s">
        <v>81</v>
      </c>
      <c r="C13" t="s">
        <v>46</v>
      </c>
      <c r="D13" t="s">
        <v>47</v>
      </c>
      <c r="E13" t="s">
        <v>73</v>
      </c>
      <c r="F13" t="s">
        <v>74</v>
      </c>
      <c r="G13" t="s">
        <v>50</v>
      </c>
      <c r="H13">
        <v>10035044444</v>
      </c>
      <c r="I13" t="s">
        <v>51</v>
      </c>
      <c r="J13" t="s">
        <v>56</v>
      </c>
      <c r="K13" t="s">
        <v>57</v>
      </c>
      <c r="L13">
        <v>110</v>
      </c>
      <c r="M13">
        <v>153</v>
      </c>
      <c r="N13">
        <v>380</v>
      </c>
      <c r="O13" t="s">
        <v>84</v>
      </c>
      <c r="P13" t="s">
        <v>87</v>
      </c>
      <c r="Q13">
        <v>22.2</v>
      </c>
      <c r="R13">
        <v>18.420000000000002</v>
      </c>
      <c r="S13">
        <v>21.62</v>
      </c>
      <c r="T13">
        <v>20.87</v>
      </c>
      <c r="U13">
        <v>22.78</v>
      </c>
      <c r="V13">
        <v>19.899999999999999</v>
      </c>
      <c r="W13">
        <v>24.06</v>
      </c>
      <c r="X13">
        <v>23.49</v>
      </c>
      <c r="Y13">
        <v>23.63</v>
      </c>
      <c r="Z13">
        <v>21.8</v>
      </c>
      <c r="AA13">
        <v>20.21</v>
      </c>
      <c r="AB13">
        <v>20.23</v>
      </c>
      <c r="AC13">
        <v>259.21000000000004</v>
      </c>
      <c r="AD13">
        <v>8</v>
      </c>
      <c r="AE13">
        <v>249</v>
      </c>
      <c r="AF13">
        <v>246.1</v>
      </c>
      <c r="AG13">
        <v>1.694183006535948</v>
      </c>
      <c r="AH13" t="s">
        <v>66</v>
      </c>
      <c r="AI13">
        <v>3</v>
      </c>
      <c r="AJ13">
        <v>45379</v>
      </c>
      <c r="AK13" t="s">
        <v>88</v>
      </c>
      <c r="AL13" s="9">
        <v>44407</v>
      </c>
      <c r="AM13" s="9">
        <v>44317</v>
      </c>
      <c r="AN13" s="9">
        <v>44459</v>
      </c>
      <c r="AO13" s="9"/>
      <c r="AP13" s="9">
        <v>44473</v>
      </c>
      <c r="AQ13">
        <v>0.02</v>
      </c>
      <c r="AR13">
        <v>4.4999999999999997E-3</v>
      </c>
    </row>
    <row r="14" spans="1:44" x14ac:dyDescent="0.25">
      <c r="A14" t="s">
        <v>89</v>
      </c>
      <c r="B14" t="s">
        <v>81</v>
      </c>
      <c r="C14" t="s">
        <v>46</v>
      </c>
      <c r="D14" t="s">
        <v>47</v>
      </c>
      <c r="E14" t="s">
        <v>73</v>
      </c>
      <c r="F14" t="s">
        <v>74</v>
      </c>
      <c r="G14" t="s">
        <v>50</v>
      </c>
      <c r="H14">
        <v>10035044363</v>
      </c>
      <c r="I14" t="s">
        <v>51</v>
      </c>
      <c r="J14" t="s">
        <v>56</v>
      </c>
      <c r="K14" t="s">
        <v>57</v>
      </c>
      <c r="L14">
        <v>110</v>
      </c>
      <c r="M14">
        <v>152</v>
      </c>
      <c r="N14">
        <v>380</v>
      </c>
      <c r="O14" t="s">
        <v>84</v>
      </c>
      <c r="P14" t="s">
        <v>90</v>
      </c>
      <c r="Q14">
        <v>22.08</v>
      </c>
      <c r="R14">
        <v>18.329999999999998</v>
      </c>
      <c r="S14">
        <v>21.51</v>
      </c>
      <c r="T14">
        <v>20.76</v>
      </c>
      <c r="U14">
        <v>22.66</v>
      </c>
      <c r="V14">
        <v>22.65</v>
      </c>
      <c r="W14">
        <v>21.49</v>
      </c>
      <c r="X14">
        <v>25.67</v>
      </c>
      <c r="Y14">
        <v>23.51</v>
      </c>
      <c r="Z14">
        <v>20.76</v>
      </c>
      <c r="AA14">
        <v>20.100000000000001</v>
      </c>
      <c r="AB14">
        <v>18.559999999999999</v>
      </c>
      <c r="AC14">
        <v>258.08</v>
      </c>
      <c r="AD14">
        <v>8</v>
      </c>
      <c r="AE14">
        <v>247.9</v>
      </c>
      <c r="AF14">
        <v>245</v>
      </c>
      <c r="AG14">
        <v>1.6978947368421051</v>
      </c>
      <c r="AH14" t="s">
        <v>66</v>
      </c>
      <c r="AI14">
        <v>3</v>
      </c>
      <c r="AJ14">
        <v>45379</v>
      </c>
      <c r="AK14" t="s">
        <v>88</v>
      </c>
      <c r="AL14" s="9">
        <v>44407</v>
      </c>
      <c r="AM14" s="9">
        <v>44317</v>
      </c>
      <c r="AN14" s="9">
        <v>44459</v>
      </c>
      <c r="AO14" s="9"/>
      <c r="AP14" s="9">
        <v>44473</v>
      </c>
      <c r="AQ14">
        <v>0.02</v>
      </c>
      <c r="AR14">
        <v>4.4999999999999997E-3</v>
      </c>
    </row>
    <row r="15" spans="1:44" x14ac:dyDescent="0.25">
      <c r="A15" t="s">
        <v>91</v>
      </c>
      <c r="B15" t="s">
        <v>91</v>
      </c>
      <c r="C15" t="s">
        <v>46</v>
      </c>
      <c r="D15" t="s">
        <v>47</v>
      </c>
      <c r="E15" t="s">
        <v>92</v>
      </c>
      <c r="F15" t="s">
        <v>93</v>
      </c>
      <c r="G15" t="s">
        <v>50</v>
      </c>
      <c r="H15">
        <v>10031246905</v>
      </c>
      <c r="I15" t="s">
        <v>51</v>
      </c>
      <c r="J15" t="s">
        <v>56</v>
      </c>
      <c r="K15" t="s">
        <v>57</v>
      </c>
      <c r="L15">
        <v>610</v>
      </c>
      <c r="M15">
        <v>785.81</v>
      </c>
      <c r="N15">
        <v>2276</v>
      </c>
      <c r="O15" t="s">
        <v>94</v>
      </c>
      <c r="P15" t="s">
        <v>95</v>
      </c>
      <c r="Q15">
        <v>106.1</v>
      </c>
      <c r="R15">
        <v>95.5</v>
      </c>
      <c r="S15">
        <v>106</v>
      </c>
      <c r="T15">
        <v>106</v>
      </c>
      <c r="U15">
        <v>110.1</v>
      </c>
      <c r="V15">
        <v>97.7</v>
      </c>
      <c r="W15">
        <v>112.8</v>
      </c>
      <c r="X15">
        <v>123.4</v>
      </c>
      <c r="Y15">
        <v>112.9</v>
      </c>
      <c r="Z15">
        <v>98.2</v>
      </c>
      <c r="AA15">
        <v>100.2</v>
      </c>
      <c r="AB15">
        <v>92.9</v>
      </c>
      <c r="AC15">
        <v>1261.8000000000002</v>
      </c>
      <c r="AD15">
        <v>38.9</v>
      </c>
      <c r="AE15">
        <v>1212</v>
      </c>
      <c r="AF15">
        <v>1198</v>
      </c>
      <c r="AG15">
        <v>1.6057316654153042</v>
      </c>
      <c r="AH15" t="s">
        <v>60</v>
      </c>
      <c r="AI15">
        <v>3</v>
      </c>
      <c r="AJ15">
        <v>45159</v>
      </c>
      <c r="AK15" t="s">
        <v>67</v>
      </c>
      <c r="AL15" s="9"/>
      <c r="AM15" s="9"/>
      <c r="AN15" s="9"/>
      <c r="AO15" s="9"/>
      <c r="AP15" s="9">
        <v>44682</v>
      </c>
      <c r="AQ15">
        <v>2.5000000000000001E-2</v>
      </c>
      <c r="AR15">
        <v>6.0000000000000001E-3</v>
      </c>
    </row>
    <row r="16" spans="1:44" x14ac:dyDescent="0.25">
      <c r="A16" t="s">
        <v>96</v>
      </c>
      <c r="B16" t="s">
        <v>96</v>
      </c>
      <c r="C16" t="s">
        <v>46</v>
      </c>
      <c r="D16" t="s">
        <v>97</v>
      </c>
      <c r="E16" t="s">
        <v>98</v>
      </c>
      <c r="F16" t="s">
        <v>99</v>
      </c>
      <c r="G16" t="s">
        <v>100</v>
      </c>
      <c r="H16" t="s">
        <v>101</v>
      </c>
      <c r="I16" t="s">
        <v>51</v>
      </c>
      <c r="J16" t="s">
        <v>56</v>
      </c>
      <c r="K16" t="s">
        <v>57</v>
      </c>
      <c r="L16">
        <v>530</v>
      </c>
      <c r="M16">
        <v>689.04</v>
      </c>
      <c r="N16">
        <v>1584</v>
      </c>
      <c r="O16" t="s">
        <v>84</v>
      </c>
      <c r="P16" t="s">
        <v>80</v>
      </c>
      <c r="Q16">
        <v>92.6</v>
      </c>
      <c r="R16">
        <v>85.8</v>
      </c>
      <c r="S16">
        <v>85.6</v>
      </c>
      <c r="T16">
        <v>91.2</v>
      </c>
      <c r="U16">
        <v>90.9</v>
      </c>
      <c r="V16">
        <v>94.2</v>
      </c>
      <c r="W16">
        <v>103.9</v>
      </c>
      <c r="X16">
        <v>111.7</v>
      </c>
      <c r="Y16">
        <v>104.6</v>
      </c>
      <c r="Z16">
        <v>97.1</v>
      </c>
      <c r="AA16">
        <v>84.1</v>
      </c>
      <c r="AB16">
        <v>80.900000000000006</v>
      </c>
      <c r="AC16">
        <v>1122.6000000000001</v>
      </c>
      <c r="AD16">
        <v>34.6</v>
      </c>
      <c r="AE16">
        <v>1078.4000000000001</v>
      </c>
      <c r="AF16">
        <v>1065.9000000000001</v>
      </c>
      <c r="AG16">
        <v>1.6292232671543019</v>
      </c>
      <c r="AH16" t="s">
        <v>60</v>
      </c>
      <c r="AI16">
        <v>2</v>
      </c>
      <c r="AJ16">
        <v>45159</v>
      </c>
      <c r="AK16" t="s">
        <v>102</v>
      </c>
      <c r="AL16" s="9">
        <v>44574</v>
      </c>
      <c r="AM16" s="9">
        <v>44394</v>
      </c>
      <c r="AN16" s="9">
        <v>44641</v>
      </c>
      <c r="AO16" s="9"/>
      <c r="AP16" s="9">
        <v>44756</v>
      </c>
      <c r="AQ16">
        <v>0.02</v>
      </c>
      <c r="AR16">
        <v>5.4999999999999997E-3</v>
      </c>
    </row>
    <row r="17" spans="1:44" x14ac:dyDescent="0.25">
      <c r="A17" t="s">
        <v>103</v>
      </c>
      <c r="B17" t="s">
        <v>96</v>
      </c>
      <c r="C17" t="s">
        <v>46</v>
      </c>
      <c r="D17" t="s">
        <v>97</v>
      </c>
      <c r="E17" t="s">
        <v>98</v>
      </c>
      <c r="F17" t="s">
        <v>99</v>
      </c>
      <c r="G17" t="s">
        <v>100</v>
      </c>
      <c r="H17" t="s">
        <v>104</v>
      </c>
      <c r="I17" t="s">
        <v>51</v>
      </c>
      <c r="J17" t="s">
        <v>56</v>
      </c>
      <c r="K17" t="s">
        <v>57</v>
      </c>
      <c r="L17">
        <v>280</v>
      </c>
      <c r="M17">
        <v>391.5</v>
      </c>
      <c r="N17">
        <v>900</v>
      </c>
      <c r="O17" t="s">
        <v>105</v>
      </c>
      <c r="P17" t="s">
        <v>80</v>
      </c>
      <c r="Q17">
        <v>50.92</v>
      </c>
      <c r="R17">
        <v>47.31</v>
      </c>
      <c r="S17">
        <v>47.14</v>
      </c>
      <c r="T17">
        <v>50.2</v>
      </c>
      <c r="U17">
        <v>50.08</v>
      </c>
      <c r="V17">
        <v>52.1</v>
      </c>
      <c r="W17">
        <v>57.55</v>
      </c>
      <c r="X17">
        <v>61.36</v>
      </c>
      <c r="Y17">
        <v>57.33</v>
      </c>
      <c r="Z17">
        <v>53.39</v>
      </c>
      <c r="AA17">
        <v>46.44</v>
      </c>
      <c r="AB17">
        <v>44.7</v>
      </c>
      <c r="AC17">
        <v>618.52</v>
      </c>
      <c r="AD17">
        <v>19.100000000000001</v>
      </c>
      <c r="AE17">
        <v>594.1</v>
      </c>
      <c r="AF17">
        <v>587.20000000000005</v>
      </c>
      <c r="AG17">
        <v>1.5798722860791825</v>
      </c>
      <c r="AH17" t="s">
        <v>60</v>
      </c>
      <c r="AI17">
        <v>2</v>
      </c>
      <c r="AJ17">
        <v>45159</v>
      </c>
      <c r="AK17" t="s">
        <v>102</v>
      </c>
      <c r="AL17" s="9">
        <v>44574</v>
      </c>
      <c r="AM17" s="9">
        <v>44394</v>
      </c>
      <c r="AN17" s="9">
        <v>44641</v>
      </c>
      <c r="AO17" s="9"/>
      <c r="AP17" s="9">
        <v>44756</v>
      </c>
      <c r="AQ17">
        <v>0.02</v>
      </c>
      <c r="AR17">
        <v>5.4999999999999997E-3</v>
      </c>
    </row>
    <row r="18" spans="1:44" x14ac:dyDescent="0.25">
      <c r="A18" t="s">
        <v>106</v>
      </c>
      <c r="B18" t="s">
        <v>96</v>
      </c>
      <c r="C18" t="s">
        <v>46</v>
      </c>
      <c r="D18" t="s">
        <v>97</v>
      </c>
      <c r="E18" t="s">
        <v>98</v>
      </c>
      <c r="F18" t="s">
        <v>99</v>
      </c>
      <c r="G18" t="s">
        <v>100</v>
      </c>
      <c r="H18" t="s">
        <v>107</v>
      </c>
      <c r="I18" t="s">
        <v>51</v>
      </c>
      <c r="J18" t="s">
        <v>56</v>
      </c>
      <c r="K18" t="s">
        <v>57</v>
      </c>
      <c r="L18">
        <v>320</v>
      </c>
      <c r="M18">
        <v>422.82</v>
      </c>
      <c r="N18">
        <v>972</v>
      </c>
      <c r="O18" t="s">
        <v>105</v>
      </c>
      <c r="P18" t="s">
        <v>80</v>
      </c>
      <c r="Q18">
        <v>56.03</v>
      </c>
      <c r="R18">
        <v>51.96</v>
      </c>
      <c r="S18">
        <v>51.87</v>
      </c>
      <c r="T18">
        <v>55.26</v>
      </c>
      <c r="U18">
        <v>55.08</v>
      </c>
      <c r="V18">
        <v>57.13</v>
      </c>
      <c r="W18">
        <v>63.05</v>
      </c>
      <c r="X18">
        <v>67.81</v>
      </c>
      <c r="Y18">
        <v>63.45</v>
      </c>
      <c r="Z18">
        <v>58.8</v>
      </c>
      <c r="AA18">
        <v>50.88</v>
      </c>
      <c r="AB18">
        <v>48.93</v>
      </c>
      <c r="AC18">
        <v>680.24999999999989</v>
      </c>
      <c r="AD18">
        <v>21</v>
      </c>
      <c r="AE18">
        <v>653.4</v>
      </c>
      <c r="AF18">
        <v>645.79999999999995</v>
      </c>
      <c r="AG18">
        <v>1.608840641407691</v>
      </c>
      <c r="AH18" t="s">
        <v>60</v>
      </c>
      <c r="AI18">
        <v>2</v>
      </c>
      <c r="AJ18">
        <v>45159</v>
      </c>
      <c r="AK18" t="s">
        <v>102</v>
      </c>
      <c r="AL18" s="9">
        <v>44574</v>
      </c>
      <c r="AM18" s="9">
        <v>44394</v>
      </c>
      <c r="AN18" s="9">
        <v>44641</v>
      </c>
      <c r="AO18" s="9"/>
      <c r="AP18" s="9">
        <v>44756</v>
      </c>
      <c r="AQ18">
        <v>0.02</v>
      </c>
      <c r="AR18">
        <v>5.4999999999999997E-3</v>
      </c>
    </row>
    <row r="19" spans="1:44" x14ac:dyDescent="0.25">
      <c r="A19" t="s">
        <v>108</v>
      </c>
      <c r="B19" t="s">
        <v>96</v>
      </c>
      <c r="C19" t="s">
        <v>46</v>
      </c>
      <c r="D19" t="s">
        <v>97</v>
      </c>
      <c r="E19" t="s">
        <v>98</v>
      </c>
      <c r="F19" t="s">
        <v>99</v>
      </c>
      <c r="G19" t="s">
        <v>100</v>
      </c>
      <c r="H19" t="s">
        <v>109</v>
      </c>
      <c r="I19" t="s">
        <v>51</v>
      </c>
      <c r="J19" t="s">
        <v>56</v>
      </c>
      <c r="K19" t="s">
        <v>57</v>
      </c>
      <c r="L19">
        <v>360</v>
      </c>
      <c r="M19">
        <v>468</v>
      </c>
      <c r="N19">
        <v>1170</v>
      </c>
      <c r="O19" t="s">
        <v>82</v>
      </c>
      <c r="P19" t="s">
        <v>90</v>
      </c>
      <c r="Q19">
        <v>63.72</v>
      </c>
      <c r="R19">
        <v>58.98</v>
      </c>
      <c r="S19">
        <v>58.61</v>
      </c>
      <c r="T19">
        <v>62.3</v>
      </c>
      <c r="U19">
        <v>61.98</v>
      </c>
      <c r="V19">
        <v>64.23</v>
      </c>
      <c r="W19">
        <v>70.97</v>
      </c>
      <c r="X19">
        <v>76.209999999999994</v>
      </c>
      <c r="Y19">
        <v>71.400000000000006</v>
      </c>
      <c r="Z19">
        <v>66.58</v>
      </c>
      <c r="AA19">
        <v>57.91</v>
      </c>
      <c r="AB19">
        <v>55.85</v>
      </c>
      <c r="AC19">
        <v>768.74000000000012</v>
      </c>
      <c r="AD19">
        <v>23.7</v>
      </c>
      <c r="AE19">
        <v>738.4</v>
      </c>
      <c r="AF19">
        <v>729.8</v>
      </c>
      <c r="AG19">
        <v>1.6426068376068379</v>
      </c>
      <c r="AH19" t="s">
        <v>60</v>
      </c>
      <c r="AI19">
        <v>2</v>
      </c>
      <c r="AJ19">
        <v>45159</v>
      </c>
      <c r="AK19" t="s">
        <v>102</v>
      </c>
      <c r="AL19" s="9">
        <v>44574</v>
      </c>
      <c r="AM19" s="9">
        <v>44394</v>
      </c>
      <c r="AN19" s="9">
        <v>44641</v>
      </c>
      <c r="AO19" s="9"/>
      <c r="AP19" s="9">
        <v>44756</v>
      </c>
      <c r="AQ19">
        <v>0.02</v>
      </c>
      <c r="AR19">
        <v>4.4999999999999997E-3</v>
      </c>
    </row>
    <row r="20" spans="1:44" x14ac:dyDescent="0.25">
      <c r="A20" t="s">
        <v>110</v>
      </c>
      <c r="B20" t="s">
        <v>96</v>
      </c>
      <c r="C20" t="s">
        <v>46</v>
      </c>
      <c r="D20" t="s">
        <v>97</v>
      </c>
      <c r="E20" t="s">
        <v>98</v>
      </c>
      <c r="F20" t="s">
        <v>99</v>
      </c>
      <c r="G20" t="s">
        <v>100</v>
      </c>
      <c r="H20" t="s">
        <v>111</v>
      </c>
      <c r="I20" t="s">
        <v>51</v>
      </c>
      <c r="J20" t="s">
        <v>56</v>
      </c>
      <c r="K20" t="s">
        <v>57</v>
      </c>
      <c r="L20">
        <v>170</v>
      </c>
      <c r="M20">
        <v>217.8</v>
      </c>
      <c r="N20">
        <v>540</v>
      </c>
      <c r="O20" t="s">
        <v>84</v>
      </c>
      <c r="P20" t="s">
        <v>112</v>
      </c>
      <c r="Q20">
        <v>28.74</v>
      </c>
      <c r="R20">
        <v>26.6</v>
      </c>
      <c r="S20">
        <v>26.46</v>
      </c>
      <c r="T20">
        <v>28.13</v>
      </c>
      <c r="U20">
        <v>28.02</v>
      </c>
      <c r="V20">
        <v>29.03</v>
      </c>
      <c r="W20">
        <v>32.11</v>
      </c>
      <c r="X20">
        <v>34.67</v>
      </c>
      <c r="Y20">
        <v>32.46</v>
      </c>
      <c r="Z20">
        <v>30.11</v>
      </c>
      <c r="AA20">
        <v>26.03</v>
      </c>
      <c r="AB20">
        <v>25.04</v>
      </c>
      <c r="AC20">
        <v>347.40000000000003</v>
      </c>
      <c r="AD20">
        <v>10.7</v>
      </c>
      <c r="AE20">
        <v>333.7</v>
      </c>
      <c r="AF20">
        <v>329.8</v>
      </c>
      <c r="AG20">
        <v>1.5950413223140496</v>
      </c>
      <c r="AH20" t="s">
        <v>60</v>
      </c>
      <c r="AI20">
        <v>2</v>
      </c>
      <c r="AJ20">
        <v>45159</v>
      </c>
      <c r="AK20" t="s">
        <v>102</v>
      </c>
      <c r="AL20" s="9">
        <v>44574</v>
      </c>
      <c r="AM20" s="9">
        <v>44394</v>
      </c>
      <c r="AN20" s="9">
        <v>44641</v>
      </c>
      <c r="AO20" s="9"/>
      <c r="AP20" s="9">
        <v>44756</v>
      </c>
      <c r="AQ20">
        <v>0.02</v>
      </c>
      <c r="AR20">
        <v>4.4999999999999997E-3</v>
      </c>
    </row>
    <row r="21" spans="1:44" x14ac:dyDescent="0.25">
      <c r="A21" t="s">
        <v>113</v>
      </c>
      <c r="B21" t="s">
        <v>96</v>
      </c>
      <c r="C21" t="s">
        <v>46</v>
      </c>
      <c r="D21" t="s">
        <v>97</v>
      </c>
      <c r="E21" t="s">
        <v>98</v>
      </c>
      <c r="F21" t="s">
        <v>99</v>
      </c>
      <c r="G21" t="s">
        <v>100</v>
      </c>
      <c r="H21" t="s">
        <v>114</v>
      </c>
      <c r="I21" t="s">
        <v>51</v>
      </c>
      <c r="J21" t="s">
        <v>56</v>
      </c>
      <c r="K21" t="s">
        <v>57</v>
      </c>
      <c r="L21">
        <v>170</v>
      </c>
      <c r="M21">
        <v>217.8</v>
      </c>
      <c r="N21">
        <v>540</v>
      </c>
      <c r="O21" t="s">
        <v>84</v>
      </c>
      <c r="P21" t="s">
        <v>112</v>
      </c>
      <c r="Q21">
        <v>28.76</v>
      </c>
      <c r="R21">
        <v>26.62</v>
      </c>
      <c r="S21">
        <v>26.47</v>
      </c>
      <c r="T21">
        <v>28.14</v>
      </c>
      <c r="U21">
        <v>28.03</v>
      </c>
      <c r="V21">
        <v>29.04</v>
      </c>
      <c r="W21">
        <v>32.130000000000003</v>
      </c>
      <c r="X21">
        <v>34.69</v>
      </c>
      <c r="Y21">
        <v>32.479999999999997</v>
      </c>
      <c r="Z21">
        <v>30.13</v>
      </c>
      <c r="AA21">
        <v>26.04</v>
      </c>
      <c r="AB21">
        <v>25.05</v>
      </c>
      <c r="AC21">
        <v>347.58</v>
      </c>
      <c r="AD21">
        <v>10.7</v>
      </c>
      <c r="AE21">
        <v>333.8</v>
      </c>
      <c r="AF21">
        <v>330</v>
      </c>
      <c r="AG21">
        <v>1.5958677685950411</v>
      </c>
      <c r="AH21" t="s">
        <v>60</v>
      </c>
      <c r="AI21">
        <v>2</v>
      </c>
      <c r="AJ21">
        <v>45159</v>
      </c>
      <c r="AK21" t="s">
        <v>102</v>
      </c>
      <c r="AL21" s="9">
        <v>44574</v>
      </c>
      <c r="AM21" s="9">
        <v>44394</v>
      </c>
      <c r="AN21" s="9">
        <v>44641</v>
      </c>
      <c r="AO21" s="9"/>
      <c r="AP21" s="9">
        <v>44756</v>
      </c>
      <c r="AQ21">
        <v>0.02</v>
      </c>
      <c r="AR21">
        <v>4.4999999999999997E-3</v>
      </c>
    </row>
    <row r="22" spans="1:44" x14ac:dyDescent="0.25">
      <c r="A22" t="s">
        <v>115</v>
      </c>
      <c r="B22" t="s">
        <v>96</v>
      </c>
      <c r="C22" t="s">
        <v>46</v>
      </c>
      <c r="D22" t="s">
        <v>97</v>
      </c>
      <c r="E22" t="s">
        <v>98</v>
      </c>
      <c r="F22" t="s">
        <v>99</v>
      </c>
      <c r="G22" t="s">
        <v>100</v>
      </c>
      <c r="H22" t="s">
        <v>116</v>
      </c>
      <c r="I22" t="s">
        <v>51</v>
      </c>
      <c r="J22" t="s">
        <v>56</v>
      </c>
      <c r="K22" t="s">
        <v>57</v>
      </c>
      <c r="L22">
        <v>360</v>
      </c>
      <c r="M22">
        <v>475.2</v>
      </c>
      <c r="N22">
        <v>1188</v>
      </c>
      <c r="O22" t="s">
        <v>82</v>
      </c>
      <c r="P22" t="s">
        <v>90</v>
      </c>
      <c r="Q22">
        <v>64.55</v>
      </c>
      <c r="R22">
        <v>59.77</v>
      </c>
      <c r="S22">
        <v>59.39</v>
      </c>
      <c r="T22">
        <v>63.15</v>
      </c>
      <c r="U22">
        <v>62.84</v>
      </c>
      <c r="V22">
        <v>65.17</v>
      </c>
      <c r="W22">
        <v>72</v>
      </c>
      <c r="X22">
        <v>77.209999999999994</v>
      </c>
      <c r="Y22">
        <v>72.290000000000006</v>
      </c>
      <c r="Z22">
        <v>67.44</v>
      </c>
      <c r="AA22">
        <v>58.71</v>
      </c>
      <c r="AB22">
        <v>56.66</v>
      </c>
      <c r="AC22">
        <v>779.18</v>
      </c>
      <c r="AD22">
        <v>24</v>
      </c>
      <c r="AE22">
        <v>748.4</v>
      </c>
      <c r="AF22">
        <v>739.7</v>
      </c>
      <c r="AG22">
        <v>1.639688552188552</v>
      </c>
      <c r="AH22" t="s">
        <v>60</v>
      </c>
      <c r="AI22">
        <v>2</v>
      </c>
      <c r="AJ22">
        <v>45160</v>
      </c>
      <c r="AK22" t="s">
        <v>102</v>
      </c>
      <c r="AL22" s="9">
        <v>44574</v>
      </c>
      <c r="AM22" s="9">
        <v>44394</v>
      </c>
      <c r="AN22" s="9">
        <v>44641</v>
      </c>
      <c r="AO22" s="9"/>
      <c r="AP22" s="9">
        <v>44756</v>
      </c>
      <c r="AQ22">
        <v>0.02</v>
      </c>
      <c r="AR22">
        <v>4.4999999999999997E-3</v>
      </c>
    </row>
    <row r="23" spans="1:44" x14ac:dyDescent="0.25">
      <c r="A23" t="s">
        <v>117</v>
      </c>
      <c r="B23" t="s">
        <v>96</v>
      </c>
      <c r="C23" t="s">
        <v>46</v>
      </c>
      <c r="D23" t="s">
        <v>97</v>
      </c>
      <c r="E23" t="s">
        <v>98</v>
      </c>
      <c r="F23" t="s">
        <v>99</v>
      </c>
      <c r="G23" t="s">
        <v>100</v>
      </c>
      <c r="H23" t="s">
        <v>118</v>
      </c>
      <c r="I23" t="s">
        <v>51</v>
      </c>
      <c r="J23" t="s">
        <v>56</v>
      </c>
      <c r="K23" t="s">
        <v>57</v>
      </c>
      <c r="L23">
        <v>160</v>
      </c>
      <c r="M23">
        <v>242.73</v>
      </c>
      <c r="N23">
        <v>558</v>
      </c>
      <c r="O23" t="s">
        <v>84</v>
      </c>
      <c r="P23" t="s">
        <v>80</v>
      </c>
      <c r="Q23">
        <v>30.53</v>
      </c>
      <c r="R23">
        <v>28.42</v>
      </c>
      <c r="S23">
        <v>28.3</v>
      </c>
      <c r="T23">
        <v>30.18</v>
      </c>
      <c r="U23">
        <v>30.15</v>
      </c>
      <c r="V23">
        <v>31.45</v>
      </c>
      <c r="W23">
        <v>34.770000000000003</v>
      </c>
      <c r="X23">
        <v>36.97</v>
      </c>
      <c r="Y23">
        <v>34.46</v>
      </c>
      <c r="Z23">
        <v>32.08</v>
      </c>
      <c r="AA23">
        <v>27.89</v>
      </c>
      <c r="AB23">
        <v>26.84</v>
      </c>
      <c r="AC23">
        <v>372.03999999999996</v>
      </c>
      <c r="AD23">
        <v>11.5</v>
      </c>
      <c r="AE23">
        <v>357.3</v>
      </c>
      <c r="AF23">
        <v>353.2</v>
      </c>
      <c r="AG23">
        <v>1.5327318419643223</v>
      </c>
      <c r="AH23" t="s">
        <v>60</v>
      </c>
      <c r="AI23">
        <v>2</v>
      </c>
      <c r="AJ23">
        <v>45160</v>
      </c>
      <c r="AK23" t="s">
        <v>102</v>
      </c>
      <c r="AL23" s="9">
        <v>44574</v>
      </c>
      <c r="AM23" s="9">
        <v>44394</v>
      </c>
      <c r="AN23" s="9">
        <v>44641</v>
      </c>
      <c r="AO23" s="9"/>
      <c r="AP23" s="9">
        <v>44756</v>
      </c>
      <c r="AQ23">
        <v>0.02</v>
      </c>
      <c r="AR23">
        <v>5.4999999999999997E-3</v>
      </c>
    </row>
    <row r="24" spans="1:44" x14ac:dyDescent="0.25">
      <c r="A24" t="s">
        <v>119</v>
      </c>
      <c r="B24" t="s">
        <v>119</v>
      </c>
      <c r="C24" t="s">
        <v>46</v>
      </c>
      <c r="D24" t="s">
        <v>47</v>
      </c>
      <c r="E24" t="s">
        <v>48</v>
      </c>
      <c r="F24" t="s">
        <v>120</v>
      </c>
      <c r="G24" t="s">
        <v>50</v>
      </c>
      <c r="H24">
        <v>10035461975</v>
      </c>
      <c r="I24" t="s">
        <v>51</v>
      </c>
      <c r="J24" t="s">
        <v>56</v>
      </c>
      <c r="K24" t="s">
        <v>57</v>
      </c>
      <c r="L24">
        <v>480</v>
      </c>
      <c r="M24">
        <v>696.6</v>
      </c>
      <c r="N24">
        <v>1720</v>
      </c>
      <c r="O24" t="s">
        <v>82</v>
      </c>
      <c r="P24" t="s">
        <v>121</v>
      </c>
      <c r="Q24">
        <v>92.8</v>
      </c>
      <c r="R24">
        <v>86.9</v>
      </c>
      <c r="S24">
        <v>89.2</v>
      </c>
      <c r="T24">
        <v>91.7</v>
      </c>
      <c r="U24">
        <v>93</v>
      </c>
      <c r="V24">
        <v>93.5</v>
      </c>
      <c r="W24">
        <v>98.6</v>
      </c>
      <c r="X24">
        <v>105.8</v>
      </c>
      <c r="Y24">
        <v>98.4</v>
      </c>
      <c r="Z24">
        <v>95.5</v>
      </c>
      <c r="AA24">
        <v>90.3</v>
      </c>
      <c r="AB24">
        <v>82.7</v>
      </c>
      <c r="AC24">
        <v>1118.3999999999999</v>
      </c>
      <c r="AD24">
        <v>34.5</v>
      </c>
      <c r="AE24">
        <v>1074.0999999999999</v>
      </c>
      <c r="AF24">
        <v>1061.7</v>
      </c>
      <c r="AG24">
        <v>1.6055124892334192</v>
      </c>
      <c r="AH24" t="s">
        <v>60</v>
      </c>
      <c r="AI24">
        <v>2</v>
      </c>
      <c r="AJ24">
        <v>45160</v>
      </c>
      <c r="AK24" t="s">
        <v>102</v>
      </c>
      <c r="AL24" s="9">
        <v>44681</v>
      </c>
      <c r="AM24" s="9">
        <v>44501</v>
      </c>
      <c r="AN24" s="9">
        <v>44693</v>
      </c>
      <c r="AO24" s="9"/>
      <c r="AP24" s="9">
        <v>44767</v>
      </c>
      <c r="AQ24">
        <v>0.02</v>
      </c>
      <c r="AR24">
        <v>4.4999999999999997E-3</v>
      </c>
    </row>
    <row r="25" spans="1:44" x14ac:dyDescent="0.25">
      <c r="A25" t="s">
        <v>122</v>
      </c>
      <c r="B25" t="s">
        <v>119</v>
      </c>
      <c r="C25" t="s">
        <v>46</v>
      </c>
      <c r="D25" t="s">
        <v>47</v>
      </c>
      <c r="E25" t="s">
        <v>48</v>
      </c>
      <c r="F25" t="s">
        <v>120</v>
      </c>
      <c r="G25" t="s">
        <v>50</v>
      </c>
      <c r="H25">
        <v>10035461983</v>
      </c>
      <c r="I25" t="s">
        <v>51</v>
      </c>
      <c r="J25" t="s">
        <v>56</v>
      </c>
      <c r="K25" t="s">
        <v>57</v>
      </c>
      <c r="L25">
        <v>420</v>
      </c>
      <c r="M25">
        <v>591.29999999999995</v>
      </c>
      <c r="N25">
        <v>1460</v>
      </c>
      <c r="O25" t="s">
        <v>82</v>
      </c>
      <c r="P25" t="s">
        <v>121</v>
      </c>
      <c r="Q25">
        <v>79.39</v>
      </c>
      <c r="R25">
        <v>74.06</v>
      </c>
      <c r="S25">
        <v>76.42</v>
      </c>
      <c r="T25">
        <v>78.489999999999995</v>
      </c>
      <c r="U25">
        <v>79.599999999999994</v>
      </c>
      <c r="V25">
        <v>79.83</v>
      </c>
      <c r="W25">
        <v>84.47</v>
      </c>
      <c r="X25">
        <v>90.65</v>
      </c>
      <c r="Y25">
        <v>84.28</v>
      </c>
      <c r="Z25">
        <v>81.540000000000006</v>
      </c>
      <c r="AA25">
        <v>77.180000000000007</v>
      </c>
      <c r="AB25">
        <v>70.650000000000006</v>
      </c>
      <c r="AC25">
        <v>956.55999999999983</v>
      </c>
      <c r="AD25">
        <v>29.5</v>
      </c>
      <c r="AE25">
        <v>918.8</v>
      </c>
      <c r="AF25">
        <v>908.1</v>
      </c>
      <c r="AG25">
        <v>1.617723659732792</v>
      </c>
      <c r="AH25" t="s">
        <v>60</v>
      </c>
      <c r="AI25">
        <v>2</v>
      </c>
      <c r="AJ25">
        <v>45160</v>
      </c>
      <c r="AK25" t="s">
        <v>102</v>
      </c>
      <c r="AL25" s="9">
        <v>44681</v>
      </c>
      <c r="AM25" s="9">
        <v>44501</v>
      </c>
      <c r="AN25" s="9">
        <v>44693</v>
      </c>
      <c r="AO25" s="9"/>
      <c r="AP25" s="9">
        <v>44767</v>
      </c>
      <c r="AQ25">
        <v>0.02</v>
      </c>
      <c r="AR25">
        <v>4.4999999999999997E-3</v>
      </c>
    </row>
    <row r="26" spans="1:44" x14ac:dyDescent="0.25">
      <c r="A26" t="s">
        <v>123</v>
      </c>
      <c r="B26" t="s">
        <v>119</v>
      </c>
      <c r="C26" t="s">
        <v>46</v>
      </c>
      <c r="D26" t="s">
        <v>47</v>
      </c>
      <c r="E26" t="s">
        <v>48</v>
      </c>
      <c r="F26" t="s">
        <v>120</v>
      </c>
      <c r="G26" t="s">
        <v>50</v>
      </c>
      <c r="H26">
        <v>10035505336</v>
      </c>
      <c r="I26" t="s">
        <v>51</v>
      </c>
      <c r="J26" t="s">
        <v>56</v>
      </c>
      <c r="K26" t="s">
        <v>57</v>
      </c>
      <c r="L26">
        <v>300</v>
      </c>
      <c r="M26">
        <v>437.4</v>
      </c>
      <c r="N26">
        <v>1080</v>
      </c>
      <c r="O26" t="s">
        <v>82</v>
      </c>
      <c r="P26" t="s">
        <v>121</v>
      </c>
      <c r="Q26">
        <v>57.38</v>
      </c>
      <c r="R26">
        <v>53.84</v>
      </c>
      <c r="S26">
        <v>55.22</v>
      </c>
      <c r="T26">
        <v>56.75</v>
      </c>
      <c r="U26">
        <v>57.62</v>
      </c>
      <c r="V26">
        <v>57.98</v>
      </c>
      <c r="W26">
        <v>61.04</v>
      </c>
      <c r="X26">
        <v>65.53</v>
      </c>
      <c r="Y26">
        <v>60.97</v>
      </c>
      <c r="Z26">
        <v>59.17</v>
      </c>
      <c r="AA26">
        <v>55.92</v>
      </c>
      <c r="AB26">
        <v>51.19</v>
      </c>
      <c r="AC26">
        <v>692.6099999999999</v>
      </c>
      <c r="AD26">
        <v>21.3</v>
      </c>
      <c r="AE26">
        <v>665.2</v>
      </c>
      <c r="AF26">
        <v>657.5</v>
      </c>
      <c r="AG26">
        <v>1.5834705075445814</v>
      </c>
      <c r="AH26" t="s">
        <v>60</v>
      </c>
      <c r="AI26">
        <v>2</v>
      </c>
      <c r="AJ26">
        <v>45160</v>
      </c>
      <c r="AK26" t="s">
        <v>102</v>
      </c>
      <c r="AL26" s="9">
        <v>44681</v>
      </c>
      <c r="AM26" s="9">
        <v>44501</v>
      </c>
      <c r="AN26" s="9">
        <v>44693</v>
      </c>
      <c r="AO26" s="9"/>
      <c r="AP26" s="9">
        <v>44767</v>
      </c>
      <c r="AQ26">
        <v>0.02</v>
      </c>
      <c r="AR26">
        <v>4.4999999999999997E-3</v>
      </c>
    </row>
    <row r="27" spans="1:44" x14ac:dyDescent="0.25">
      <c r="A27" t="s">
        <v>124</v>
      </c>
      <c r="B27" t="s">
        <v>119</v>
      </c>
      <c r="C27" t="s">
        <v>46</v>
      </c>
      <c r="D27" t="s">
        <v>47</v>
      </c>
      <c r="E27" t="s">
        <v>48</v>
      </c>
      <c r="F27" t="s">
        <v>120</v>
      </c>
      <c r="G27" t="s">
        <v>50</v>
      </c>
      <c r="H27">
        <v>10035462122</v>
      </c>
      <c r="I27" t="s">
        <v>51</v>
      </c>
      <c r="J27" t="s">
        <v>56</v>
      </c>
      <c r="K27" t="s">
        <v>57</v>
      </c>
      <c r="L27">
        <v>240</v>
      </c>
      <c r="M27">
        <v>332.1</v>
      </c>
      <c r="N27">
        <v>820</v>
      </c>
      <c r="O27" t="s">
        <v>82</v>
      </c>
      <c r="P27" t="s">
        <v>121</v>
      </c>
      <c r="Q27">
        <v>43.89</v>
      </c>
      <c r="R27">
        <v>41.04</v>
      </c>
      <c r="S27">
        <v>42.35</v>
      </c>
      <c r="T27">
        <v>43.46</v>
      </c>
      <c r="U27">
        <v>44.1</v>
      </c>
      <c r="V27">
        <v>44.2</v>
      </c>
      <c r="W27">
        <v>46.49</v>
      </c>
      <c r="X27">
        <v>50.22</v>
      </c>
      <c r="Y27">
        <v>46.75</v>
      </c>
      <c r="Z27">
        <v>45.17</v>
      </c>
      <c r="AA27">
        <v>42.75</v>
      </c>
      <c r="AB27">
        <v>39.049999999999997</v>
      </c>
      <c r="AC27">
        <v>529.47</v>
      </c>
      <c r="AD27">
        <v>16.3</v>
      </c>
      <c r="AE27">
        <v>508.5</v>
      </c>
      <c r="AF27">
        <v>502.7</v>
      </c>
      <c r="AG27">
        <v>1.5943089430894308</v>
      </c>
      <c r="AH27" t="s">
        <v>60</v>
      </c>
      <c r="AI27">
        <v>2</v>
      </c>
      <c r="AJ27">
        <v>45160</v>
      </c>
      <c r="AK27" t="s">
        <v>102</v>
      </c>
      <c r="AL27" s="9">
        <v>44681</v>
      </c>
      <c r="AM27" s="9">
        <v>44501</v>
      </c>
      <c r="AN27" s="9">
        <v>44693</v>
      </c>
      <c r="AO27" s="9"/>
      <c r="AP27" s="9">
        <v>44767</v>
      </c>
      <c r="AQ27">
        <v>0.02</v>
      </c>
      <c r="AR27">
        <v>4.4999999999999997E-3</v>
      </c>
    </row>
    <row r="28" spans="1:44" x14ac:dyDescent="0.25">
      <c r="A28" t="s">
        <v>125</v>
      </c>
      <c r="B28" t="s">
        <v>119</v>
      </c>
      <c r="C28" t="s">
        <v>46</v>
      </c>
      <c r="D28" t="s">
        <v>47</v>
      </c>
      <c r="E28" t="s">
        <v>48</v>
      </c>
      <c r="F28" t="s">
        <v>120</v>
      </c>
      <c r="G28" t="s">
        <v>50</v>
      </c>
      <c r="H28">
        <v>10035462130</v>
      </c>
      <c r="I28" t="s">
        <v>51</v>
      </c>
      <c r="J28" t="s">
        <v>56</v>
      </c>
      <c r="K28" t="s">
        <v>57</v>
      </c>
      <c r="L28">
        <v>250</v>
      </c>
      <c r="M28">
        <v>369.8</v>
      </c>
      <c r="N28">
        <v>920</v>
      </c>
      <c r="O28" t="s">
        <v>79</v>
      </c>
      <c r="P28" t="s">
        <v>126</v>
      </c>
      <c r="Q28">
        <v>49.36</v>
      </c>
      <c r="R28">
        <v>45.97</v>
      </c>
      <c r="S28">
        <v>47.67</v>
      </c>
      <c r="T28">
        <v>48.89</v>
      </c>
      <c r="U28">
        <v>49.62</v>
      </c>
      <c r="V28">
        <v>49.65</v>
      </c>
      <c r="W28">
        <v>52.31</v>
      </c>
      <c r="X28">
        <v>56.48</v>
      </c>
      <c r="Y28">
        <v>52.58</v>
      </c>
      <c r="Z28">
        <v>50.65</v>
      </c>
      <c r="AA28">
        <v>48</v>
      </c>
      <c r="AB28">
        <v>43.86</v>
      </c>
      <c r="AC28">
        <v>595.04</v>
      </c>
      <c r="AD28">
        <v>18.3</v>
      </c>
      <c r="AE28">
        <v>571.5</v>
      </c>
      <c r="AF28">
        <v>564.9</v>
      </c>
      <c r="AG28">
        <v>1.6090859924283394</v>
      </c>
      <c r="AH28" t="s">
        <v>60</v>
      </c>
      <c r="AI28">
        <v>2</v>
      </c>
      <c r="AJ28">
        <v>45160</v>
      </c>
      <c r="AK28" t="s">
        <v>102</v>
      </c>
      <c r="AL28" s="9">
        <v>44681</v>
      </c>
      <c r="AM28" s="9">
        <v>44501</v>
      </c>
      <c r="AN28" s="9">
        <v>44693</v>
      </c>
      <c r="AO28" s="9"/>
      <c r="AP28" s="9">
        <v>44767</v>
      </c>
      <c r="AQ28">
        <v>0.02</v>
      </c>
      <c r="AR28">
        <v>4.4999999999999997E-3</v>
      </c>
    </row>
    <row r="29" spans="1:44" x14ac:dyDescent="0.25">
      <c r="A29" t="s">
        <v>127</v>
      </c>
      <c r="B29" t="s">
        <v>127</v>
      </c>
      <c r="C29" t="s">
        <v>46</v>
      </c>
      <c r="D29" t="s">
        <v>47</v>
      </c>
      <c r="E29" t="s">
        <v>128</v>
      </c>
      <c r="F29" t="s">
        <v>129</v>
      </c>
      <c r="G29" t="s">
        <v>50</v>
      </c>
      <c r="H29">
        <v>10035154517</v>
      </c>
      <c r="I29" t="s">
        <v>51</v>
      </c>
      <c r="J29" t="s">
        <v>56</v>
      </c>
      <c r="K29" t="s">
        <v>57</v>
      </c>
      <c r="L29">
        <v>60</v>
      </c>
      <c r="M29">
        <v>72.900000000000006</v>
      </c>
      <c r="N29">
        <v>180</v>
      </c>
      <c r="O29" t="s">
        <v>82</v>
      </c>
      <c r="P29" t="s">
        <v>130</v>
      </c>
      <c r="Q29">
        <v>9.7899999999999991</v>
      </c>
      <c r="R29">
        <v>9.09</v>
      </c>
      <c r="S29">
        <v>10.23</v>
      </c>
      <c r="T29">
        <v>10.11</v>
      </c>
      <c r="U29">
        <v>9.75</v>
      </c>
      <c r="V29">
        <v>10.39</v>
      </c>
      <c r="W29">
        <v>10.74</v>
      </c>
      <c r="X29">
        <v>11.43</v>
      </c>
      <c r="Y29">
        <v>10.88</v>
      </c>
      <c r="Z29">
        <v>10.89</v>
      </c>
      <c r="AA29">
        <v>9.31</v>
      </c>
      <c r="AB29">
        <v>8.15</v>
      </c>
      <c r="AC29">
        <v>120.76</v>
      </c>
      <c r="AD29">
        <v>3.72</v>
      </c>
      <c r="AE29">
        <v>115.98</v>
      </c>
      <c r="AF29">
        <v>114.63</v>
      </c>
      <c r="AG29">
        <v>1.6565157750342936</v>
      </c>
      <c r="AH29" t="s">
        <v>66</v>
      </c>
      <c r="AI29">
        <v>2</v>
      </c>
      <c r="AJ29">
        <v>45378</v>
      </c>
      <c r="AK29" t="s">
        <v>102</v>
      </c>
      <c r="AL29" s="9">
        <v>44626</v>
      </c>
      <c r="AM29" s="9">
        <v>44536</v>
      </c>
      <c r="AN29" s="9">
        <v>44624</v>
      </c>
      <c r="AO29" s="9"/>
      <c r="AP29" s="9">
        <v>44798</v>
      </c>
      <c r="AQ29">
        <v>0.02</v>
      </c>
      <c r="AR29">
        <v>4.4999999999999997E-3</v>
      </c>
    </row>
    <row r="30" spans="1:44" x14ac:dyDescent="0.25">
      <c r="A30" t="s">
        <v>131</v>
      </c>
      <c r="B30" t="s">
        <v>127</v>
      </c>
      <c r="C30" t="s">
        <v>46</v>
      </c>
      <c r="D30" t="s">
        <v>47</v>
      </c>
      <c r="E30" t="s">
        <v>128</v>
      </c>
      <c r="F30" t="s">
        <v>132</v>
      </c>
      <c r="G30" t="s">
        <v>50</v>
      </c>
      <c r="H30">
        <v>10034908372</v>
      </c>
      <c r="I30" t="s">
        <v>51</v>
      </c>
      <c r="J30" t="s">
        <v>56</v>
      </c>
      <c r="K30" t="s">
        <v>57</v>
      </c>
      <c r="L30">
        <v>50</v>
      </c>
      <c r="M30">
        <v>66.78</v>
      </c>
      <c r="N30">
        <v>126</v>
      </c>
      <c r="O30" t="s">
        <v>79</v>
      </c>
      <c r="P30" t="s">
        <v>133</v>
      </c>
      <c r="Q30">
        <v>9.92</v>
      </c>
      <c r="R30">
        <v>8.1999999999999993</v>
      </c>
      <c r="S30">
        <v>9.59</v>
      </c>
      <c r="T30">
        <v>9.41</v>
      </c>
      <c r="U30">
        <v>9.6999999999999993</v>
      </c>
      <c r="V30">
        <v>9.57</v>
      </c>
      <c r="W30">
        <v>8.58</v>
      </c>
      <c r="X30">
        <v>10.58</v>
      </c>
      <c r="Y30">
        <v>10.19</v>
      </c>
      <c r="Z30">
        <v>10.26</v>
      </c>
      <c r="AA30">
        <v>8.8699999999999992</v>
      </c>
      <c r="AB30">
        <v>8.85</v>
      </c>
      <c r="AC30">
        <v>113.72</v>
      </c>
      <c r="AD30">
        <v>3.51</v>
      </c>
      <c r="AE30">
        <v>109.23</v>
      </c>
      <c r="AF30">
        <v>107.96</v>
      </c>
      <c r="AG30">
        <v>1.7029050613956274</v>
      </c>
      <c r="AH30" t="s">
        <v>66</v>
      </c>
      <c r="AI30">
        <v>2</v>
      </c>
      <c r="AJ30">
        <v>45378</v>
      </c>
      <c r="AK30" t="s">
        <v>102</v>
      </c>
      <c r="AL30" s="9">
        <v>44626</v>
      </c>
      <c r="AM30" s="9">
        <v>44536</v>
      </c>
      <c r="AN30" s="9">
        <v>44624</v>
      </c>
      <c r="AO30" s="9"/>
      <c r="AP30" s="9">
        <v>44798</v>
      </c>
      <c r="AQ30">
        <v>0.02</v>
      </c>
      <c r="AR30">
        <v>4.4999999999999997E-3</v>
      </c>
    </row>
    <row r="31" spans="1:44" x14ac:dyDescent="0.25">
      <c r="A31" t="s">
        <v>134</v>
      </c>
      <c r="B31" t="s">
        <v>127</v>
      </c>
      <c r="C31" t="s">
        <v>46</v>
      </c>
      <c r="D31" t="s">
        <v>47</v>
      </c>
      <c r="E31" t="s">
        <v>128</v>
      </c>
      <c r="F31" t="s">
        <v>135</v>
      </c>
      <c r="G31" t="s">
        <v>50</v>
      </c>
      <c r="H31">
        <v>10035156587</v>
      </c>
      <c r="I31" t="s">
        <v>51</v>
      </c>
      <c r="J31" t="s">
        <v>56</v>
      </c>
      <c r="K31" t="s">
        <v>57</v>
      </c>
      <c r="L31">
        <v>60</v>
      </c>
      <c r="M31">
        <v>72.900000000000006</v>
      </c>
      <c r="N31">
        <v>180</v>
      </c>
      <c r="O31" t="s">
        <v>82</v>
      </c>
      <c r="P31" t="s">
        <v>130</v>
      </c>
      <c r="Q31">
        <v>9.7899999999999991</v>
      </c>
      <c r="R31">
        <v>9.09</v>
      </c>
      <c r="S31">
        <v>10.23</v>
      </c>
      <c r="T31">
        <v>10.11</v>
      </c>
      <c r="U31">
        <v>9.75</v>
      </c>
      <c r="V31">
        <v>10.39</v>
      </c>
      <c r="W31">
        <v>10.74</v>
      </c>
      <c r="X31">
        <v>11.43</v>
      </c>
      <c r="Y31">
        <v>10.88</v>
      </c>
      <c r="Z31">
        <v>10.89</v>
      </c>
      <c r="AA31">
        <v>9.31</v>
      </c>
      <c r="AB31">
        <v>8.15</v>
      </c>
      <c r="AC31">
        <v>120.76</v>
      </c>
      <c r="AD31">
        <v>3.72</v>
      </c>
      <c r="AE31">
        <v>115.98</v>
      </c>
      <c r="AF31">
        <v>114.63</v>
      </c>
      <c r="AG31">
        <v>1.6565157750342936</v>
      </c>
      <c r="AH31" t="s">
        <v>66</v>
      </c>
      <c r="AI31">
        <v>2</v>
      </c>
      <c r="AJ31">
        <v>45378</v>
      </c>
      <c r="AK31" t="s">
        <v>102</v>
      </c>
      <c r="AL31" s="9">
        <v>44626</v>
      </c>
      <c r="AM31" s="9">
        <v>44536</v>
      </c>
      <c r="AN31" s="9">
        <v>44624</v>
      </c>
      <c r="AO31" s="9"/>
      <c r="AP31" s="9">
        <v>44798</v>
      </c>
      <c r="AQ31">
        <v>0.02</v>
      </c>
      <c r="AR31">
        <v>4.4999999999999997E-3</v>
      </c>
    </row>
    <row r="32" spans="1:44" x14ac:dyDescent="0.25">
      <c r="A32" t="s">
        <v>136</v>
      </c>
      <c r="B32" t="s">
        <v>127</v>
      </c>
      <c r="C32" t="s">
        <v>46</v>
      </c>
      <c r="D32" t="s">
        <v>47</v>
      </c>
      <c r="E32" t="s">
        <v>128</v>
      </c>
      <c r="F32" t="s">
        <v>137</v>
      </c>
      <c r="G32" t="s">
        <v>50</v>
      </c>
      <c r="H32">
        <v>10035106113</v>
      </c>
      <c r="I32" t="s">
        <v>51</v>
      </c>
      <c r="J32" t="s">
        <v>56</v>
      </c>
      <c r="K32" t="s">
        <v>57</v>
      </c>
      <c r="L32">
        <v>60</v>
      </c>
      <c r="M32">
        <v>72.900000000000006</v>
      </c>
      <c r="N32">
        <v>180</v>
      </c>
      <c r="O32" t="s">
        <v>82</v>
      </c>
      <c r="P32" t="s">
        <v>130</v>
      </c>
      <c r="Q32">
        <v>9.7899999999999991</v>
      </c>
      <c r="R32">
        <v>9.09</v>
      </c>
      <c r="S32">
        <v>10.23</v>
      </c>
      <c r="T32">
        <v>10.11</v>
      </c>
      <c r="U32">
        <v>9.75</v>
      </c>
      <c r="V32">
        <v>10.39</v>
      </c>
      <c r="W32">
        <v>10.74</v>
      </c>
      <c r="X32">
        <v>11.43</v>
      </c>
      <c r="Y32">
        <v>10.88</v>
      </c>
      <c r="Z32">
        <v>10.89</v>
      </c>
      <c r="AA32">
        <v>9.31</v>
      </c>
      <c r="AB32">
        <v>8.15</v>
      </c>
      <c r="AC32">
        <v>120.76</v>
      </c>
      <c r="AD32">
        <v>3.72</v>
      </c>
      <c r="AE32">
        <v>115.98</v>
      </c>
      <c r="AF32">
        <v>114.63</v>
      </c>
      <c r="AG32">
        <v>1.6565157750342936</v>
      </c>
      <c r="AH32" t="s">
        <v>66</v>
      </c>
      <c r="AI32">
        <v>2</v>
      </c>
      <c r="AJ32">
        <v>45378</v>
      </c>
      <c r="AK32" t="s">
        <v>102</v>
      </c>
      <c r="AL32" s="9">
        <v>44626</v>
      </c>
      <c r="AM32" s="9">
        <v>44536</v>
      </c>
      <c r="AN32" s="9">
        <v>44624</v>
      </c>
      <c r="AO32" s="9"/>
      <c r="AP32" s="9">
        <v>44798</v>
      </c>
      <c r="AQ32">
        <v>0.02</v>
      </c>
      <c r="AR32">
        <v>4.4999999999999997E-3</v>
      </c>
    </row>
    <row r="33" spans="1:44" x14ac:dyDescent="0.25">
      <c r="A33" t="s">
        <v>138</v>
      </c>
      <c r="B33" t="s">
        <v>127</v>
      </c>
      <c r="C33" t="s">
        <v>46</v>
      </c>
      <c r="D33" t="s">
        <v>47</v>
      </c>
      <c r="E33" t="s">
        <v>128</v>
      </c>
      <c r="F33" t="s">
        <v>139</v>
      </c>
      <c r="G33" t="s">
        <v>50</v>
      </c>
      <c r="H33">
        <v>10034913074</v>
      </c>
      <c r="I33" t="s">
        <v>51</v>
      </c>
      <c r="J33" t="s">
        <v>56</v>
      </c>
      <c r="K33" t="s">
        <v>57</v>
      </c>
      <c r="L33">
        <v>50</v>
      </c>
      <c r="M33">
        <v>66.78</v>
      </c>
      <c r="N33">
        <v>126</v>
      </c>
      <c r="O33" t="s">
        <v>79</v>
      </c>
      <c r="P33" t="s">
        <v>133</v>
      </c>
      <c r="Q33">
        <v>9.92</v>
      </c>
      <c r="R33">
        <v>8.1999999999999993</v>
      </c>
      <c r="S33">
        <v>9.59</v>
      </c>
      <c r="T33">
        <v>9.41</v>
      </c>
      <c r="U33">
        <v>9.6999999999999993</v>
      </c>
      <c r="V33">
        <v>9.57</v>
      </c>
      <c r="W33">
        <v>8.58</v>
      </c>
      <c r="X33">
        <v>10.58</v>
      </c>
      <c r="Y33">
        <v>10.19</v>
      </c>
      <c r="Z33">
        <v>10.26</v>
      </c>
      <c r="AA33">
        <v>8.8699999999999992</v>
      </c>
      <c r="AB33">
        <v>8.85</v>
      </c>
      <c r="AC33">
        <v>113.72</v>
      </c>
      <c r="AD33">
        <v>3.51</v>
      </c>
      <c r="AE33">
        <v>109.23</v>
      </c>
      <c r="AF33">
        <v>107.96</v>
      </c>
      <c r="AG33">
        <v>1.7029050613956274</v>
      </c>
      <c r="AH33" t="s">
        <v>66</v>
      </c>
      <c r="AI33">
        <v>2</v>
      </c>
      <c r="AJ33">
        <v>45378</v>
      </c>
      <c r="AK33" t="s">
        <v>102</v>
      </c>
      <c r="AL33" s="9">
        <v>44626</v>
      </c>
      <c r="AM33" s="9">
        <v>44536</v>
      </c>
      <c r="AN33" s="9">
        <v>44624</v>
      </c>
      <c r="AO33" s="9"/>
      <c r="AP33" s="9">
        <v>44798</v>
      </c>
      <c r="AQ33">
        <v>0.02</v>
      </c>
      <c r="AR33">
        <v>4.4999999999999997E-3</v>
      </c>
    </row>
    <row r="34" spans="1:44" x14ac:dyDescent="0.25">
      <c r="A34" t="s">
        <v>140</v>
      </c>
      <c r="B34" t="s">
        <v>127</v>
      </c>
      <c r="C34" t="s">
        <v>46</v>
      </c>
      <c r="D34" t="s">
        <v>47</v>
      </c>
      <c r="E34" t="s">
        <v>128</v>
      </c>
      <c r="F34" t="s">
        <v>141</v>
      </c>
      <c r="G34" t="s">
        <v>50</v>
      </c>
      <c r="H34">
        <v>10034908402</v>
      </c>
      <c r="I34" t="s">
        <v>51</v>
      </c>
      <c r="J34" t="s">
        <v>56</v>
      </c>
      <c r="K34" t="s">
        <v>57</v>
      </c>
      <c r="L34">
        <v>50</v>
      </c>
      <c r="M34">
        <v>66.78</v>
      </c>
      <c r="N34">
        <v>126</v>
      </c>
      <c r="O34" t="s">
        <v>79</v>
      </c>
      <c r="P34" t="s">
        <v>133</v>
      </c>
      <c r="Q34">
        <v>9.92</v>
      </c>
      <c r="R34">
        <v>8.1999999999999993</v>
      </c>
      <c r="S34">
        <v>9.59</v>
      </c>
      <c r="T34">
        <v>9.41</v>
      </c>
      <c r="U34">
        <v>9.6999999999999993</v>
      </c>
      <c r="V34">
        <v>9.57</v>
      </c>
      <c r="W34">
        <v>8.58</v>
      </c>
      <c r="X34">
        <v>10.58</v>
      </c>
      <c r="Y34">
        <v>10.19</v>
      </c>
      <c r="Z34">
        <v>10.26</v>
      </c>
      <c r="AA34">
        <v>8.8699999999999992</v>
      </c>
      <c r="AB34">
        <v>8.85</v>
      </c>
      <c r="AC34">
        <v>113.72</v>
      </c>
      <c r="AD34">
        <v>3.51</v>
      </c>
      <c r="AE34">
        <v>109.23</v>
      </c>
      <c r="AF34">
        <v>107.96</v>
      </c>
      <c r="AG34">
        <v>1.7029050613956274</v>
      </c>
      <c r="AH34" t="s">
        <v>66</v>
      </c>
      <c r="AI34">
        <v>2</v>
      </c>
      <c r="AJ34">
        <v>45378</v>
      </c>
      <c r="AK34" t="s">
        <v>102</v>
      </c>
      <c r="AL34" s="9">
        <v>44626</v>
      </c>
      <c r="AM34" s="9">
        <v>44536</v>
      </c>
      <c r="AN34" s="9">
        <v>44624</v>
      </c>
      <c r="AO34" s="9"/>
      <c r="AP34" s="9">
        <v>44798</v>
      </c>
      <c r="AQ34">
        <v>0.02</v>
      </c>
      <c r="AR34">
        <v>4.4999999999999997E-3</v>
      </c>
    </row>
    <row r="35" spans="1:44" x14ac:dyDescent="0.25">
      <c r="A35" t="s">
        <v>142</v>
      </c>
      <c r="B35" t="s">
        <v>127</v>
      </c>
      <c r="C35" t="s">
        <v>46</v>
      </c>
      <c r="D35" t="s">
        <v>47</v>
      </c>
      <c r="E35" t="s">
        <v>128</v>
      </c>
      <c r="F35" t="s">
        <v>143</v>
      </c>
      <c r="G35" t="s">
        <v>50</v>
      </c>
      <c r="H35">
        <v>10035156609</v>
      </c>
      <c r="I35" t="s">
        <v>51</v>
      </c>
      <c r="J35" t="s">
        <v>56</v>
      </c>
      <c r="K35" t="s">
        <v>57</v>
      </c>
      <c r="L35">
        <v>60</v>
      </c>
      <c r="M35">
        <v>72.900000000000006</v>
      </c>
      <c r="N35">
        <v>180</v>
      </c>
      <c r="O35" t="s">
        <v>82</v>
      </c>
      <c r="P35" t="s">
        <v>130</v>
      </c>
      <c r="Q35">
        <v>9.7899999999999991</v>
      </c>
      <c r="R35">
        <v>9.09</v>
      </c>
      <c r="S35">
        <v>10.23</v>
      </c>
      <c r="T35">
        <v>10.11</v>
      </c>
      <c r="U35">
        <v>9.75</v>
      </c>
      <c r="V35">
        <v>10.39</v>
      </c>
      <c r="W35">
        <v>10.74</v>
      </c>
      <c r="X35">
        <v>11.43</v>
      </c>
      <c r="Y35">
        <v>10.88</v>
      </c>
      <c r="Z35">
        <v>10.89</v>
      </c>
      <c r="AA35">
        <v>9.31</v>
      </c>
      <c r="AB35">
        <v>8.15</v>
      </c>
      <c r="AC35">
        <v>120.76</v>
      </c>
      <c r="AD35">
        <v>3.72</v>
      </c>
      <c r="AE35">
        <v>115.98</v>
      </c>
      <c r="AF35">
        <v>114.63</v>
      </c>
      <c r="AG35">
        <v>1.6565157750342936</v>
      </c>
      <c r="AH35" t="s">
        <v>66</v>
      </c>
      <c r="AI35">
        <v>2</v>
      </c>
      <c r="AJ35">
        <v>45378</v>
      </c>
      <c r="AK35" t="s">
        <v>102</v>
      </c>
      <c r="AL35" s="9">
        <v>44626</v>
      </c>
      <c r="AM35" s="9">
        <v>44536</v>
      </c>
      <c r="AN35" s="9">
        <v>44624</v>
      </c>
      <c r="AO35" s="9"/>
      <c r="AP35" s="9">
        <v>44798</v>
      </c>
      <c r="AQ35">
        <v>0.02</v>
      </c>
      <c r="AR35">
        <v>4.4999999999999997E-3</v>
      </c>
    </row>
    <row r="36" spans="1:44" x14ac:dyDescent="0.25">
      <c r="A36" t="s">
        <v>144</v>
      </c>
      <c r="B36" t="s">
        <v>83</v>
      </c>
      <c r="C36" t="s">
        <v>46</v>
      </c>
      <c r="D36" t="s">
        <v>47</v>
      </c>
      <c r="E36" t="s">
        <v>73</v>
      </c>
      <c r="F36" t="s">
        <v>74</v>
      </c>
      <c r="G36" t="s">
        <v>50</v>
      </c>
      <c r="H36">
        <v>10035302079</v>
      </c>
      <c r="I36" t="s">
        <v>51</v>
      </c>
      <c r="J36" t="s">
        <v>56</v>
      </c>
      <c r="K36" t="s">
        <v>57</v>
      </c>
      <c r="L36">
        <v>300</v>
      </c>
      <c r="M36">
        <v>419.76</v>
      </c>
      <c r="N36">
        <v>792</v>
      </c>
      <c r="O36" t="s">
        <v>64</v>
      </c>
      <c r="P36" t="s">
        <v>133</v>
      </c>
      <c r="Q36">
        <v>54.76</v>
      </c>
      <c r="R36">
        <v>47.39</v>
      </c>
      <c r="S36">
        <v>57.45</v>
      </c>
      <c r="T36">
        <v>48.54</v>
      </c>
      <c r="U36">
        <v>60.98</v>
      </c>
      <c r="V36">
        <v>61.2</v>
      </c>
      <c r="W36">
        <v>59.84</v>
      </c>
      <c r="X36">
        <v>68.62</v>
      </c>
      <c r="Y36">
        <v>63.13</v>
      </c>
      <c r="Z36">
        <v>57.61</v>
      </c>
      <c r="AA36">
        <v>53.15</v>
      </c>
      <c r="AB36">
        <v>53.02</v>
      </c>
      <c r="AC36">
        <v>685.68999999999994</v>
      </c>
      <c r="AD36">
        <v>21.1</v>
      </c>
      <c r="AE36">
        <v>658.6</v>
      </c>
      <c r="AF36">
        <v>651</v>
      </c>
      <c r="AG36">
        <v>1.6335286830569848</v>
      </c>
      <c r="AH36" t="s">
        <v>145</v>
      </c>
      <c r="AI36">
        <v>2</v>
      </c>
      <c r="AJ36">
        <v>45378</v>
      </c>
      <c r="AK36" t="s">
        <v>102</v>
      </c>
      <c r="AL36" s="9">
        <v>44620</v>
      </c>
      <c r="AM36" s="9">
        <v>44550</v>
      </c>
      <c r="AN36" s="9">
        <v>44638</v>
      </c>
      <c r="AO36" s="9"/>
      <c r="AP36" s="9">
        <v>44844</v>
      </c>
      <c r="AQ36">
        <v>0.02</v>
      </c>
      <c r="AR36">
        <v>4.4999999999999997E-3</v>
      </c>
    </row>
    <row r="37" spans="1:44" x14ac:dyDescent="0.25">
      <c r="A37" t="s">
        <v>146</v>
      </c>
      <c r="B37" t="s">
        <v>146</v>
      </c>
      <c r="C37" t="s">
        <v>46</v>
      </c>
      <c r="D37" t="s">
        <v>147</v>
      </c>
      <c r="E37" t="s">
        <v>148</v>
      </c>
      <c r="F37" t="s">
        <v>149</v>
      </c>
      <c r="G37" t="s">
        <v>150</v>
      </c>
      <c r="H37">
        <v>3014367788</v>
      </c>
      <c r="I37" t="s">
        <v>51</v>
      </c>
      <c r="J37" t="s">
        <v>56</v>
      </c>
      <c r="K37" t="s">
        <v>78</v>
      </c>
      <c r="L37">
        <v>1000</v>
      </c>
      <c r="M37">
        <v>1312.2</v>
      </c>
      <c r="N37">
        <v>3240</v>
      </c>
      <c r="O37" t="s">
        <v>105</v>
      </c>
      <c r="P37" t="s">
        <v>121</v>
      </c>
      <c r="Q37">
        <v>243.5</v>
      </c>
      <c r="R37">
        <v>177.7</v>
      </c>
      <c r="S37">
        <v>195.9</v>
      </c>
      <c r="T37">
        <v>189.7</v>
      </c>
      <c r="U37">
        <v>204.8</v>
      </c>
      <c r="V37">
        <v>204.4</v>
      </c>
      <c r="W37">
        <v>221.2</v>
      </c>
      <c r="X37">
        <v>245.9</v>
      </c>
      <c r="Y37">
        <v>236.9</v>
      </c>
      <c r="Z37">
        <v>225.9</v>
      </c>
      <c r="AA37">
        <v>212.4</v>
      </c>
      <c r="AB37">
        <v>218.3</v>
      </c>
      <c r="AC37">
        <v>2576.6000000000004</v>
      </c>
      <c r="AD37">
        <v>79</v>
      </c>
      <c r="AE37">
        <v>2475</v>
      </c>
      <c r="AF37">
        <v>2446</v>
      </c>
      <c r="AG37">
        <v>1.9635726261240667</v>
      </c>
      <c r="AH37" t="s">
        <v>60</v>
      </c>
      <c r="AI37">
        <v>2</v>
      </c>
      <c r="AJ37">
        <v>45152</v>
      </c>
      <c r="AK37" t="s">
        <v>67</v>
      </c>
      <c r="AL37" s="9">
        <v>44528</v>
      </c>
      <c r="AM37" s="9">
        <v>44348</v>
      </c>
      <c r="AN37" s="9">
        <v>44551</v>
      </c>
      <c r="AO37" s="9"/>
      <c r="AP37" s="9">
        <v>44883</v>
      </c>
      <c r="AQ37">
        <v>0.02</v>
      </c>
      <c r="AR37">
        <v>4.4999999999999997E-3</v>
      </c>
    </row>
    <row r="38" spans="1:44" x14ac:dyDescent="0.25">
      <c r="A38" t="s">
        <v>151</v>
      </c>
      <c r="B38" t="s">
        <v>146</v>
      </c>
      <c r="C38" t="s">
        <v>46</v>
      </c>
      <c r="D38" t="s">
        <v>147</v>
      </c>
      <c r="E38" t="s">
        <v>148</v>
      </c>
      <c r="F38" t="s">
        <v>149</v>
      </c>
      <c r="G38" t="s">
        <v>150</v>
      </c>
      <c r="H38">
        <v>3014367836</v>
      </c>
      <c r="I38" t="s">
        <v>51</v>
      </c>
      <c r="J38" t="s">
        <v>56</v>
      </c>
      <c r="K38" t="s">
        <v>78</v>
      </c>
      <c r="L38">
        <v>1000</v>
      </c>
      <c r="M38">
        <v>1313.64</v>
      </c>
      <c r="N38">
        <v>3204</v>
      </c>
      <c r="O38" t="s">
        <v>105</v>
      </c>
      <c r="P38" t="s">
        <v>152</v>
      </c>
      <c r="Q38">
        <v>242</v>
      </c>
      <c r="R38">
        <v>176.7</v>
      </c>
      <c r="S38">
        <v>195.3</v>
      </c>
      <c r="T38">
        <v>189.5</v>
      </c>
      <c r="U38">
        <v>205</v>
      </c>
      <c r="V38">
        <v>204.8</v>
      </c>
      <c r="W38">
        <v>221.5</v>
      </c>
      <c r="X38">
        <v>245.4</v>
      </c>
      <c r="Y38">
        <v>236.4</v>
      </c>
      <c r="Z38">
        <v>225</v>
      </c>
      <c r="AA38">
        <v>211.3</v>
      </c>
      <c r="AB38">
        <v>216.9</v>
      </c>
      <c r="AC38">
        <v>2569.8000000000006</v>
      </c>
      <c r="AD38">
        <v>79</v>
      </c>
      <c r="AE38">
        <v>2468</v>
      </c>
      <c r="AF38">
        <v>2440</v>
      </c>
      <c r="AG38">
        <v>1.9562437197405684</v>
      </c>
      <c r="AH38" t="s">
        <v>60</v>
      </c>
      <c r="AI38">
        <v>2</v>
      </c>
      <c r="AJ38">
        <v>45152</v>
      </c>
      <c r="AK38" t="s">
        <v>67</v>
      </c>
      <c r="AL38" s="9">
        <v>44528</v>
      </c>
      <c r="AM38" s="9">
        <v>44348</v>
      </c>
      <c r="AN38" s="9">
        <v>44551</v>
      </c>
      <c r="AO38" s="9"/>
      <c r="AP38" s="9">
        <v>44883</v>
      </c>
      <c r="AQ38">
        <v>0.02</v>
      </c>
      <c r="AR38">
        <v>4.4999999999999997E-3</v>
      </c>
    </row>
    <row r="39" spans="1:44" x14ac:dyDescent="0.25">
      <c r="A39" t="s">
        <v>153</v>
      </c>
      <c r="B39" t="s">
        <v>146</v>
      </c>
      <c r="C39" t="s">
        <v>46</v>
      </c>
      <c r="D39" t="s">
        <v>147</v>
      </c>
      <c r="E39" t="s">
        <v>148</v>
      </c>
      <c r="F39" t="s">
        <v>149</v>
      </c>
      <c r="G39" t="s">
        <v>150</v>
      </c>
      <c r="H39">
        <v>3014367837</v>
      </c>
      <c r="I39" t="s">
        <v>51</v>
      </c>
      <c r="J39" t="s">
        <v>56</v>
      </c>
      <c r="K39" t="s">
        <v>78</v>
      </c>
      <c r="L39">
        <v>500</v>
      </c>
      <c r="M39">
        <v>656.1</v>
      </c>
      <c r="N39">
        <v>1620</v>
      </c>
      <c r="O39" t="s">
        <v>105</v>
      </c>
      <c r="P39" t="s">
        <v>121</v>
      </c>
      <c r="Q39">
        <v>117.7</v>
      </c>
      <c r="R39">
        <v>86</v>
      </c>
      <c r="S39">
        <v>95</v>
      </c>
      <c r="T39">
        <v>92.1</v>
      </c>
      <c r="U39">
        <v>100</v>
      </c>
      <c r="V39">
        <v>100.1</v>
      </c>
      <c r="W39">
        <v>108.2</v>
      </c>
      <c r="X39">
        <v>120.1</v>
      </c>
      <c r="Y39">
        <v>115.6</v>
      </c>
      <c r="Z39">
        <v>109.7</v>
      </c>
      <c r="AA39">
        <v>102.5</v>
      </c>
      <c r="AB39">
        <v>105.2</v>
      </c>
      <c r="AC39">
        <v>1252.2</v>
      </c>
      <c r="AD39">
        <v>38.6</v>
      </c>
      <c r="AE39">
        <v>1202.9000000000001</v>
      </c>
      <c r="AF39">
        <v>1189</v>
      </c>
      <c r="AG39">
        <v>1.9085505258344764</v>
      </c>
      <c r="AH39" t="s">
        <v>60</v>
      </c>
      <c r="AI39">
        <v>2</v>
      </c>
      <c r="AJ39">
        <v>45152</v>
      </c>
      <c r="AK39" t="s">
        <v>67</v>
      </c>
      <c r="AL39" s="9">
        <v>44528</v>
      </c>
      <c r="AM39" s="9">
        <v>44348</v>
      </c>
      <c r="AN39" s="9">
        <v>44551</v>
      </c>
      <c r="AO39" s="9"/>
      <c r="AP39" s="9">
        <v>44883</v>
      </c>
      <c r="AQ39">
        <v>0.02</v>
      </c>
      <c r="AR39">
        <v>4.4999999999999997E-3</v>
      </c>
    </row>
    <row r="40" spans="1:44" x14ac:dyDescent="0.25">
      <c r="A40" t="s">
        <v>154</v>
      </c>
      <c r="B40" t="s">
        <v>151</v>
      </c>
      <c r="C40" t="s">
        <v>46</v>
      </c>
      <c r="D40" t="s">
        <v>147</v>
      </c>
      <c r="E40" t="s">
        <v>148</v>
      </c>
      <c r="F40" t="s">
        <v>149</v>
      </c>
      <c r="G40" t="s">
        <v>150</v>
      </c>
      <c r="H40">
        <v>3014367827</v>
      </c>
      <c r="I40" t="s">
        <v>51</v>
      </c>
      <c r="J40" t="s">
        <v>56</v>
      </c>
      <c r="K40" t="s">
        <v>78</v>
      </c>
      <c r="L40">
        <v>1000</v>
      </c>
      <c r="M40">
        <v>1307.4749999999999</v>
      </c>
      <c r="N40">
        <v>2235</v>
      </c>
      <c r="O40" t="s">
        <v>155</v>
      </c>
      <c r="P40" t="s">
        <v>156</v>
      </c>
      <c r="Q40">
        <v>253.7</v>
      </c>
      <c r="R40">
        <v>212.7</v>
      </c>
      <c r="S40">
        <v>213</v>
      </c>
      <c r="T40">
        <v>203.9</v>
      </c>
      <c r="U40">
        <v>210.7</v>
      </c>
      <c r="V40">
        <v>209.7</v>
      </c>
      <c r="W40">
        <v>226.8</v>
      </c>
      <c r="X40">
        <v>226.1</v>
      </c>
      <c r="Y40">
        <v>248.3</v>
      </c>
      <c r="Z40">
        <v>258.2</v>
      </c>
      <c r="AA40">
        <v>197.5</v>
      </c>
      <c r="AB40">
        <v>227.4</v>
      </c>
      <c r="AC40">
        <v>2688</v>
      </c>
      <c r="AD40">
        <v>83</v>
      </c>
      <c r="AE40">
        <v>2582</v>
      </c>
      <c r="AF40">
        <v>2552</v>
      </c>
      <c r="AG40">
        <v>2.0558710491596397</v>
      </c>
      <c r="AH40" t="s">
        <v>157</v>
      </c>
      <c r="AI40">
        <v>2</v>
      </c>
      <c r="AJ40">
        <v>45377</v>
      </c>
      <c r="AK40" t="s">
        <v>67</v>
      </c>
      <c r="AL40" s="9">
        <v>44866</v>
      </c>
      <c r="AM40" s="9">
        <v>44713</v>
      </c>
      <c r="AN40" s="9">
        <v>44897</v>
      </c>
      <c r="AO40" s="9"/>
      <c r="AP40" s="9">
        <v>44897</v>
      </c>
      <c r="AQ40">
        <v>0.02</v>
      </c>
      <c r="AR40">
        <v>4.4999999999999997E-3</v>
      </c>
    </row>
    <row r="41" spans="1:44" x14ac:dyDescent="0.25">
      <c r="A41" t="s">
        <v>158</v>
      </c>
      <c r="B41" t="s">
        <v>151</v>
      </c>
      <c r="C41" t="s">
        <v>46</v>
      </c>
      <c r="D41" t="s">
        <v>147</v>
      </c>
      <c r="E41" t="s">
        <v>148</v>
      </c>
      <c r="F41" t="s">
        <v>149</v>
      </c>
      <c r="G41" t="s">
        <v>150</v>
      </c>
      <c r="H41">
        <v>3014367828</v>
      </c>
      <c r="I41" t="s">
        <v>51</v>
      </c>
      <c r="J41" t="s">
        <v>56</v>
      </c>
      <c r="K41" t="s">
        <v>78</v>
      </c>
      <c r="L41">
        <v>1000</v>
      </c>
      <c r="M41">
        <v>1307.4749999999999</v>
      </c>
      <c r="N41">
        <v>2235</v>
      </c>
      <c r="O41" t="s">
        <v>155</v>
      </c>
      <c r="P41" t="s">
        <v>156</v>
      </c>
      <c r="Q41">
        <v>253.9</v>
      </c>
      <c r="R41">
        <v>213.1</v>
      </c>
      <c r="S41">
        <v>213.3</v>
      </c>
      <c r="T41">
        <v>204.6</v>
      </c>
      <c r="U41">
        <v>210.4</v>
      </c>
      <c r="V41">
        <v>208.4</v>
      </c>
      <c r="W41">
        <v>225.9</v>
      </c>
      <c r="X41">
        <v>226.5</v>
      </c>
      <c r="Y41">
        <v>249.2</v>
      </c>
      <c r="Z41">
        <v>258.39999999999998</v>
      </c>
      <c r="AA41">
        <v>197.7</v>
      </c>
      <c r="AB41">
        <v>227.6</v>
      </c>
      <c r="AC41">
        <v>2689</v>
      </c>
      <c r="AD41">
        <v>83</v>
      </c>
      <c r="AE41">
        <v>2583</v>
      </c>
      <c r="AF41">
        <v>2553</v>
      </c>
      <c r="AG41">
        <v>2.0566358821392381</v>
      </c>
      <c r="AH41" t="s">
        <v>157</v>
      </c>
      <c r="AI41">
        <v>2</v>
      </c>
      <c r="AJ41">
        <v>45377</v>
      </c>
      <c r="AK41" t="s">
        <v>67</v>
      </c>
      <c r="AL41" s="9">
        <v>44866</v>
      </c>
      <c r="AM41" s="9">
        <v>44713</v>
      </c>
      <c r="AN41" s="9">
        <v>44897</v>
      </c>
      <c r="AO41" s="9"/>
      <c r="AP41" s="9">
        <v>44897</v>
      </c>
      <c r="AQ41">
        <v>0.02</v>
      </c>
      <c r="AR41">
        <v>4.4999999999999997E-3</v>
      </c>
    </row>
    <row r="42" spans="1:44" x14ac:dyDescent="0.25">
      <c r="A42" t="s">
        <v>159</v>
      </c>
      <c r="B42" t="s">
        <v>151</v>
      </c>
      <c r="C42" t="s">
        <v>46</v>
      </c>
      <c r="D42" t="s">
        <v>147</v>
      </c>
      <c r="E42" t="s">
        <v>148</v>
      </c>
      <c r="F42" t="s">
        <v>149</v>
      </c>
      <c r="G42" t="s">
        <v>150</v>
      </c>
      <c r="H42">
        <v>3014367829</v>
      </c>
      <c r="I42" t="s">
        <v>51</v>
      </c>
      <c r="J42" t="s">
        <v>56</v>
      </c>
      <c r="K42" t="s">
        <v>78</v>
      </c>
      <c r="L42">
        <v>500</v>
      </c>
      <c r="M42">
        <v>645.84</v>
      </c>
      <c r="N42">
        <v>1104</v>
      </c>
      <c r="O42" t="s">
        <v>160</v>
      </c>
      <c r="P42" t="s">
        <v>156</v>
      </c>
      <c r="Q42">
        <v>121.2</v>
      </c>
      <c r="R42">
        <v>100.7</v>
      </c>
      <c r="S42">
        <v>101.6</v>
      </c>
      <c r="T42">
        <v>97.1</v>
      </c>
      <c r="U42">
        <v>100.2</v>
      </c>
      <c r="V42">
        <v>99.9</v>
      </c>
      <c r="W42">
        <v>108.2</v>
      </c>
      <c r="X42">
        <v>108.2</v>
      </c>
      <c r="Y42">
        <v>118.3</v>
      </c>
      <c r="Z42">
        <v>123.5</v>
      </c>
      <c r="AA42">
        <v>93.8</v>
      </c>
      <c r="AB42">
        <v>108.2</v>
      </c>
      <c r="AC42">
        <v>1280.9000000000001</v>
      </c>
      <c r="AD42">
        <v>39.5</v>
      </c>
      <c r="AE42">
        <v>1230.3</v>
      </c>
      <c r="AF42">
        <v>1216</v>
      </c>
      <c r="AG42">
        <v>1.983308559395516</v>
      </c>
      <c r="AH42" t="s">
        <v>157</v>
      </c>
      <c r="AI42">
        <v>2</v>
      </c>
      <c r="AJ42">
        <v>45377</v>
      </c>
      <c r="AK42" t="s">
        <v>67</v>
      </c>
      <c r="AL42" s="9">
        <v>44866</v>
      </c>
      <c r="AM42" s="9">
        <v>44713</v>
      </c>
      <c r="AN42" s="9">
        <v>44897</v>
      </c>
      <c r="AO42" s="9"/>
      <c r="AP42" s="9">
        <v>44897</v>
      </c>
      <c r="AQ42">
        <v>0.02</v>
      </c>
      <c r="AR42">
        <v>4.4999999999999997E-3</v>
      </c>
    </row>
    <row r="43" spans="1:44" x14ac:dyDescent="0.25">
      <c r="A43" t="s">
        <v>161</v>
      </c>
      <c r="B43" t="s">
        <v>161</v>
      </c>
      <c r="C43" t="s">
        <v>46</v>
      </c>
      <c r="D43" t="s">
        <v>47</v>
      </c>
      <c r="E43" t="s">
        <v>48</v>
      </c>
      <c r="F43" t="s">
        <v>49</v>
      </c>
      <c r="G43" t="s">
        <v>50</v>
      </c>
      <c r="H43">
        <v>10035716108</v>
      </c>
      <c r="I43" t="s">
        <v>51</v>
      </c>
      <c r="J43" t="s">
        <v>56</v>
      </c>
      <c r="K43" t="s">
        <v>57</v>
      </c>
      <c r="L43">
        <v>300</v>
      </c>
      <c r="M43">
        <v>421.2</v>
      </c>
      <c r="N43">
        <v>780</v>
      </c>
      <c r="O43" t="s">
        <v>64</v>
      </c>
      <c r="P43" t="s">
        <v>162</v>
      </c>
      <c r="Q43">
        <v>58.21</v>
      </c>
      <c r="R43">
        <v>51.54</v>
      </c>
      <c r="S43">
        <v>55.72</v>
      </c>
      <c r="T43">
        <v>56.31</v>
      </c>
      <c r="U43">
        <v>61.09</v>
      </c>
      <c r="V43">
        <v>54.26</v>
      </c>
      <c r="W43">
        <v>60.58</v>
      </c>
      <c r="X43">
        <v>61.93</v>
      </c>
      <c r="Y43">
        <v>62.24</v>
      </c>
      <c r="Z43">
        <v>58.94</v>
      </c>
      <c r="AA43">
        <v>54.51</v>
      </c>
      <c r="AB43">
        <v>54.71</v>
      </c>
      <c r="AC43">
        <v>690.04</v>
      </c>
      <c r="AD43">
        <v>12.9</v>
      </c>
      <c r="AE43">
        <v>673.5</v>
      </c>
      <c r="AF43">
        <v>668.8</v>
      </c>
      <c r="AG43">
        <v>1.6382716049382715</v>
      </c>
      <c r="AH43" t="s">
        <v>145</v>
      </c>
      <c r="AI43">
        <v>2</v>
      </c>
      <c r="AJ43">
        <v>45378</v>
      </c>
      <c r="AK43" t="s">
        <v>67</v>
      </c>
      <c r="AL43" s="9">
        <v>44966</v>
      </c>
      <c r="AM43" s="9">
        <v>44896</v>
      </c>
      <c r="AN43" s="9">
        <v>44979</v>
      </c>
      <c r="AO43" s="9"/>
      <c r="AP43" s="9">
        <v>45002</v>
      </c>
      <c r="AQ43">
        <v>0.02</v>
      </c>
      <c r="AR43">
        <v>4.4999999999999997E-3</v>
      </c>
    </row>
    <row r="44" spans="1:44" x14ac:dyDescent="0.25">
      <c r="A44" t="s">
        <v>163</v>
      </c>
      <c r="B44" t="s">
        <v>163</v>
      </c>
      <c r="C44" t="s">
        <v>46</v>
      </c>
      <c r="D44" t="s">
        <v>147</v>
      </c>
      <c r="E44" t="s">
        <v>164</v>
      </c>
      <c r="F44" t="s">
        <v>165</v>
      </c>
      <c r="G44" t="s">
        <v>150</v>
      </c>
      <c r="H44">
        <v>3014365852</v>
      </c>
      <c r="I44" t="s">
        <v>51</v>
      </c>
      <c r="J44" t="s">
        <v>56</v>
      </c>
      <c r="K44" t="s">
        <v>78</v>
      </c>
      <c r="L44">
        <v>1000</v>
      </c>
      <c r="M44">
        <v>1358.9549999999999</v>
      </c>
      <c r="N44">
        <v>2323</v>
      </c>
      <c r="O44" t="s">
        <v>155</v>
      </c>
      <c r="P44" t="s">
        <v>156</v>
      </c>
      <c r="Q44">
        <v>255.5</v>
      </c>
      <c r="R44">
        <v>214.8</v>
      </c>
      <c r="S44">
        <v>205.2</v>
      </c>
      <c r="T44">
        <v>213.6</v>
      </c>
      <c r="U44">
        <v>215.1</v>
      </c>
      <c r="V44">
        <v>213.7</v>
      </c>
      <c r="W44">
        <v>233.3</v>
      </c>
      <c r="X44">
        <v>235.2</v>
      </c>
      <c r="Y44">
        <v>250.7</v>
      </c>
      <c r="Z44">
        <v>263.10000000000002</v>
      </c>
      <c r="AA44">
        <v>216.2</v>
      </c>
      <c r="AB44">
        <v>233.6</v>
      </c>
      <c r="AC44">
        <v>2750</v>
      </c>
      <c r="AD44">
        <v>85</v>
      </c>
      <c r="AE44">
        <v>2641</v>
      </c>
      <c r="AF44">
        <v>2611</v>
      </c>
      <c r="AG44">
        <v>2.0236137326107193</v>
      </c>
      <c r="AH44" t="s">
        <v>157</v>
      </c>
      <c r="AI44">
        <v>1</v>
      </c>
      <c r="AJ44">
        <v>45065</v>
      </c>
      <c r="AK44" t="s">
        <v>166</v>
      </c>
      <c r="AL44" s="9">
        <v>44851</v>
      </c>
      <c r="AM44" s="9">
        <v>44696</v>
      </c>
      <c r="AN44" s="9">
        <v>44900</v>
      </c>
      <c r="AO44" s="9"/>
      <c r="AP44" s="9">
        <v>45082</v>
      </c>
      <c r="AQ44">
        <v>0.02</v>
      </c>
      <c r="AR44">
        <v>4.4999999999999997E-3</v>
      </c>
    </row>
    <row r="45" spans="1:44" x14ac:dyDescent="0.25">
      <c r="A45" t="s">
        <v>167</v>
      </c>
      <c r="B45" t="s">
        <v>163</v>
      </c>
      <c r="C45" t="s">
        <v>46</v>
      </c>
      <c r="D45" t="s">
        <v>147</v>
      </c>
      <c r="E45" t="s">
        <v>164</v>
      </c>
      <c r="F45" t="s">
        <v>165</v>
      </c>
      <c r="G45" t="s">
        <v>150</v>
      </c>
      <c r="H45">
        <v>3014365880</v>
      </c>
      <c r="I45" t="s">
        <v>51</v>
      </c>
      <c r="J45" t="s">
        <v>56</v>
      </c>
      <c r="K45" t="s">
        <v>78</v>
      </c>
      <c r="L45">
        <v>1000</v>
      </c>
      <c r="M45">
        <v>1358.9549999999999</v>
      </c>
      <c r="N45">
        <v>2323</v>
      </c>
      <c r="O45" t="s">
        <v>155</v>
      </c>
      <c r="P45" t="s">
        <v>156</v>
      </c>
      <c r="Q45">
        <v>253.9</v>
      </c>
      <c r="R45">
        <v>212.3</v>
      </c>
      <c r="S45">
        <v>203.6</v>
      </c>
      <c r="T45">
        <v>212.8</v>
      </c>
      <c r="U45">
        <v>213.1</v>
      </c>
      <c r="V45">
        <v>213.8</v>
      </c>
      <c r="W45">
        <v>233.9</v>
      </c>
      <c r="X45">
        <v>238</v>
      </c>
      <c r="Y45">
        <v>251.1</v>
      </c>
      <c r="Z45">
        <v>264.39999999999998</v>
      </c>
      <c r="AA45">
        <v>215.2</v>
      </c>
      <c r="AB45">
        <v>234.1</v>
      </c>
      <c r="AC45">
        <v>2746.2</v>
      </c>
      <c r="AD45">
        <v>85</v>
      </c>
      <c r="AE45">
        <v>2638</v>
      </c>
      <c r="AF45">
        <v>2607</v>
      </c>
      <c r="AG45">
        <v>2.0208174663620206</v>
      </c>
      <c r="AH45" t="s">
        <v>157</v>
      </c>
      <c r="AI45">
        <v>1</v>
      </c>
      <c r="AJ45">
        <v>45065</v>
      </c>
      <c r="AK45" t="s">
        <v>166</v>
      </c>
      <c r="AL45" s="9">
        <v>44851</v>
      </c>
      <c r="AM45" s="9">
        <v>44696</v>
      </c>
      <c r="AN45" s="9">
        <v>44900</v>
      </c>
      <c r="AO45" s="9"/>
      <c r="AP45" s="9">
        <v>45082</v>
      </c>
      <c r="AQ45">
        <v>0.02</v>
      </c>
      <c r="AR45">
        <v>4.4999999999999997E-3</v>
      </c>
    </row>
    <row r="46" spans="1:44" x14ac:dyDescent="0.25">
      <c r="A46" t="s">
        <v>168</v>
      </c>
      <c r="B46" t="s">
        <v>163</v>
      </c>
      <c r="C46" t="s">
        <v>46</v>
      </c>
      <c r="D46" t="s">
        <v>147</v>
      </c>
      <c r="E46" t="s">
        <v>164</v>
      </c>
      <c r="F46" t="s">
        <v>165</v>
      </c>
      <c r="G46" t="s">
        <v>150</v>
      </c>
      <c r="H46">
        <v>3014365849</v>
      </c>
      <c r="I46" t="s">
        <v>51</v>
      </c>
      <c r="J46" t="s">
        <v>56</v>
      </c>
      <c r="K46" t="s">
        <v>78</v>
      </c>
      <c r="L46">
        <v>500</v>
      </c>
      <c r="M46">
        <v>666.9</v>
      </c>
      <c r="N46">
        <v>1140</v>
      </c>
      <c r="O46" t="s">
        <v>160</v>
      </c>
      <c r="P46" t="s">
        <v>156</v>
      </c>
      <c r="Q46">
        <v>121.2</v>
      </c>
      <c r="R46">
        <v>100.6</v>
      </c>
      <c r="S46">
        <v>96.9</v>
      </c>
      <c r="T46">
        <v>99.8</v>
      </c>
      <c r="U46">
        <v>99.8</v>
      </c>
      <c r="V46">
        <v>100.3</v>
      </c>
      <c r="W46">
        <v>108.8</v>
      </c>
      <c r="X46">
        <v>110.1</v>
      </c>
      <c r="Y46">
        <v>119.7</v>
      </c>
      <c r="Z46">
        <v>127.5</v>
      </c>
      <c r="AA46">
        <v>102.5</v>
      </c>
      <c r="AB46">
        <v>111.2</v>
      </c>
      <c r="AC46">
        <v>1298.4000000000001</v>
      </c>
      <c r="AD46">
        <v>40</v>
      </c>
      <c r="AE46">
        <v>1247.2</v>
      </c>
      <c r="AF46">
        <v>1232.7</v>
      </c>
      <c r="AG46">
        <v>1.946918578497526</v>
      </c>
      <c r="AH46" t="s">
        <v>157</v>
      </c>
      <c r="AI46">
        <v>1</v>
      </c>
      <c r="AJ46">
        <v>45065</v>
      </c>
      <c r="AK46" t="s">
        <v>166</v>
      </c>
      <c r="AL46" s="9">
        <v>44851</v>
      </c>
      <c r="AM46" s="9">
        <v>44696</v>
      </c>
      <c r="AN46" s="9">
        <v>44900</v>
      </c>
      <c r="AO46" s="9"/>
      <c r="AP46" s="9">
        <v>45082</v>
      </c>
      <c r="AQ46">
        <v>0.02</v>
      </c>
      <c r="AR46">
        <v>4.4999999999999997E-3</v>
      </c>
    </row>
    <row r="47" spans="1:44" x14ac:dyDescent="0.25">
      <c r="A47" t="s">
        <v>169</v>
      </c>
      <c r="B47" t="s">
        <v>167</v>
      </c>
      <c r="C47" t="s">
        <v>46</v>
      </c>
      <c r="D47" t="s">
        <v>147</v>
      </c>
      <c r="E47" t="s">
        <v>164</v>
      </c>
      <c r="F47" t="s">
        <v>170</v>
      </c>
      <c r="G47" t="s">
        <v>150</v>
      </c>
      <c r="H47">
        <v>3014367769</v>
      </c>
      <c r="I47" t="s">
        <v>51</v>
      </c>
      <c r="J47" t="s">
        <v>56</v>
      </c>
      <c r="K47" t="s">
        <v>78</v>
      </c>
      <c r="L47">
        <v>1000</v>
      </c>
      <c r="M47">
        <v>1358.9549999999999</v>
      </c>
      <c r="N47">
        <v>2323</v>
      </c>
      <c r="O47" t="s">
        <v>155</v>
      </c>
      <c r="P47" t="s">
        <v>156</v>
      </c>
      <c r="Q47">
        <v>250.4</v>
      </c>
      <c r="R47">
        <v>208.8</v>
      </c>
      <c r="S47">
        <v>201.7</v>
      </c>
      <c r="T47">
        <v>208</v>
      </c>
      <c r="U47">
        <v>207</v>
      </c>
      <c r="V47">
        <v>207.5</v>
      </c>
      <c r="W47">
        <v>224.4</v>
      </c>
      <c r="X47">
        <v>227.4</v>
      </c>
      <c r="Y47">
        <v>249.7</v>
      </c>
      <c r="Z47">
        <v>264.10000000000002</v>
      </c>
      <c r="AA47">
        <v>212.9</v>
      </c>
      <c r="AB47">
        <v>230.5</v>
      </c>
      <c r="AC47">
        <v>2692.4000000000005</v>
      </c>
      <c r="AD47">
        <v>83</v>
      </c>
      <c r="AE47">
        <v>2586</v>
      </c>
      <c r="AF47">
        <v>2556</v>
      </c>
      <c r="AG47">
        <v>1.9812282231567644</v>
      </c>
      <c r="AH47" t="s">
        <v>157</v>
      </c>
      <c r="AI47">
        <v>1</v>
      </c>
      <c r="AJ47">
        <v>45068</v>
      </c>
      <c r="AK47" t="s">
        <v>166</v>
      </c>
      <c r="AL47" s="9">
        <v>44851</v>
      </c>
      <c r="AM47" s="9">
        <v>44696</v>
      </c>
      <c r="AN47" s="9">
        <v>44900</v>
      </c>
      <c r="AO47" s="9"/>
      <c r="AP47" s="9">
        <v>45085</v>
      </c>
      <c r="AQ47">
        <v>0.02</v>
      </c>
      <c r="AR47">
        <v>4.4999999999999997E-3</v>
      </c>
    </row>
    <row r="48" spans="1:44" x14ac:dyDescent="0.25">
      <c r="A48" t="s">
        <v>171</v>
      </c>
      <c r="B48" t="s">
        <v>167</v>
      </c>
      <c r="C48" t="s">
        <v>46</v>
      </c>
      <c r="D48" t="s">
        <v>147</v>
      </c>
      <c r="E48" t="s">
        <v>164</v>
      </c>
      <c r="F48" t="s">
        <v>170</v>
      </c>
      <c r="G48" t="s">
        <v>150</v>
      </c>
      <c r="H48">
        <v>3014367806</v>
      </c>
      <c r="I48" t="s">
        <v>51</v>
      </c>
      <c r="J48" t="s">
        <v>56</v>
      </c>
      <c r="K48" t="s">
        <v>78</v>
      </c>
      <c r="L48">
        <v>1000</v>
      </c>
      <c r="M48">
        <v>1358.9549999999999</v>
      </c>
      <c r="N48">
        <v>2323</v>
      </c>
      <c r="O48" t="s">
        <v>155</v>
      </c>
      <c r="P48" t="s">
        <v>156</v>
      </c>
      <c r="Q48">
        <v>251.2</v>
      </c>
      <c r="R48">
        <v>209.5</v>
      </c>
      <c r="S48">
        <v>202</v>
      </c>
      <c r="T48">
        <v>209.9</v>
      </c>
      <c r="U48">
        <v>208</v>
      </c>
      <c r="V48">
        <v>208.4</v>
      </c>
      <c r="W48">
        <v>225.7</v>
      </c>
      <c r="X48">
        <v>235.9</v>
      </c>
      <c r="Y48">
        <v>252.2</v>
      </c>
      <c r="Z48">
        <v>264.39999999999998</v>
      </c>
      <c r="AA48">
        <v>213.3</v>
      </c>
      <c r="AB48">
        <v>231.1</v>
      </c>
      <c r="AC48">
        <v>2711.6000000000004</v>
      </c>
      <c r="AD48">
        <v>84</v>
      </c>
      <c r="AE48">
        <v>2605</v>
      </c>
      <c r="AF48">
        <v>2574</v>
      </c>
      <c r="AG48">
        <v>1.9953567263080827</v>
      </c>
      <c r="AH48" t="s">
        <v>157</v>
      </c>
      <c r="AI48">
        <v>1</v>
      </c>
      <c r="AJ48">
        <v>45068</v>
      </c>
      <c r="AK48" t="s">
        <v>166</v>
      </c>
      <c r="AL48" s="9">
        <v>44851</v>
      </c>
      <c r="AM48" s="9">
        <v>44696</v>
      </c>
      <c r="AN48" s="9">
        <v>44900</v>
      </c>
      <c r="AO48" s="9"/>
      <c r="AP48" s="9">
        <v>45085</v>
      </c>
      <c r="AQ48">
        <v>0.02</v>
      </c>
      <c r="AR48">
        <v>4.4999999999999997E-3</v>
      </c>
    </row>
    <row r="49" spans="1:44" x14ac:dyDescent="0.25">
      <c r="A49" t="s">
        <v>172</v>
      </c>
      <c r="B49" t="s">
        <v>167</v>
      </c>
      <c r="C49" t="s">
        <v>46</v>
      </c>
      <c r="D49" t="s">
        <v>147</v>
      </c>
      <c r="E49" t="s">
        <v>164</v>
      </c>
      <c r="F49" t="s">
        <v>170</v>
      </c>
      <c r="G49" t="s">
        <v>150</v>
      </c>
      <c r="H49">
        <v>3014367812</v>
      </c>
      <c r="I49" t="s">
        <v>51</v>
      </c>
      <c r="J49" t="s">
        <v>56</v>
      </c>
      <c r="K49" t="s">
        <v>78</v>
      </c>
      <c r="L49">
        <v>500</v>
      </c>
      <c r="M49">
        <v>666.9</v>
      </c>
      <c r="N49">
        <v>1140</v>
      </c>
      <c r="O49" t="s">
        <v>160</v>
      </c>
      <c r="P49" t="s">
        <v>156</v>
      </c>
      <c r="Q49">
        <v>120.7</v>
      </c>
      <c r="R49">
        <v>100.4</v>
      </c>
      <c r="S49">
        <v>96.9</v>
      </c>
      <c r="T49">
        <v>99.9</v>
      </c>
      <c r="U49">
        <v>99.2</v>
      </c>
      <c r="V49">
        <v>99.6</v>
      </c>
      <c r="W49">
        <v>107.7</v>
      </c>
      <c r="X49">
        <v>110.4</v>
      </c>
      <c r="Y49">
        <v>121.6</v>
      </c>
      <c r="Z49">
        <v>127.6</v>
      </c>
      <c r="AA49">
        <v>102.4</v>
      </c>
      <c r="AB49">
        <v>110.9</v>
      </c>
      <c r="AC49">
        <v>1297.3000000000002</v>
      </c>
      <c r="AD49">
        <v>40</v>
      </c>
      <c r="AE49">
        <v>1246.2</v>
      </c>
      <c r="AF49">
        <v>1231.8</v>
      </c>
      <c r="AG49">
        <v>1.945269155795472</v>
      </c>
      <c r="AH49" t="s">
        <v>157</v>
      </c>
      <c r="AI49">
        <v>1</v>
      </c>
      <c r="AJ49">
        <v>45068</v>
      </c>
      <c r="AK49" t="s">
        <v>166</v>
      </c>
      <c r="AL49" s="9">
        <v>44851</v>
      </c>
      <c r="AM49" s="9">
        <v>44696</v>
      </c>
      <c r="AN49" s="9">
        <v>44900</v>
      </c>
      <c r="AO49" s="9"/>
      <c r="AP49" s="9">
        <v>45085</v>
      </c>
      <c r="AQ49">
        <v>0.02</v>
      </c>
      <c r="AR49">
        <v>4.4999999999999997E-3</v>
      </c>
    </row>
    <row r="50" spans="1:44" x14ac:dyDescent="0.25">
      <c r="A50" t="s">
        <v>173</v>
      </c>
      <c r="B50" t="s">
        <v>173</v>
      </c>
      <c r="C50" t="s">
        <v>46</v>
      </c>
      <c r="D50" t="s">
        <v>174</v>
      </c>
      <c r="E50" t="s">
        <v>175</v>
      </c>
      <c r="F50" t="s">
        <v>176</v>
      </c>
      <c r="G50" t="s">
        <v>177</v>
      </c>
      <c r="H50" t="s">
        <v>178</v>
      </c>
      <c r="I50" t="s">
        <v>51</v>
      </c>
      <c r="J50" t="s">
        <v>56</v>
      </c>
      <c r="K50" t="s">
        <v>57</v>
      </c>
      <c r="L50">
        <v>300</v>
      </c>
      <c r="M50">
        <v>388.8</v>
      </c>
      <c r="N50">
        <v>720</v>
      </c>
      <c r="O50" t="s">
        <v>64</v>
      </c>
      <c r="P50" t="s">
        <v>179</v>
      </c>
      <c r="Q50">
        <v>51</v>
      </c>
      <c r="R50">
        <v>44.75</v>
      </c>
      <c r="S50">
        <v>51.34</v>
      </c>
      <c r="T50">
        <v>48.45</v>
      </c>
      <c r="U50">
        <v>55.7</v>
      </c>
      <c r="V50">
        <v>55.21</v>
      </c>
      <c r="W50">
        <v>54.19</v>
      </c>
      <c r="X50">
        <v>55.46</v>
      </c>
      <c r="Y50">
        <v>54.9</v>
      </c>
      <c r="Z50">
        <v>51.1</v>
      </c>
      <c r="AA50">
        <v>42.01</v>
      </c>
      <c r="AB50">
        <v>45</v>
      </c>
      <c r="AC50">
        <v>609.1099999999999</v>
      </c>
      <c r="AD50">
        <v>18.8</v>
      </c>
      <c r="AE50">
        <v>585</v>
      </c>
      <c r="AF50">
        <v>578.29999999999995</v>
      </c>
      <c r="AG50">
        <v>1.5666409465020572</v>
      </c>
      <c r="AH50" t="s">
        <v>60</v>
      </c>
      <c r="AI50">
        <v>1</v>
      </c>
      <c r="AJ50">
        <v>45068</v>
      </c>
      <c r="AK50" t="s">
        <v>166</v>
      </c>
      <c r="AL50" s="9">
        <v>45140</v>
      </c>
      <c r="AM50" s="9">
        <v>45020</v>
      </c>
      <c r="AN50" s="9">
        <v>45142</v>
      </c>
      <c r="AO50" s="9"/>
      <c r="AP50" s="9">
        <v>45148</v>
      </c>
      <c r="AQ50">
        <v>0.02</v>
      </c>
      <c r="AR50">
        <v>4.4999999999999997E-3</v>
      </c>
    </row>
    <row r="51" spans="1:44" x14ac:dyDescent="0.25">
      <c r="A51" t="s">
        <v>180</v>
      </c>
      <c r="B51" t="s">
        <v>173</v>
      </c>
      <c r="C51" t="s">
        <v>46</v>
      </c>
      <c r="D51" t="s">
        <v>174</v>
      </c>
      <c r="E51" t="s">
        <v>175</v>
      </c>
      <c r="F51" t="s">
        <v>176</v>
      </c>
      <c r="G51" t="s">
        <v>177</v>
      </c>
      <c r="H51" t="s">
        <v>181</v>
      </c>
      <c r="I51" t="s">
        <v>51</v>
      </c>
      <c r="J51" t="s">
        <v>56</v>
      </c>
      <c r="K51" t="s">
        <v>57</v>
      </c>
      <c r="L51">
        <v>300</v>
      </c>
      <c r="M51">
        <v>388.8</v>
      </c>
      <c r="N51">
        <v>720</v>
      </c>
      <c r="O51" t="s">
        <v>64</v>
      </c>
      <c r="P51" t="s">
        <v>179</v>
      </c>
      <c r="Q51">
        <v>51.03</v>
      </c>
      <c r="R51">
        <v>44.78</v>
      </c>
      <c r="S51">
        <v>51.37</v>
      </c>
      <c r="T51">
        <v>48.48</v>
      </c>
      <c r="U51">
        <v>55.78</v>
      </c>
      <c r="V51">
        <v>55.32</v>
      </c>
      <c r="W51">
        <v>54.27</v>
      </c>
      <c r="X51">
        <v>55.52</v>
      </c>
      <c r="Y51">
        <v>54.93</v>
      </c>
      <c r="Z51">
        <v>51.14</v>
      </c>
      <c r="AA51">
        <v>42.05</v>
      </c>
      <c r="AB51">
        <v>45.04</v>
      </c>
      <c r="AC51">
        <v>609.70999999999992</v>
      </c>
      <c r="AD51">
        <v>18.8</v>
      </c>
      <c r="AE51">
        <v>585.6</v>
      </c>
      <c r="AF51">
        <v>578.79999999999995</v>
      </c>
      <c r="AG51">
        <v>1.5681841563786005</v>
      </c>
      <c r="AH51" t="s">
        <v>60</v>
      </c>
      <c r="AI51">
        <v>1</v>
      </c>
      <c r="AJ51">
        <v>45068</v>
      </c>
      <c r="AK51" t="s">
        <v>166</v>
      </c>
      <c r="AL51" s="9">
        <v>45140</v>
      </c>
      <c r="AM51" s="9">
        <v>45020</v>
      </c>
      <c r="AN51" s="9">
        <v>45142</v>
      </c>
      <c r="AO51" s="9"/>
      <c r="AP51" s="9">
        <v>45148</v>
      </c>
      <c r="AQ51">
        <v>0.02</v>
      </c>
      <c r="AR51">
        <v>4.4999999999999997E-3</v>
      </c>
    </row>
    <row r="52" spans="1:44" x14ac:dyDescent="0.25">
      <c r="A52" t="s">
        <v>182</v>
      </c>
      <c r="B52" t="s">
        <v>173</v>
      </c>
      <c r="C52" t="s">
        <v>46</v>
      </c>
      <c r="D52" t="s">
        <v>174</v>
      </c>
      <c r="E52" t="s">
        <v>175</v>
      </c>
      <c r="F52" t="s">
        <v>176</v>
      </c>
      <c r="G52" t="s">
        <v>177</v>
      </c>
      <c r="H52" t="s">
        <v>183</v>
      </c>
      <c r="I52" t="s">
        <v>51</v>
      </c>
      <c r="J52" t="s">
        <v>56</v>
      </c>
      <c r="K52" t="s">
        <v>57</v>
      </c>
      <c r="L52">
        <v>80</v>
      </c>
      <c r="M52">
        <v>103.68</v>
      </c>
      <c r="N52">
        <v>192</v>
      </c>
      <c r="O52" t="s">
        <v>184</v>
      </c>
      <c r="P52" t="s">
        <v>179</v>
      </c>
      <c r="Q52">
        <v>13.42</v>
      </c>
      <c r="R52">
        <v>11.76</v>
      </c>
      <c r="S52">
        <v>13.47</v>
      </c>
      <c r="T52">
        <v>12.61</v>
      </c>
      <c r="U52">
        <v>14.52</v>
      </c>
      <c r="V52">
        <v>14.49</v>
      </c>
      <c r="W52">
        <v>14.15</v>
      </c>
      <c r="X52">
        <v>14.42</v>
      </c>
      <c r="Y52">
        <v>14.34</v>
      </c>
      <c r="Z52">
        <v>13.43</v>
      </c>
      <c r="AA52">
        <v>11.11</v>
      </c>
      <c r="AB52">
        <v>11.86</v>
      </c>
      <c r="AC52">
        <v>159.58000000000004</v>
      </c>
      <c r="AD52">
        <v>4.92</v>
      </c>
      <c r="AE52">
        <v>153.27000000000001</v>
      </c>
      <c r="AF52">
        <v>151.49</v>
      </c>
      <c r="AG52">
        <v>1.5391589506172842</v>
      </c>
      <c r="AH52" t="s">
        <v>60</v>
      </c>
      <c r="AI52">
        <v>1</v>
      </c>
      <c r="AJ52">
        <v>45068</v>
      </c>
      <c r="AK52" t="s">
        <v>166</v>
      </c>
      <c r="AL52" s="9">
        <v>45140</v>
      </c>
      <c r="AM52" s="9">
        <v>45020</v>
      </c>
      <c r="AN52" s="9">
        <v>45142</v>
      </c>
      <c r="AO52" s="9"/>
      <c r="AP52" s="9">
        <v>45154</v>
      </c>
      <c r="AQ52">
        <v>0.02</v>
      </c>
      <c r="AR52">
        <v>4.4999999999999997E-3</v>
      </c>
    </row>
    <row r="53" spans="1:44" x14ac:dyDescent="0.25">
      <c r="A53" t="s">
        <v>185</v>
      </c>
      <c r="B53" t="s">
        <v>185</v>
      </c>
      <c r="C53" t="s">
        <v>46</v>
      </c>
      <c r="D53" t="s">
        <v>47</v>
      </c>
      <c r="E53" t="s">
        <v>186</v>
      </c>
      <c r="F53" t="s">
        <v>187</v>
      </c>
      <c r="G53" t="s">
        <v>50</v>
      </c>
      <c r="H53">
        <v>1003665285</v>
      </c>
      <c r="I53" t="s">
        <v>51</v>
      </c>
      <c r="J53" t="s">
        <v>56</v>
      </c>
      <c r="K53" t="s">
        <v>78</v>
      </c>
      <c r="L53">
        <v>1000</v>
      </c>
      <c r="M53">
        <v>1391.28</v>
      </c>
      <c r="N53">
        <v>2108</v>
      </c>
      <c r="O53" t="s">
        <v>188</v>
      </c>
      <c r="P53" t="s">
        <v>189</v>
      </c>
      <c r="Q53">
        <v>228.04285714285712</v>
      </c>
      <c r="R53">
        <v>203.51428571428571</v>
      </c>
      <c r="S53">
        <v>194.64999999999995</v>
      </c>
      <c r="T53">
        <v>198.61666666666667</v>
      </c>
      <c r="U53">
        <v>206.79285714285712</v>
      </c>
      <c r="V53">
        <v>179.06666666666666</v>
      </c>
      <c r="W53">
        <v>216.10238095238094</v>
      </c>
      <c r="X53">
        <v>243.14047619047619</v>
      </c>
      <c r="Y53">
        <v>237.79761904761904</v>
      </c>
      <c r="Z53">
        <v>229.29761904761904</v>
      </c>
      <c r="AA53">
        <v>210.51666666666665</v>
      </c>
      <c r="AB53">
        <v>230.39047619047616</v>
      </c>
      <c r="AC53">
        <v>2577.9285714285706</v>
      </c>
      <c r="AD53">
        <v>79.333333333333329</v>
      </c>
      <c r="AE53">
        <v>2475.9285714285711</v>
      </c>
      <c r="AF53">
        <v>2447.5952380952381</v>
      </c>
      <c r="AG53">
        <v>1.8529185867895539</v>
      </c>
      <c r="AH53" t="s">
        <v>190</v>
      </c>
      <c r="AI53">
        <v>1</v>
      </c>
      <c r="AJ53">
        <v>45205</v>
      </c>
      <c r="AK53" t="s">
        <v>67</v>
      </c>
      <c r="AL53" s="9">
        <v>45299</v>
      </c>
      <c r="AM53" s="9">
        <v>45139</v>
      </c>
      <c r="AN53" s="9">
        <v>45275</v>
      </c>
      <c r="AO53" s="9"/>
      <c r="AP53" s="9">
        <v>45287</v>
      </c>
      <c r="AQ53">
        <v>0.02</v>
      </c>
      <c r="AR53">
        <v>4.4999999999999997E-3</v>
      </c>
    </row>
    <row r="54" spans="1:44" x14ac:dyDescent="0.25">
      <c r="A54" t="s">
        <v>191</v>
      </c>
      <c r="B54" t="s">
        <v>185</v>
      </c>
      <c r="C54" t="s">
        <v>46</v>
      </c>
      <c r="D54" t="s">
        <v>47</v>
      </c>
      <c r="E54" t="s">
        <v>186</v>
      </c>
      <c r="F54" t="s">
        <v>187</v>
      </c>
      <c r="G54" t="s">
        <v>50</v>
      </c>
      <c r="H54">
        <v>1003665286</v>
      </c>
      <c r="I54" t="s">
        <v>51</v>
      </c>
      <c r="J54" t="s">
        <v>56</v>
      </c>
      <c r="K54" t="s">
        <v>78</v>
      </c>
      <c r="L54">
        <v>1000</v>
      </c>
      <c r="M54">
        <v>1350.36</v>
      </c>
      <c r="N54">
        <v>2046</v>
      </c>
      <c r="O54" t="s">
        <v>188</v>
      </c>
      <c r="P54" t="s">
        <v>189</v>
      </c>
      <c r="Q54">
        <v>221.33571428571423</v>
      </c>
      <c r="R54">
        <v>197.52857142857138</v>
      </c>
      <c r="S54">
        <v>188.92499999999998</v>
      </c>
      <c r="T54">
        <v>192.77499999999995</v>
      </c>
      <c r="U54">
        <v>200.71071428571423</v>
      </c>
      <c r="V54">
        <v>173.79999999999998</v>
      </c>
      <c r="W54">
        <v>209.74642857142854</v>
      </c>
      <c r="X54">
        <v>235.9892857142857</v>
      </c>
      <c r="Y54">
        <v>230.80357142857139</v>
      </c>
      <c r="Z54">
        <v>222.55357142857139</v>
      </c>
      <c r="AA54">
        <v>204.32499999999999</v>
      </c>
      <c r="AB54">
        <v>223.6142857142857</v>
      </c>
      <c r="AC54">
        <v>2502.1071428571427</v>
      </c>
      <c r="AD54">
        <v>77</v>
      </c>
      <c r="AE54">
        <v>2403.1071428571427</v>
      </c>
      <c r="AF54">
        <v>2375.6071428571422</v>
      </c>
      <c r="AG54">
        <v>1.8529185867895546</v>
      </c>
      <c r="AH54" t="s">
        <v>190</v>
      </c>
      <c r="AI54">
        <v>1</v>
      </c>
      <c r="AJ54">
        <v>45205</v>
      </c>
      <c r="AK54" t="s">
        <v>67</v>
      </c>
      <c r="AL54" s="9">
        <v>45299</v>
      </c>
      <c r="AM54" s="9">
        <v>45139</v>
      </c>
      <c r="AN54" s="9">
        <v>45275</v>
      </c>
      <c r="AO54" s="9"/>
      <c r="AP54" s="9">
        <v>45287</v>
      </c>
      <c r="AQ54">
        <v>0.02</v>
      </c>
      <c r="AR54">
        <v>4.4999999999999997E-3</v>
      </c>
    </row>
    <row r="55" spans="1:44" x14ac:dyDescent="0.25">
      <c r="A55" t="s">
        <v>192</v>
      </c>
      <c r="B55" t="s">
        <v>185</v>
      </c>
      <c r="C55" t="s">
        <v>46</v>
      </c>
      <c r="D55" t="s">
        <v>47</v>
      </c>
      <c r="E55" t="s">
        <v>186</v>
      </c>
      <c r="F55" t="s">
        <v>187</v>
      </c>
      <c r="G55" t="s">
        <v>50</v>
      </c>
      <c r="H55">
        <v>1003665288</v>
      </c>
      <c r="I55" t="s">
        <v>51</v>
      </c>
      <c r="J55" t="s">
        <v>56</v>
      </c>
      <c r="K55" t="s">
        <v>78</v>
      </c>
      <c r="L55">
        <v>500</v>
      </c>
      <c r="M55">
        <v>695.64</v>
      </c>
      <c r="N55">
        <v>1054</v>
      </c>
      <c r="O55" t="s">
        <v>193</v>
      </c>
      <c r="P55" t="s">
        <v>189</v>
      </c>
      <c r="Q55">
        <v>114.02142857142856</v>
      </c>
      <c r="R55">
        <v>101.75714285714285</v>
      </c>
      <c r="S55">
        <v>97.324999999999974</v>
      </c>
      <c r="T55">
        <v>99.308333333333337</v>
      </c>
      <c r="U55">
        <v>103.39642857142856</v>
      </c>
      <c r="V55">
        <v>89.533333333333331</v>
      </c>
      <c r="W55">
        <v>108.05119047619047</v>
      </c>
      <c r="X55">
        <v>121.5702380952381</v>
      </c>
      <c r="Y55">
        <v>118.89880952380952</v>
      </c>
      <c r="Z55">
        <v>114.64880952380952</v>
      </c>
      <c r="AA55">
        <v>105.25833333333333</v>
      </c>
      <c r="AB55">
        <v>115.19523809523808</v>
      </c>
      <c r="AC55">
        <v>1288.9642857142853</v>
      </c>
      <c r="AD55">
        <v>39.666666666666664</v>
      </c>
      <c r="AE55">
        <v>1237.9642857142856</v>
      </c>
      <c r="AF55">
        <v>1223.797619047619</v>
      </c>
      <c r="AG55">
        <v>1.8529185867895539</v>
      </c>
      <c r="AH55" t="s">
        <v>190</v>
      </c>
      <c r="AI55">
        <v>1</v>
      </c>
      <c r="AJ55">
        <v>45205</v>
      </c>
      <c r="AK55" t="s">
        <v>67</v>
      </c>
      <c r="AL55" s="9">
        <v>45299</v>
      </c>
      <c r="AM55" s="9">
        <v>45139</v>
      </c>
      <c r="AN55" s="9">
        <v>45275</v>
      </c>
      <c r="AO55" s="9"/>
      <c r="AP55" s="9">
        <v>45287</v>
      </c>
      <c r="AQ55">
        <v>0.02</v>
      </c>
      <c r="AR55">
        <v>4.4999999999999997E-3</v>
      </c>
    </row>
    <row r="56" spans="1:44" x14ac:dyDescent="0.25">
      <c r="A56" t="s">
        <v>194</v>
      </c>
      <c r="B56" t="s">
        <v>194</v>
      </c>
      <c r="C56" t="s">
        <v>46</v>
      </c>
      <c r="D56" t="s">
        <v>47</v>
      </c>
      <c r="E56" t="s">
        <v>92</v>
      </c>
      <c r="F56" t="s">
        <v>195</v>
      </c>
      <c r="G56" t="s">
        <v>50</v>
      </c>
      <c r="H56">
        <v>10035977122</v>
      </c>
      <c r="I56" t="s">
        <v>51</v>
      </c>
      <c r="J56" t="s">
        <v>56</v>
      </c>
      <c r="K56" t="s">
        <v>78</v>
      </c>
      <c r="L56">
        <v>1000</v>
      </c>
      <c r="M56">
        <v>1419</v>
      </c>
      <c r="N56">
        <v>2150</v>
      </c>
      <c r="O56" t="s">
        <v>188</v>
      </c>
      <c r="P56" t="s">
        <v>196</v>
      </c>
      <c r="Q56">
        <v>250.2</v>
      </c>
      <c r="R56">
        <v>219</v>
      </c>
      <c r="S56">
        <v>222.8</v>
      </c>
      <c r="T56">
        <v>233.2</v>
      </c>
      <c r="U56">
        <v>213.6</v>
      </c>
      <c r="V56">
        <v>226.4</v>
      </c>
      <c r="W56">
        <v>243</v>
      </c>
      <c r="X56">
        <v>278.60000000000002</v>
      </c>
      <c r="Y56">
        <v>261.60000000000002</v>
      </c>
      <c r="Z56">
        <v>230.8</v>
      </c>
      <c r="AA56">
        <v>245.4</v>
      </c>
      <c r="AB56">
        <v>251</v>
      </c>
      <c r="AC56">
        <v>2875.6000000000004</v>
      </c>
      <c r="AD56">
        <v>88.6</v>
      </c>
      <c r="AE56">
        <v>2761.8</v>
      </c>
      <c r="AF56">
        <v>2729.8</v>
      </c>
      <c r="AG56">
        <v>2.0264975334742781</v>
      </c>
      <c r="AH56" t="s">
        <v>157</v>
      </c>
      <c r="AI56">
        <v>1</v>
      </c>
      <c r="AJ56">
        <v>45209</v>
      </c>
      <c r="AK56" t="s">
        <v>67</v>
      </c>
      <c r="AL56" s="9">
        <v>45291</v>
      </c>
      <c r="AM56" s="9">
        <v>45111</v>
      </c>
      <c r="AN56" s="9">
        <v>45301</v>
      </c>
      <c r="AO56" s="9"/>
      <c r="AP56" s="9">
        <v>45328</v>
      </c>
      <c r="AQ56">
        <v>0.02</v>
      </c>
      <c r="AR56">
        <v>4.4999999999999997E-3</v>
      </c>
    </row>
    <row r="57" spans="1:44" x14ac:dyDescent="0.25">
      <c r="A57" t="s">
        <v>197</v>
      </c>
      <c r="B57" t="s">
        <v>194</v>
      </c>
      <c r="C57" t="s">
        <v>46</v>
      </c>
      <c r="D57" t="s">
        <v>47</v>
      </c>
      <c r="E57" t="s">
        <v>92</v>
      </c>
      <c r="F57" t="s">
        <v>195</v>
      </c>
      <c r="G57" t="s">
        <v>50</v>
      </c>
      <c r="H57">
        <v>10035977130</v>
      </c>
      <c r="I57" t="s">
        <v>51</v>
      </c>
      <c r="J57" t="s">
        <v>56</v>
      </c>
      <c r="K57" t="s">
        <v>78</v>
      </c>
      <c r="L57">
        <v>1000</v>
      </c>
      <c r="M57">
        <v>1419</v>
      </c>
      <c r="N57">
        <v>2150</v>
      </c>
      <c r="O57" t="s">
        <v>188</v>
      </c>
      <c r="P57" t="s">
        <v>196</v>
      </c>
      <c r="Q57">
        <v>250.2</v>
      </c>
      <c r="R57">
        <v>219</v>
      </c>
      <c r="S57">
        <v>222.8</v>
      </c>
      <c r="T57">
        <v>233.2</v>
      </c>
      <c r="U57">
        <v>213.6</v>
      </c>
      <c r="V57">
        <v>226.4</v>
      </c>
      <c r="W57">
        <v>243</v>
      </c>
      <c r="X57">
        <v>278.60000000000002</v>
      </c>
      <c r="Y57">
        <v>261.60000000000002</v>
      </c>
      <c r="Z57">
        <v>230.8</v>
      </c>
      <c r="AA57">
        <v>245.4</v>
      </c>
      <c r="AB57">
        <v>251</v>
      </c>
      <c r="AC57">
        <v>2875.6000000000004</v>
      </c>
      <c r="AD57">
        <v>88.6</v>
      </c>
      <c r="AE57">
        <v>2761.8</v>
      </c>
      <c r="AF57">
        <v>2729.8</v>
      </c>
      <c r="AG57">
        <v>2.0264975334742781</v>
      </c>
      <c r="AH57" t="s">
        <v>157</v>
      </c>
      <c r="AI57">
        <v>1</v>
      </c>
      <c r="AJ57">
        <v>45209</v>
      </c>
      <c r="AK57" t="s">
        <v>67</v>
      </c>
      <c r="AL57" s="9">
        <v>45291</v>
      </c>
      <c r="AM57" s="9">
        <v>45111</v>
      </c>
      <c r="AN57" s="9">
        <v>45301</v>
      </c>
      <c r="AO57" s="9"/>
      <c r="AP57" s="9">
        <v>45328</v>
      </c>
      <c r="AQ57">
        <v>0.02</v>
      </c>
      <c r="AR57">
        <v>4.4999999999999997E-3</v>
      </c>
    </row>
    <row r="58" spans="1:44" x14ac:dyDescent="0.25">
      <c r="A58" t="s">
        <v>198</v>
      </c>
      <c r="B58" t="s">
        <v>194</v>
      </c>
      <c r="C58" t="s">
        <v>46</v>
      </c>
      <c r="D58" t="s">
        <v>47</v>
      </c>
      <c r="E58" t="s">
        <v>92</v>
      </c>
      <c r="F58" t="s">
        <v>195</v>
      </c>
      <c r="G58" t="s">
        <v>50</v>
      </c>
      <c r="H58">
        <v>10035977149</v>
      </c>
      <c r="I58" t="s">
        <v>51</v>
      </c>
      <c r="J58" t="s">
        <v>56</v>
      </c>
      <c r="K58" t="s">
        <v>78</v>
      </c>
      <c r="L58">
        <v>1000</v>
      </c>
      <c r="M58">
        <v>1419</v>
      </c>
      <c r="N58">
        <v>2150</v>
      </c>
      <c r="O58" t="s">
        <v>188</v>
      </c>
      <c r="P58" t="s">
        <v>196</v>
      </c>
      <c r="Q58">
        <v>250.2</v>
      </c>
      <c r="R58">
        <v>219</v>
      </c>
      <c r="S58">
        <v>222.8</v>
      </c>
      <c r="T58">
        <v>233.2</v>
      </c>
      <c r="U58">
        <v>213.6</v>
      </c>
      <c r="V58">
        <v>226.4</v>
      </c>
      <c r="W58">
        <v>243</v>
      </c>
      <c r="X58">
        <v>278.60000000000002</v>
      </c>
      <c r="Y58">
        <v>261.60000000000002</v>
      </c>
      <c r="Z58">
        <v>230.8</v>
      </c>
      <c r="AA58">
        <v>245.4</v>
      </c>
      <c r="AB58">
        <v>251</v>
      </c>
      <c r="AC58">
        <v>2875.6000000000004</v>
      </c>
      <c r="AD58">
        <v>88.6</v>
      </c>
      <c r="AE58">
        <v>2761.8</v>
      </c>
      <c r="AF58">
        <v>2729.8</v>
      </c>
      <c r="AG58">
        <v>2.0264975334742781</v>
      </c>
      <c r="AH58" t="s">
        <v>157</v>
      </c>
      <c r="AI58">
        <v>1</v>
      </c>
      <c r="AJ58">
        <v>45209</v>
      </c>
      <c r="AK58" t="s">
        <v>67</v>
      </c>
      <c r="AL58" s="9">
        <v>45291</v>
      </c>
      <c r="AM58" s="9">
        <v>45111</v>
      </c>
      <c r="AN58" s="9">
        <v>45301</v>
      </c>
      <c r="AO58" s="9"/>
      <c r="AP58" s="9">
        <v>45328</v>
      </c>
      <c r="AQ58">
        <v>0.02</v>
      </c>
      <c r="AR58">
        <v>4.4999999999999997E-3</v>
      </c>
    </row>
    <row r="59" spans="1:44" x14ac:dyDescent="0.25">
      <c r="A59" t="s">
        <v>199</v>
      </c>
      <c r="B59" t="s">
        <v>194</v>
      </c>
      <c r="C59" t="s">
        <v>46</v>
      </c>
      <c r="D59" t="s">
        <v>47</v>
      </c>
      <c r="E59" t="s">
        <v>92</v>
      </c>
      <c r="F59" t="s">
        <v>195</v>
      </c>
      <c r="G59" t="s">
        <v>50</v>
      </c>
      <c r="H59">
        <v>10035977157</v>
      </c>
      <c r="I59" t="s">
        <v>51</v>
      </c>
      <c r="J59" t="s">
        <v>56</v>
      </c>
      <c r="K59" t="s">
        <v>78</v>
      </c>
      <c r="L59">
        <v>1000</v>
      </c>
      <c r="M59">
        <v>1419</v>
      </c>
      <c r="N59">
        <v>2150</v>
      </c>
      <c r="O59" t="s">
        <v>188</v>
      </c>
      <c r="P59" t="s">
        <v>196</v>
      </c>
      <c r="Q59">
        <v>250.2</v>
      </c>
      <c r="R59">
        <v>219</v>
      </c>
      <c r="S59">
        <v>222.8</v>
      </c>
      <c r="T59">
        <v>233.2</v>
      </c>
      <c r="U59">
        <v>213.6</v>
      </c>
      <c r="V59">
        <v>226.4</v>
      </c>
      <c r="W59">
        <v>243</v>
      </c>
      <c r="X59">
        <v>278.60000000000002</v>
      </c>
      <c r="Y59">
        <v>261.60000000000002</v>
      </c>
      <c r="Z59">
        <v>230.8</v>
      </c>
      <c r="AA59">
        <v>245.4</v>
      </c>
      <c r="AB59">
        <v>251</v>
      </c>
      <c r="AC59">
        <v>2875.6000000000004</v>
      </c>
      <c r="AD59">
        <v>88.6</v>
      </c>
      <c r="AE59">
        <v>2761.8</v>
      </c>
      <c r="AF59">
        <v>2729.8</v>
      </c>
      <c r="AG59">
        <v>2.0264975334742781</v>
      </c>
      <c r="AH59" t="s">
        <v>157</v>
      </c>
      <c r="AI59">
        <v>1</v>
      </c>
      <c r="AJ59">
        <v>45209</v>
      </c>
      <c r="AK59" t="s">
        <v>67</v>
      </c>
      <c r="AL59" s="9">
        <v>45291</v>
      </c>
      <c r="AM59" s="9">
        <v>45111</v>
      </c>
      <c r="AN59" s="9">
        <v>45301</v>
      </c>
      <c r="AO59" s="9"/>
      <c r="AP59" s="9">
        <v>45328</v>
      </c>
      <c r="AQ59">
        <v>0.02</v>
      </c>
      <c r="AR59">
        <v>4.4999999999999997E-3</v>
      </c>
    </row>
    <row r="60" spans="1:44" x14ac:dyDescent="0.25">
      <c r="A60" t="s">
        <v>200</v>
      </c>
      <c r="B60" t="s">
        <v>194</v>
      </c>
      <c r="C60" t="s">
        <v>46</v>
      </c>
      <c r="D60" t="s">
        <v>47</v>
      </c>
      <c r="E60" t="s">
        <v>92</v>
      </c>
      <c r="F60" t="s">
        <v>195</v>
      </c>
      <c r="G60" t="s">
        <v>50</v>
      </c>
      <c r="H60">
        <v>10035977203</v>
      </c>
      <c r="I60" t="s">
        <v>51</v>
      </c>
      <c r="J60" t="s">
        <v>56</v>
      </c>
      <c r="K60" t="s">
        <v>78</v>
      </c>
      <c r="L60">
        <v>1000</v>
      </c>
      <c r="M60">
        <v>1419</v>
      </c>
      <c r="N60">
        <v>2150</v>
      </c>
      <c r="O60" t="s">
        <v>188</v>
      </c>
      <c r="P60" t="s">
        <v>196</v>
      </c>
      <c r="Q60">
        <v>250.2</v>
      </c>
      <c r="R60">
        <v>219</v>
      </c>
      <c r="S60">
        <v>222.8</v>
      </c>
      <c r="T60">
        <v>233.2</v>
      </c>
      <c r="U60">
        <v>213.6</v>
      </c>
      <c r="V60">
        <v>226.4</v>
      </c>
      <c r="W60">
        <v>243</v>
      </c>
      <c r="X60">
        <v>278.60000000000002</v>
      </c>
      <c r="Y60">
        <v>261.60000000000002</v>
      </c>
      <c r="Z60">
        <v>230.8</v>
      </c>
      <c r="AA60">
        <v>245.4</v>
      </c>
      <c r="AB60">
        <v>251</v>
      </c>
      <c r="AC60">
        <v>2875.6000000000004</v>
      </c>
      <c r="AD60">
        <v>88.6</v>
      </c>
      <c r="AE60">
        <v>2761.8</v>
      </c>
      <c r="AF60">
        <v>2729.8</v>
      </c>
      <c r="AG60">
        <v>2.0264975334742781</v>
      </c>
      <c r="AH60" t="s">
        <v>157</v>
      </c>
      <c r="AI60">
        <v>1</v>
      </c>
      <c r="AJ60">
        <v>45209</v>
      </c>
      <c r="AK60" t="s">
        <v>67</v>
      </c>
      <c r="AL60" s="9">
        <v>45291</v>
      </c>
      <c r="AM60" s="9">
        <v>45111</v>
      </c>
      <c r="AN60" s="9">
        <v>45301</v>
      </c>
      <c r="AO60" s="9"/>
      <c r="AP60" s="9">
        <v>45328</v>
      </c>
      <c r="AQ60">
        <v>0.02</v>
      </c>
      <c r="AR60">
        <v>4.4999999999999997E-3</v>
      </c>
    </row>
    <row r="61" spans="1:44" x14ac:dyDescent="0.25">
      <c r="A61" t="s">
        <v>201</v>
      </c>
      <c r="B61" t="s">
        <v>191</v>
      </c>
      <c r="C61" t="s">
        <v>46</v>
      </c>
      <c r="D61" t="s">
        <v>47</v>
      </c>
      <c r="E61" t="s">
        <v>186</v>
      </c>
      <c r="F61" t="s">
        <v>187</v>
      </c>
      <c r="G61" t="s">
        <v>50</v>
      </c>
      <c r="H61">
        <v>10035751906</v>
      </c>
      <c r="I61" t="s">
        <v>51</v>
      </c>
      <c r="J61" t="s">
        <v>56</v>
      </c>
      <c r="K61" t="s">
        <v>78</v>
      </c>
      <c r="L61">
        <v>1000</v>
      </c>
      <c r="M61">
        <v>1391.28</v>
      </c>
      <c r="N61">
        <v>2108</v>
      </c>
      <c r="O61" t="s">
        <v>188</v>
      </c>
      <c r="P61" t="s">
        <v>189</v>
      </c>
      <c r="Q61">
        <v>243.34285714285718</v>
      </c>
      <c r="R61">
        <v>217.35714285714286</v>
      </c>
      <c r="S61">
        <v>228.60952380952381</v>
      </c>
      <c r="T61">
        <v>211.85238095238094</v>
      </c>
      <c r="U61">
        <v>181.57619047619048</v>
      </c>
      <c r="V61">
        <v>205.53809523809528</v>
      </c>
      <c r="W61">
        <v>219.66428571428574</v>
      </c>
      <c r="X61">
        <v>247.95714285714288</v>
      </c>
      <c r="Y61">
        <v>245.89285714285717</v>
      </c>
      <c r="Z61">
        <v>239.65952380952385</v>
      </c>
      <c r="AA61">
        <v>202.90714285714287</v>
      </c>
      <c r="AB61">
        <v>246.1357142857143</v>
      </c>
      <c r="AC61">
        <v>2690.4928571428572</v>
      </c>
      <c r="AD61">
        <v>82.976190476190496</v>
      </c>
      <c r="AE61">
        <v>2584</v>
      </c>
      <c r="AF61">
        <v>2554.0476190476193</v>
      </c>
      <c r="AG61">
        <v>1.9338255830191315</v>
      </c>
      <c r="AH61" t="s">
        <v>202</v>
      </c>
      <c r="AI61">
        <v>1</v>
      </c>
      <c r="AJ61">
        <v>45434</v>
      </c>
      <c r="AK61" t="s">
        <v>67</v>
      </c>
      <c r="AL61" s="9">
        <v>45299</v>
      </c>
      <c r="AM61" s="9">
        <v>45139</v>
      </c>
      <c r="AN61" s="9">
        <v>45336</v>
      </c>
      <c r="AO61" s="9"/>
      <c r="AP61" s="9">
        <v>45338</v>
      </c>
      <c r="AQ61">
        <v>0.02</v>
      </c>
      <c r="AR61">
        <v>4.4999999999999997E-3</v>
      </c>
    </row>
    <row r="62" spans="1:44" x14ac:dyDescent="0.25">
      <c r="A62" t="s">
        <v>203</v>
      </c>
      <c r="B62" t="s">
        <v>191</v>
      </c>
      <c r="C62" t="s">
        <v>46</v>
      </c>
      <c r="D62" t="s">
        <v>47</v>
      </c>
      <c r="E62" t="s">
        <v>186</v>
      </c>
      <c r="F62" t="s">
        <v>187</v>
      </c>
      <c r="G62" t="s">
        <v>50</v>
      </c>
      <c r="H62">
        <v>10035751914</v>
      </c>
      <c r="I62" t="s">
        <v>51</v>
      </c>
      <c r="J62" t="s">
        <v>56</v>
      </c>
      <c r="K62" t="s">
        <v>78</v>
      </c>
      <c r="L62">
        <v>1000</v>
      </c>
      <c r="M62">
        <v>1350.36</v>
      </c>
      <c r="N62">
        <v>2046</v>
      </c>
      <c r="O62" t="s">
        <v>188</v>
      </c>
      <c r="P62" t="s">
        <v>189</v>
      </c>
      <c r="Q62">
        <v>236.18571428571431</v>
      </c>
      <c r="R62">
        <v>210.96428571428572</v>
      </c>
      <c r="S62">
        <v>221.88571428571427</v>
      </c>
      <c r="T62">
        <v>205.62142857142857</v>
      </c>
      <c r="U62">
        <v>176.23571428571432</v>
      </c>
      <c r="V62">
        <v>199.49285714285713</v>
      </c>
      <c r="W62">
        <v>213.20357142857145</v>
      </c>
      <c r="X62">
        <v>240.66428571428571</v>
      </c>
      <c r="Y62">
        <v>238.66071428571428</v>
      </c>
      <c r="Z62">
        <v>232.61071428571429</v>
      </c>
      <c r="AA62">
        <v>196.93928571428572</v>
      </c>
      <c r="AB62">
        <v>238.89642857142857</v>
      </c>
      <c r="AC62">
        <v>2611.3607142857145</v>
      </c>
      <c r="AD62">
        <v>80.535714285714292</v>
      </c>
      <c r="AE62">
        <v>2508.0000000000005</v>
      </c>
      <c r="AF62">
        <v>2478.9285714285716</v>
      </c>
      <c r="AG62">
        <v>1.9338255830191318</v>
      </c>
      <c r="AH62" t="s">
        <v>202</v>
      </c>
      <c r="AI62">
        <v>1</v>
      </c>
      <c r="AJ62">
        <v>45434</v>
      </c>
      <c r="AK62" t="s">
        <v>67</v>
      </c>
      <c r="AL62" s="9">
        <v>45299</v>
      </c>
      <c r="AM62" s="9">
        <v>45139</v>
      </c>
      <c r="AN62" s="9">
        <v>45336</v>
      </c>
      <c r="AO62" s="9"/>
      <c r="AP62" s="9">
        <v>45338</v>
      </c>
      <c r="AQ62">
        <v>0.02</v>
      </c>
      <c r="AR62">
        <v>4.4999999999999997E-3</v>
      </c>
    </row>
    <row r="63" spans="1:44" x14ac:dyDescent="0.25">
      <c r="A63" t="s">
        <v>204</v>
      </c>
      <c r="B63" t="s">
        <v>191</v>
      </c>
      <c r="C63" t="s">
        <v>46</v>
      </c>
      <c r="D63" t="s">
        <v>47</v>
      </c>
      <c r="E63" t="s">
        <v>186</v>
      </c>
      <c r="F63" t="s">
        <v>187</v>
      </c>
      <c r="G63" t="s">
        <v>50</v>
      </c>
      <c r="H63">
        <v>10035751922</v>
      </c>
      <c r="I63" t="s">
        <v>51</v>
      </c>
      <c r="J63" t="s">
        <v>56</v>
      </c>
      <c r="K63" t="s">
        <v>78</v>
      </c>
      <c r="L63">
        <v>500</v>
      </c>
      <c r="M63">
        <v>695.64</v>
      </c>
      <c r="N63">
        <v>1054</v>
      </c>
      <c r="O63" t="s">
        <v>193</v>
      </c>
      <c r="P63" t="s">
        <v>189</v>
      </c>
      <c r="Q63">
        <v>121.67142857142859</v>
      </c>
      <c r="R63">
        <v>108.67857142857143</v>
      </c>
      <c r="S63">
        <v>114.3047619047619</v>
      </c>
      <c r="T63">
        <v>105.92619047619047</v>
      </c>
      <c r="U63">
        <v>90.788095238095238</v>
      </c>
      <c r="V63">
        <v>102.76904761904764</v>
      </c>
      <c r="W63">
        <v>109.83214285714287</v>
      </c>
      <c r="X63">
        <v>123.97857142857144</v>
      </c>
      <c r="Y63">
        <v>122.94642857142858</v>
      </c>
      <c r="Z63">
        <v>119.82976190476192</v>
      </c>
      <c r="AA63">
        <v>101.45357142857144</v>
      </c>
      <c r="AB63">
        <v>123.06785714285715</v>
      </c>
      <c r="AC63">
        <v>1345.2464285714286</v>
      </c>
      <c r="AD63">
        <v>41.488095238095248</v>
      </c>
      <c r="AE63">
        <v>1292</v>
      </c>
      <c r="AF63">
        <v>1277.0238095238096</v>
      </c>
      <c r="AG63">
        <v>1.9338255830191315</v>
      </c>
      <c r="AH63" t="s">
        <v>202</v>
      </c>
      <c r="AI63">
        <v>1</v>
      </c>
      <c r="AJ63">
        <v>45434</v>
      </c>
      <c r="AK63" t="s">
        <v>67</v>
      </c>
      <c r="AL63" s="9">
        <v>45299</v>
      </c>
      <c r="AM63" s="9">
        <v>45139</v>
      </c>
      <c r="AN63" s="9">
        <v>45336</v>
      </c>
      <c r="AO63" s="9"/>
      <c r="AP63" s="9">
        <v>45338</v>
      </c>
      <c r="AQ63">
        <v>0.02</v>
      </c>
      <c r="AR63">
        <v>4.4999999999999997E-3</v>
      </c>
    </row>
    <row r="64" spans="1:44" x14ac:dyDescent="0.25">
      <c r="A64" t="s">
        <v>205</v>
      </c>
      <c r="B64" t="s">
        <v>205</v>
      </c>
      <c r="C64" t="s">
        <v>46</v>
      </c>
      <c r="D64" t="s">
        <v>47</v>
      </c>
      <c r="E64" t="s">
        <v>73</v>
      </c>
      <c r="F64" t="s">
        <v>74</v>
      </c>
      <c r="G64" t="s">
        <v>50</v>
      </c>
      <c r="H64">
        <v>10035715993</v>
      </c>
      <c r="I64" t="s">
        <v>51</v>
      </c>
      <c r="J64" t="s">
        <v>56</v>
      </c>
      <c r="K64" t="s">
        <v>78</v>
      </c>
      <c r="L64">
        <v>1000</v>
      </c>
      <c r="M64">
        <v>1288.98</v>
      </c>
      <c r="N64">
        <v>1953</v>
      </c>
      <c r="O64" t="s">
        <v>188</v>
      </c>
      <c r="P64" t="s">
        <v>189</v>
      </c>
      <c r="Q64">
        <v>227.81612903225809</v>
      </c>
      <c r="R64">
        <v>197.94193548387096</v>
      </c>
      <c r="S64">
        <v>203.83548387096775</v>
      </c>
      <c r="T64">
        <v>195.7741935483871</v>
      </c>
      <c r="U64">
        <v>194.89354838709676</v>
      </c>
      <c r="V64">
        <v>170.43870967741935</v>
      </c>
      <c r="W64">
        <v>198.95806451612901</v>
      </c>
      <c r="X64">
        <v>226.59677419354838</v>
      </c>
      <c r="Y64">
        <v>224.2258064516129</v>
      </c>
      <c r="Z64">
        <v>213.45483870967746</v>
      </c>
      <c r="AA64">
        <v>198.41612903225806</v>
      </c>
      <c r="AB64">
        <v>222.26129032258066</v>
      </c>
      <c r="AC64">
        <v>2474.6129032258068</v>
      </c>
      <c r="AD64">
        <v>76.548387096774192</v>
      </c>
      <c r="AE64">
        <v>2377.0645161290327</v>
      </c>
      <c r="AF64">
        <v>2349.2903225806449</v>
      </c>
      <c r="AG64">
        <v>1.9198225753896931</v>
      </c>
      <c r="AH64" t="s">
        <v>202</v>
      </c>
      <c r="AI64">
        <v>1</v>
      </c>
      <c r="AJ64">
        <v>45434</v>
      </c>
      <c r="AK64" t="s">
        <v>67</v>
      </c>
      <c r="AL64" s="9">
        <v>45322</v>
      </c>
      <c r="AM64" s="9">
        <v>45166</v>
      </c>
      <c r="AN64" s="9">
        <v>45422</v>
      </c>
      <c r="AO64" s="9"/>
      <c r="AP64" s="9">
        <v>45434</v>
      </c>
      <c r="AQ64">
        <v>0.02</v>
      </c>
      <c r="AR64">
        <v>4.4999999999999997E-3</v>
      </c>
    </row>
    <row r="65" spans="1:44" x14ac:dyDescent="0.25">
      <c r="A65" t="s">
        <v>206</v>
      </c>
      <c r="B65" t="s">
        <v>205</v>
      </c>
      <c r="C65" t="s">
        <v>46</v>
      </c>
      <c r="D65" t="s">
        <v>47</v>
      </c>
      <c r="E65" t="s">
        <v>73</v>
      </c>
      <c r="F65" t="s">
        <v>74</v>
      </c>
      <c r="G65" t="s">
        <v>50</v>
      </c>
      <c r="H65">
        <v>10035715969</v>
      </c>
      <c r="I65" t="s">
        <v>51</v>
      </c>
      <c r="J65" t="s">
        <v>56</v>
      </c>
      <c r="K65" t="s">
        <v>78</v>
      </c>
      <c r="L65">
        <v>500</v>
      </c>
      <c r="M65">
        <v>613.79999999999995</v>
      </c>
      <c r="N65">
        <v>930</v>
      </c>
      <c r="O65" t="s">
        <v>193</v>
      </c>
      <c r="P65" t="s">
        <v>189</v>
      </c>
      <c r="Q65">
        <v>108.48387096774194</v>
      </c>
      <c r="R65">
        <v>94.258064516129025</v>
      </c>
      <c r="S65">
        <v>97.064516129032256</v>
      </c>
      <c r="T65">
        <v>93.225806451612897</v>
      </c>
      <c r="U65">
        <v>92.806451612903217</v>
      </c>
      <c r="V65">
        <v>81.161290322580641</v>
      </c>
      <c r="W65">
        <v>94.741935483870947</v>
      </c>
      <c r="X65">
        <v>107.9032258064516</v>
      </c>
      <c r="Y65">
        <v>106.77419354838709</v>
      </c>
      <c r="Z65">
        <v>101.64516129032259</v>
      </c>
      <c r="AA65">
        <v>94.483870967741922</v>
      </c>
      <c r="AB65">
        <v>105.83870967741936</v>
      </c>
      <c r="AC65">
        <v>1178.3870967741934</v>
      </c>
      <c r="AD65">
        <v>36.451612903225801</v>
      </c>
      <c r="AE65">
        <v>1131.9354838709676</v>
      </c>
      <c r="AF65">
        <v>1118.7096774193549</v>
      </c>
      <c r="AG65">
        <v>1.9198225753896929</v>
      </c>
      <c r="AH65" t="s">
        <v>202</v>
      </c>
      <c r="AI65">
        <v>1</v>
      </c>
      <c r="AJ65">
        <v>45434</v>
      </c>
      <c r="AK65" t="s">
        <v>67</v>
      </c>
      <c r="AL65" s="9">
        <v>45322</v>
      </c>
      <c r="AM65" s="9">
        <v>45166</v>
      </c>
      <c r="AN65" s="9">
        <v>45422</v>
      </c>
      <c r="AO65" s="9"/>
      <c r="AP65" s="9">
        <v>45434</v>
      </c>
      <c r="AQ65">
        <v>0.02</v>
      </c>
      <c r="AR65">
        <v>4.4999999999999997E-3</v>
      </c>
    </row>
    <row r="66" spans="1:44" x14ac:dyDescent="0.25">
      <c r="A66" t="s">
        <v>207</v>
      </c>
      <c r="B66" t="s">
        <v>122</v>
      </c>
      <c r="C66" t="s">
        <v>46</v>
      </c>
      <c r="D66" t="s">
        <v>47</v>
      </c>
      <c r="E66" t="s">
        <v>48</v>
      </c>
      <c r="F66" t="s">
        <v>120</v>
      </c>
      <c r="G66" t="s">
        <v>50</v>
      </c>
      <c r="H66">
        <v>10035462084</v>
      </c>
      <c r="I66" t="s">
        <v>51</v>
      </c>
      <c r="J66" t="s">
        <v>56</v>
      </c>
      <c r="K66" t="s">
        <v>78</v>
      </c>
      <c r="L66">
        <v>1000</v>
      </c>
      <c r="M66">
        <v>1366.2</v>
      </c>
      <c r="N66">
        <v>2070</v>
      </c>
      <c r="O66" t="s">
        <v>188</v>
      </c>
      <c r="P66" t="s">
        <v>189</v>
      </c>
      <c r="Q66">
        <v>233.29056047197645</v>
      </c>
      <c r="R66">
        <v>212.52949852507376</v>
      </c>
      <c r="S66">
        <v>203.74336283185843</v>
      </c>
      <c r="T66">
        <v>208.594395280236</v>
      </c>
      <c r="U66">
        <v>211.41002949852512</v>
      </c>
      <c r="V66">
        <v>201.70796460176993</v>
      </c>
      <c r="W66">
        <v>193.05752212389382</v>
      </c>
      <c r="X66">
        <v>232.98525073746313</v>
      </c>
      <c r="Y66">
        <v>231.79793510324484</v>
      </c>
      <c r="Z66">
        <v>234.54572271386434</v>
      </c>
      <c r="AA66">
        <v>205.88053097345136</v>
      </c>
      <c r="AB66">
        <v>232.78171091445429</v>
      </c>
      <c r="AC66">
        <v>2602.3244837758111</v>
      </c>
      <c r="AD66">
        <v>80.058997050147497</v>
      </c>
      <c r="AE66">
        <v>2499.4690265486724</v>
      </c>
      <c r="AF66">
        <v>2470.6342182890858</v>
      </c>
      <c r="AG66">
        <v>1.9047902823714031</v>
      </c>
      <c r="AH66" t="s">
        <v>202</v>
      </c>
      <c r="AI66">
        <v>1</v>
      </c>
      <c r="AJ66">
        <v>45434</v>
      </c>
      <c r="AK66" t="s">
        <v>67</v>
      </c>
      <c r="AL66" s="9">
        <v>45322</v>
      </c>
      <c r="AM66" s="9">
        <v>45184</v>
      </c>
      <c r="AN66" s="9">
        <v>45477</v>
      </c>
      <c r="AO66" s="9"/>
      <c r="AP66" s="9">
        <v>45502</v>
      </c>
      <c r="AQ66">
        <v>0.02</v>
      </c>
      <c r="AR66">
        <v>4.4999999999999997E-3</v>
      </c>
    </row>
    <row r="67" spans="1:44" x14ac:dyDescent="0.25">
      <c r="A67" t="s">
        <v>208</v>
      </c>
      <c r="B67" t="s">
        <v>122</v>
      </c>
      <c r="C67" t="s">
        <v>46</v>
      </c>
      <c r="D67" t="s">
        <v>47</v>
      </c>
      <c r="E67" t="s">
        <v>48</v>
      </c>
      <c r="F67" t="s">
        <v>120</v>
      </c>
      <c r="G67" t="s">
        <v>50</v>
      </c>
      <c r="H67">
        <v>10035462114</v>
      </c>
      <c r="I67" t="s">
        <v>51</v>
      </c>
      <c r="J67" t="s">
        <v>56</v>
      </c>
      <c r="K67" t="s">
        <v>78</v>
      </c>
      <c r="L67">
        <v>1000</v>
      </c>
      <c r="M67">
        <v>1306.8</v>
      </c>
      <c r="N67">
        <v>1980</v>
      </c>
      <c r="O67" t="s">
        <v>188</v>
      </c>
      <c r="P67" t="s">
        <v>189</v>
      </c>
      <c r="Q67">
        <v>223.14749262536876</v>
      </c>
      <c r="R67">
        <v>203.28908554572271</v>
      </c>
      <c r="S67">
        <v>194.88495575221239</v>
      </c>
      <c r="T67">
        <v>199.5250737463127</v>
      </c>
      <c r="U67">
        <v>202.21828908554573</v>
      </c>
      <c r="V67">
        <v>192.93805309734515</v>
      </c>
      <c r="W67">
        <v>184.6637168141593</v>
      </c>
      <c r="X67">
        <v>222.85545722713863</v>
      </c>
      <c r="Y67">
        <v>221.71976401179941</v>
      </c>
      <c r="Z67">
        <v>224.34808259587021</v>
      </c>
      <c r="AA67">
        <v>196.92920353982299</v>
      </c>
      <c r="AB67">
        <v>222.66076696165192</v>
      </c>
      <c r="AC67">
        <v>2489.1799410029503</v>
      </c>
      <c r="AD67">
        <v>76.578171091445427</v>
      </c>
      <c r="AE67">
        <v>2390.7964601769913</v>
      </c>
      <c r="AF67">
        <v>2363.2153392330388</v>
      </c>
      <c r="AG67">
        <v>1.9047902823714038</v>
      </c>
      <c r="AH67" t="s">
        <v>202</v>
      </c>
      <c r="AI67">
        <v>1</v>
      </c>
      <c r="AJ67">
        <v>45434</v>
      </c>
      <c r="AK67" t="s">
        <v>67</v>
      </c>
      <c r="AL67" s="9">
        <v>45322</v>
      </c>
      <c r="AM67" s="9">
        <v>45184</v>
      </c>
      <c r="AN67" s="9">
        <v>45477</v>
      </c>
      <c r="AO67" s="9"/>
      <c r="AP67" s="9">
        <v>45511</v>
      </c>
      <c r="AQ67">
        <v>0.02</v>
      </c>
      <c r="AR67">
        <v>4.4999999999999997E-3</v>
      </c>
    </row>
    <row r="68" spans="1:44" x14ac:dyDescent="0.25">
      <c r="A68" t="s">
        <v>209</v>
      </c>
      <c r="B68" t="s">
        <v>122</v>
      </c>
      <c r="C68" t="s">
        <v>46</v>
      </c>
      <c r="D68" t="s">
        <v>47</v>
      </c>
      <c r="E68" t="s">
        <v>48</v>
      </c>
      <c r="F68" t="s">
        <v>120</v>
      </c>
      <c r="G68" t="s">
        <v>50</v>
      </c>
      <c r="H68">
        <v>10035462262</v>
      </c>
      <c r="I68" t="s">
        <v>51</v>
      </c>
      <c r="J68" t="s">
        <v>56</v>
      </c>
      <c r="K68" t="s">
        <v>78</v>
      </c>
      <c r="L68">
        <v>1000</v>
      </c>
      <c r="M68">
        <v>1354.32</v>
      </c>
      <c r="N68">
        <v>2052</v>
      </c>
      <c r="O68" t="s">
        <v>188</v>
      </c>
      <c r="P68" t="s">
        <v>189</v>
      </c>
      <c r="Q68">
        <v>231.2619469026549</v>
      </c>
      <c r="R68">
        <v>210.68141592920355</v>
      </c>
      <c r="S68">
        <v>201.9716814159292</v>
      </c>
      <c r="T68">
        <v>206.78053097345131</v>
      </c>
      <c r="U68">
        <v>209.57168141592922</v>
      </c>
      <c r="V68">
        <v>199.95398230088497</v>
      </c>
      <c r="W68">
        <v>191.3787610619469</v>
      </c>
      <c r="X68">
        <v>230.95929203539822</v>
      </c>
      <c r="Y68">
        <v>229.78230088495576</v>
      </c>
      <c r="Z68">
        <v>232.50619469026549</v>
      </c>
      <c r="AA68">
        <v>204.09026548672566</v>
      </c>
      <c r="AB68">
        <v>230.75752212389378</v>
      </c>
      <c r="AC68">
        <v>2579.6955752212389</v>
      </c>
      <c r="AD68">
        <v>79.362831858407077</v>
      </c>
      <c r="AE68">
        <v>2477.7345132743362</v>
      </c>
      <c r="AF68">
        <v>2449.1504424778759</v>
      </c>
      <c r="AG68">
        <v>1.9047902823714034</v>
      </c>
      <c r="AH68" t="s">
        <v>202</v>
      </c>
      <c r="AI68">
        <v>1</v>
      </c>
      <c r="AJ68">
        <v>45434</v>
      </c>
      <c r="AK68" t="s">
        <v>67</v>
      </c>
      <c r="AL68" s="9">
        <v>45322</v>
      </c>
      <c r="AM68" s="9">
        <v>45184</v>
      </c>
      <c r="AN68" s="9">
        <v>45477</v>
      </c>
      <c r="AO68" s="9"/>
      <c r="AP68" s="9">
        <v>45502</v>
      </c>
      <c r="AQ68">
        <v>0.02</v>
      </c>
      <c r="AR68">
        <v>4.4999999999999997E-3</v>
      </c>
    </row>
    <row r="69" spans="1:44" x14ac:dyDescent="0.25">
      <c r="A69" t="s">
        <v>210</v>
      </c>
      <c r="B69" t="s">
        <v>211</v>
      </c>
      <c r="C69" t="s">
        <v>212</v>
      </c>
      <c r="D69" t="s">
        <v>47</v>
      </c>
      <c r="E69" t="s">
        <v>213</v>
      </c>
      <c r="F69" t="s">
        <v>214</v>
      </c>
      <c r="G69" t="s">
        <v>50</v>
      </c>
      <c r="H69">
        <v>10036964210</v>
      </c>
      <c r="I69" t="s">
        <v>51</v>
      </c>
      <c r="J69" t="s">
        <v>56</v>
      </c>
      <c r="K69" t="s">
        <v>78</v>
      </c>
      <c r="L69">
        <v>1000</v>
      </c>
      <c r="M69">
        <v>1451.16</v>
      </c>
      <c r="N69">
        <v>2088</v>
      </c>
      <c r="O69" t="s">
        <v>215</v>
      </c>
      <c r="P69" t="s">
        <v>216</v>
      </c>
      <c r="Q69">
        <v>237</v>
      </c>
      <c r="R69">
        <v>219.20000000000002</v>
      </c>
      <c r="S69">
        <v>217.4</v>
      </c>
      <c r="T69">
        <v>222.79999999999998</v>
      </c>
      <c r="U69">
        <v>222.6</v>
      </c>
      <c r="V69">
        <v>226.6</v>
      </c>
      <c r="W69">
        <v>238.40000000000003</v>
      </c>
      <c r="X69">
        <v>267.8</v>
      </c>
      <c r="Y69">
        <v>253.40000000000003</v>
      </c>
      <c r="Z69">
        <v>241.20000000000002</v>
      </c>
      <c r="AA69">
        <v>224.8</v>
      </c>
      <c r="AB69">
        <v>217.6</v>
      </c>
      <c r="AC69">
        <v>2788.7999999999997</v>
      </c>
      <c r="AD69">
        <v>86</v>
      </c>
      <c r="AE69">
        <v>2678.8</v>
      </c>
      <c r="AF69">
        <v>2647.8</v>
      </c>
      <c r="AG69">
        <v>1.9217729264863967</v>
      </c>
      <c r="AH69" t="s">
        <v>157</v>
      </c>
      <c r="AI69">
        <v>1</v>
      </c>
      <c r="AJ69">
        <v>45475</v>
      </c>
      <c r="AK69" t="s">
        <v>217</v>
      </c>
      <c r="AL69" s="9">
        <v>45716</v>
      </c>
      <c r="AM69" s="9">
        <v>45565</v>
      </c>
      <c r="AN69" s="9"/>
      <c r="AO69" s="9">
        <v>45747</v>
      </c>
      <c r="AP69" s="9"/>
    </row>
    <row r="70" spans="1:44" x14ac:dyDescent="0.25">
      <c r="A70" t="s">
        <v>218</v>
      </c>
      <c r="B70" t="s">
        <v>211</v>
      </c>
      <c r="C70" t="s">
        <v>212</v>
      </c>
      <c r="D70" t="s">
        <v>47</v>
      </c>
      <c r="E70" t="s">
        <v>213</v>
      </c>
      <c r="F70" t="s">
        <v>214</v>
      </c>
      <c r="G70" t="s">
        <v>50</v>
      </c>
      <c r="H70">
        <v>10036964237</v>
      </c>
      <c r="I70" t="s">
        <v>51</v>
      </c>
      <c r="J70" t="s">
        <v>56</v>
      </c>
      <c r="K70" t="s">
        <v>78</v>
      </c>
      <c r="L70">
        <v>1000</v>
      </c>
      <c r="M70">
        <v>1451.16</v>
      </c>
      <c r="N70">
        <v>2088</v>
      </c>
      <c r="O70" t="s">
        <v>215</v>
      </c>
      <c r="P70" t="s">
        <v>216</v>
      </c>
      <c r="Q70">
        <v>237</v>
      </c>
      <c r="R70">
        <v>219.20000000000002</v>
      </c>
      <c r="S70">
        <v>217.4</v>
      </c>
      <c r="T70">
        <v>222.79999999999998</v>
      </c>
      <c r="U70">
        <v>222.6</v>
      </c>
      <c r="V70">
        <v>226.6</v>
      </c>
      <c r="W70">
        <v>238.40000000000003</v>
      </c>
      <c r="X70">
        <v>267.8</v>
      </c>
      <c r="Y70">
        <v>253.40000000000003</v>
      </c>
      <c r="Z70">
        <v>241.20000000000002</v>
      </c>
      <c r="AA70">
        <v>224.8</v>
      </c>
      <c r="AB70">
        <v>217.6</v>
      </c>
      <c r="AC70">
        <v>2788.7999999999997</v>
      </c>
      <c r="AD70">
        <v>86</v>
      </c>
      <c r="AE70">
        <v>2678.8</v>
      </c>
      <c r="AF70">
        <v>2647.8</v>
      </c>
      <c r="AG70">
        <v>1.9217729264863967</v>
      </c>
      <c r="AH70" t="s">
        <v>157</v>
      </c>
      <c r="AI70">
        <v>1</v>
      </c>
      <c r="AJ70">
        <v>45475</v>
      </c>
      <c r="AK70" t="s">
        <v>217</v>
      </c>
      <c r="AL70" s="9">
        <v>45716</v>
      </c>
      <c r="AM70" s="9">
        <v>45565</v>
      </c>
      <c r="AN70" s="9"/>
      <c r="AO70" s="9">
        <v>45747</v>
      </c>
      <c r="AP70" s="9"/>
    </row>
    <row r="71" spans="1:44" x14ac:dyDescent="0.25">
      <c r="A71" t="s">
        <v>219</v>
      </c>
      <c r="B71" t="s">
        <v>211</v>
      </c>
      <c r="C71" t="s">
        <v>212</v>
      </c>
      <c r="D71" t="s">
        <v>47</v>
      </c>
      <c r="E71" t="s">
        <v>213</v>
      </c>
      <c r="F71" t="s">
        <v>214</v>
      </c>
      <c r="G71" t="s">
        <v>50</v>
      </c>
      <c r="H71">
        <v>10036964253</v>
      </c>
      <c r="I71" t="s">
        <v>51</v>
      </c>
      <c r="J71" t="s">
        <v>56</v>
      </c>
      <c r="K71" t="s">
        <v>78</v>
      </c>
      <c r="L71">
        <v>1000</v>
      </c>
      <c r="M71">
        <v>1451.16</v>
      </c>
      <c r="N71">
        <v>2088</v>
      </c>
      <c r="O71" t="s">
        <v>215</v>
      </c>
      <c r="P71" t="s">
        <v>216</v>
      </c>
      <c r="Q71">
        <v>237</v>
      </c>
      <c r="R71">
        <v>219.20000000000002</v>
      </c>
      <c r="S71">
        <v>217.4</v>
      </c>
      <c r="T71">
        <v>222.79999999999998</v>
      </c>
      <c r="U71">
        <v>222.6</v>
      </c>
      <c r="V71">
        <v>226.6</v>
      </c>
      <c r="W71">
        <v>238.40000000000003</v>
      </c>
      <c r="X71">
        <v>267.8</v>
      </c>
      <c r="Y71">
        <v>253.40000000000003</v>
      </c>
      <c r="Z71">
        <v>241.20000000000002</v>
      </c>
      <c r="AA71">
        <v>224.8</v>
      </c>
      <c r="AB71">
        <v>217.6</v>
      </c>
      <c r="AC71">
        <v>2788.7999999999997</v>
      </c>
      <c r="AD71">
        <v>86</v>
      </c>
      <c r="AE71">
        <v>2678.8</v>
      </c>
      <c r="AF71">
        <v>2647.8</v>
      </c>
      <c r="AG71">
        <v>1.9217729264863967</v>
      </c>
      <c r="AH71" t="s">
        <v>157</v>
      </c>
      <c r="AI71">
        <v>1</v>
      </c>
      <c r="AJ71">
        <v>45475</v>
      </c>
      <c r="AK71" t="s">
        <v>217</v>
      </c>
      <c r="AL71" s="9">
        <v>45716</v>
      </c>
      <c r="AM71" s="9">
        <v>45565</v>
      </c>
      <c r="AN71" s="9"/>
      <c r="AO71" s="9">
        <v>45747</v>
      </c>
      <c r="AP71" s="9"/>
    </row>
    <row r="72" spans="1:44" x14ac:dyDescent="0.25">
      <c r="A72" t="s">
        <v>220</v>
      </c>
      <c r="B72" t="s">
        <v>211</v>
      </c>
      <c r="C72" t="s">
        <v>212</v>
      </c>
      <c r="D72" t="s">
        <v>47</v>
      </c>
      <c r="E72" t="s">
        <v>213</v>
      </c>
      <c r="F72" t="s">
        <v>214</v>
      </c>
      <c r="G72" t="s">
        <v>50</v>
      </c>
      <c r="H72">
        <v>10036964261</v>
      </c>
      <c r="I72" t="s">
        <v>51</v>
      </c>
      <c r="J72" t="s">
        <v>56</v>
      </c>
      <c r="K72" t="s">
        <v>78</v>
      </c>
      <c r="L72">
        <v>1000</v>
      </c>
      <c r="M72">
        <v>1451.16</v>
      </c>
      <c r="N72">
        <v>2088</v>
      </c>
      <c r="O72" t="s">
        <v>215</v>
      </c>
      <c r="P72" t="s">
        <v>216</v>
      </c>
      <c r="Q72">
        <v>237</v>
      </c>
      <c r="R72">
        <v>219.20000000000002</v>
      </c>
      <c r="S72">
        <v>217.4</v>
      </c>
      <c r="T72">
        <v>222.79999999999998</v>
      </c>
      <c r="U72">
        <v>222.6</v>
      </c>
      <c r="V72">
        <v>226.6</v>
      </c>
      <c r="W72">
        <v>238.40000000000003</v>
      </c>
      <c r="X72">
        <v>267.8</v>
      </c>
      <c r="Y72">
        <v>253.40000000000003</v>
      </c>
      <c r="Z72">
        <v>241.20000000000002</v>
      </c>
      <c r="AA72">
        <v>224.8</v>
      </c>
      <c r="AB72">
        <v>217.6</v>
      </c>
      <c r="AC72">
        <v>2788.7999999999997</v>
      </c>
      <c r="AD72">
        <v>86</v>
      </c>
      <c r="AE72">
        <v>2678.8</v>
      </c>
      <c r="AF72">
        <v>2647.8</v>
      </c>
      <c r="AG72">
        <v>1.9217729264863967</v>
      </c>
      <c r="AH72" t="s">
        <v>157</v>
      </c>
      <c r="AI72">
        <v>1</v>
      </c>
      <c r="AJ72">
        <v>45475</v>
      </c>
      <c r="AK72" t="s">
        <v>217</v>
      </c>
      <c r="AL72" s="9">
        <v>45716</v>
      </c>
      <c r="AM72" s="9">
        <v>45565</v>
      </c>
      <c r="AN72" s="9"/>
      <c r="AO72" s="9">
        <v>45747</v>
      </c>
      <c r="AP72" s="9"/>
    </row>
    <row r="73" spans="1:44" x14ac:dyDescent="0.25">
      <c r="A73" t="s">
        <v>221</v>
      </c>
      <c r="B73" t="s">
        <v>211</v>
      </c>
      <c r="C73" t="s">
        <v>212</v>
      </c>
      <c r="D73" t="s">
        <v>47</v>
      </c>
      <c r="E73" t="s">
        <v>213</v>
      </c>
      <c r="F73" t="s">
        <v>214</v>
      </c>
      <c r="G73" t="s">
        <v>50</v>
      </c>
      <c r="H73">
        <v>10036964270</v>
      </c>
      <c r="I73" t="s">
        <v>51</v>
      </c>
      <c r="J73" t="s">
        <v>56</v>
      </c>
      <c r="K73" t="s">
        <v>78</v>
      </c>
      <c r="L73">
        <v>1000</v>
      </c>
      <c r="M73">
        <v>1451.16</v>
      </c>
      <c r="N73">
        <v>2088</v>
      </c>
      <c r="O73" t="s">
        <v>215</v>
      </c>
      <c r="P73" t="s">
        <v>216</v>
      </c>
      <c r="Q73">
        <v>237</v>
      </c>
      <c r="R73">
        <v>219.20000000000002</v>
      </c>
      <c r="S73">
        <v>217.4</v>
      </c>
      <c r="T73">
        <v>222.79999999999998</v>
      </c>
      <c r="U73">
        <v>222.6</v>
      </c>
      <c r="V73">
        <v>226.6</v>
      </c>
      <c r="W73">
        <v>238.40000000000003</v>
      </c>
      <c r="X73">
        <v>267.8</v>
      </c>
      <c r="Y73">
        <v>253.40000000000003</v>
      </c>
      <c r="Z73">
        <v>241.20000000000002</v>
      </c>
      <c r="AA73">
        <v>224.8</v>
      </c>
      <c r="AB73">
        <v>217.6</v>
      </c>
      <c r="AC73">
        <v>2788.7999999999997</v>
      </c>
      <c r="AD73">
        <v>86</v>
      </c>
      <c r="AE73">
        <v>2678.8</v>
      </c>
      <c r="AF73">
        <v>2647.8</v>
      </c>
      <c r="AG73">
        <v>1.9217729264863967</v>
      </c>
      <c r="AH73" t="s">
        <v>157</v>
      </c>
      <c r="AI73">
        <v>1</v>
      </c>
      <c r="AJ73">
        <v>45475</v>
      </c>
      <c r="AK73" t="s">
        <v>217</v>
      </c>
      <c r="AL73" s="9">
        <v>45716</v>
      </c>
      <c r="AM73" s="9">
        <v>45565</v>
      </c>
      <c r="AN73" s="9"/>
      <c r="AO73" s="9">
        <v>45747</v>
      </c>
      <c r="AP73" s="9"/>
    </row>
    <row r="74" spans="1:44" x14ac:dyDescent="0.25">
      <c r="A74" t="s">
        <v>222</v>
      </c>
      <c r="B74" t="s">
        <v>85</v>
      </c>
      <c r="C74" t="s">
        <v>223</v>
      </c>
      <c r="D74" t="s">
        <v>47</v>
      </c>
      <c r="E74" t="s">
        <v>73</v>
      </c>
      <c r="F74" t="s">
        <v>74</v>
      </c>
      <c r="G74" t="s">
        <v>50</v>
      </c>
      <c r="H74">
        <v>10036981336</v>
      </c>
      <c r="I74" t="s">
        <v>51</v>
      </c>
      <c r="J74" t="s">
        <v>56</v>
      </c>
      <c r="K74" t="s">
        <v>78</v>
      </c>
      <c r="L74">
        <v>200</v>
      </c>
      <c r="M74">
        <v>282.17</v>
      </c>
      <c r="N74">
        <v>406</v>
      </c>
      <c r="O74" t="s">
        <v>215</v>
      </c>
      <c r="P74" t="s">
        <v>224</v>
      </c>
      <c r="Q74">
        <v>46.48</v>
      </c>
      <c r="R74">
        <v>40.96</v>
      </c>
      <c r="S74">
        <v>42.839999999999996</v>
      </c>
      <c r="T74">
        <v>41.980000000000004</v>
      </c>
      <c r="U74">
        <v>44.56</v>
      </c>
      <c r="V74">
        <v>44.04</v>
      </c>
      <c r="W74">
        <v>44.4</v>
      </c>
      <c r="X74">
        <v>50.86</v>
      </c>
      <c r="Y74">
        <v>48.1</v>
      </c>
      <c r="Z74">
        <v>41.18</v>
      </c>
      <c r="AA74">
        <v>39.799999999999997</v>
      </c>
      <c r="AB74">
        <v>45.699999999999996</v>
      </c>
      <c r="AC74">
        <v>530.90000000000009</v>
      </c>
      <c r="AD74">
        <v>16.399999999999999</v>
      </c>
      <c r="AE74">
        <v>509.99999999999994</v>
      </c>
      <c r="AF74">
        <v>503.99999999999994</v>
      </c>
      <c r="AG74">
        <v>1.8814898819860371</v>
      </c>
      <c r="AH74" t="s">
        <v>190</v>
      </c>
      <c r="AI74">
        <v>1</v>
      </c>
      <c r="AJ74">
        <v>45475.506249999999</v>
      </c>
      <c r="AK74" t="s">
        <v>217</v>
      </c>
      <c r="AL74" s="9">
        <v>45622</v>
      </c>
      <c r="AM74" s="9">
        <v>45502</v>
      </c>
      <c r="AN74" s="9"/>
      <c r="AO74" s="9">
        <v>45642</v>
      </c>
      <c r="AP74" s="9"/>
    </row>
    <row r="75" spans="1:44" x14ac:dyDescent="0.25">
      <c r="A75" t="s">
        <v>225</v>
      </c>
      <c r="B75" t="s">
        <v>85</v>
      </c>
      <c r="C75" t="s">
        <v>223</v>
      </c>
      <c r="D75" t="s">
        <v>47</v>
      </c>
      <c r="E75" t="s">
        <v>73</v>
      </c>
      <c r="F75" t="s">
        <v>74</v>
      </c>
      <c r="G75" t="s">
        <v>50</v>
      </c>
      <c r="H75">
        <v>10036981344</v>
      </c>
      <c r="I75" t="s">
        <v>51</v>
      </c>
      <c r="J75" t="s">
        <v>56</v>
      </c>
      <c r="K75" t="s">
        <v>78</v>
      </c>
      <c r="L75">
        <v>200</v>
      </c>
      <c r="M75">
        <v>282.17</v>
      </c>
      <c r="N75">
        <v>406</v>
      </c>
      <c r="O75" t="s">
        <v>215</v>
      </c>
      <c r="P75" t="s">
        <v>224</v>
      </c>
      <c r="Q75">
        <v>46.48</v>
      </c>
      <c r="R75">
        <v>40.96</v>
      </c>
      <c r="S75">
        <v>42.839999999999996</v>
      </c>
      <c r="T75">
        <v>41.980000000000004</v>
      </c>
      <c r="U75">
        <v>44.56</v>
      </c>
      <c r="V75">
        <v>44.04</v>
      </c>
      <c r="W75">
        <v>44.4</v>
      </c>
      <c r="X75">
        <v>50.86</v>
      </c>
      <c r="Y75">
        <v>48.1</v>
      </c>
      <c r="Z75">
        <v>41.18</v>
      </c>
      <c r="AA75">
        <v>39.799999999999997</v>
      </c>
      <c r="AB75">
        <v>45.699999999999996</v>
      </c>
      <c r="AC75">
        <v>530.90000000000009</v>
      </c>
      <c r="AD75">
        <v>16.399999999999999</v>
      </c>
      <c r="AE75">
        <v>509.99999999999994</v>
      </c>
      <c r="AF75">
        <v>503.99999999999994</v>
      </c>
      <c r="AG75">
        <v>1.8814898819860371</v>
      </c>
      <c r="AH75" t="s">
        <v>190</v>
      </c>
      <c r="AI75">
        <v>1</v>
      </c>
      <c r="AJ75">
        <v>45475.506249999999</v>
      </c>
      <c r="AK75" t="s">
        <v>217</v>
      </c>
      <c r="AL75" s="9">
        <v>45622</v>
      </c>
      <c r="AM75" s="9">
        <v>45502</v>
      </c>
      <c r="AN75" s="9"/>
      <c r="AO75" s="9">
        <v>45642</v>
      </c>
      <c r="AP75" s="9"/>
    </row>
    <row r="76" spans="1:44" x14ac:dyDescent="0.25">
      <c r="A76" t="s">
        <v>226</v>
      </c>
      <c r="B76" t="s">
        <v>85</v>
      </c>
      <c r="C76" t="s">
        <v>223</v>
      </c>
      <c r="D76" t="s">
        <v>47</v>
      </c>
      <c r="E76" t="s">
        <v>73</v>
      </c>
      <c r="F76" t="s">
        <v>74</v>
      </c>
      <c r="G76" t="s">
        <v>50</v>
      </c>
      <c r="H76">
        <v>10036981352</v>
      </c>
      <c r="I76" t="s">
        <v>51</v>
      </c>
      <c r="J76" t="s">
        <v>56</v>
      </c>
      <c r="K76" t="s">
        <v>78</v>
      </c>
      <c r="L76">
        <v>200</v>
      </c>
      <c r="M76">
        <v>282.17</v>
      </c>
      <c r="N76">
        <v>406</v>
      </c>
      <c r="O76" t="s">
        <v>215</v>
      </c>
      <c r="P76" t="s">
        <v>224</v>
      </c>
      <c r="Q76">
        <v>46.48</v>
      </c>
      <c r="R76">
        <v>40.96</v>
      </c>
      <c r="S76">
        <v>42.839999999999996</v>
      </c>
      <c r="T76">
        <v>41.980000000000004</v>
      </c>
      <c r="U76">
        <v>44.56</v>
      </c>
      <c r="V76">
        <v>44.04</v>
      </c>
      <c r="W76">
        <v>44.4</v>
      </c>
      <c r="X76">
        <v>50.86</v>
      </c>
      <c r="Y76">
        <v>48.1</v>
      </c>
      <c r="Z76">
        <v>41.18</v>
      </c>
      <c r="AA76">
        <v>39.799999999999997</v>
      </c>
      <c r="AB76">
        <v>45.699999999999996</v>
      </c>
      <c r="AC76">
        <v>530.90000000000009</v>
      </c>
      <c r="AD76">
        <v>16.399999999999999</v>
      </c>
      <c r="AE76">
        <v>509.99999999999994</v>
      </c>
      <c r="AF76">
        <v>503.99999999999994</v>
      </c>
      <c r="AG76">
        <v>1.8814898819860371</v>
      </c>
      <c r="AH76" t="s">
        <v>190</v>
      </c>
      <c r="AI76">
        <v>1</v>
      </c>
      <c r="AJ76">
        <v>45475.506249999999</v>
      </c>
      <c r="AK76" t="s">
        <v>217</v>
      </c>
      <c r="AL76" s="9">
        <v>45622</v>
      </c>
      <c r="AM76" s="9">
        <v>45502</v>
      </c>
      <c r="AN76" s="9"/>
      <c r="AO76" s="9">
        <v>45642</v>
      </c>
      <c r="AP76" s="9"/>
    </row>
    <row r="77" spans="1:44" x14ac:dyDescent="0.25">
      <c r="A77" t="s">
        <v>227</v>
      </c>
      <c r="B77" t="s">
        <v>85</v>
      </c>
      <c r="C77" t="s">
        <v>223</v>
      </c>
      <c r="D77" t="s">
        <v>47</v>
      </c>
      <c r="E77" t="s">
        <v>73</v>
      </c>
      <c r="F77" t="s">
        <v>74</v>
      </c>
      <c r="G77" t="s">
        <v>50</v>
      </c>
      <c r="H77">
        <v>10036981387</v>
      </c>
      <c r="I77" t="s">
        <v>51</v>
      </c>
      <c r="J77" t="s">
        <v>56</v>
      </c>
      <c r="K77" t="s">
        <v>78</v>
      </c>
      <c r="L77">
        <v>200</v>
      </c>
      <c r="M77">
        <v>282.17</v>
      </c>
      <c r="N77">
        <v>406</v>
      </c>
      <c r="O77" t="s">
        <v>215</v>
      </c>
      <c r="P77" t="s">
        <v>224</v>
      </c>
      <c r="Q77">
        <v>46.48</v>
      </c>
      <c r="R77">
        <v>40.96</v>
      </c>
      <c r="S77">
        <v>42.839999999999996</v>
      </c>
      <c r="T77">
        <v>41.980000000000004</v>
      </c>
      <c r="U77">
        <v>44.56</v>
      </c>
      <c r="V77">
        <v>44.04</v>
      </c>
      <c r="W77">
        <v>44.4</v>
      </c>
      <c r="X77">
        <v>50.86</v>
      </c>
      <c r="Y77">
        <v>48.1</v>
      </c>
      <c r="Z77">
        <v>41.18</v>
      </c>
      <c r="AA77">
        <v>39.799999999999997</v>
      </c>
      <c r="AB77">
        <v>45.699999999999996</v>
      </c>
      <c r="AC77">
        <v>530.90000000000009</v>
      </c>
      <c r="AD77">
        <v>16.399999999999999</v>
      </c>
      <c r="AE77">
        <v>509.99999999999994</v>
      </c>
      <c r="AF77">
        <v>503.99999999999994</v>
      </c>
      <c r="AG77">
        <v>1.8814898819860371</v>
      </c>
      <c r="AH77" t="s">
        <v>190</v>
      </c>
      <c r="AI77">
        <v>1</v>
      </c>
      <c r="AJ77">
        <v>45475.506249999999</v>
      </c>
      <c r="AK77" t="s">
        <v>217</v>
      </c>
      <c r="AL77" s="9">
        <v>45622</v>
      </c>
      <c r="AM77" s="9">
        <v>45502</v>
      </c>
      <c r="AN77" s="9"/>
      <c r="AO77" s="9">
        <v>45642</v>
      </c>
      <c r="AP77" s="9"/>
    </row>
    <row r="78" spans="1:44" x14ac:dyDescent="0.25">
      <c r="A78" t="s">
        <v>228</v>
      </c>
      <c r="B78" t="s">
        <v>85</v>
      </c>
      <c r="C78" t="s">
        <v>223</v>
      </c>
      <c r="D78" t="s">
        <v>47</v>
      </c>
      <c r="E78" t="s">
        <v>73</v>
      </c>
      <c r="F78" t="s">
        <v>74</v>
      </c>
      <c r="G78" t="s">
        <v>50</v>
      </c>
      <c r="H78">
        <v>10036981573</v>
      </c>
      <c r="I78" t="s">
        <v>51</v>
      </c>
      <c r="J78" t="s">
        <v>56</v>
      </c>
      <c r="K78" t="s">
        <v>78</v>
      </c>
      <c r="L78">
        <v>200</v>
      </c>
      <c r="M78">
        <v>282.17</v>
      </c>
      <c r="N78">
        <v>406</v>
      </c>
      <c r="O78" t="s">
        <v>215</v>
      </c>
      <c r="P78" t="s">
        <v>224</v>
      </c>
      <c r="Q78">
        <v>46.48</v>
      </c>
      <c r="R78">
        <v>40.96</v>
      </c>
      <c r="S78">
        <v>42.839999999999996</v>
      </c>
      <c r="T78">
        <v>41.980000000000004</v>
      </c>
      <c r="U78">
        <v>44.56</v>
      </c>
      <c r="V78">
        <v>44.04</v>
      </c>
      <c r="W78">
        <v>44.4</v>
      </c>
      <c r="X78">
        <v>50.86</v>
      </c>
      <c r="Y78">
        <v>48.1</v>
      </c>
      <c r="Z78">
        <v>41.18</v>
      </c>
      <c r="AA78">
        <v>39.799999999999997</v>
      </c>
      <c r="AB78">
        <v>45.699999999999996</v>
      </c>
      <c r="AC78">
        <v>530.90000000000009</v>
      </c>
      <c r="AD78">
        <v>16.399999999999999</v>
      </c>
      <c r="AE78">
        <v>509.99999999999994</v>
      </c>
      <c r="AF78">
        <v>503.99999999999994</v>
      </c>
      <c r="AG78">
        <v>1.8814898819860371</v>
      </c>
      <c r="AH78" t="s">
        <v>190</v>
      </c>
      <c r="AI78">
        <v>1</v>
      </c>
      <c r="AJ78">
        <v>45475.506249999999</v>
      </c>
      <c r="AK78" t="s">
        <v>217</v>
      </c>
      <c r="AL78" s="9">
        <v>45622</v>
      </c>
      <c r="AM78" s="9">
        <v>45502</v>
      </c>
      <c r="AN78" s="9"/>
      <c r="AO78" s="9">
        <v>45642</v>
      </c>
      <c r="AP78" s="9"/>
    </row>
    <row r="79" spans="1:44" x14ac:dyDescent="0.25">
      <c r="A79" t="s">
        <v>229</v>
      </c>
      <c r="B79" t="s">
        <v>192</v>
      </c>
      <c r="C79" t="s">
        <v>223</v>
      </c>
      <c r="D79" t="s">
        <v>47</v>
      </c>
      <c r="E79" t="s">
        <v>186</v>
      </c>
      <c r="F79" t="s">
        <v>230</v>
      </c>
      <c r="G79" t="s">
        <v>50</v>
      </c>
      <c r="H79">
        <v>10036940940</v>
      </c>
      <c r="I79" t="s">
        <v>51</v>
      </c>
      <c r="J79" t="s">
        <v>56</v>
      </c>
      <c r="K79" t="s">
        <v>78</v>
      </c>
      <c r="L79">
        <v>1000</v>
      </c>
      <c r="M79">
        <v>1451.16</v>
      </c>
      <c r="N79">
        <v>2088</v>
      </c>
      <c r="O79" t="s">
        <v>215</v>
      </c>
      <c r="P79" t="s">
        <v>216</v>
      </c>
      <c r="Q79">
        <v>236.89999999999998</v>
      </c>
      <c r="R79">
        <v>216.10000000000002</v>
      </c>
      <c r="S79">
        <v>233.7</v>
      </c>
      <c r="T79">
        <v>227.5</v>
      </c>
      <c r="U79">
        <v>233.3</v>
      </c>
      <c r="V79">
        <v>233.7</v>
      </c>
      <c r="W79">
        <v>242.2</v>
      </c>
      <c r="X79">
        <v>266.8</v>
      </c>
      <c r="Y79">
        <v>248.59999999999997</v>
      </c>
      <c r="Z79">
        <v>213.7</v>
      </c>
      <c r="AA79">
        <v>218.30000000000004</v>
      </c>
      <c r="AB79">
        <v>238.99999999999997</v>
      </c>
      <c r="AC79">
        <v>2809.8</v>
      </c>
      <c r="AD79">
        <v>87</v>
      </c>
      <c r="AE79">
        <v>2699</v>
      </c>
      <c r="AF79">
        <v>2667</v>
      </c>
      <c r="AG79">
        <v>1.9362441081617465</v>
      </c>
      <c r="AH79" t="s">
        <v>231</v>
      </c>
      <c r="AI79">
        <v>1</v>
      </c>
      <c r="AJ79">
        <v>45470</v>
      </c>
      <c r="AK79" t="s">
        <v>217</v>
      </c>
      <c r="AL79" s="9">
        <v>45622</v>
      </c>
      <c r="AM79" s="9">
        <v>45502</v>
      </c>
      <c r="AN79" s="9"/>
      <c r="AO79" s="9">
        <v>45642</v>
      </c>
      <c r="AP79" s="9"/>
    </row>
    <row r="80" spans="1:44" x14ac:dyDescent="0.25">
      <c r="A80" t="s">
        <v>232</v>
      </c>
      <c r="B80" t="s">
        <v>232</v>
      </c>
      <c r="C80" t="s">
        <v>212</v>
      </c>
      <c r="D80" t="s">
        <v>47</v>
      </c>
      <c r="E80" t="s">
        <v>233</v>
      </c>
      <c r="F80" t="s">
        <v>234</v>
      </c>
      <c r="G80" t="s">
        <v>50</v>
      </c>
      <c r="H80">
        <v>10036748080</v>
      </c>
      <c r="I80" t="s">
        <v>51</v>
      </c>
      <c r="J80" t="s">
        <v>56</v>
      </c>
      <c r="K80" t="s">
        <v>78</v>
      </c>
      <c r="L80">
        <v>1000</v>
      </c>
      <c r="M80">
        <v>1451.16</v>
      </c>
      <c r="N80">
        <v>2088</v>
      </c>
      <c r="O80" t="s">
        <v>215</v>
      </c>
      <c r="P80" t="s">
        <v>216</v>
      </c>
      <c r="Q80">
        <v>229.31999999999996</v>
      </c>
      <c r="R80">
        <v>203.64000000000001</v>
      </c>
      <c r="S80">
        <v>221.84000000000003</v>
      </c>
      <c r="T80">
        <v>229.88000000000002</v>
      </c>
      <c r="U80">
        <v>248.96</v>
      </c>
      <c r="V80">
        <v>249.20000000000002</v>
      </c>
      <c r="W80">
        <v>262.2</v>
      </c>
      <c r="X80">
        <v>283.32</v>
      </c>
      <c r="Y80">
        <v>264.12</v>
      </c>
      <c r="Z80">
        <v>245.24000000000004</v>
      </c>
      <c r="AA80">
        <v>208.11999999999998</v>
      </c>
      <c r="AB80">
        <v>206.08</v>
      </c>
      <c r="AC80">
        <v>2851.92</v>
      </c>
      <c r="AD80">
        <v>88</v>
      </c>
      <c r="AE80">
        <v>2743.2000000000003</v>
      </c>
      <c r="AF80">
        <v>2711.2000000000003</v>
      </c>
      <c r="AG80">
        <v>1.9652691639791615</v>
      </c>
      <c r="AH80" t="s">
        <v>235</v>
      </c>
      <c r="AI80">
        <v>1</v>
      </c>
      <c r="AJ80">
        <v>45510</v>
      </c>
      <c r="AK80" t="s">
        <v>217</v>
      </c>
      <c r="AL80" s="9">
        <v>45688</v>
      </c>
      <c r="AM80" s="9">
        <v>45535</v>
      </c>
      <c r="AN80" s="9"/>
      <c r="AO80" s="9">
        <v>45716</v>
      </c>
      <c r="AP80" s="9"/>
    </row>
    <row r="81" spans="1:42" x14ac:dyDescent="0.25">
      <c r="A81" t="s">
        <v>236</v>
      </c>
      <c r="B81" t="s">
        <v>232</v>
      </c>
      <c r="C81" t="s">
        <v>212</v>
      </c>
      <c r="D81" t="s">
        <v>47</v>
      </c>
      <c r="E81" t="s">
        <v>233</v>
      </c>
      <c r="F81" t="s">
        <v>237</v>
      </c>
      <c r="G81" t="s">
        <v>50</v>
      </c>
      <c r="H81">
        <v>10036748090</v>
      </c>
      <c r="I81" t="s">
        <v>51</v>
      </c>
      <c r="J81" t="s">
        <v>56</v>
      </c>
      <c r="K81" t="s">
        <v>78</v>
      </c>
      <c r="L81">
        <v>1000</v>
      </c>
      <c r="M81">
        <v>1451.16</v>
      </c>
      <c r="N81">
        <v>2088</v>
      </c>
      <c r="O81" t="s">
        <v>215</v>
      </c>
      <c r="P81" t="s">
        <v>216</v>
      </c>
      <c r="Q81">
        <v>229.31999999999996</v>
      </c>
      <c r="R81">
        <v>203.64000000000001</v>
      </c>
      <c r="S81">
        <v>221.84000000000003</v>
      </c>
      <c r="T81">
        <v>229.88000000000002</v>
      </c>
      <c r="U81">
        <v>248.96</v>
      </c>
      <c r="V81">
        <v>249.20000000000002</v>
      </c>
      <c r="W81">
        <v>262.2</v>
      </c>
      <c r="X81">
        <v>283.32</v>
      </c>
      <c r="Y81">
        <v>264.12</v>
      </c>
      <c r="Z81">
        <v>245.24000000000004</v>
      </c>
      <c r="AA81">
        <v>208.11999999999998</v>
      </c>
      <c r="AB81">
        <v>206.08</v>
      </c>
      <c r="AC81">
        <v>2851.92</v>
      </c>
      <c r="AD81">
        <v>88</v>
      </c>
      <c r="AE81">
        <v>2743.2000000000003</v>
      </c>
      <c r="AF81">
        <v>2711.2000000000003</v>
      </c>
      <c r="AG81">
        <v>1.9652691639791615</v>
      </c>
      <c r="AH81" t="s">
        <v>235</v>
      </c>
      <c r="AI81">
        <v>1</v>
      </c>
      <c r="AJ81">
        <v>45510</v>
      </c>
      <c r="AK81" t="s">
        <v>217</v>
      </c>
      <c r="AL81" s="9">
        <v>45688</v>
      </c>
      <c r="AM81" s="9">
        <v>45535</v>
      </c>
      <c r="AN81" s="9"/>
      <c r="AO81" s="9">
        <v>45716</v>
      </c>
      <c r="AP81" s="9"/>
    </row>
    <row r="82" spans="1:42" x14ac:dyDescent="0.25">
      <c r="A82" t="s">
        <v>238</v>
      </c>
      <c r="B82" t="s">
        <v>232</v>
      </c>
      <c r="C82" t="s">
        <v>212</v>
      </c>
      <c r="D82" t="s">
        <v>47</v>
      </c>
      <c r="E82" t="s">
        <v>233</v>
      </c>
      <c r="F82" t="s">
        <v>239</v>
      </c>
      <c r="G82" t="s">
        <v>50</v>
      </c>
      <c r="H82">
        <v>10036748130</v>
      </c>
      <c r="I82" t="s">
        <v>51</v>
      </c>
      <c r="J82" t="s">
        <v>56</v>
      </c>
      <c r="K82" t="s">
        <v>78</v>
      </c>
      <c r="L82">
        <v>500</v>
      </c>
      <c r="M82">
        <v>725.58</v>
      </c>
      <c r="N82">
        <v>1044</v>
      </c>
      <c r="O82" t="s">
        <v>215</v>
      </c>
      <c r="P82" t="s">
        <v>216</v>
      </c>
      <c r="Q82">
        <v>114.65999999999998</v>
      </c>
      <c r="R82">
        <v>101.82000000000001</v>
      </c>
      <c r="S82">
        <v>110.92000000000002</v>
      </c>
      <c r="T82">
        <v>114.94000000000001</v>
      </c>
      <c r="U82">
        <v>124.48</v>
      </c>
      <c r="V82">
        <v>124.60000000000001</v>
      </c>
      <c r="W82">
        <v>131.1</v>
      </c>
      <c r="X82">
        <v>141.66</v>
      </c>
      <c r="Y82">
        <v>132.06</v>
      </c>
      <c r="Z82">
        <v>122.62000000000002</v>
      </c>
      <c r="AA82">
        <v>104.05999999999999</v>
      </c>
      <c r="AB82">
        <v>103.04</v>
      </c>
      <c r="AC82">
        <v>1425.96</v>
      </c>
      <c r="AD82">
        <v>44</v>
      </c>
      <c r="AE82">
        <v>1371.6000000000001</v>
      </c>
      <c r="AF82">
        <v>1355.6000000000001</v>
      </c>
      <c r="AG82">
        <v>1.9652691639791615</v>
      </c>
      <c r="AH82" t="s">
        <v>235</v>
      </c>
      <c r="AI82">
        <v>1</v>
      </c>
      <c r="AJ82">
        <v>45510</v>
      </c>
      <c r="AK82" t="s">
        <v>217</v>
      </c>
      <c r="AL82" s="9">
        <v>45688</v>
      </c>
      <c r="AM82" s="9">
        <v>45535</v>
      </c>
      <c r="AN82" s="9"/>
      <c r="AO82" s="9">
        <v>45716</v>
      </c>
      <c r="AP82" s="9"/>
    </row>
    <row r="83" spans="1:42" x14ac:dyDescent="0.25">
      <c r="A83" t="s">
        <v>240</v>
      </c>
      <c r="B83" t="s">
        <v>236</v>
      </c>
      <c r="C83" t="s">
        <v>212</v>
      </c>
      <c r="D83" t="s">
        <v>47</v>
      </c>
      <c r="E83" t="s">
        <v>233</v>
      </c>
      <c r="F83" t="s">
        <v>241</v>
      </c>
      <c r="G83" t="s">
        <v>50</v>
      </c>
      <c r="H83">
        <v>10036750940</v>
      </c>
      <c r="I83" t="s">
        <v>51</v>
      </c>
      <c r="J83" t="s">
        <v>56</v>
      </c>
      <c r="K83" t="s">
        <v>78</v>
      </c>
      <c r="L83">
        <v>1000</v>
      </c>
      <c r="M83">
        <v>1451.16</v>
      </c>
      <c r="N83">
        <v>2088</v>
      </c>
      <c r="O83" t="s">
        <v>215</v>
      </c>
      <c r="P83" t="s">
        <v>216</v>
      </c>
      <c r="Q83">
        <v>231.28</v>
      </c>
      <c r="R83">
        <v>197.04000000000002</v>
      </c>
      <c r="S83">
        <v>222.04000000000002</v>
      </c>
      <c r="T83">
        <v>229.16</v>
      </c>
      <c r="U83">
        <v>248.60000000000002</v>
      </c>
      <c r="V83">
        <v>248.96</v>
      </c>
      <c r="W83">
        <v>257.2</v>
      </c>
      <c r="X83">
        <v>282.24</v>
      </c>
      <c r="Y83">
        <v>263.52</v>
      </c>
      <c r="Z83">
        <v>222.16</v>
      </c>
      <c r="AA83">
        <v>223.11999999999998</v>
      </c>
      <c r="AB83">
        <v>230.76</v>
      </c>
      <c r="AC83">
        <v>2856.08</v>
      </c>
      <c r="AD83">
        <v>88.8</v>
      </c>
      <c r="AE83">
        <v>2743.2000000000003</v>
      </c>
      <c r="AF83">
        <v>2711.6</v>
      </c>
      <c r="AG83">
        <v>1.9681358361586592</v>
      </c>
      <c r="AH83" t="s">
        <v>235</v>
      </c>
      <c r="AI83">
        <v>1</v>
      </c>
      <c r="AJ83">
        <v>45510</v>
      </c>
      <c r="AK83" t="s">
        <v>217</v>
      </c>
      <c r="AL83" s="9">
        <v>45688</v>
      </c>
      <c r="AM83" s="9">
        <v>45535</v>
      </c>
      <c r="AN83" s="9"/>
      <c r="AO83" s="9">
        <v>45716</v>
      </c>
      <c r="AP83" s="9"/>
    </row>
    <row r="84" spans="1:42" x14ac:dyDescent="0.25">
      <c r="A84" t="s">
        <v>242</v>
      </c>
      <c r="B84" t="s">
        <v>236</v>
      </c>
      <c r="C84" t="s">
        <v>212</v>
      </c>
      <c r="D84" t="s">
        <v>47</v>
      </c>
      <c r="E84" t="s">
        <v>233</v>
      </c>
      <c r="F84" t="s">
        <v>243</v>
      </c>
      <c r="G84" t="s">
        <v>50</v>
      </c>
      <c r="H84">
        <v>10036750980</v>
      </c>
      <c r="I84" t="s">
        <v>51</v>
      </c>
      <c r="J84" t="s">
        <v>56</v>
      </c>
      <c r="K84" t="s">
        <v>78</v>
      </c>
      <c r="L84">
        <v>1000</v>
      </c>
      <c r="M84">
        <v>1451.16</v>
      </c>
      <c r="N84">
        <v>2088</v>
      </c>
      <c r="O84" t="s">
        <v>215</v>
      </c>
      <c r="P84" t="s">
        <v>216</v>
      </c>
      <c r="Q84">
        <v>231.28</v>
      </c>
      <c r="R84">
        <v>197.04000000000002</v>
      </c>
      <c r="S84">
        <v>222.04000000000002</v>
      </c>
      <c r="T84">
        <v>229.16</v>
      </c>
      <c r="U84">
        <v>248.60000000000002</v>
      </c>
      <c r="V84">
        <v>248.96</v>
      </c>
      <c r="W84">
        <v>257.2</v>
      </c>
      <c r="X84">
        <v>282.24</v>
      </c>
      <c r="Y84">
        <v>263.52</v>
      </c>
      <c r="Z84">
        <v>222.16</v>
      </c>
      <c r="AA84">
        <v>223.11999999999998</v>
      </c>
      <c r="AB84">
        <v>230.76</v>
      </c>
      <c r="AC84">
        <v>2856.08</v>
      </c>
      <c r="AD84">
        <v>88.8</v>
      </c>
      <c r="AE84">
        <v>2743.2000000000003</v>
      </c>
      <c r="AF84">
        <v>2711.6</v>
      </c>
      <c r="AG84">
        <v>1.9681358361586592</v>
      </c>
      <c r="AH84" t="s">
        <v>235</v>
      </c>
      <c r="AI84">
        <v>1</v>
      </c>
      <c r="AJ84">
        <v>45510</v>
      </c>
      <c r="AK84" t="s">
        <v>217</v>
      </c>
      <c r="AL84" s="9">
        <v>45688</v>
      </c>
      <c r="AM84" s="9">
        <v>45535</v>
      </c>
      <c r="AN84" s="9"/>
      <c r="AO84" s="9">
        <v>45716</v>
      </c>
      <c r="AP84" s="9"/>
    </row>
    <row r="85" spans="1:42" x14ac:dyDescent="0.25">
      <c r="A85" t="s">
        <v>244</v>
      </c>
      <c r="B85" t="s">
        <v>236</v>
      </c>
      <c r="C85" t="s">
        <v>212</v>
      </c>
      <c r="D85" t="s">
        <v>47</v>
      </c>
      <c r="E85" t="s">
        <v>233</v>
      </c>
      <c r="F85" t="s">
        <v>245</v>
      </c>
      <c r="G85" t="s">
        <v>50</v>
      </c>
      <c r="H85">
        <v>10036751030</v>
      </c>
      <c r="I85" t="s">
        <v>51</v>
      </c>
      <c r="J85" t="s">
        <v>56</v>
      </c>
      <c r="K85" t="s">
        <v>78</v>
      </c>
      <c r="L85">
        <v>500</v>
      </c>
      <c r="M85">
        <v>725.58</v>
      </c>
      <c r="N85">
        <v>1044</v>
      </c>
      <c r="O85" t="s">
        <v>215</v>
      </c>
      <c r="P85" t="s">
        <v>216</v>
      </c>
      <c r="Q85">
        <v>115.64</v>
      </c>
      <c r="R85">
        <v>98.52000000000001</v>
      </c>
      <c r="S85">
        <v>111.02000000000001</v>
      </c>
      <c r="T85">
        <v>114.58</v>
      </c>
      <c r="U85">
        <v>124.30000000000001</v>
      </c>
      <c r="V85">
        <v>124.48</v>
      </c>
      <c r="W85">
        <v>128.6</v>
      </c>
      <c r="X85">
        <v>141.12</v>
      </c>
      <c r="Y85">
        <v>131.76</v>
      </c>
      <c r="Z85">
        <v>111.08</v>
      </c>
      <c r="AA85">
        <v>111.55999999999999</v>
      </c>
      <c r="AB85">
        <v>115.38</v>
      </c>
      <c r="AC85">
        <v>1428.04</v>
      </c>
      <c r="AD85">
        <v>44.4</v>
      </c>
      <c r="AE85">
        <v>1371.6000000000001</v>
      </c>
      <c r="AF85">
        <v>1355.8</v>
      </c>
      <c r="AG85">
        <v>1.9681358361586592</v>
      </c>
      <c r="AH85" t="s">
        <v>235</v>
      </c>
      <c r="AI85">
        <v>1</v>
      </c>
      <c r="AJ85">
        <v>45510</v>
      </c>
      <c r="AK85" t="s">
        <v>217</v>
      </c>
      <c r="AL85" s="9">
        <v>45688</v>
      </c>
      <c r="AM85" s="9">
        <v>45535</v>
      </c>
      <c r="AN85" s="9"/>
      <c r="AO85" s="9">
        <v>45716</v>
      </c>
      <c r="AP85" s="9"/>
    </row>
    <row r="86" spans="1:42" x14ac:dyDescent="0.25">
      <c r="A86" t="s">
        <v>246</v>
      </c>
      <c r="B86" t="s">
        <v>246</v>
      </c>
      <c r="C86" t="s">
        <v>212</v>
      </c>
      <c r="D86" t="s">
        <v>47</v>
      </c>
      <c r="E86" t="s">
        <v>247</v>
      </c>
      <c r="F86" t="s">
        <v>248</v>
      </c>
      <c r="G86" t="s">
        <v>50</v>
      </c>
      <c r="H86">
        <v>10037121381</v>
      </c>
      <c r="I86" t="s">
        <v>51</v>
      </c>
      <c r="J86" t="s">
        <v>56</v>
      </c>
      <c r="K86" t="s">
        <v>78</v>
      </c>
      <c r="L86">
        <v>1000</v>
      </c>
      <c r="M86">
        <v>1451.16</v>
      </c>
      <c r="N86">
        <v>2088</v>
      </c>
      <c r="O86" t="s">
        <v>215</v>
      </c>
      <c r="P86" t="s">
        <v>216</v>
      </c>
      <c r="Q86">
        <v>238.48000000000002</v>
      </c>
      <c r="R86">
        <v>209.00000000000003</v>
      </c>
      <c r="S86">
        <v>229.76</v>
      </c>
      <c r="T86">
        <v>229.00000000000003</v>
      </c>
      <c r="U86">
        <v>220.35999999999999</v>
      </c>
      <c r="V86">
        <v>221.76000000000002</v>
      </c>
      <c r="W86">
        <v>236.08</v>
      </c>
      <c r="X86">
        <v>264.32</v>
      </c>
      <c r="Y86">
        <v>242.28000000000003</v>
      </c>
      <c r="Z86">
        <v>236.04000000000002</v>
      </c>
      <c r="AA86">
        <v>228.964</v>
      </c>
      <c r="AB86">
        <v>239.11999999999998</v>
      </c>
      <c r="AC86">
        <v>2795.1639999999998</v>
      </c>
      <c r="AD86">
        <v>86</v>
      </c>
      <c r="AE86">
        <v>2684.7999999999997</v>
      </c>
      <c r="AF86">
        <v>2653.6000000000004</v>
      </c>
      <c r="AG86">
        <v>1.926158383637917</v>
      </c>
      <c r="AH86" t="s">
        <v>157</v>
      </c>
      <c r="AI86">
        <v>1</v>
      </c>
      <c r="AJ86">
        <v>45470</v>
      </c>
      <c r="AK86" t="s">
        <v>217</v>
      </c>
      <c r="AL86" s="9">
        <v>45735</v>
      </c>
      <c r="AM86" s="9">
        <v>45565</v>
      </c>
      <c r="AN86" s="9"/>
      <c r="AO86" s="9">
        <v>45755</v>
      </c>
      <c r="AP86" s="9"/>
    </row>
    <row r="87" spans="1:42" x14ac:dyDescent="0.25">
      <c r="A87" t="s">
        <v>249</v>
      </c>
      <c r="B87" t="s">
        <v>246</v>
      </c>
      <c r="C87" t="s">
        <v>212</v>
      </c>
      <c r="D87" t="s">
        <v>47</v>
      </c>
      <c r="E87" t="s">
        <v>247</v>
      </c>
      <c r="F87" t="s">
        <v>250</v>
      </c>
      <c r="G87" t="s">
        <v>50</v>
      </c>
      <c r="H87">
        <v>10037121390</v>
      </c>
      <c r="I87" t="s">
        <v>51</v>
      </c>
      <c r="J87" t="s">
        <v>56</v>
      </c>
      <c r="K87" t="s">
        <v>78</v>
      </c>
      <c r="L87">
        <v>1000</v>
      </c>
      <c r="M87">
        <v>1451.16</v>
      </c>
      <c r="N87">
        <v>2088</v>
      </c>
      <c r="O87" t="s">
        <v>215</v>
      </c>
      <c r="P87" t="s">
        <v>216</v>
      </c>
      <c r="Q87">
        <v>238.48000000000002</v>
      </c>
      <c r="R87">
        <v>209.00000000000003</v>
      </c>
      <c r="S87">
        <v>229.76</v>
      </c>
      <c r="T87">
        <v>229.00000000000003</v>
      </c>
      <c r="U87">
        <v>220.35999999999999</v>
      </c>
      <c r="V87">
        <v>221.76000000000002</v>
      </c>
      <c r="W87">
        <v>236.08</v>
      </c>
      <c r="X87">
        <v>264.32</v>
      </c>
      <c r="Y87">
        <v>242.28000000000003</v>
      </c>
      <c r="Z87">
        <v>236.04000000000002</v>
      </c>
      <c r="AA87">
        <v>228.964</v>
      </c>
      <c r="AB87">
        <v>239.11999999999998</v>
      </c>
      <c r="AC87">
        <v>2795.1639999999998</v>
      </c>
      <c r="AD87">
        <v>86</v>
      </c>
      <c r="AE87">
        <v>2684.7999999999997</v>
      </c>
      <c r="AF87">
        <v>2653.6000000000004</v>
      </c>
      <c r="AG87">
        <v>1.926158383637917</v>
      </c>
      <c r="AH87" t="s">
        <v>157</v>
      </c>
      <c r="AI87">
        <v>1</v>
      </c>
      <c r="AJ87">
        <v>45470</v>
      </c>
      <c r="AK87" t="s">
        <v>217</v>
      </c>
      <c r="AL87" s="9">
        <v>45735</v>
      </c>
      <c r="AM87" s="9">
        <v>45565</v>
      </c>
      <c r="AN87" s="9"/>
      <c r="AO87" s="9">
        <v>45755</v>
      </c>
      <c r="AP87" s="9"/>
    </row>
    <row r="88" spans="1:42" x14ac:dyDescent="0.25">
      <c r="A88" t="s">
        <v>251</v>
      </c>
      <c r="B88" t="s">
        <v>246</v>
      </c>
      <c r="C88" t="s">
        <v>212</v>
      </c>
      <c r="D88" t="s">
        <v>47</v>
      </c>
      <c r="E88" t="s">
        <v>247</v>
      </c>
      <c r="F88" t="s">
        <v>252</v>
      </c>
      <c r="G88" t="s">
        <v>50</v>
      </c>
      <c r="H88">
        <v>10037121411</v>
      </c>
      <c r="I88" t="s">
        <v>51</v>
      </c>
      <c r="J88" t="s">
        <v>56</v>
      </c>
      <c r="K88" t="s">
        <v>78</v>
      </c>
      <c r="L88">
        <v>500</v>
      </c>
      <c r="M88">
        <v>725.58</v>
      </c>
      <c r="N88">
        <v>1044</v>
      </c>
      <c r="O88" t="s">
        <v>215</v>
      </c>
      <c r="P88" t="s">
        <v>216</v>
      </c>
      <c r="Q88">
        <v>119.24000000000001</v>
      </c>
      <c r="R88">
        <v>104.50000000000001</v>
      </c>
      <c r="S88">
        <v>114.88</v>
      </c>
      <c r="T88">
        <v>114.50000000000001</v>
      </c>
      <c r="U88">
        <v>110.17999999999999</v>
      </c>
      <c r="V88">
        <v>110.88000000000001</v>
      </c>
      <c r="W88">
        <v>118.04</v>
      </c>
      <c r="X88">
        <v>132.16</v>
      </c>
      <c r="Y88">
        <v>121.14000000000001</v>
      </c>
      <c r="Z88">
        <v>118.02000000000001</v>
      </c>
      <c r="AA88">
        <v>114.482</v>
      </c>
      <c r="AB88">
        <v>119.55999999999999</v>
      </c>
      <c r="AC88">
        <v>1397.5819999999999</v>
      </c>
      <c r="AD88">
        <v>43</v>
      </c>
      <c r="AE88">
        <v>1342.3999999999999</v>
      </c>
      <c r="AF88">
        <v>1326.8000000000002</v>
      </c>
      <c r="AG88">
        <v>1.926158383637917</v>
      </c>
      <c r="AH88" t="s">
        <v>157</v>
      </c>
      <c r="AI88">
        <v>1</v>
      </c>
      <c r="AJ88">
        <v>45470</v>
      </c>
      <c r="AK88" t="s">
        <v>217</v>
      </c>
      <c r="AL88" s="9">
        <v>45735</v>
      </c>
      <c r="AM88" s="9">
        <v>45565</v>
      </c>
      <c r="AN88" s="9"/>
      <c r="AO88" s="9">
        <v>45755</v>
      </c>
      <c r="AP88" s="9"/>
    </row>
    <row r="89" spans="1:42" x14ac:dyDescent="0.25">
      <c r="A89" t="s">
        <v>253</v>
      </c>
      <c r="B89" t="s">
        <v>249</v>
      </c>
      <c r="C89" t="s">
        <v>212</v>
      </c>
      <c r="D89" t="s">
        <v>47</v>
      </c>
      <c r="E89" t="s">
        <v>247</v>
      </c>
      <c r="F89" t="s">
        <v>254</v>
      </c>
      <c r="G89" t="s">
        <v>50</v>
      </c>
      <c r="H89">
        <v>10037085709</v>
      </c>
      <c r="I89" t="s">
        <v>51</v>
      </c>
      <c r="J89" t="s">
        <v>56</v>
      </c>
      <c r="K89" t="s">
        <v>78</v>
      </c>
      <c r="L89">
        <v>1000</v>
      </c>
      <c r="M89">
        <v>1451.16</v>
      </c>
      <c r="N89">
        <v>2088</v>
      </c>
      <c r="O89" t="s">
        <v>215</v>
      </c>
      <c r="P89" t="s">
        <v>216</v>
      </c>
      <c r="Q89">
        <v>240.16</v>
      </c>
      <c r="R89">
        <v>202.79999999999998</v>
      </c>
      <c r="S89">
        <v>229.52</v>
      </c>
      <c r="T89">
        <v>227.44000000000003</v>
      </c>
      <c r="U89">
        <v>225.04</v>
      </c>
      <c r="V89">
        <v>213.64000000000001</v>
      </c>
      <c r="W89">
        <v>218.28000000000003</v>
      </c>
      <c r="X89">
        <v>260.48</v>
      </c>
      <c r="Y89">
        <v>242.08000000000004</v>
      </c>
      <c r="Z89">
        <v>233.48000000000002</v>
      </c>
      <c r="AA89">
        <v>240.48000000000002</v>
      </c>
      <c r="AB89">
        <v>227.79999999999998</v>
      </c>
      <c r="AC89">
        <v>2761.2000000000003</v>
      </c>
      <c r="AD89">
        <v>85.2</v>
      </c>
      <c r="AE89">
        <v>2652</v>
      </c>
      <c r="AF89">
        <v>2621.2000000000003</v>
      </c>
      <c r="AG89">
        <v>1.9027536591416523</v>
      </c>
      <c r="AH89" t="s">
        <v>157</v>
      </c>
      <c r="AI89">
        <v>1</v>
      </c>
      <c r="AJ89">
        <v>45470</v>
      </c>
      <c r="AK89" t="s">
        <v>217</v>
      </c>
      <c r="AL89" s="9">
        <v>45735</v>
      </c>
      <c r="AM89" s="9">
        <v>45565</v>
      </c>
      <c r="AN89" s="9"/>
      <c r="AO89" s="9">
        <v>45755</v>
      </c>
      <c r="AP89" s="9"/>
    </row>
    <row r="90" spans="1:42" x14ac:dyDescent="0.25">
      <c r="A90" t="s">
        <v>255</v>
      </c>
      <c r="B90" t="s">
        <v>249</v>
      </c>
      <c r="C90" t="s">
        <v>212</v>
      </c>
      <c r="D90" t="s">
        <v>47</v>
      </c>
      <c r="E90" t="s">
        <v>247</v>
      </c>
      <c r="F90" t="s">
        <v>256</v>
      </c>
      <c r="G90" t="s">
        <v>50</v>
      </c>
      <c r="H90">
        <v>10037085725</v>
      </c>
      <c r="I90" t="s">
        <v>51</v>
      </c>
      <c r="J90" t="s">
        <v>56</v>
      </c>
      <c r="K90" t="s">
        <v>78</v>
      </c>
      <c r="L90">
        <v>1000</v>
      </c>
      <c r="M90">
        <v>1451.16</v>
      </c>
      <c r="N90">
        <v>2088</v>
      </c>
      <c r="O90" t="s">
        <v>215</v>
      </c>
      <c r="P90" t="s">
        <v>216</v>
      </c>
      <c r="Q90">
        <v>240.16</v>
      </c>
      <c r="R90">
        <v>202.79999999999998</v>
      </c>
      <c r="S90">
        <v>229.52</v>
      </c>
      <c r="T90">
        <v>227.44000000000003</v>
      </c>
      <c r="U90">
        <v>225.04</v>
      </c>
      <c r="V90">
        <v>213.64000000000001</v>
      </c>
      <c r="W90">
        <v>218.28000000000003</v>
      </c>
      <c r="X90">
        <v>260.48</v>
      </c>
      <c r="Y90">
        <v>242.08000000000004</v>
      </c>
      <c r="Z90">
        <v>233.48000000000002</v>
      </c>
      <c r="AA90">
        <v>240.48000000000002</v>
      </c>
      <c r="AB90">
        <v>227.79999999999998</v>
      </c>
      <c r="AC90">
        <v>2761.2000000000003</v>
      </c>
      <c r="AD90">
        <v>85.2</v>
      </c>
      <c r="AE90">
        <v>2652</v>
      </c>
      <c r="AF90">
        <v>2621.2000000000003</v>
      </c>
      <c r="AG90">
        <v>1.9027536591416523</v>
      </c>
      <c r="AH90" t="s">
        <v>157</v>
      </c>
      <c r="AI90">
        <v>1</v>
      </c>
      <c r="AJ90">
        <v>45470</v>
      </c>
      <c r="AK90" t="s">
        <v>217</v>
      </c>
      <c r="AL90" s="9">
        <v>45735</v>
      </c>
      <c r="AM90" s="9">
        <v>45565</v>
      </c>
      <c r="AN90" s="9"/>
      <c r="AO90" s="9">
        <v>45755</v>
      </c>
      <c r="AP90" s="9"/>
    </row>
    <row r="91" spans="1:42" x14ac:dyDescent="0.25">
      <c r="A91" t="s">
        <v>257</v>
      </c>
      <c r="B91" t="s">
        <v>249</v>
      </c>
      <c r="C91" t="s">
        <v>212</v>
      </c>
      <c r="D91" t="s">
        <v>47</v>
      </c>
      <c r="E91" t="s">
        <v>247</v>
      </c>
      <c r="F91" t="s">
        <v>258</v>
      </c>
      <c r="G91" t="s">
        <v>50</v>
      </c>
      <c r="H91">
        <v>10037086217</v>
      </c>
      <c r="I91" t="s">
        <v>51</v>
      </c>
      <c r="J91" t="s">
        <v>56</v>
      </c>
      <c r="K91" t="s">
        <v>78</v>
      </c>
      <c r="L91">
        <v>500</v>
      </c>
      <c r="M91">
        <v>725.58</v>
      </c>
      <c r="N91">
        <v>1044</v>
      </c>
      <c r="O91" t="s">
        <v>215</v>
      </c>
      <c r="P91" t="s">
        <v>216</v>
      </c>
      <c r="Q91">
        <v>120.08</v>
      </c>
      <c r="R91">
        <v>101.39999999999999</v>
      </c>
      <c r="S91">
        <v>114.76</v>
      </c>
      <c r="T91">
        <v>113.72000000000001</v>
      </c>
      <c r="U91">
        <v>112.52</v>
      </c>
      <c r="V91">
        <v>106.82000000000001</v>
      </c>
      <c r="W91">
        <v>109.14000000000001</v>
      </c>
      <c r="X91">
        <v>130.24</v>
      </c>
      <c r="Y91">
        <v>121.04000000000002</v>
      </c>
      <c r="Z91">
        <v>116.74000000000001</v>
      </c>
      <c r="AA91">
        <v>120.24000000000001</v>
      </c>
      <c r="AB91">
        <v>113.89999999999999</v>
      </c>
      <c r="AC91">
        <v>1380.6000000000001</v>
      </c>
      <c r="AD91">
        <v>42.6</v>
      </c>
      <c r="AE91">
        <v>1326</v>
      </c>
      <c r="AF91">
        <v>1310.6000000000001</v>
      </c>
      <c r="AG91">
        <v>1.9027536591416523</v>
      </c>
      <c r="AH91" t="s">
        <v>157</v>
      </c>
      <c r="AI91">
        <v>1</v>
      </c>
      <c r="AJ91">
        <v>45470</v>
      </c>
      <c r="AK91" t="s">
        <v>217</v>
      </c>
      <c r="AL91" s="9">
        <v>45735</v>
      </c>
      <c r="AM91" s="9">
        <v>45565</v>
      </c>
      <c r="AN91" s="9"/>
      <c r="AO91" s="9">
        <v>45755</v>
      </c>
      <c r="AP91" s="9"/>
    </row>
    <row r="92" spans="1:42" x14ac:dyDescent="0.25">
      <c r="A92" t="s">
        <v>259</v>
      </c>
      <c r="B92" t="s">
        <v>260</v>
      </c>
      <c r="C92" t="s">
        <v>212</v>
      </c>
      <c r="D92" t="s">
        <v>47</v>
      </c>
      <c r="E92" t="s">
        <v>261</v>
      </c>
      <c r="F92" t="s">
        <v>262</v>
      </c>
      <c r="G92" t="s">
        <v>50</v>
      </c>
      <c r="I92" t="s">
        <v>51</v>
      </c>
      <c r="J92" t="s">
        <v>56</v>
      </c>
      <c r="K92" t="s">
        <v>78</v>
      </c>
      <c r="L92">
        <v>1000</v>
      </c>
      <c r="M92">
        <v>1451.16</v>
      </c>
      <c r="N92">
        <v>2088</v>
      </c>
      <c r="O92" t="s">
        <v>215</v>
      </c>
      <c r="P92" t="s">
        <v>216</v>
      </c>
      <c r="Q92">
        <v>233.60000000000002</v>
      </c>
      <c r="R92">
        <v>215.6</v>
      </c>
      <c r="S92">
        <v>236.4</v>
      </c>
      <c r="T92">
        <v>229.20000000000002</v>
      </c>
      <c r="U92">
        <v>242.4</v>
      </c>
      <c r="V92">
        <v>236.20000000000002</v>
      </c>
      <c r="W92">
        <v>255.4</v>
      </c>
      <c r="X92">
        <v>278</v>
      </c>
      <c r="Y92">
        <v>253.40000000000003</v>
      </c>
      <c r="Z92">
        <v>236.6</v>
      </c>
      <c r="AA92">
        <v>208.8</v>
      </c>
      <c r="AB92">
        <v>237.6</v>
      </c>
      <c r="AC92">
        <v>2863.2000000000003</v>
      </c>
      <c r="AD92">
        <v>88.2</v>
      </c>
      <c r="AE92">
        <v>2749.7999999999997</v>
      </c>
      <c r="AF92">
        <v>2718.0000000000005</v>
      </c>
      <c r="AG92">
        <v>1.9730422558504921</v>
      </c>
      <c r="AH92" t="s">
        <v>145</v>
      </c>
      <c r="AI92">
        <v>1</v>
      </c>
      <c r="AJ92">
        <v>45469</v>
      </c>
      <c r="AK92" t="s">
        <v>217</v>
      </c>
      <c r="AL92" s="9">
        <v>45747</v>
      </c>
      <c r="AM92" s="9">
        <v>45596</v>
      </c>
      <c r="AN92" s="9"/>
      <c r="AO92" s="9">
        <v>45777</v>
      </c>
      <c r="AP92" s="9"/>
    </row>
    <row r="93" spans="1:42" x14ac:dyDescent="0.25">
      <c r="A93" t="s">
        <v>263</v>
      </c>
      <c r="B93" t="s">
        <v>260</v>
      </c>
      <c r="C93" t="s">
        <v>212</v>
      </c>
      <c r="D93" t="s">
        <v>47</v>
      </c>
      <c r="E93" t="s">
        <v>261</v>
      </c>
      <c r="F93" t="s">
        <v>264</v>
      </c>
      <c r="G93" t="s">
        <v>50</v>
      </c>
      <c r="I93" t="s">
        <v>51</v>
      </c>
      <c r="J93" t="s">
        <v>56</v>
      </c>
      <c r="K93" t="s">
        <v>78</v>
      </c>
      <c r="L93">
        <v>1000</v>
      </c>
      <c r="M93">
        <v>1451.16</v>
      </c>
      <c r="N93">
        <v>2088</v>
      </c>
      <c r="O93" t="s">
        <v>215</v>
      </c>
      <c r="P93" t="s">
        <v>216</v>
      </c>
      <c r="Q93">
        <v>233.60000000000002</v>
      </c>
      <c r="R93">
        <v>215.6</v>
      </c>
      <c r="S93">
        <v>236.4</v>
      </c>
      <c r="T93">
        <v>229.20000000000002</v>
      </c>
      <c r="U93">
        <v>242.4</v>
      </c>
      <c r="V93">
        <v>236.20000000000002</v>
      </c>
      <c r="W93">
        <v>255.4</v>
      </c>
      <c r="X93">
        <v>278</v>
      </c>
      <c r="Y93">
        <v>253.40000000000003</v>
      </c>
      <c r="Z93">
        <v>236.6</v>
      </c>
      <c r="AA93">
        <v>208.8</v>
      </c>
      <c r="AB93">
        <v>237.6</v>
      </c>
      <c r="AC93">
        <v>2863.2000000000003</v>
      </c>
      <c r="AD93">
        <v>88.2</v>
      </c>
      <c r="AE93">
        <v>2749.7999999999997</v>
      </c>
      <c r="AF93">
        <v>2718.0000000000005</v>
      </c>
      <c r="AG93">
        <v>1.9730422558504921</v>
      </c>
      <c r="AH93" t="s">
        <v>145</v>
      </c>
      <c r="AI93">
        <v>1</v>
      </c>
      <c r="AJ93">
        <v>45469</v>
      </c>
      <c r="AK93" t="s">
        <v>217</v>
      </c>
      <c r="AL93" s="9">
        <v>45747</v>
      </c>
      <c r="AM93" s="9">
        <v>45596</v>
      </c>
      <c r="AN93" s="9"/>
      <c r="AO93" s="9">
        <v>45777</v>
      </c>
      <c r="AP93" s="9"/>
    </row>
    <row r="94" spans="1:42" x14ac:dyDescent="0.25">
      <c r="A94" t="s">
        <v>265</v>
      </c>
      <c r="B94" t="s">
        <v>260</v>
      </c>
      <c r="C94" t="s">
        <v>212</v>
      </c>
      <c r="D94" t="s">
        <v>47</v>
      </c>
      <c r="E94" t="s">
        <v>261</v>
      </c>
      <c r="F94" t="s">
        <v>266</v>
      </c>
      <c r="G94" t="s">
        <v>50</v>
      </c>
      <c r="I94" t="s">
        <v>51</v>
      </c>
      <c r="J94" t="s">
        <v>56</v>
      </c>
      <c r="K94" t="s">
        <v>78</v>
      </c>
      <c r="L94">
        <v>1000</v>
      </c>
      <c r="M94">
        <v>1451.16</v>
      </c>
      <c r="N94">
        <v>2088</v>
      </c>
      <c r="O94" t="s">
        <v>215</v>
      </c>
      <c r="P94" t="s">
        <v>216</v>
      </c>
      <c r="Q94">
        <v>233.60000000000002</v>
      </c>
      <c r="R94">
        <v>215.6</v>
      </c>
      <c r="S94">
        <v>236.4</v>
      </c>
      <c r="T94">
        <v>229.20000000000002</v>
      </c>
      <c r="U94">
        <v>242.4</v>
      </c>
      <c r="V94">
        <v>236.20000000000002</v>
      </c>
      <c r="W94">
        <v>255.4</v>
      </c>
      <c r="X94">
        <v>278</v>
      </c>
      <c r="Y94">
        <v>253.40000000000003</v>
      </c>
      <c r="Z94">
        <v>236.6</v>
      </c>
      <c r="AA94">
        <v>208.8</v>
      </c>
      <c r="AB94">
        <v>237.6</v>
      </c>
      <c r="AC94">
        <v>2863.2000000000003</v>
      </c>
      <c r="AD94">
        <v>88.2</v>
      </c>
      <c r="AE94">
        <v>2749.7999999999997</v>
      </c>
      <c r="AF94">
        <v>2718.0000000000005</v>
      </c>
      <c r="AG94">
        <v>1.9730422558504921</v>
      </c>
      <c r="AH94" t="s">
        <v>145</v>
      </c>
      <c r="AI94">
        <v>1</v>
      </c>
      <c r="AJ94">
        <v>45469</v>
      </c>
      <c r="AK94" t="s">
        <v>217</v>
      </c>
      <c r="AL94" s="9">
        <v>45747</v>
      </c>
      <c r="AM94" s="9">
        <v>45596</v>
      </c>
      <c r="AN94" s="9"/>
      <c r="AO94" s="9">
        <v>45777</v>
      </c>
      <c r="AP94" s="9"/>
    </row>
    <row r="95" spans="1:42" x14ac:dyDescent="0.25">
      <c r="A95" t="s">
        <v>267</v>
      </c>
      <c r="B95" t="s">
        <v>260</v>
      </c>
      <c r="C95" t="s">
        <v>212</v>
      </c>
      <c r="D95" t="s">
        <v>47</v>
      </c>
      <c r="E95" t="s">
        <v>261</v>
      </c>
      <c r="F95" t="s">
        <v>268</v>
      </c>
      <c r="G95" t="s">
        <v>50</v>
      </c>
      <c r="I95" t="s">
        <v>51</v>
      </c>
      <c r="J95" t="s">
        <v>56</v>
      </c>
      <c r="K95" t="s">
        <v>78</v>
      </c>
      <c r="L95">
        <v>1000</v>
      </c>
      <c r="M95">
        <v>1451.16</v>
      </c>
      <c r="N95">
        <v>2088</v>
      </c>
      <c r="O95" t="s">
        <v>215</v>
      </c>
      <c r="P95" t="s">
        <v>216</v>
      </c>
      <c r="Q95">
        <v>233.60000000000002</v>
      </c>
      <c r="R95">
        <v>215.6</v>
      </c>
      <c r="S95">
        <v>236.4</v>
      </c>
      <c r="T95">
        <v>229.20000000000002</v>
      </c>
      <c r="U95">
        <v>242.4</v>
      </c>
      <c r="V95">
        <v>236.20000000000002</v>
      </c>
      <c r="W95">
        <v>255.4</v>
      </c>
      <c r="X95">
        <v>278</v>
      </c>
      <c r="Y95">
        <v>253.40000000000003</v>
      </c>
      <c r="Z95">
        <v>236.6</v>
      </c>
      <c r="AA95">
        <v>208.8</v>
      </c>
      <c r="AB95">
        <v>237.6</v>
      </c>
      <c r="AC95">
        <v>2863.2000000000003</v>
      </c>
      <c r="AD95">
        <v>88.2</v>
      </c>
      <c r="AE95">
        <v>2749.7999999999997</v>
      </c>
      <c r="AF95">
        <v>2718.0000000000005</v>
      </c>
      <c r="AG95">
        <v>1.9730422558504921</v>
      </c>
      <c r="AH95" t="s">
        <v>145</v>
      </c>
      <c r="AI95">
        <v>1</v>
      </c>
      <c r="AJ95">
        <v>45469</v>
      </c>
      <c r="AK95" t="s">
        <v>217</v>
      </c>
      <c r="AL95" s="9">
        <v>45747</v>
      </c>
      <c r="AM95" s="9">
        <v>45596</v>
      </c>
      <c r="AN95" s="9"/>
      <c r="AO95" s="9">
        <v>45777</v>
      </c>
      <c r="AP95" s="9"/>
    </row>
    <row r="96" spans="1:42" x14ac:dyDescent="0.25">
      <c r="A96" t="s">
        <v>269</v>
      </c>
      <c r="B96" t="s">
        <v>260</v>
      </c>
      <c r="C96" t="s">
        <v>212</v>
      </c>
      <c r="D96" t="s">
        <v>47</v>
      </c>
      <c r="E96" t="s">
        <v>261</v>
      </c>
      <c r="F96" t="s">
        <v>270</v>
      </c>
      <c r="G96" t="s">
        <v>50</v>
      </c>
      <c r="I96" t="s">
        <v>51</v>
      </c>
      <c r="J96" t="s">
        <v>56</v>
      </c>
      <c r="K96" t="s">
        <v>78</v>
      </c>
      <c r="L96">
        <v>1000</v>
      </c>
      <c r="M96">
        <v>1451.16</v>
      </c>
      <c r="N96">
        <v>2088</v>
      </c>
      <c r="O96" t="s">
        <v>215</v>
      </c>
      <c r="P96" t="s">
        <v>216</v>
      </c>
      <c r="Q96">
        <v>233.60000000000002</v>
      </c>
      <c r="R96">
        <v>215.6</v>
      </c>
      <c r="S96">
        <v>236.4</v>
      </c>
      <c r="T96">
        <v>229.20000000000002</v>
      </c>
      <c r="U96">
        <v>242.4</v>
      </c>
      <c r="V96">
        <v>236.20000000000002</v>
      </c>
      <c r="W96">
        <v>255.4</v>
      </c>
      <c r="X96">
        <v>278</v>
      </c>
      <c r="Y96">
        <v>253.40000000000003</v>
      </c>
      <c r="Z96">
        <v>236.6</v>
      </c>
      <c r="AA96">
        <v>208.8</v>
      </c>
      <c r="AB96">
        <v>237.6</v>
      </c>
      <c r="AC96">
        <v>2863.2000000000003</v>
      </c>
      <c r="AD96">
        <v>88.2</v>
      </c>
      <c r="AE96">
        <v>2749.7999999999997</v>
      </c>
      <c r="AF96">
        <v>2718.0000000000005</v>
      </c>
      <c r="AG96">
        <v>1.9730422558504921</v>
      </c>
      <c r="AH96" t="s">
        <v>145</v>
      </c>
      <c r="AI96">
        <v>1</v>
      </c>
      <c r="AJ96">
        <v>45469</v>
      </c>
      <c r="AK96" t="s">
        <v>217</v>
      </c>
      <c r="AL96" s="9">
        <v>45747</v>
      </c>
      <c r="AM96" s="9">
        <v>45596</v>
      </c>
      <c r="AN96" s="9"/>
      <c r="AO96" s="9">
        <v>45777</v>
      </c>
      <c r="AP96" s="9"/>
    </row>
    <row r="97" spans="1:42" x14ac:dyDescent="0.25">
      <c r="A97" t="s">
        <v>271</v>
      </c>
      <c r="B97" t="s">
        <v>272</v>
      </c>
      <c r="C97" t="s">
        <v>223</v>
      </c>
      <c r="D97" t="s">
        <v>47</v>
      </c>
      <c r="E97" t="s">
        <v>273</v>
      </c>
      <c r="F97" t="s">
        <v>274</v>
      </c>
      <c r="G97" t="s">
        <v>50</v>
      </c>
      <c r="H97">
        <v>10036976782</v>
      </c>
      <c r="I97" t="s">
        <v>51</v>
      </c>
      <c r="J97" t="s">
        <v>56</v>
      </c>
      <c r="K97" t="s">
        <v>78</v>
      </c>
      <c r="L97">
        <v>1000</v>
      </c>
      <c r="M97">
        <v>1451.16</v>
      </c>
      <c r="N97">
        <v>2088</v>
      </c>
      <c r="O97" t="s">
        <v>215</v>
      </c>
      <c r="P97" t="s">
        <v>224</v>
      </c>
      <c r="Q97">
        <v>250.4</v>
      </c>
      <c r="R97">
        <v>215</v>
      </c>
      <c r="S97">
        <v>228.8</v>
      </c>
      <c r="T97">
        <v>229.4</v>
      </c>
      <c r="U97">
        <v>225.6</v>
      </c>
      <c r="V97">
        <v>233.8</v>
      </c>
      <c r="W97">
        <v>238.60000000000002</v>
      </c>
      <c r="X97">
        <v>271</v>
      </c>
      <c r="Y97">
        <v>234.4</v>
      </c>
      <c r="Z97">
        <v>253.2</v>
      </c>
      <c r="AA97">
        <v>239.00000000000003</v>
      </c>
      <c r="AB97">
        <v>236.4</v>
      </c>
      <c r="AC97">
        <v>2855.6</v>
      </c>
      <c r="AD97">
        <v>88</v>
      </c>
      <c r="AE97">
        <v>2742.4</v>
      </c>
      <c r="AF97">
        <v>2710.8</v>
      </c>
      <c r="AG97">
        <v>1.9678050662917941</v>
      </c>
      <c r="AH97" t="s">
        <v>275</v>
      </c>
      <c r="AI97">
        <v>1</v>
      </c>
      <c r="AJ97">
        <v>45469</v>
      </c>
      <c r="AK97" t="s">
        <v>217</v>
      </c>
      <c r="AL97" s="9">
        <v>45629</v>
      </c>
      <c r="AM97" s="9">
        <v>45461</v>
      </c>
      <c r="AN97" s="9"/>
      <c r="AO97" s="9">
        <v>45639</v>
      </c>
      <c r="AP97" s="9"/>
    </row>
    <row r="98" spans="1:42" x14ac:dyDescent="0.25">
      <c r="A98" t="s">
        <v>276</v>
      </c>
      <c r="B98" t="s">
        <v>272</v>
      </c>
      <c r="C98" t="s">
        <v>223</v>
      </c>
      <c r="D98" t="s">
        <v>47</v>
      </c>
      <c r="E98" t="s">
        <v>273</v>
      </c>
      <c r="F98" t="s">
        <v>277</v>
      </c>
      <c r="G98" t="s">
        <v>50</v>
      </c>
      <c r="H98">
        <v>10036976790</v>
      </c>
      <c r="I98" t="s">
        <v>51</v>
      </c>
      <c r="J98" t="s">
        <v>56</v>
      </c>
      <c r="K98" t="s">
        <v>78</v>
      </c>
      <c r="L98">
        <v>1000</v>
      </c>
      <c r="M98">
        <v>1451.16</v>
      </c>
      <c r="N98">
        <v>2088</v>
      </c>
      <c r="O98" t="s">
        <v>215</v>
      </c>
      <c r="P98" t="s">
        <v>224</v>
      </c>
      <c r="Q98">
        <v>250.4</v>
      </c>
      <c r="R98">
        <v>215</v>
      </c>
      <c r="S98">
        <v>228.8</v>
      </c>
      <c r="T98">
        <v>229.4</v>
      </c>
      <c r="U98">
        <v>225.6</v>
      </c>
      <c r="V98">
        <v>233.8</v>
      </c>
      <c r="W98">
        <v>238.60000000000002</v>
      </c>
      <c r="X98">
        <v>271</v>
      </c>
      <c r="Y98">
        <v>234.4</v>
      </c>
      <c r="Z98">
        <v>253.2</v>
      </c>
      <c r="AA98">
        <v>239.00000000000003</v>
      </c>
      <c r="AB98">
        <v>236.4</v>
      </c>
      <c r="AC98">
        <v>2855.6</v>
      </c>
      <c r="AD98">
        <v>88</v>
      </c>
      <c r="AE98">
        <v>2742.4</v>
      </c>
      <c r="AF98">
        <v>2710.8</v>
      </c>
      <c r="AG98">
        <v>1.9678050662917941</v>
      </c>
      <c r="AH98" t="s">
        <v>275</v>
      </c>
      <c r="AI98">
        <v>1</v>
      </c>
      <c r="AJ98">
        <v>45469</v>
      </c>
      <c r="AK98" t="s">
        <v>217</v>
      </c>
      <c r="AL98" s="9">
        <v>45629</v>
      </c>
      <c r="AM98" s="9">
        <v>45461</v>
      </c>
      <c r="AN98" s="9"/>
      <c r="AO98" s="9">
        <v>45639</v>
      </c>
      <c r="AP98" s="9"/>
    </row>
    <row r="99" spans="1:42" x14ac:dyDescent="0.25">
      <c r="A99" t="s">
        <v>278</v>
      </c>
      <c r="B99" t="s">
        <v>272</v>
      </c>
      <c r="C99" t="s">
        <v>223</v>
      </c>
      <c r="D99" t="s">
        <v>47</v>
      </c>
      <c r="E99" t="s">
        <v>273</v>
      </c>
      <c r="F99" t="s">
        <v>279</v>
      </c>
      <c r="G99" t="s">
        <v>50</v>
      </c>
      <c r="H99">
        <v>10036976804</v>
      </c>
      <c r="I99" t="s">
        <v>51</v>
      </c>
      <c r="J99" t="s">
        <v>56</v>
      </c>
      <c r="K99" t="s">
        <v>78</v>
      </c>
      <c r="L99">
        <v>1000</v>
      </c>
      <c r="M99">
        <v>1451.16</v>
      </c>
      <c r="N99">
        <v>2088</v>
      </c>
      <c r="O99" t="s">
        <v>215</v>
      </c>
      <c r="P99" t="s">
        <v>224</v>
      </c>
      <c r="Q99">
        <v>250.4</v>
      </c>
      <c r="R99">
        <v>215</v>
      </c>
      <c r="S99">
        <v>228.8</v>
      </c>
      <c r="T99">
        <v>229.4</v>
      </c>
      <c r="U99">
        <v>225.6</v>
      </c>
      <c r="V99">
        <v>233.8</v>
      </c>
      <c r="W99">
        <v>238.60000000000002</v>
      </c>
      <c r="X99">
        <v>271</v>
      </c>
      <c r="Y99">
        <v>234.4</v>
      </c>
      <c r="Z99">
        <v>253.2</v>
      </c>
      <c r="AA99">
        <v>239.00000000000003</v>
      </c>
      <c r="AB99">
        <v>236.4</v>
      </c>
      <c r="AC99">
        <v>2855.6</v>
      </c>
      <c r="AD99">
        <v>88</v>
      </c>
      <c r="AE99">
        <v>2742.4</v>
      </c>
      <c r="AF99">
        <v>2710.8</v>
      </c>
      <c r="AG99">
        <v>1.9678050662917941</v>
      </c>
      <c r="AH99" t="s">
        <v>275</v>
      </c>
      <c r="AI99">
        <v>1</v>
      </c>
      <c r="AJ99">
        <v>45469</v>
      </c>
      <c r="AK99" t="s">
        <v>217</v>
      </c>
      <c r="AL99" s="9">
        <v>45629</v>
      </c>
      <c r="AM99" s="9">
        <v>45461</v>
      </c>
      <c r="AN99" s="9"/>
      <c r="AO99" s="9">
        <v>45639</v>
      </c>
      <c r="AP99" s="9"/>
    </row>
    <row r="100" spans="1:42" x14ac:dyDescent="0.25">
      <c r="A100" t="s">
        <v>280</v>
      </c>
      <c r="B100" t="s">
        <v>272</v>
      </c>
      <c r="C100" t="s">
        <v>223</v>
      </c>
      <c r="D100" t="s">
        <v>47</v>
      </c>
      <c r="E100" t="s">
        <v>273</v>
      </c>
      <c r="F100" t="s">
        <v>281</v>
      </c>
      <c r="G100" t="s">
        <v>50</v>
      </c>
      <c r="H100">
        <v>10036976812</v>
      </c>
      <c r="I100" t="s">
        <v>51</v>
      </c>
      <c r="J100" t="s">
        <v>56</v>
      </c>
      <c r="K100" t="s">
        <v>78</v>
      </c>
      <c r="L100">
        <v>1000</v>
      </c>
      <c r="M100">
        <v>1451.16</v>
      </c>
      <c r="N100">
        <v>2088</v>
      </c>
      <c r="O100" t="s">
        <v>215</v>
      </c>
      <c r="P100" t="s">
        <v>224</v>
      </c>
      <c r="Q100">
        <v>250.4</v>
      </c>
      <c r="R100">
        <v>215</v>
      </c>
      <c r="S100">
        <v>228.8</v>
      </c>
      <c r="T100">
        <v>229.4</v>
      </c>
      <c r="U100">
        <v>225.6</v>
      </c>
      <c r="V100">
        <v>233.8</v>
      </c>
      <c r="W100">
        <v>238.60000000000002</v>
      </c>
      <c r="X100">
        <v>271</v>
      </c>
      <c r="Y100">
        <v>234.4</v>
      </c>
      <c r="Z100">
        <v>253.2</v>
      </c>
      <c r="AA100">
        <v>239.00000000000003</v>
      </c>
      <c r="AB100">
        <v>236.4</v>
      </c>
      <c r="AC100">
        <v>2855.6</v>
      </c>
      <c r="AD100">
        <v>88</v>
      </c>
      <c r="AE100">
        <v>2742.4</v>
      </c>
      <c r="AF100">
        <v>2710.8</v>
      </c>
      <c r="AG100">
        <v>1.9678050662917941</v>
      </c>
      <c r="AH100" t="s">
        <v>275</v>
      </c>
      <c r="AI100">
        <v>1</v>
      </c>
      <c r="AJ100">
        <v>45469</v>
      </c>
      <c r="AK100" t="s">
        <v>217</v>
      </c>
      <c r="AL100" s="9">
        <v>45629</v>
      </c>
      <c r="AM100" s="9">
        <v>45461</v>
      </c>
      <c r="AN100" s="9"/>
      <c r="AO100" s="9">
        <v>45639</v>
      </c>
      <c r="AP100" s="9"/>
    </row>
    <row r="101" spans="1:42" x14ac:dyDescent="0.25">
      <c r="A101" t="s">
        <v>282</v>
      </c>
      <c r="B101" t="s">
        <v>272</v>
      </c>
      <c r="C101" t="s">
        <v>223</v>
      </c>
      <c r="D101" t="s">
        <v>47</v>
      </c>
      <c r="E101" t="s">
        <v>273</v>
      </c>
      <c r="F101" t="s">
        <v>283</v>
      </c>
      <c r="G101" t="s">
        <v>50</v>
      </c>
      <c r="H101">
        <v>10036976839</v>
      </c>
      <c r="I101" t="s">
        <v>51</v>
      </c>
      <c r="J101" t="s">
        <v>56</v>
      </c>
      <c r="K101" t="s">
        <v>78</v>
      </c>
      <c r="L101">
        <v>1000</v>
      </c>
      <c r="M101">
        <v>1451.16</v>
      </c>
      <c r="N101">
        <v>2088</v>
      </c>
      <c r="O101" t="s">
        <v>215</v>
      </c>
      <c r="P101" t="s">
        <v>224</v>
      </c>
      <c r="Q101">
        <v>250.4</v>
      </c>
      <c r="R101">
        <v>215</v>
      </c>
      <c r="S101">
        <v>228.8</v>
      </c>
      <c r="T101">
        <v>229.4</v>
      </c>
      <c r="U101">
        <v>225.6</v>
      </c>
      <c r="V101">
        <v>233.8</v>
      </c>
      <c r="W101">
        <v>238.60000000000002</v>
      </c>
      <c r="X101">
        <v>271</v>
      </c>
      <c r="Y101">
        <v>234.4</v>
      </c>
      <c r="Z101">
        <v>253.2</v>
      </c>
      <c r="AA101">
        <v>239.00000000000003</v>
      </c>
      <c r="AB101">
        <v>236.4</v>
      </c>
      <c r="AC101">
        <v>2855.6</v>
      </c>
      <c r="AD101">
        <v>88</v>
      </c>
      <c r="AE101">
        <v>2742.4</v>
      </c>
      <c r="AF101">
        <v>2710.8</v>
      </c>
      <c r="AG101">
        <v>1.9678050662917941</v>
      </c>
      <c r="AH101" t="s">
        <v>275</v>
      </c>
      <c r="AI101">
        <v>1</v>
      </c>
      <c r="AJ101">
        <v>45469</v>
      </c>
      <c r="AK101" t="s">
        <v>217</v>
      </c>
      <c r="AL101" s="9">
        <v>45629</v>
      </c>
      <c r="AM101" s="9">
        <v>45461</v>
      </c>
      <c r="AN101" s="9"/>
      <c r="AO101" s="9">
        <v>45639</v>
      </c>
      <c r="AP101" s="9"/>
    </row>
    <row r="102" spans="1:42" x14ac:dyDescent="0.25">
      <c r="A102" t="s">
        <v>284</v>
      </c>
      <c r="B102" t="s">
        <v>285</v>
      </c>
      <c r="C102" t="s">
        <v>212</v>
      </c>
      <c r="D102" t="s">
        <v>97</v>
      </c>
      <c r="E102" t="s">
        <v>285</v>
      </c>
      <c r="F102" t="s">
        <v>286</v>
      </c>
      <c r="G102" t="s">
        <v>100</v>
      </c>
      <c r="H102">
        <v>2611139</v>
      </c>
      <c r="I102" t="s">
        <v>51</v>
      </c>
      <c r="J102" t="s">
        <v>56</v>
      </c>
      <c r="K102" t="s">
        <v>78</v>
      </c>
      <c r="L102">
        <v>1000</v>
      </c>
      <c r="M102">
        <v>1451.16</v>
      </c>
      <c r="N102">
        <v>2088</v>
      </c>
      <c r="O102" t="s">
        <v>215</v>
      </c>
      <c r="P102" t="s">
        <v>216</v>
      </c>
      <c r="Q102">
        <v>237.10769230769233</v>
      </c>
      <c r="R102">
        <v>208</v>
      </c>
      <c r="S102">
        <v>228.70769230769227</v>
      </c>
      <c r="T102">
        <v>215.84615384615384</v>
      </c>
      <c r="U102">
        <v>230.49230769230766</v>
      </c>
      <c r="V102">
        <v>213.47692307692304</v>
      </c>
      <c r="W102">
        <v>241.8153846153846</v>
      </c>
      <c r="X102">
        <v>264.46153846153845</v>
      </c>
      <c r="Y102">
        <v>251.87692307692308</v>
      </c>
      <c r="Z102">
        <v>251.10769230769233</v>
      </c>
      <c r="AA102">
        <v>187.04615384615383</v>
      </c>
      <c r="AB102">
        <v>234.7076923076923</v>
      </c>
      <c r="AC102">
        <v>2764.6461538461535</v>
      </c>
      <c r="AD102">
        <v>85.230769230769226</v>
      </c>
      <c r="AE102">
        <v>2655.3846153846152</v>
      </c>
      <c r="AF102">
        <v>2624.6153846153848</v>
      </c>
      <c r="AG102">
        <v>1.9051284171601708</v>
      </c>
      <c r="AH102" t="s">
        <v>231</v>
      </c>
      <c r="AI102">
        <v>1</v>
      </c>
      <c r="AJ102">
        <v>45470</v>
      </c>
      <c r="AK102" t="s">
        <v>217</v>
      </c>
      <c r="AL102" s="9">
        <v>45680</v>
      </c>
      <c r="AM102" s="9">
        <v>45530</v>
      </c>
      <c r="AN102" s="9"/>
      <c r="AO102" s="9">
        <v>45700</v>
      </c>
      <c r="AP102" s="9"/>
    </row>
    <row r="103" spans="1:42" x14ac:dyDescent="0.25">
      <c r="A103" t="s">
        <v>287</v>
      </c>
      <c r="B103" t="s">
        <v>285</v>
      </c>
      <c r="C103" t="s">
        <v>212</v>
      </c>
      <c r="D103" t="s">
        <v>97</v>
      </c>
      <c r="E103" t="s">
        <v>285</v>
      </c>
      <c r="F103" t="s">
        <v>286</v>
      </c>
      <c r="G103" t="s">
        <v>100</v>
      </c>
      <c r="H103">
        <v>2611148</v>
      </c>
      <c r="I103" t="s">
        <v>51</v>
      </c>
      <c r="J103" t="s">
        <v>56</v>
      </c>
      <c r="K103" t="s">
        <v>78</v>
      </c>
      <c r="L103">
        <v>1000</v>
      </c>
      <c r="M103">
        <v>1451.16</v>
      </c>
      <c r="N103">
        <v>2088</v>
      </c>
      <c r="O103" t="s">
        <v>215</v>
      </c>
      <c r="P103" t="s">
        <v>216</v>
      </c>
      <c r="Q103">
        <v>237.10769230769233</v>
      </c>
      <c r="R103">
        <v>208</v>
      </c>
      <c r="S103">
        <v>228.70769230769227</v>
      </c>
      <c r="T103">
        <v>215.84615384615384</v>
      </c>
      <c r="U103">
        <v>230.49230769230766</v>
      </c>
      <c r="V103">
        <v>213.47692307692304</v>
      </c>
      <c r="W103">
        <v>241.8153846153846</v>
      </c>
      <c r="X103">
        <v>264.46153846153845</v>
      </c>
      <c r="Y103">
        <v>251.87692307692308</v>
      </c>
      <c r="Z103">
        <v>251.10769230769233</v>
      </c>
      <c r="AA103">
        <v>187.04615384615383</v>
      </c>
      <c r="AB103">
        <v>234.7076923076923</v>
      </c>
      <c r="AC103">
        <v>2764.6461538461535</v>
      </c>
      <c r="AD103">
        <v>85.230769230769226</v>
      </c>
      <c r="AE103">
        <v>2655.3846153846152</v>
      </c>
      <c r="AF103">
        <v>2624.6153846153848</v>
      </c>
      <c r="AG103">
        <v>1.9051284171601708</v>
      </c>
      <c r="AH103" t="s">
        <v>231</v>
      </c>
      <c r="AI103">
        <v>1</v>
      </c>
      <c r="AJ103">
        <v>45470</v>
      </c>
      <c r="AK103" t="s">
        <v>217</v>
      </c>
      <c r="AL103" s="9">
        <v>45680</v>
      </c>
      <c r="AM103" s="9">
        <v>45530</v>
      </c>
      <c r="AN103" s="9"/>
      <c r="AO103" s="9">
        <v>45700</v>
      </c>
      <c r="AP103" s="9"/>
    </row>
    <row r="104" spans="1:42" x14ac:dyDescent="0.25">
      <c r="A104" t="s">
        <v>288</v>
      </c>
      <c r="B104" t="s">
        <v>285</v>
      </c>
      <c r="C104" t="s">
        <v>212</v>
      </c>
      <c r="D104" t="s">
        <v>97</v>
      </c>
      <c r="E104" t="s">
        <v>285</v>
      </c>
      <c r="F104" t="s">
        <v>286</v>
      </c>
      <c r="G104" t="s">
        <v>100</v>
      </c>
      <c r="H104">
        <v>2611157</v>
      </c>
      <c r="I104" t="s">
        <v>51</v>
      </c>
      <c r="J104" t="s">
        <v>56</v>
      </c>
      <c r="K104" t="s">
        <v>78</v>
      </c>
      <c r="L104">
        <v>1000</v>
      </c>
      <c r="M104">
        <v>1451.16</v>
      </c>
      <c r="N104">
        <v>2088</v>
      </c>
      <c r="O104" t="s">
        <v>215</v>
      </c>
      <c r="P104" t="s">
        <v>216</v>
      </c>
      <c r="Q104">
        <v>237.10769230769233</v>
      </c>
      <c r="R104">
        <v>208</v>
      </c>
      <c r="S104">
        <v>228.70769230769227</v>
      </c>
      <c r="T104">
        <v>215.84615384615384</v>
      </c>
      <c r="U104">
        <v>230.49230769230766</v>
      </c>
      <c r="V104">
        <v>213.47692307692304</v>
      </c>
      <c r="W104">
        <v>241.8153846153846</v>
      </c>
      <c r="X104">
        <v>264.46153846153845</v>
      </c>
      <c r="Y104">
        <v>251.87692307692308</v>
      </c>
      <c r="Z104">
        <v>251.10769230769233</v>
      </c>
      <c r="AA104">
        <v>187.04615384615383</v>
      </c>
      <c r="AB104">
        <v>234.7076923076923</v>
      </c>
      <c r="AC104">
        <v>2764.6461538461535</v>
      </c>
      <c r="AD104">
        <v>85.230769230769226</v>
      </c>
      <c r="AE104">
        <v>2655.3846153846152</v>
      </c>
      <c r="AF104">
        <v>2624.6153846153848</v>
      </c>
      <c r="AG104">
        <v>1.9051284171601708</v>
      </c>
      <c r="AH104" t="s">
        <v>231</v>
      </c>
      <c r="AI104">
        <v>1</v>
      </c>
      <c r="AJ104">
        <v>45470</v>
      </c>
      <c r="AK104" t="s">
        <v>217</v>
      </c>
      <c r="AL104" s="9">
        <v>45680</v>
      </c>
      <c r="AM104" s="9">
        <v>45530</v>
      </c>
      <c r="AN104" s="9"/>
      <c r="AO104" s="9">
        <v>45700</v>
      </c>
      <c r="AP104" s="9"/>
    </row>
    <row r="105" spans="1:42" x14ac:dyDescent="0.25">
      <c r="A105" t="s">
        <v>289</v>
      </c>
      <c r="B105" t="s">
        <v>285</v>
      </c>
      <c r="C105" t="s">
        <v>212</v>
      </c>
      <c r="D105" t="s">
        <v>97</v>
      </c>
      <c r="E105" t="s">
        <v>285</v>
      </c>
      <c r="F105" t="s">
        <v>286</v>
      </c>
      <c r="G105" t="s">
        <v>100</v>
      </c>
      <c r="H105">
        <v>2611155</v>
      </c>
      <c r="I105" t="s">
        <v>51</v>
      </c>
      <c r="J105" t="s">
        <v>56</v>
      </c>
      <c r="K105" t="s">
        <v>78</v>
      </c>
      <c r="L105">
        <v>250</v>
      </c>
      <c r="M105">
        <v>362.79</v>
      </c>
      <c r="N105">
        <v>522</v>
      </c>
      <c r="O105" t="s">
        <v>215</v>
      </c>
      <c r="P105" t="s">
        <v>216</v>
      </c>
      <c r="Q105">
        <v>59.276923076923083</v>
      </c>
      <c r="R105">
        <v>52</v>
      </c>
      <c r="S105">
        <v>57.176923076923067</v>
      </c>
      <c r="T105">
        <v>53.96153846153846</v>
      </c>
      <c r="U105">
        <v>57.623076923076916</v>
      </c>
      <c r="V105">
        <v>53.369230769230761</v>
      </c>
      <c r="W105">
        <v>60.45384615384615</v>
      </c>
      <c r="X105">
        <v>66.115384615384613</v>
      </c>
      <c r="Y105">
        <v>62.969230769230769</v>
      </c>
      <c r="Z105">
        <v>62.776923076923083</v>
      </c>
      <c r="AA105">
        <v>46.761538461538457</v>
      </c>
      <c r="AB105">
        <v>58.676923076923075</v>
      </c>
      <c r="AC105">
        <v>691.16153846153838</v>
      </c>
      <c r="AD105">
        <v>21.307692307692307</v>
      </c>
      <c r="AE105">
        <v>663.84615384615381</v>
      </c>
      <c r="AF105">
        <v>656.15384615384619</v>
      </c>
      <c r="AG105">
        <v>1.9051284171601708</v>
      </c>
      <c r="AH105" t="s">
        <v>231</v>
      </c>
      <c r="AI105">
        <v>1</v>
      </c>
      <c r="AJ105">
        <v>45470</v>
      </c>
      <c r="AK105" t="s">
        <v>217</v>
      </c>
      <c r="AL105" s="9">
        <v>45680</v>
      </c>
      <c r="AM105" s="9">
        <v>45530</v>
      </c>
      <c r="AN105" s="9"/>
      <c r="AO105" s="9">
        <v>45700</v>
      </c>
      <c r="AP105" s="9"/>
    </row>
    <row r="106" spans="1:42" x14ac:dyDescent="0.25">
      <c r="A106" t="s">
        <v>290</v>
      </c>
      <c r="B106" t="s">
        <v>290</v>
      </c>
      <c r="C106" t="s">
        <v>223</v>
      </c>
      <c r="D106" t="s">
        <v>291</v>
      </c>
      <c r="E106" t="s">
        <v>292</v>
      </c>
      <c r="F106" t="s">
        <v>293</v>
      </c>
      <c r="G106" t="s">
        <v>294</v>
      </c>
      <c r="I106" t="s">
        <v>51</v>
      </c>
      <c r="J106" t="s">
        <v>56</v>
      </c>
      <c r="K106" t="s">
        <v>78</v>
      </c>
      <c r="L106">
        <v>1000</v>
      </c>
      <c r="M106">
        <v>1451.16</v>
      </c>
      <c r="AC106">
        <v>0</v>
      </c>
      <c r="AE106">
        <v>2698</v>
      </c>
      <c r="AG106">
        <v>0</v>
      </c>
      <c r="AK106" t="s">
        <v>54</v>
      </c>
      <c r="AL106" s="9"/>
      <c r="AM106" s="9"/>
      <c r="AN106" s="9"/>
      <c r="AO106" s="9"/>
      <c r="AP106" s="9"/>
    </row>
    <row r="107" spans="1:42" x14ac:dyDescent="0.25">
      <c r="A107" t="s">
        <v>295</v>
      </c>
      <c r="B107" t="s">
        <v>295</v>
      </c>
      <c r="C107" t="s">
        <v>212</v>
      </c>
      <c r="D107" t="s">
        <v>296</v>
      </c>
      <c r="E107" t="s">
        <v>297</v>
      </c>
      <c r="F107" t="s">
        <v>298</v>
      </c>
      <c r="G107" t="s">
        <v>299</v>
      </c>
      <c r="I107" t="s">
        <v>51</v>
      </c>
      <c r="J107" t="s">
        <v>56</v>
      </c>
      <c r="K107" t="s">
        <v>78</v>
      </c>
      <c r="L107">
        <v>1000</v>
      </c>
      <c r="M107">
        <v>1451.16</v>
      </c>
      <c r="N107">
        <v>2088</v>
      </c>
      <c r="O107" t="s">
        <v>215</v>
      </c>
      <c r="P107" t="s">
        <v>216</v>
      </c>
      <c r="Q107">
        <v>210.72</v>
      </c>
      <c r="R107">
        <v>192.68</v>
      </c>
      <c r="S107">
        <v>218.04000000000002</v>
      </c>
      <c r="T107">
        <v>200.76</v>
      </c>
      <c r="U107">
        <v>240.76</v>
      </c>
      <c r="V107">
        <v>249.24</v>
      </c>
      <c r="W107">
        <v>254.35999999999999</v>
      </c>
      <c r="X107">
        <v>261.56</v>
      </c>
      <c r="Y107">
        <v>233.44</v>
      </c>
      <c r="Z107">
        <v>191.88</v>
      </c>
      <c r="AA107">
        <v>195.88</v>
      </c>
      <c r="AB107">
        <v>177.32</v>
      </c>
      <c r="AC107">
        <v>2626.6400000000003</v>
      </c>
      <c r="AD107">
        <v>80.8</v>
      </c>
      <c r="AE107">
        <v>2522.8000000000002</v>
      </c>
      <c r="AF107">
        <v>2493.6000000000004</v>
      </c>
      <c r="AG107">
        <v>1.8100278397971279</v>
      </c>
      <c r="AH107" t="s">
        <v>66</v>
      </c>
      <c r="AI107">
        <v>1</v>
      </c>
      <c r="AJ107">
        <v>45484</v>
      </c>
      <c r="AK107" t="s">
        <v>217</v>
      </c>
      <c r="AL107" s="9">
        <v>45747</v>
      </c>
      <c r="AM107" s="9">
        <v>45596</v>
      </c>
      <c r="AN107" s="9"/>
      <c r="AO107" s="9">
        <v>45777</v>
      </c>
      <c r="AP107" s="9"/>
    </row>
    <row r="108" spans="1:42" x14ac:dyDescent="0.25">
      <c r="A108" t="s">
        <v>300</v>
      </c>
      <c r="B108" t="s">
        <v>295</v>
      </c>
      <c r="C108" t="s">
        <v>212</v>
      </c>
      <c r="D108" t="s">
        <v>296</v>
      </c>
      <c r="E108" t="s">
        <v>297</v>
      </c>
      <c r="F108" t="s">
        <v>298</v>
      </c>
      <c r="G108" t="s">
        <v>299</v>
      </c>
      <c r="I108" t="s">
        <v>51</v>
      </c>
      <c r="J108" t="s">
        <v>56</v>
      </c>
      <c r="K108" t="s">
        <v>78</v>
      </c>
      <c r="L108">
        <v>1000</v>
      </c>
      <c r="M108">
        <v>1451.16</v>
      </c>
      <c r="N108">
        <v>2088</v>
      </c>
      <c r="O108" t="s">
        <v>215</v>
      </c>
      <c r="P108" t="s">
        <v>216</v>
      </c>
      <c r="Q108">
        <v>210.72</v>
      </c>
      <c r="R108">
        <v>192.68</v>
      </c>
      <c r="S108">
        <v>218.04000000000002</v>
      </c>
      <c r="T108">
        <v>200.76</v>
      </c>
      <c r="U108">
        <v>240.76</v>
      </c>
      <c r="V108">
        <v>249.24</v>
      </c>
      <c r="W108">
        <v>254.35999999999999</v>
      </c>
      <c r="X108">
        <v>261.56</v>
      </c>
      <c r="Y108">
        <v>233.44</v>
      </c>
      <c r="Z108">
        <v>191.88</v>
      </c>
      <c r="AA108">
        <v>195.88</v>
      </c>
      <c r="AB108">
        <v>177.32</v>
      </c>
      <c r="AC108">
        <v>2626.6400000000003</v>
      </c>
      <c r="AD108">
        <v>80.8</v>
      </c>
      <c r="AE108">
        <v>2522.8000000000002</v>
      </c>
      <c r="AF108">
        <v>2493.6000000000004</v>
      </c>
      <c r="AG108">
        <v>1.8100278397971279</v>
      </c>
      <c r="AH108" t="s">
        <v>66</v>
      </c>
      <c r="AI108">
        <v>1</v>
      </c>
      <c r="AJ108">
        <v>45484</v>
      </c>
      <c r="AK108" t="s">
        <v>217</v>
      </c>
      <c r="AL108" s="9">
        <v>45747</v>
      </c>
      <c r="AM108" s="9">
        <v>45596</v>
      </c>
      <c r="AN108" s="9"/>
      <c r="AO108" s="9">
        <v>45777</v>
      </c>
      <c r="AP108" s="9"/>
    </row>
    <row r="109" spans="1:42" x14ac:dyDescent="0.25">
      <c r="A109" t="s">
        <v>301</v>
      </c>
      <c r="B109" t="s">
        <v>295</v>
      </c>
      <c r="C109" t="s">
        <v>212</v>
      </c>
      <c r="D109" t="s">
        <v>296</v>
      </c>
      <c r="E109" t="s">
        <v>297</v>
      </c>
      <c r="F109" t="s">
        <v>298</v>
      </c>
      <c r="G109" t="s">
        <v>299</v>
      </c>
      <c r="I109" t="s">
        <v>51</v>
      </c>
      <c r="J109" t="s">
        <v>56</v>
      </c>
      <c r="K109" t="s">
        <v>78</v>
      </c>
      <c r="L109">
        <v>500</v>
      </c>
      <c r="M109">
        <v>725.58</v>
      </c>
      <c r="N109">
        <v>1044</v>
      </c>
      <c r="O109" t="s">
        <v>215</v>
      </c>
      <c r="P109" t="s">
        <v>216</v>
      </c>
      <c r="Q109">
        <v>105.36</v>
      </c>
      <c r="R109">
        <v>96.34</v>
      </c>
      <c r="S109">
        <v>109.02000000000001</v>
      </c>
      <c r="T109">
        <v>100.38</v>
      </c>
      <c r="U109">
        <v>120.38</v>
      </c>
      <c r="V109">
        <v>124.62</v>
      </c>
      <c r="W109">
        <v>127.17999999999999</v>
      </c>
      <c r="X109">
        <v>130.78</v>
      </c>
      <c r="Y109">
        <v>116.72</v>
      </c>
      <c r="Z109">
        <v>95.94</v>
      </c>
      <c r="AA109">
        <v>97.94</v>
      </c>
      <c r="AB109">
        <v>88.66</v>
      </c>
      <c r="AC109">
        <v>1313.3200000000002</v>
      </c>
      <c r="AD109">
        <v>40.4</v>
      </c>
      <c r="AE109">
        <v>1261.4000000000001</v>
      </c>
      <c r="AF109">
        <v>1246.8000000000002</v>
      </c>
      <c r="AG109">
        <v>1.8100278397971279</v>
      </c>
      <c r="AH109" t="s">
        <v>66</v>
      </c>
      <c r="AI109">
        <v>1</v>
      </c>
      <c r="AJ109">
        <v>45484</v>
      </c>
      <c r="AK109" t="s">
        <v>217</v>
      </c>
      <c r="AL109" s="9">
        <v>45747</v>
      </c>
      <c r="AM109" s="9">
        <v>45596</v>
      </c>
      <c r="AN109" s="9"/>
      <c r="AO109" s="9">
        <v>45777</v>
      </c>
      <c r="AP109" s="9"/>
    </row>
    <row r="110" spans="1:42" x14ac:dyDescent="0.25">
      <c r="A110" t="s">
        <v>302</v>
      </c>
      <c r="B110" t="s">
        <v>300</v>
      </c>
      <c r="C110" t="s">
        <v>212</v>
      </c>
      <c r="D110" t="s">
        <v>296</v>
      </c>
      <c r="E110" t="s">
        <v>297</v>
      </c>
      <c r="F110" t="s">
        <v>298</v>
      </c>
      <c r="G110" t="s">
        <v>299</v>
      </c>
      <c r="I110" t="s">
        <v>51</v>
      </c>
      <c r="J110" t="s">
        <v>56</v>
      </c>
      <c r="K110" t="s">
        <v>78</v>
      </c>
      <c r="L110">
        <v>1000</v>
      </c>
      <c r="M110">
        <v>1451.16</v>
      </c>
      <c r="N110">
        <v>2088</v>
      </c>
      <c r="O110" t="s">
        <v>215</v>
      </c>
      <c r="P110" t="s">
        <v>216</v>
      </c>
      <c r="Q110">
        <v>209.4</v>
      </c>
      <c r="R110">
        <v>191.67999999999998</v>
      </c>
      <c r="S110">
        <v>217.44000000000003</v>
      </c>
      <c r="T110">
        <v>200.64000000000001</v>
      </c>
      <c r="U110">
        <v>241.68</v>
      </c>
      <c r="V110">
        <v>250.68</v>
      </c>
      <c r="W110">
        <v>255.56</v>
      </c>
      <c r="X110">
        <v>261.68</v>
      </c>
      <c r="Y110">
        <v>232.88000000000002</v>
      </c>
      <c r="Z110">
        <v>191.07999999999998</v>
      </c>
      <c r="AA110">
        <v>194.76</v>
      </c>
      <c r="AB110">
        <v>175.8</v>
      </c>
      <c r="AC110">
        <v>2623.2799999999997</v>
      </c>
      <c r="AD110">
        <v>80.8</v>
      </c>
      <c r="AE110">
        <v>2519.6</v>
      </c>
      <c r="AF110">
        <v>2490.4</v>
      </c>
      <c r="AG110">
        <v>1.8077124507290716</v>
      </c>
      <c r="AH110" t="s">
        <v>66</v>
      </c>
      <c r="AI110">
        <v>1</v>
      </c>
      <c r="AJ110">
        <v>45484</v>
      </c>
      <c r="AK110" t="s">
        <v>217</v>
      </c>
      <c r="AL110" s="9">
        <v>45747</v>
      </c>
      <c r="AM110" s="9">
        <v>45596</v>
      </c>
      <c r="AN110" s="9"/>
      <c r="AO110" s="9">
        <v>45777</v>
      </c>
      <c r="AP110" s="9"/>
    </row>
    <row r="111" spans="1:42" x14ac:dyDescent="0.25">
      <c r="A111" t="s">
        <v>303</v>
      </c>
      <c r="B111" t="s">
        <v>300</v>
      </c>
      <c r="C111" t="s">
        <v>212</v>
      </c>
      <c r="D111" t="s">
        <v>296</v>
      </c>
      <c r="E111" t="s">
        <v>297</v>
      </c>
      <c r="F111" t="s">
        <v>298</v>
      </c>
      <c r="G111" t="s">
        <v>299</v>
      </c>
      <c r="I111" t="s">
        <v>51</v>
      </c>
      <c r="J111" t="s">
        <v>56</v>
      </c>
      <c r="K111" t="s">
        <v>78</v>
      </c>
      <c r="L111">
        <v>1000</v>
      </c>
      <c r="M111">
        <v>1451.16</v>
      </c>
      <c r="N111">
        <v>2088</v>
      </c>
      <c r="O111" t="s">
        <v>215</v>
      </c>
      <c r="P111" t="s">
        <v>216</v>
      </c>
      <c r="Q111">
        <v>209.4</v>
      </c>
      <c r="R111">
        <v>191.67999999999998</v>
      </c>
      <c r="S111">
        <v>217.44000000000003</v>
      </c>
      <c r="T111">
        <v>200.64000000000001</v>
      </c>
      <c r="U111">
        <v>241.68</v>
      </c>
      <c r="V111">
        <v>250.68</v>
      </c>
      <c r="W111">
        <v>255.56</v>
      </c>
      <c r="X111">
        <v>261.68</v>
      </c>
      <c r="Y111">
        <v>232.88000000000002</v>
      </c>
      <c r="Z111">
        <v>191.07999999999998</v>
      </c>
      <c r="AA111">
        <v>194.76</v>
      </c>
      <c r="AB111">
        <v>175.8</v>
      </c>
      <c r="AC111">
        <v>2623.2799999999997</v>
      </c>
      <c r="AD111">
        <v>80.8</v>
      </c>
      <c r="AE111">
        <v>2519.6</v>
      </c>
      <c r="AF111">
        <v>2490.4</v>
      </c>
      <c r="AG111">
        <v>1.8077124507290716</v>
      </c>
      <c r="AH111" t="s">
        <v>66</v>
      </c>
      <c r="AI111">
        <v>1</v>
      </c>
      <c r="AJ111">
        <v>45484</v>
      </c>
      <c r="AK111" t="s">
        <v>217</v>
      </c>
      <c r="AL111" s="9">
        <v>45747</v>
      </c>
      <c r="AM111" s="9">
        <v>45596</v>
      </c>
      <c r="AN111" s="9"/>
      <c r="AO111" s="9">
        <v>45777</v>
      </c>
      <c r="AP111" s="9"/>
    </row>
    <row r="112" spans="1:42" x14ac:dyDescent="0.25">
      <c r="A112" t="s">
        <v>304</v>
      </c>
      <c r="B112" t="s">
        <v>300</v>
      </c>
      <c r="C112" t="s">
        <v>212</v>
      </c>
      <c r="D112" t="s">
        <v>296</v>
      </c>
      <c r="E112" t="s">
        <v>297</v>
      </c>
      <c r="F112" t="s">
        <v>298</v>
      </c>
      <c r="G112" t="s">
        <v>299</v>
      </c>
      <c r="I112" t="s">
        <v>51</v>
      </c>
      <c r="J112" t="s">
        <v>56</v>
      </c>
      <c r="K112" t="s">
        <v>78</v>
      </c>
      <c r="L112">
        <v>500</v>
      </c>
      <c r="M112">
        <v>725.58</v>
      </c>
      <c r="N112">
        <v>1044</v>
      </c>
      <c r="O112" t="s">
        <v>215</v>
      </c>
      <c r="P112" t="s">
        <v>216</v>
      </c>
      <c r="Q112">
        <v>104.7</v>
      </c>
      <c r="R112">
        <v>95.839999999999989</v>
      </c>
      <c r="S112">
        <v>108.72000000000001</v>
      </c>
      <c r="T112">
        <v>100.32000000000001</v>
      </c>
      <c r="U112">
        <v>120.84</v>
      </c>
      <c r="V112">
        <v>125.34</v>
      </c>
      <c r="W112">
        <v>127.78</v>
      </c>
      <c r="X112">
        <v>130.84</v>
      </c>
      <c r="Y112">
        <v>116.44000000000001</v>
      </c>
      <c r="Z112">
        <v>95.539999999999992</v>
      </c>
      <c r="AA112">
        <v>97.38</v>
      </c>
      <c r="AB112">
        <v>87.9</v>
      </c>
      <c r="AC112">
        <v>1311.6399999999999</v>
      </c>
      <c r="AD112">
        <v>40.4</v>
      </c>
      <c r="AE112">
        <v>1259.8</v>
      </c>
      <c r="AF112">
        <v>1245.2</v>
      </c>
      <c r="AG112">
        <v>1.8077124507290716</v>
      </c>
      <c r="AH112" t="s">
        <v>66</v>
      </c>
      <c r="AI112">
        <v>1</v>
      </c>
      <c r="AJ112">
        <v>45484</v>
      </c>
      <c r="AK112" t="s">
        <v>217</v>
      </c>
      <c r="AL112" s="9">
        <v>45747</v>
      </c>
      <c r="AM112" s="9">
        <v>45596</v>
      </c>
      <c r="AN112" s="9"/>
      <c r="AO112" s="9">
        <v>45777</v>
      </c>
      <c r="AP112" s="9"/>
    </row>
    <row r="113" spans="1:42" x14ac:dyDescent="0.25">
      <c r="A113" t="s">
        <v>305</v>
      </c>
      <c r="B113" t="s">
        <v>305</v>
      </c>
      <c r="C113" t="s">
        <v>212</v>
      </c>
      <c r="D113" t="s">
        <v>291</v>
      </c>
      <c r="E113" t="s">
        <v>306</v>
      </c>
      <c r="F113" t="s">
        <v>307</v>
      </c>
      <c r="G113" t="s">
        <v>294</v>
      </c>
      <c r="H113">
        <v>4003840967</v>
      </c>
      <c r="I113" t="s">
        <v>51</v>
      </c>
      <c r="J113" t="s">
        <v>56</v>
      </c>
      <c r="K113" t="s">
        <v>78</v>
      </c>
      <c r="L113">
        <v>1000</v>
      </c>
      <c r="M113">
        <v>1451.16</v>
      </c>
      <c r="N113">
        <v>2088</v>
      </c>
      <c r="O113" t="s">
        <v>215</v>
      </c>
      <c r="P113" t="s">
        <v>216</v>
      </c>
      <c r="Q113">
        <v>239.85</v>
      </c>
      <c r="R113">
        <v>195.15</v>
      </c>
      <c r="S113">
        <v>227.14999999999998</v>
      </c>
      <c r="T113">
        <v>218.85000000000002</v>
      </c>
      <c r="U113">
        <v>188.25</v>
      </c>
      <c r="V113">
        <v>177.45</v>
      </c>
      <c r="W113">
        <v>199.8</v>
      </c>
      <c r="X113">
        <v>208.7</v>
      </c>
      <c r="Y113">
        <v>200.90000000000003</v>
      </c>
      <c r="Z113">
        <v>219.75</v>
      </c>
      <c r="AA113">
        <v>231.1</v>
      </c>
      <c r="AB113">
        <v>244.75</v>
      </c>
      <c r="AC113">
        <v>2551.7000000000003</v>
      </c>
      <c r="AD113">
        <v>78.5</v>
      </c>
      <c r="AE113">
        <v>2451</v>
      </c>
      <c r="AF113">
        <v>2422.5</v>
      </c>
      <c r="AG113">
        <v>1.7583863943328097</v>
      </c>
      <c r="AH113" t="s">
        <v>231</v>
      </c>
      <c r="AI113">
        <v>1</v>
      </c>
      <c r="AJ113">
        <v>45518</v>
      </c>
      <c r="AK113" t="s">
        <v>217</v>
      </c>
      <c r="AL113" s="9">
        <v>45708</v>
      </c>
      <c r="AM113" s="9">
        <v>45558</v>
      </c>
      <c r="AN113" s="9"/>
      <c r="AO113" s="9">
        <v>45728</v>
      </c>
      <c r="AP113" s="9"/>
    </row>
    <row r="114" spans="1:42" x14ac:dyDescent="0.25">
      <c r="A114" t="s">
        <v>308</v>
      </c>
      <c r="B114" t="s">
        <v>305</v>
      </c>
      <c r="C114" t="s">
        <v>212</v>
      </c>
      <c r="D114" t="s">
        <v>291</v>
      </c>
      <c r="E114" t="s">
        <v>306</v>
      </c>
      <c r="F114" t="s">
        <v>307</v>
      </c>
      <c r="G114" t="s">
        <v>294</v>
      </c>
      <c r="H114">
        <v>4003887456</v>
      </c>
      <c r="I114" t="s">
        <v>51</v>
      </c>
      <c r="J114" t="s">
        <v>56</v>
      </c>
      <c r="K114" t="s">
        <v>78</v>
      </c>
      <c r="L114">
        <v>1000</v>
      </c>
      <c r="M114">
        <v>1451.16</v>
      </c>
      <c r="N114">
        <v>2088</v>
      </c>
      <c r="O114" t="s">
        <v>215</v>
      </c>
      <c r="P114" t="s">
        <v>216</v>
      </c>
      <c r="Q114">
        <v>239.85</v>
      </c>
      <c r="R114">
        <v>195.15</v>
      </c>
      <c r="S114">
        <v>227.14999999999998</v>
      </c>
      <c r="T114">
        <v>218.85000000000002</v>
      </c>
      <c r="U114">
        <v>188.25</v>
      </c>
      <c r="V114">
        <v>177.45</v>
      </c>
      <c r="W114">
        <v>199.8</v>
      </c>
      <c r="X114">
        <v>208.7</v>
      </c>
      <c r="Y114">
        <v>200.90000000000003</v>
      </c>
      <c r="Z114">
        <v>219.75</v>
      </c>
      <c r="AA114">
        <v>231.1</v>
      </c>
      <c r="AB114">
        <v>244.75</v>
      </c>
      <c r="AC114">
        <v>2551.7000000000003</v>
      </c>
      <c r="AD114">
        <v>78.5</v>
      </c>
      <c r="AE114">
        <v>2451</v>
      </c>
      <c r="AF114">
        <v>2422.5</v>
      </c>
      <c r="AG114">
        <v>1.7583863943328097</v>
      </c>
      <c r="AH114" t="s">
        <v>231</v>
      </c>
      <c r="AI114">
        <v>1</v>
      </c>
      <c r="AJ114">
        <v>45518</v>
      </c>
      <c r="AK114" t="s">
        <v>217</v>
      </c>
      <c r="AL114" s="9">
        <v>45708</v>
      </c>
      <c r="AM114" s="9">
        <v>45558</v>
      </c>
      <c r="AN114" s="9"/>
      <c r="AO114" s="9">
        <v>45728</v>
      </c>
      <c r="AP114" s="9"/>
    </row>
    <row r="115" spans="1:42" x14ac:dyDescent="0.25">
      <c r="AC115">
        <v>0</v>
      </c>
      <c r="AK115" t="s">
        <v>54</v>
      </c>
      <c r="AL115" s="9"/>
      <c r="AM115" s="9"/>
      <c r="AN115" s="9"/>
      <c r="AO115" s="9"/>
      <c r="AP115" s="9"/>
    </row>
    <row r="116" spans="1:42" x14ac:dyDescent="0.25">
      <c r="AC116">
        <v>0</v>
      </c>
      <c r="AK116" t="s">
        <v>54</v>
      </c>
      <c r="AL116" s="9"/>
      <c r="AM116" s="9"/>
      <c r="AN116" s="9"/>
      <c r="AO116" s="9"/>
      <c r="AP116" s="9"/>
    </row>
    <row r="117" spans="1:42" x14ac:dyDescent="0.25">
      <c r="AC117">
        <v>0</v>
      </c>
      <c r="AK117" t="s">
        <v>54</v>
      </c>
      <c r="AL117" s="9"/>
      <c r="AM117" s="9"/>
      <c r="AN117" s="9"/>
      <c r="AO117" s="9"/>
      <c r="AP117" s="9"/>
    </row>
    <row r="118" spans="1:42" x14ac:dyDescent="0.25">
      <c r="AC118">
        <v>0</v>
      </c>
      <c r="AK118" t="s">
        <v>54</v>
      </c>
      <c r="AL118" s="9"/>
      <c r="AM118" s="9"/>
      <c r="AN118" s="9"/>
      <c r="AO118" s="9"/>
      <c r="AP118" s="9"/>
    </row>
    <row r="119" spans="1:42" x14ac:dyDescent="0.25">
      <c r="AC119">
        <v>0</v>
      </c>
      <c r="AK119" t="s">
        <v>54</v>
      </c>
      <c r="AL119" s="9"/>
      <c r="AM119" s="9"/>
      <c r="AN119" s="9"/>
      <c r="AO119" s="9"/>
      <c r="AP119" s="9"/>
    </row>
    <row r="120" spans="1:42" x14ac:dyDescent="0.25">
      <c r="AC120">
        <v>0</v>
      </c>
      <c r="AK120" t="s">
        <v>54</v>
      </c>
      <c r="AL120" s="9"/>
      <c r="AM120" s="9"/>
      <c r="AN120" s="9"/>
      <c r="AO120" s="9"/>
      <c r="AP120" s="9"/>
    </row>
    <row r="121" spans="1:42" x14ac:dyDescent="0.25">
      <c r="AC121">
        <v>0</v>
      </c>
      <c r="AK121" t="s">
        <v>54</v>
      </c>
      <c r="AL121" s="9"/>
      <c r="AM121" s="9"/>
      <c r="AN121" s="9"/>
      <c r="AO121" s="9"/>
      <c r="AP121" s="9"/>
    </row>
    <row r="122" spans="1:42" x14ac:dyDescent="0.25">
      <c r="AC122">
        <v>0</v>
      </c>
      <c r="AK122" t="s">
        <v>54</v>
      </c>
      <c r="AL122" s="9"/>
      <c r="AM122" s="9"/>
      <c r="AN122" s="9"/>
      <c r="AO122" s="9"/>
      <c r="AP122" s="9"/>
    </row>
    <row r="123" spans="1:42" x14ac:dyDescent="0.25">
      <c r="AC123">
        <v>0</v>
      </c>
      <c r="AK123" t="s">
        <v>54</v>
      </c>
      <c r="AL123" s="9"/>
      <c r="AM123" s="9"/>
      <c r="AN123" s="9"/>
      <c r="AO123" s="9"/>
      <c r="AP123" s="9"/>
    </row>
    <row r="124" spans="1:42" x14ac:dyDescent="0.25">
      <c r="AC124">
        <v>0</v>
      </c>
      <c r="AK124" t="s">
        <v>54</v>
      </c>
      <c r="AL124" s="9"/>
      <c r="AM124" s="9"/>
      <c r="AN124" s="9"/>
      <c r="AO124" s="9"/>
      <c r="AP124" s="9"/>
    </row>
    <row r="125" spans="1:42" x14ac:dyDescent="0.25">
      <c r="AC125">
        <v>0</v>
      </c>
      <c r="AK125" t="s">
        <v>54</v>
      </c>
      <c r="AL125" s="9"/>
      <c r="AM125" s="9"/>
      <c r="AN125" s="9"/>
      <c r="AO125" s="9"/>
      <c r="AP125" s="9"/>
    </row>
    <row r="126" spans="1:42" x14ac:dyDescent="0.25">
      <c r="AC126">
        <v>0</v>
      </c>
      <c r="AK126" t="s">
        <v>54</v>
      </c>
      <c r="AL126" s="9"/>
      <c r="AM126" s="9"/>
      <c r="AN126" s="9"/>
      <c r="AO126" s="9"/>
      <c r="AP126" s="9"/>
    </row>
    <row r="127" spans="1:42" x14ac:dyDescent="0.25">
      <c r="AC127">
        <v>0</v>
      </c>
      <c r="AK127" t="s">
        <v>54</v>
      </c>
      <c r="AL127" s="9"/>
      <c r="AM127" s="9"/>
      <c r="AN127" s="9"/>
      <c r="AO127" s="9"/>
      <c r="AP127" s="9"/>
    </row>
    <row r="128" spans="1:42" x14ac:dyDescent="0.25">
      <c r="AC128">
        <v>0</v>
      </c>
      <c r="AK128" t="s">
        <v>54</v>
      </c>
      <c r="AL128" s="9"/>
      <c r="AM128" s="9"/>
      <c r="AN128" s="9"/>
      <c r="AO128" s="9"/>
      <c r="AP128" s="9"/>
    </row>
    <row r="129" spans="29:42" x14ac:dyDescent="0.25">
      <c r="AC129">
        <v>0</v>
      </c>
      <c r="AK129" t="s">
        <v>54</v>
      </c>
      <c r="AL129" s="9"/>
      <c r="AM129" s="9"/>
      <c r="AN129" s="9"/>
      <c r="AO129" s="9"/>
      <c r="AP129" s="9"/>
    </row>
    <row r="130" spans="29:42" x14ac:dyDescent="0.25">
      <c r="AC130">
        <v>0</v>
      </c>
      <c r="AK130" t="s">
        <v>54</v>
      </c>
      <c r="AL130" s="9"/>
      <c r="AM130" s="9"/>
      <c r="AN130" s="9"/>
      <c r="AO130" s="9"/>
      <c r="AP130" s="9"/>
    </row>
    <row r="131" spans="29:42" x14ac:dyDescent="0.25">
      <c r="AC131">
        <v>0</v>
      </c>
      <c r="AK131" t="s">
        <v>54</v>
      </c>
      <c r="AL131" s="9"/>
      <c r="AM131" s="9"/>
      <c r="AN131" s="9"/>
      <c r="AO131" s="9"/>
      <c r="AP131" s="9"/>
    </row>
    <row r="132" spans="29:42" x14ac:dyDescent="0.25">
      <c r="AC132">
        <v>0</v>
      </c>
      <c r="AK132" t="s">
        <v>54</v>
      </c>
      <c r="AL132" s="9"/>
      <c r="AM132" s="9"/>
      <c r="AN132" s="9"/>
      <c r="AO132" s="9"/>
      <c r="AP132" s="9"/>
    </row>
    <row r="133" spans="29:42" x14ac:dyDescent="0.25">
      <c r="AC133">
        <v>0</v>
      </c>
      <c r="AK133" t="s">
        <v>54</v>
      </c>
      <c r="AL133" s="9"/>
      <c r="AM133" s="9"/>
      <c r="AN133" s="9"/>
      <c r="AO133" s="9"/>
      <c r="AP133" s="9"/>
    </row>
    <row r="134" spans="29:42" x14ac:dyDescent="0.25">
      <c r="AC134">
        <v>0</v>
      </c>
      <c r="AK134" t="s">
        <v>54</v>
      </c>
      <c r="AL134" s="9"/>
      <c r="AM134" s="9"/>
      <c r="AN134" s="9"/>
      <c r="AO134" s="9"/>
      <c r="AP134" s="9"/>
    </row>
    <row r="135" spans="29:42" x14ac:dyDescent="0.25">
      <c r="AC135">
        <v>0</v>
      </c>
      <c r="AK135" t="s">
        <v>54</v>
      </c>
      <c r="AL135" s="9"/>
      <c r="AM135" s="9"/>
      <c r="AN135" s="9"/>
      <c r="AO135" s="9"/>
      <c r="AP135" s="9"/>
    </row>
    <row r="136" spans="29:42" x14ac:dyDescent="0.25">
      <c r="AC136">
        <v>0</v>
      </c>
      <c r="AK136" t="s">
        <v>54</v>
      </c>
      <c r="AL136" s="9"/>
      <c r="AM136" s="9"/>
      <c r="AN136" s="9"/>
      <c r="AO136" s="9"/>
      <c r="AP136" s="9"/>
    </row>
    <row r="137" spans="29:42" x14ac:dyDescent="0.25">
      <c r="AC137">
        <v>0</v>
      </c>
      <c r="AK137" t="s">
        <v>54</v>
      </c>
      <c r="AL137" s="9"/>
      <c r="AM137" s="9"/>
      <c r="AN137" s="9"/>
      <c r="AO137" s="9"/>
      <c r="AP137" s="9"/>
    </row>
    <row r="138" spans="29:42" x14ac:dyDescent="0.25">
      <c r="AC138">
        <v>0</v>
      </c>
      <c r="AK138" t="s">
        <v>54</v>
      </c>
      <c r="AL138" s="9"/>
      <c r="AM138" s="9"/>
      <c r="AN138" s="9"/>
      <c r="AO138" s="9"/>
      <c r="AP138" s="9"/>
    </row>
    <row r="139" spans="29:42" x14ac:dyDescent="0.25">
      <c r="AC139">
        <v>0</v>
      </c>
      <c r="AK139" t="s">
        <v>54</v>
      </c>
      <c r="AL139" s="9"/>
      <c r="AM139" s="9"/>
      <c r="AN139" s="9"/>
      <c r="AO139" s="9"/>
      <c r="AP139" s="9"/>
    </row>
    <row r="140" spans="29:42" x14ac:dyDescent="0.25">
      <c r="AC140">
        <v>0</v>
      </c>
      <c r="AK140" t="s">
        <v>54</v>
      </c>
      <c r="AL140" s="9"/>
      <c r="AM140" s="9"/>
      <c r="AN140" s="9"/>
      <c r="AO140" s="9"/>
      <c r="AP140" s="9"/>
    </row>
    <row r="141" spans="29:42" x14ac:dyDescent="0.25">
      <c r="AC141">
        <v>0</v>
      </c>
      <c r="AK141" t="s">
        <v>54</v>
      </c>
      <c r="AL141" s="9"/>
      <c r="AM141" s="9"/>
      <c r="AN141" s="9"/>
      <c r="AO141" s="9"/>
      <c r="AP141" s="9"/>
    </row>
    <row r="142" spans="29:42" x14ac:dyDescent="0.25">
      <c r="AC142">
        <v>0</v>
      </c>
      <c r="AK142" t="s">
        <v>54</v>
      </c>
      <c r="AL142" s="9"/>
      <c r="AM142" s="9"/>
      <c r="AN142" s="9"/>
      <c r="AO142" s="9"/>
      <c r="AP142" s="9"/>
    </row>
    <row r="143" spans="29:42" x14ac:dyDescent="0.25">
      <c r="AC143">
        <v>0</v>
      </c>
      <c r="AK143" t="s">
        <v>54</v>
      </c>
      <c r="AL143" s="9"/>
      <c r="AM143" s="9"/>
      <c r="AN143" s="9"/>
      <c r="AO143" s="9"/>
      <c r="AP143" s="9"/>
    </row>
    <row r="144" spans="29:42" x14ac:dyDescent="0.25">
      <c r="AC144">
        <v>0</v>
      </c>
      <c r="AK144" t="s">
        <v>54</v>
      </c>
      <c r="AL144" s="9"/>
      <c r="AM144" s="9"/>
      <c r="AN144" s="9"/>
      <c r="AO144" s="9"/>
      <c r="AP144" s="9"/>
    </row>
    <row r="145" spans="29:42" x14ac:dyDescent="0.25">
      <c r="AC145">
        <v>0</v>
      </c>
      <c r="AK145" t="s">
        <v>54</v>
      </c>
      <c r="AL145" s="9"/>
      <c r="AM145" s="9"/>
      <c r="AN145" s="9"/>
      <c r="AO145" s="9"/>
      <c r="AP145" s="9"/>
    </row>
    <row r="146" spans="29:42" x14ac:dyDescent="0.25">
      <c r="AC146">
        <v>0</v>
      </c>
      <c r="AK146" t="s">
        <v>54</v>
      </c>
      <c r="AL146" s="9"/>
      <c r="AM146" s="9"/>
      <c r="AN146" s="9"/>
      <c r="AO146" s="9"/>
      <c r="AP146" s="9"/>
    </row>
    <row r="147" spans="29:42" x14ac:dyDescent="0.25">
      <c r="AC147">
        <v>0</v>
      </c>
      <c r="AK147" t="s">
        <v>54</v>
      </c>
      <c r="AL147" s="9"/>
      <c r="AM147" s="9"/>
      <c r="AN147" s="9"/>
      <c r="AO147" s="9"/>
      <c r="AP147" s="9"/>
    </row>
    <row r="148" spans="29:42" x14ac:dyDescent="0.25">
      <c r="AC148">
        <v>0</v>
      </c>
      <c r="AK148" t="s">
        <v>54</v>
      </c>
      <c r="AL148" s="9"/>
      <c r="AM148" s="9"/>
      <c r="AN148" s="9"/>
      <c r="AO148" s="9"/>
      <c r="AP148" s="9"/>
    </row>
    <row r="149" spans="29:42" x14ac:dyDescent="0.25">
      <c r="AC149">
        <v>0</v>
      </c>
      <c r="AK149" t="s">
        <v>54</v>
      </c>
      <c r="AL149" s="9"/>
      <c r="AM149" s="9"/>
      <c r="AN149" s="9"/>
      <c r="AO149" s="9"/>
      <c r="AP149" s="9"/>
    </row>
    <row r="150" spans="29:42" x14ac:dyDescent="0.25">
      <c r="AC150">
        <v>0</v>
      </c>
      <c r="AK150" t="s">
        <v>54</v>
      </c>
      <c r="AL150" s="9"/>
      <c r="AM150" s="9"/>
      <c r="AN150" s="9"/>
      <c r="AO150" s="9"/>
      <c r="AP150" s="9"/>
    </row>
    <row r="151" spans="29:42" x14ac:dyDescent="0.25">
      <c r="AC151">
        <v>0</v>
      </c>
      <c r="AK151" t="s">
        <v>54</v>
      </c>
      <c r="AL151" s="9"/>
      <c r="AM151" s="9"/>
      <c r="AN151" s="9"/>
      <c r="AO151" s="9"/>
      <c r="AP151" s="9"/>
    </row>
    <row r="152" spans="29:42" x14ac:dyDescent="0.25">
      <c r="AC152">
        <v>0</v>
      </c>
      <c r="AK152" t="s">
        <v>54</v>
      </c>
      <c r="AL152" s="9"/>
      <c r="AM152" s="9"/>
      <c r="AN152" s="9"/>
      <c r="AO152" s="9"/>
      <c r="AP152" s="9"/>
    </row>
    <row r="153" spans="29:42" x14ac:dyDescent="0.25">
      <c r="AC153">
        <v>0</v>
      </c>
      <c r="AK153" t="s">
        <v>54</v>
      </c>
      <c r="AL153" s="9"/>
      <c r="AM153" s="9"/>
      <c r="AN153" s="9"/>
      <c r="AO153" s="9"/>
      <c r="AP153" s="9"/>
    </row>
    <row r="154" spans="29:42" x14ac:dyDescent="0.25">
      <c r="AC154">
        <v>0</v>
      </c>
      <c r="AK154" t="s">
        <v>54</v>
      </c>
      <c r="AL154" s="9"/>
      <c r="AM154" s="9"/>
      <c r="AN154" s="9"/>
      <c r="AO154" s="9"/>
      <c r="AP154" s="9"/>
    </row>
    <row r="155" spans="29:42" x14ac:dyDescent="0.25">
      <c r="AC155">
        <v>0</v>
      </c>
      <c r="AK155" t="s">
        <v>54</v>
      </c>
      <c r="AL155" s="9"/>
      <c r="AM155" s="9"/>
      <c r="AN155" s="9"/>
      <c r="AO155" s="9"/>
      <c r="AP155" s="9"/>
    </row>
    <row r="156" spans="29:42" x14ac:dyDescent="0.25">
      <c r="AC156">
        <v>0</v>
      </c>
      <c r="AK156" t="s">
        <v>54</v>
      </c>
      <c r="AL156" s="9"/>
      <c r="AM156" s="9"/>
      <c r="AN156" s="9"/>
      <c r="AO156" s="9"/>
      <c r="AP156" s="9"/>
    </row>
    <row r="157" spans="29:42" x14ac:dyDescent="0.25">
      <c r="AC157">
        <v>0</v>
      </c>
      <c r="AK157" t="s">
        <v>54</v>
      </c>
      <c r="AL157" s="9"/>
      <c r="AM157" s="9"/>
      <c r="AN157" s="9"/>
      <c r="AO157" s="9"/>
      <c r="AP157" s="9"/>
    </row>
    <row r="158" spans="29:42" x14ac:dyDescent="0.25">
      <c r="AC158">
        <v>0</v>
      </c>
      <c r="AK158" t="s">
        <v>54</v>
      </c>
      <c r="AL158" s="9"/>
      <c r="AM158" s="9"/>
      <c r="AN158" s="9"/>
      <c r="AO158" s="9"/>
      <c r="AP158" s="9"/>
    </row>
    <row r="159" spans="29:42" x14ac:dyDescent="0.25">
      <c r="AC159">
        <v>0</v>
      </c>
      <c r="AK159" t="s">
        <v>54</v>
      </c>
      <c r="AL159" s="9"/>
      <c r="AM159" s="9"/>
      <c r="AN159" s="9"/>
      <c r="AO159" s="9"/>
      <c r="AP159" s="9"/>
    </row>
    <row r="160" spans="29:42" x14ac:dyDescent="0.25">
      <c r="AC160">
        <v>0</v>
      </c>
      <c r="AK160" t="s">
        <v>54</v>
      </c>
      <c r="AL160" s="9"/>
      <c r="AM160" s="9"/>
      <c r="AN160" s="9"/>
      <c r="AO160" s="9"/>
      <c r="AP160" s="9"/>
    </row>
    <row r="161" spans="29:42" x14ac:dyDescent="0.25">
      <c r="AC161">
        <v>0</v>
      </c>
      <c r="AK161" t="s">
        <v>54</v>
      </c>
      <c r="AL161" s="9"/>
      <c r="AM161" s="9"/>
      <c r="AN161" s="9"/>
      <c r="AO161" s="9"/>
      <c r="AP161" s="9"/>
    </row>
    <row r="162" spans="29:42" x14ac:dyDescent="0.25">
      <c r="AC162">
        <v>0</v>
      </c>
      <c r="AK162" t="s">
        <v>54</v>
      </c>
      <c r="AL162" s="9"/>
      <c r="AM162" s="9"/>
      <c r="AN162" s="9"/>
      <c r="AO162" s="9"/>
      <c r="AP162" s="9"/>
    </row>
    <row r="163" spans="29:42" x14ac:dyDescent="0.25">
      <c r="AL163" s="9"/>
      <c r="AM163" s="9"/>
      <c r="AN163" s="9"/>
      <c r="AO163" s="9"/>
      <c r="AP163" s="9"/>
    </row>
    <row r="164" spans="29:42" x14ac:dyDescent="0.25">
      <c r="AL164" s="9"/>
      <c r="AM164" s="9"/>
      <c r="AN164" s="9"/>
      <c r="AO164" s="9"/>
      <c r="AP164" s="9"/>
    </row>
    <row r="165" spans="29:42" x14ac:dyDescent="0.25">
      <c r="AL165" s="9"/>
      <c r="AM165" s="9"/>
      <c r="AN165" s="9"/>
      <c r="AO165" s="9"/>
      <c r="AP165" s="9"/>
    </row>
    <row r="166" spans="29:42" x14ac:dyDescent="0.25">
      <c r="AL166" s="9"/>
      <c r="AM166" s="9"/>
      <c r="AN166" s="9"/>
      <c r="AO166" s="9"/>
      <c r="AP166" s="9"/>
    </row>
    <row r="167" spans="29:42" x14ac:dyDescent="0.25">
      <c r="AL167" s="9"/>
      <c r="AM167" s="9"/>
      <c r="AN167" s="9"/>
      <c r="AO167" s="9"/>
      <c r="AP167" s="9"/>
    </row>
    <row r="168" spans="29:42" x14ac:dyDescent="0.25">
      <c r="AL168" s="9"/>
      <c r="AM168" s="9"/>
      <c r="AN168" s="9"/>
      <c r="AO168" s="9"/>
      <c r="AP168" s="9"/>
    </row>
    <row r="169" spans="29:42" x14ac:dyDescent="0.25">
      <c r="AL169" s="9"/>
      <c r="AM169" s="9"/>
      <c r="AN169" s="9"/>
      <c r="AO169" s="9"/>
      <c r="AP169" s="9"/>
    </row>
    <row r="170" spans="29:42" x14ac:dyDescent="0.25">
      <c r="AL170" s="9"/>
      <c r="AM170" s="9"/>
      <c r="AN170" s="9"/>
      <c r="AO170" s="9"/>
      <c r="AP170" s="9"/>
    </row>
    <row r="171" spans="29:42" x14ac:dyDescent="0.25">
      <c r="AL171" s="9"/>
      <c r="AM171" s="9"/>
      <c r="AN171" s="9"/>
      <c r="AO171" s="9"/>
      <c r="AP171" s="9"/>
    </row>
    <row r="172" spans="29:42" x14ac:dyDescent="0.25">
      <c r="AL172" s="9"/>
      <c r="AM172" s="9"/>
      <c r="AN172" s="9"/>
      <c r="AO172" s="9"/>
      <c r="AP172" s="9"/>
    </row>
    <row r="173" spans="29:42" x14ac:dyDescent="0.25">
      <c r="AL173" s="9"/>
      <c r="AM173" s="9"/>
      <c r="AN173" s="9"/>
      <c r="AO173" s="9"/>
      <c r="AP173" s="9"/>
    </row>
    <row r="174" spans="29:42" x14ac:dyDescent="0.25">
      <c r="AL174" s="9"/>
      <c r="AM174" s="9"/>
      <c r="AN174" s="9"/>
      <c r="AO174" s="9"/>
      <c r="AP174" s="9"/>
    </row>
    <row r="175" spans="29:42" x14ac:dyDescent="0.25">
      <c r="AL175" s="9"/>
      <c r="AM175" s="9"/>
      <c r="AN175" s="9"/>
      <c r="AO175" s="9"/>
      <c r="AP175" s="9"/>
    </row>
    <row r="176" spans="29:42" x14ac:dyDescent="0.25">
      <c r="AL176" s="9"/>
      <c r="AM176" s="9"/>
      <c r="AN176" s="9"/>
      <c r="AO176" s="9"/>
      <c r="AP176" s="9"/>
    </row>
    <row r="177" spans="38:42" x14ac:dyDescent="0.25">
      <c r="AL177" s="9"/>
      <c r="AM177" s="9"/>
      <c r="AN177" s="9"/>
      <c r="AO177" s="9"/>
      <c r="AP177" s="9"/>
    </row>
    <row r="178" spans="38:42" x14ac:dyDescent="0.25">
      <c r="AL178" s="9"/>
      <c r="AM178" s="9"/>
      <c r="AN178" s="9"/>
      <c r="AO178" s="9"/>
      <c r="AP178" s="9"/>
    </row>
    <row r="179" spans="38:42" x14ac:dyDescent="0.25">
      <c r="AL179" s="9"/>
      <c r="AM179" s="9"/>
      <c r="AN179" s="9"/>
      <c r="AO179" s="9"/>
      <c r="AP179" s="9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234E2-91D8-4982-8869-BCAE8DA9823C}">
  <sheetPr codeName="Planilha2"/>
  <dimension ref="A1:I37"/>
  <sheetViews>
    <sheetView workbookViewId="0">
      <selection activeCell="L14" sqref="L14"/>
    </sheetView>
  </sheetViews>
  <sheetFormatPr defaultRowHeight="15" x14ac:dyDescent="0.25"/>
  <cols>
    <col min="1" max="1" width="10" bestFit="1" customWidth="1"/>
    <col min="2" max="2" width="8.7109375" bestFit="1" customWidth="1"/>
    <col min="3" max="3" width="13.28515625" bestFit="1" customWidth="1"/>
    <col min="6" max="6" width="15.140625" bestFit="1" customWidth="1"/>
    <col min="7" max="7" width="16.7109375" bestFit="1" customWidth="1"/>
    <col min="8" max="8" width="21.28515625" bestFit="1" customWidth="1"/>
    <col min="9" max="9" width="25.28515625" bestFit="1" customWidth="1"/>
  </cols>
  <sheetData>
    <row r="1" spans="1:9" x14ac:dyDescent="0.25">
      <c r="A1" s="67" t="s">
        <v>309</v>
      </c>
      <c r="B1" s="67"/>
      <c r="C1" s="67"/>
      <c r="F1" s="14" t="s">
        <v>310</v>
      </c>
    </row>
    <row r="2" spans="1:9" x14ac:dyDescent="0.25">
      <c r="A2" s="13" t="s">
        <v>311</v>
      </c>
      <c r="B2" s="13" t="s">
        <v>312</v>
      </c>
      <c r="C2" s="13" t="s">
        <v>313</v>
      </c>
      <c r="F2" s="15" t="s">
        <v>311</v>
      </c>
      <c r="G2" s="15" t="s">
        <v>312</v>
      </c>
      <c r="H2" s="15" t="s">
        <v>314</v>
      </c>
      <c r="I2" s="15" t="s">
        <v>313</v>
      </c>
    </row>
    <row r="3" spans="1:9" x14ac:dyDescent="0.25">
      <c r="A3" s="12" t="s">
        <v>315</v>
      </c>
      <c r="B3" s="12" t="s">
        <v>316</v>
      </c>
      <c r="C3" s="12" t="s">
        <v>317</v>
      </c>
      <c r="F3" s="4" t="s">
        <v>96</v>
      </c>
      <c r="G3" s="4" t="s">
        <v>96</v>
      </c>
      <c r="H3" s="4" t="s">
        <v>318</v>
      </c>
      <c r="I3" s="4" t="s">
        <v>319</v>
      </c>
    </row>
    <row r="4" spans="1:9" x14ac:dyDescent="0.25">
      <c r="A4" s="12"/>
      <c r="B4" s="12"/>
      <c r="C4" s="12" t="s">
        <v>320</v>
      </c>
      <c r="F4" s="4" t="s">
        <v>96</v>
      </c>
      <c r="G4" s="4" t="s">
        <v>96</v>
      </c>
      <c r="H4" s="4" t="s">
        <v>318</v>
      </c>
      <c r="I4" s="4" t="s">
        <v>321</v>
      </c>
    </row>
    <row r="5" spans="1:9" x14ac:dyDescent="0.25">
      <c r="A5" s="12"/>
      <c r="B5" s="12"/>
      <c r="C5" s="12" t="s">
        <v>322</v>
      </c>
      <c r="F5" s="4" t="s">
        <v>96</v>
      </c>
      <c r="G5" s="4" t="s">
        <v>96</v>
      </c>
      <c r="H5" s="4" t="s">
        <v>318</v>
      </c>
      <c r="I5" s="4" t="s">
        <v>323</v>
      </c>
    </row>
    <row r="6" spans="1:9" x14ac:dyDescent="0.25">
      <c r="A6" s="12"/>
      <c r="B6" s="12"/>
      <c r="C6" s="12" t="s">
        <v>324</v>
      </c>
      <c r="F6" s="4" t="s">
        <v>96</v>
      </c>
      <c r="G6" s="4" t="s">
        <v>96</v>
      </c>
      <c r="H6" s="4" t="s">
        <v>318</v>
      </c>
      <c r="I6" s="4" t="s">
        <v>325</v>
      </c>
    </row>
    <row r="7" spans="1:9" x14ac:dyDescent="0.25">
      <c r="A7" s="12"/>
      <c r="B7" s="12"/>
      <c r="C7" s="12" t="s">
        <v>326</v>
      </c>
      <c r="F7" s="4" t="s">
        <v>96</v>
      </c>
      <c r="G7" s="4" t="s">
        <v>96</v>
      </c>
      <c r="H7" s="4" t="s">
        <v>318</v>
      </c>
      <c r="I7" s="4" t="s">
        <v>327</v>
      </c>
    </row>
    <row r="8" spans="1:9" x14ac:dyDescent="0.25">
      <c r="F8" s="4" t="s">
        <v>96</v>
      </c>
      <c r="G8" s="4" t="s">
        <v>96</v>
      </c>
      <c r="H8" s="4" t="s">
        <v>318</v>
      </c>
      <c r="I8" s="4" t="s">
        <v>328</v>
      </c>
    </row>
    <row r="9" spans="1:9" x14ac:dyDescent="0.25">
      <c r="F9" s="4" t="s">
        <v>96</v>
      </c>
      <c r="G9" s="4" t="s">
        <v>96</v>
      </c>
      <c r="H9" s="4" t="s">
        <v>318</v>
      </c>
      <c r="I9" s="4" t="s">
        <v>329</v>
      </c>
    </row>
    <row r="10" spans="1:9" x14ac:dyDescent="0.25">
      <c r="F10" s="4" t="s">
        <v>96</v>
      </c>
      <c r="G10" s="4" t="s">
        <v>96</v>
      </c>
      <c r="H10" s="4" t="s">
        <v>318</v>
      </c>
      <c r="I10" s="4" t="s">
        <v>330</v>
      </c>
    </row>
    <row r="11" spans="1:9" x14ac:dyDescent="0.25">
      <c r="F11" s="4" t="s">
        <v>96</v>
      </c>
      <c r="G11" s="4" t="s">
        <v>96</v>
      </c>
      <c r="H11" s="4" t="s">
        <v>318</v>
      </c>
      <c r="I11" s="4" t="s">
        <v>331</v>
      </c>
    </row>
    <row r="13" spans="1:9" x14ac:dyDescent="0.25">
      <c r="F13" s="16" t="s">
        <v>311</v>
      </c>
      <c r="G13" s="16" t="s">
        <v>312</v>
      </c>
      <c r="H13" s="16" t="s">
        <v>313</v>
      </c>
      <c r="I13" s="16" t="s">
        <v>332</v>
      </c>
    </row>
    <row r="14" spans="1:9" x14ac:dyDescent="0.25">
      <c r="F14" s="12" t="s">
        <v>333</v>
      </c>
      <c r="G14" s="12" t="s">
        <v>334</v>
      </c>
      <c r="H14" s="12" t="s">
        <v>335</v>
      </c>
      <c r="I14" s="12" t="s">
        <v>336</v>
      </c>
    </row>
    <row r="15" spans="1:9" x14ac:dyDescent="0.25">
      <c r="F15" s="12"/>
      <c r="G15" s="12"/>
      <c r="H15" s="12" t="s">
        <v>337</v>
      </c>
      <c r="I15" s="12" t="s">
        <v>338</v>
      </c>
    </row>
    <row r="16" spans="1:9" x14ac:dyDescent="0.25">
      <c r="F16" s="12"/>
      <c r="G16" s="12"/>
      <c r="H16" s="12" t="s">
        <v>339</v>
      </c>
      <c r="I16" s="12" t="s">
        <v>340</v>
      </c>
    </row>
    <row r="17" spans="6:9" x14ac:dyDescent="0.25">
      <c r="F17" s="12"/>
      <c r="G17" s="12"/>
      <c r="H17" s="12" t="s">
        <v>341</v>
      </c>
      <c r="I17" s="12" t="s">
        <v>342</v>
      </c>
    </row>
    <row r="18" spans="6:9" x14ac:dyDescent="0.25">
      <c r="F18" s="12"/>
      <c r="G18" s="12"/>
      <c r="H18" s="12" t="s">
        <v>343</v>
      </c>
      <c r="I18" s="12" t="s">
        <v>344</v>
      </c>
    </row>
    <row r="19" spans="6:9" x14ac:dyDescent="0.25">
      <c r="F19" s="12"/>
      <c r="G19" s="12"/>
      <c r="H19" s="12" t="s">
        <v>345</v>
      </c>
      <c r="I19" s="12" t="s">
        <v>346</v>
      </c>
    </row>
    <row r="20" spans="6:9" x14ac:dyDescent="0.25">
      <c r="F20" s="12"/>
      <c r="G20" s="12"/>
      <c r="H20" s="12" t="s">
        <v>347</v>
      </c>
      <c r="I20" s="12" t="s">
        <v>348</v>
      </c>
    </row>
    <row r="21" spans="6:9" x14ac:dyDescent="0.25">
      <c r="F21" s="12"/>
      <c r="G21" s="12"/>
      <c r="H21" s="12" t="s">
        <v>349</v>
      </c>
      <c r="I21" s="12" t="s">
        <v>350</v>
      </c>
    </row>
    <row r="22" spans="6:9" x14ac:dyDescent="0.25">
      <c r="F22" s="12"/>
      <c r="G22" s="12"/>
      <c r="H22" s="12" t="s">
        <v>351</v>
      </c>
      <c r="I22" s="12" t="s">
        <v>352</v>
      </c>
    </row>
    <row r="24" spans="6:9" x14ac:dyDescent="0.25">
      <c r="F24" s="14" t="s">
        <v>353</v>
      </c>
    </row>
    <row r="25" spans="6:9" x14ac:dyDescent="0.25">
      <c r="F25" s="15" t="s">
        <v>311</v>
      </c>
      <c r="G25" s="15" t="s">
        <v>312</v>
      </c>
      <c r="H25" s="15" t="s">
        <v>314</v>
      </c>
      <c r="I25" s="15" t="s">
        <v>313</v>
      </c>
    </row>
    <row r="26" spans="6:9" ht="27" x14ac:dyDescent="0.25">
      <c r="F26" s="7" t="s">
        <v>354</v>
      </c>
      <c r="G26" s="7" t="s">
        <v>354</v>
      </c>
      <c r="H26" s="4" t="s">
        <v>355</v>
      </c>
      <c r="I26" s="4" t="s">
        <v>356</v>
      </c>
    </row>
    <row r="27" spans="6:9" ht="27" x14ac:dyDescent="0.25">
      <c r="F27" s="7" t="s">
        <v>354</v>
      </c>
      <c r="G27" s="7" t="s">
        <v>354</v>
      </c>
      <c r="H27" s="4" t="s">
        <v>355</v>
      </c>
      <c r="I27" s="4" t="s">
        <v>357</v>
      </c>
    </row>
    <row r="28" spans="6:9" ht="27" x14ac:dyDescent="0.25">
      <c r="F28" s="7" t="s">
        <v>354</v>
      </c>
      <c r="G28" s="7" t="s">
        <v>354</v>
      </c>
      <c r="H28" s="4" t="s">
        <v>355</v>
      </c>
      <c r="I28" s="4" t="s">
        <v>358</v>
      </c>
    </row>
    <row r="29" spans="6:9" ht="27" x14ac:dyDescent="0.25">
      <c r="F29" s="7" t="s">
        <v>354</v>
      </c>
      <c r="G29" s="7" t="s">
        <v>354</v>
      </c>
      <c r="H29" s="4" t="s">
        <v>355</v>
      </c>
      <c r="I29" s="4" t="s">
        <v>359</v>
      </c>
    </row>
    <row r="30" spans="6:9" ht="27" x14ac:dyDescent="0.25">
      <c r="F30" s="7" t="s">
        <v>354</v>
      </c>
      <c r="G30" s="7" t="s">
        <v>354</v>
      </c>
      <c r="H30" s="4" t="s">
        <v>355</v>
      </c>
      <c r="I30" s="4" t="s">
        <v>360</v>
      </c>
    </row>
    <row r="32" spans="6:9" x14ac:dyDescent="0.25">
      <c r="F32" s="16" t="s">
        <v>311</v>
      </c>
      <c r="G32" s="16" t="s">
        <v>312</v>
      </c>
      <c r="H32" s="16" t="s">
        <v>313</v>
      </c>
      <c r="I32" s="16" t="s">
        <v>332</v>
      </c>
    </row>
    <row r="33" spans="6:9" x14ac:dyDescent="0.25">
      <c r="F33" s="12" t="s">
        <v>361</v>
      </c>
      <c r="G33" s="12" t="s">
        <v>362</v>
      </c>
      <c r="H33" s="12" t="s">
        <v>363</v>
      </c>
      <c r="I33" s="12" t="s">
        <v>364</v>
      </c>
    </row>
    <row r="34" spans="6:9" x14ac:dyDescent="0.25">
      <c r="F34" s="12"/>
      <c r="G34" s="12"/>
      <c r="H34" s="12" t="s">
        <v>365</v>
      </c>
      <c r="I34" s="12" t="s">
        <v>366</v>
      </c>
    </row>
    <row r="35" spans="6:9" x14ac:dyDescent="0.25">
      <c r="F35" s="12"/>
      <c r="G35" s="12"/>
      <c r="H35" s="12" t="s">
        <v>367</v>
      </c>
      <c r="I35" s="12" t="s">
        <v>368</v>
      </c>
    </row>
    <row r="36" spans="6:9" x14ac:dyDescent="0.25">
      <c r="F36" s="12"/>
      <c r="G36" s="12"/>
      <c r="H36" s="12" t="s">
        <v>369</v>
      </c>
      <c r="I36" s="12" t="s">
        <v>370</v>
      </c>
    </row>
    <row r="37" spans="6:9" x14ac:dyDescent="0.25">
      <c r="F37" s="12"/>
      <c r="G37" s="12"/>
      <c r="H37" s="12" t="s">
        <v>371</v>
      </c>
      <c r="I37" s="12" t="s">
        <v>372</v>
      </c>
    </row>
  </sheetData>
  <mergeCells count="1">
    <mergeCell ref="A1:C1"/>
  </mergeCells>
  <phoneticPr fontId="5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8D21A-C4F2-4ED3-ACDD-3B021EF31280}">
  <sheetPr codeName="Planilha3"/>
  <dimension ref="A1:K415"/>
  <sheetViews>
    <sheetView tabSelected="1" topLeftCell="A389" zoomScale="115" zoomScaleNormal="115" workbookViewId="0">
      <selection activeCell="E407" sqref="E407"/>
    </sheetView>
  </sheetViews>
  <sheetFormatPr defaultColWidth="9.140625" defaultRowHeight="10.5" customHeight="1" x14ac:dyDescent="0.25"/>
  <cols>
    <col min="1" max="1" width="10.85546875" style="2" bestFit="1" customWidth="1"/>
    <col min="2" max="2" width="21.42578125" style="50" bestFit="1" customWidth="1"/>
    <col min="3" max="3" width="21.42578125" style="2" bestFit="1" customWidth="1"/>
    <col min="4" max="4" width="29.5703125" style="2" customWidth="1"/>
    <col min="5" max="5" width="10.140625" style="2" customWidth="1"/>
    <col min="6" max="6" width="28.7109375" style="2" bestFit="1" customWidth="1"/>
    <col min="7" max="8" width="18.42578125" style="2" customWidth="1"/>
    <col min="9" max="9" width="25.28515625" style="2" bestFit="1" customWidth="1"/>
    <col min="10" max="10" width="25.28515625" style="2" customWidth="1"/>
    <col min="11" max="11" width="10.85546875" style="2" bestFit="1" customWidth="1"/>
    <col min="12" max="16384" width="9.140625" style="2"/>
  </cols>
  <sheetData>
    <row r="1" spans="1:11" ht="9.9499999999999993" hidden="1" customHeight="1" x14ac:dyDescent="0.25">
      <c r="A1" s="51" t="s">
        <v>373</v>
      </c>
      <c r="B1" s="30" t="s">
        <v>311</v>
      </c>
      <c r="C1" s="3" t="s">
        <v>312</v>
      </c>
      <c r="D1" s="3" t="s">
        <v>374</v>
      </c>
      <c r="E1" s="3" t="s">
        <v>314</v>
      </c>
      <c r="F1" s="3" t="s">
        <v>313</v>
      </c>
      <c r="G1" s="3" t="s">
        <v>375</v>
      </c>
      <c r="H1" s="3" t="s">
        <v>376</v>
      </c>
      <c r="I1" s="30" t="s">
        <v>377</v>
      </c>
      <c r="J1" s="3" t="s">
        <v>378</v>
      </c>
      <c r="K1" s="3" t="s">
        <v>379</v>
      </c>
    </row>
    <row r="2" spans="1:11" ht="13.5" hidden="1" x14ac:dyDescent="0.25">
      <c r="A2" s="31" t="s">
        <v>380</v>
      </c>
      <c r="B2" s="31" t="s">
        <v>96</v>
      </c>
      <c r="C2" s="4" t="s">
        <v>96</v>
      </c>
      <c r="D2" s="4" t="s">
        <v>381</v>
      </c>
      <c r="E2" s="4" t="s">
        <v>318</v>
      </c>
      <c r="F2" s="4" t="s">
        <v>319</v>
      </c>
      <c r="G2" s="4" t="s">
        <v>382</v>
      </c>
      <c r="H2" s="4" t="s">
        <v>336</v>
      </c>
      <c r="I2" s="31">
        <v>60</v>
      </c>
      <c r="J2" s="4">
        <f>(10*18*435)/1000</f>
        <v>78.3</v>
      </c>
      <c r="K2" s="4" t="s">
        <v>383</v>
      </c>
    </row>
    <row r="3" spans="1:11" ht="13.5" hidden="1" x14ac:dyDescent="0.25">
      <c r="A3" s="31" t="s">
        <v>380</v>
      </c>
      <c r="B3" s="31" t="s">
        <v>96</v>
      </c>
      <c r="C3" s="4" t="s">
        <v>96</v>
      </c>
      <c r="D3" s="4" t="s">
        <v>381</v>
      </c>
      <c r="E3" s="4" t="s">
        <v>318</v>
      </c>
      <c r="F3" s="4" t="s">
        <v>321</v>
      </c>
      <c r="G3" s="4" t="s">
        <v>382</v>
      </c>
      <c r="H3" s="4" t="s">
        <v>338</v>
      </c>
      <c r="I3" s="31">
        <v>60</v>
      </c>
      <c r="J3" s="4">
        <f t="shared" ref="J3:J9" si="0">(10*18*435)/1000</f>
        <v>78.3</v>
      </c>
      <c r="K3" s="4" t="s">
        <v>383</v>
      </c>
    </row>
    <row r="4" spans="1:11" ht="13.5" hidden="1" x14ac:dyDescent="0.25">
      <c r="A4" s="31" t="s">
        <v>380</v>
      </c>
      <c r="B4" s="31" t="s">
        <v>96</v>
      </c>
      <c r="C4" s="4" t="s">
        <v>96</v>
      </c>
      <c r="D4" s="4" t="s">
        <v>381</v>
      </c>
      <c r="E4" s="4" t="s">
        <v>318</v>
      </c>
      <c r="F4" s="4" t="s">
        <v>323</v>
      </c>
      <c r="G4" s="4" t="s">
        <v>382</v>
      </c>
      <c r="H4" s="4" t="s">
        <v>340</v>
      </c>
      <c r="I4" s="31">
        <v>60</v>
      </c>
      <c r="J4" s="4">
        <f t="shared" si="0"/>
        <v>78.3</v>
      </c>
      <c r="K4" s="4" t="s">
        <v>383</v>
      </c>
    </row>
    <row r="5" spans="1:11" ht="13.5" hidden="1" x14ac:dyDescent="0.25">
      <c r="A5" s="31" t="s">
        <v>380</v>
      </c>
      <c r="B5" s="31" t="s">
        <v>96</v>
      </c>
      <c r="C5" s="4" t="s">
        <v>96</v>
      </c>
      <c r="D5" s="4" t="s">
        <v>381</v>
      </c>
      <c r="E5" s="4" t="s">
        <v>318</v>
      </c>
      <c r="F5" s="4" t="s">
        <v>325</v>
      </c>
      <c r="G5" s="4" t="s">
        <v>382</v>
      </c>
      <c r="H5" s="4" t="s">
        <v>342</v>
      </c>
      <c r="I5" s="31">
        <v>60</v>
      </c>
      <c r="J5" s="4">
        <f t="shared" si="0"/>
        <v>78.3</v>
      </c>
      <c r="K5" s="4" t="s">
        <v>383</v>
      </c>
    </row>
    <row r="6" spans="1:11" ht="13.5" hidden="1" x14ac:dyDescent="0.25">
      <c r="A6" s="31" t="s">
        <v>380</v>
      </c>
      <c r="B6" s="31" t="s">
        <v>96</v>
      </c>
      <c r="C6" s="4" t="s">
        <v>96</v>
      </c>
      <c r="D6" s="4" t="s">
        <v>381</v>
      </c>
      <c r="E6" s="4" t="s">
        <v>318</v>
      </c>
      <c r="F6" s="4" t="s">
        <v>327</v>
      </c>
      <c r="G6" s="4" t="s">
        <v>382</v>
      </c>
      <c r="H6" s="4" t="s">
        <v>344</v>
      </c>
      <c r="I6" s="31">
        <v>60</v>
      </c>
      <c r="J6" s="4">
        <f t="shared" si="0"/>
        <v>78.3</v>
      </c>
      <c r="K6" s="4" t="s">
        <v>383</v>
      </c>
    </row>
    <row r="7" spans="1:11" ht="13.5" hidden="1" x14ac:dyDescent="0.25">
      <c r="A7" s="31" t="s">
        <v>380</v>
      </c>
      <c r="B7" s="31" t="s">
        <v>96</v>
      </c>
      <c r="C7" s="4" t="s">
        <v>96</v>
      </c>
      <c r="D7" s="4" t="s">
        <v>381</v>
      </c>
      <c r="E7" s="4" t="s">
        <v>318</v>
      </c>
      <c r="F7" s="4" t="s">
        <v>328</v>
      </c>
      <c r="G7" s="4" t="s">
        <v>382</v>
      </c>
      <c r="H7" s="4" t="s">
        <v>346</v>
      </c>
      <c r="I7" s="31">
        <v>60</v>
      </c>
      <c r="J7" s="4">
        <f t="shared" si="0"/>
        <v>78.3</v>
      </c>
      <c r="K7" s="4" t="s">
        <v>383</v>
      </c>
    </row>
    <row r="8" spans="1:11" ht="13.5" hidden="1" x14ac:dyDescent="0.25">
      <c r="A8" s="31" t="s">
        <v>380</v>
      </c>
      <c r="B8" s="31" t="s">
        <v>96</v>
      </c>
      <c r="C8" s="4" t="s">
        <v>96</v>
      </c>
      <c r="D8" s="4" t="s">
        <v>381</v>
      </c>
      <c r="E8" s="4" t="s">
        <v>318</v>
      </c>
      <c r="F8" s="4" t="s">
        <v>329</v>
      </c>
      <c r="G8" s="4" t="s">
        <v>382</v>
      </c>
      <c r="H8" s="4" t="s">
        <v>348</v>
      </c>
      <c r="I8" s="31">
        <v>60</v>
      </c>
      <c r="J8" s="4">
        <f t="shared" si="0"/>
        <v>78.3</v>
      </c>
      <c r="K8" s="4" t="s">
        <v>383</v>
      </c>
    </row>
    <row r="9" spans="1:11" ht="13.5" hidden="1" x14ac:dyDescent="0.25">
      <c r="A9" s="31" t="s">
        <v>380</v>
      </c>
      <c r="B9" s="31" t="s">
        <v>96</v>
      </c>
      <c r="C9" s="4" t="s">
        <v>96</v>
      </c>
      <c r="D9" s="4" t="s">
        <v>381</v>
      </c>
      <c r="E9" s="4" t="s">
        <v>318</v>
      </c>
      <c r="F9" s="4" t="s">
        <v>330</v>
      </c>
      <c r="G9" s="4" t="s">
        <v>382</v>
      </c>
      <c r="H9" s="4" t="s">
        <v>350</v>
      </c>
      <c r="I9" s="31">
        <v>60</v>
      </c>
      <c r="J9" s="4">
        <f t="shared" si="0"/>
        <v>78.3</v>
      </c>
      <c r="K9" s="4" t="s">
        <v>383</v>
      </c>
    </row>
    <row r="10" spans="1:11" ht="13.5" hidden="1" x14ac:dyDescent="0.25">
      <c r="A10" s="31" t="s">
        <v>380</v>
      </c>
      <c r="B10" s="31" t="s">
        <v>96</v>
      </c>
      <c r="C10" s="4" t="s">
        <v>96</v>
      </c>
      <c r="D10" s="4" t="s">
        <v>381</v>
      </c>
      <c r="E10" s="4" t="s">
        <v>318</v>
      </c>
      <c r="F10" s="4" t="s">
        <v>331</v>
      </c>
      <c r="G10" s="4" t="s">
        <v>384</v>
      </c>
      <c r="H10" s="4" t="s">
        <v>352</v>
      </c>
      <c r="I10" s="31">
        <v>50</v>
      </c>
      <c r="J10" s="4">
        <f>(8*18*435)/1000</f>
        <v>62.64</v>
      </c>
      <c r="K10" s="4" t="s">
        <v>383</v>
      </c>
    </row>
    <row r="11" spans="1:11" ht="13.5" hidden="1" x14ac:dyDescent="0.25">
      <c r="A11" s="31" t="s">
        <v>380</v>
      </c>
      <c r="B11" s="31" t="s">
        <v>96</v>
      </c>
      <c r="C11" s="4" t="s">
        <v>103</v>
      </c>
      <c r="D11" s="4" t="s">
        <v>381</v>
      </c>
      <c r="E11" s="4" t="s">
        <v>318</v>
      </c>
      <c r="F11" s="4" t="s">
        <v>385</v>
      </c>
      <c r="G11" s="4" t="s">
        <v>382</v>
      </c>
      <c r="H11" s="4" t="s">
        <v>386</v>
      </c>
      <c r="I11" s="31">
        <v>60</v>
      </c>
      <c r="J11" s="4">
        <f>(11*18*435)/1000</f>
        <v>86.13</v>
      </c>
      <c r="K11" s="4" t="s">
        <v>383</v>
      </c>
    </row>
    <row r="12" spans="1:11" ht="13.5" hidden="1" x14ac:dyDescent="0.25">
      <c r="A12" s="31" t="s">
        <v>380</v>
      </c>
      <c r="B12" s="31" t="s">
        <v>96</v>
      </c>
      <c r="C12" s="4" t="s">
        <v>103</v>
      </c>
      <c r="D12" s="4" t="s">
        <v>381</v>
      </c>
      <c r="E12" s="4" t="s">
        <v>318</v>
      </c>
      <c r="F12" s="4" t="s">
        <v>387</v>
      </c>
      <c r="G12" s="4" t="s">
        <v>382</v>
      </c>
      <c r="H12" s="4" t="s">
        <v>388</v>
      </c>
      <c r="I12" s="31">
        <v>60</v>
      </c>
      <c r="J12" s="4">
        <f t="shared" ref="J12:J13" si="1">(11*18*435)/1000</f>
        <v>86.13</v>
      </c>
      <c r="K12" s="4" t="s">
        <v>383</v>
      </c>
    </row>
    <row r="13" spans="1:11" ht="13.5" hidden="1" x14ac:dyDescent="0.25">
      <c r="A13" s="31" t="s">
        <v>380</v>
      </c>
      <c r="B13" s="31" t="s">
        <v>96</v>
      </c>
      <c r="C13" s="4" t="s">
        <v>103</v>
      </c>
      <c r="D13" s="4" t="s">
        <v>381</v>
      </c>
      <c r="E13" s="4" t="s">
        <v>318</v>
      </c>
      <c r="F13" s="4" t="s">
        <v>389</v>
      </c>
      <c r="G13" s="4" t="s">
        <v>382</v>
      </c>
      <c r="H13" s="4" t="s">
        <v>390</v>
      </c>
      <c r="I13" s="31">
        <v>60</v>
      </c>
      <c r="J13" s="4">
        <f t="shared" si="1"/>
        <v>86.13</v>
      </c>
      <c r="K13" s="4" t="s">
        <v>383</v>
      </c>
    </row>
    <row r="14" spans="1:11" ht="13.5" hidden="1" x14ac:dyDescent="0.25">
      <c r="A14" s="31" t="s">
        <v>380</v>
      </c>
      <c r="B14" s="31" t="s">
        <v>96</v>
      </c>
      <c r="C14" s="4" t="s">
        <v>103</v>
      </c>
      <c r="D14" s="4" t="s">
        <v>381</v>
      </c>
      <c r="E14" s="4" t="s">
        <v>318</v>
      </c>
      <c r="F14" s="4" t="s">
        <v>391</v>
      </c>
      <c r="G14" s="4" t="s">
        <v>382</v>
      </c>
      <c r="H14" s="4" t="s">
        <v>392</v>
      </c>
      <c r="I14" s="31">
        <v>60</v>
      </c>
      <c r="J14" s="4">
        <f>(10*18*435)/1000</f>
        <v>78.3</v>
      </c>
      <c r="K14" s="4" t="s">
        <v>383</v>
      </c>
    </row>
    <row r="15" spans="1:11" ht="13.5" hidden="1" x14ac:dyDescent="0.25">
      <c r="A15" s="31" t="s">
        <v>380</v>
      </c>
      <c r="B15" s="31" t="s">
        <v>96</v>
      </c>
      <c r="C15" s="4" t="s">
        <v>103</v>
      </c>
      <c r="D15" s="4" t="s">
        <v>381</v>
      </c>
      <c r="E15" s="4" t="s">
        <v>318</v>
      </c>
      <c r="F15" s="4" t="s">
        <v>393</v>
      </c>
      <c r="G15" s="4" t="s">
        <v>394</v>
      </c>
      <c r="H15" s="4" t="s">
        <v>395</v>
      </c>
      <c r="I15" s="31">
        <v>40</v>
      </c>
      <c r="J15" s="4">
        <f>(7*18*435)/1000</f>
        <v>54.81</v>
      </c>
      <c r="K15" s="4" t="s">
        <v>383</v>
      </c>
    </row>
    <row r="16" spans="1:11" ht="13.5" hidden="1" x14ac:dyDescent="0.25">
      <c r="A16" s="31" t="s">
        <v>380</v>
      </c>
      <c r="B16" s="31" t="s">
        <v>96</v>
      </c>
      <c r="C16" s="4" t="s">
        <v>106</v>
      </c>
      <c r="D16" s="4" t="s">
        <v>381</v>
      </c>
      <c r="E16" s="4" t="s">
        <v>318</v>
      </c>
      <c r="F16" s="4" t="s">
        <v>396</v>
      </c>
      <c r="G16" s="4" t="s">
        <v>382</v>
      </c>
      <c r="H16" s="4" t="s">
        <v>397</v>
      </c>
      <c r="I16" s="31">
        <v>60</v>
      </c>
      <c r="J16" s="4">
        <f>(10*18*435)/1000</f>
        <v>78.3</v>
      </c>
      <c r="K16" s="4" t="s">
        <v>383</v>
      </c>
    </row>
    <row r="17" spans="1:11" ht="13.5" hidden="1" x14ac:dyDescent="0.25">
      <c r="A17" s="31" t="s">
        <v>380</v>
      </c>
      <c r="B17" s="31" t="s">
        <v>96</v>
      </c>
      <c r="C17" s="4" t="s">
        <v>106</v>
      </c>
      <c r="D17" s="4" t="s">
        <v>381</v>
      </c>
      <c r="E17" s="4" t="s">
        <v>318</v>
      </c>
      <c r="F17" s="4" t="s">
        <v>398</v>
      </c>
      <c r="G17" s="4" t="s">
        <v>382</v>
      </c>
      <c r="H17" s="4" t="s">
        <v>399</v>
      </c>
      <c r="I17" s="31">
        <v>60</v>
      </c>
      <c r="J17" s="4">
        <f>(10*18*435)/1000</f>
        <v>78.3</v>
      </c>
      <c r="K17" s="4" t="s">
        <v>383</v>
      </c>
    </row>
    <row r="18" spans="1:11" ht="13.5" hidden="1" x14ac:dyDescent="0.25">
      <c r="A18" s="31" t="s">
        <v>380</v>
      </c>
      <c r="B18" s="31" t="s">
        <v>96</v>
      </c>
      <c r="C18" s="4" t="s">
        <v>106</v>
      </c>
      <c r="D18" s="4" t="s">
        <v>381</v>
      </c>
      <c r="E18" s="4" t="s">
        <v>318</v>
      </c>
      <c r="F18" s="4" t="s">
        <v>400</v>
      </c>
      <c r="G18" s="4" t="s">
        <v>382</v>
      </c>
      <c r="H18" s="4" t="s">
        <v>401</v>
      </c>
      <c r="I18" s="31">
        <v>60</v>
      </c>
      <c r="J18" s="4">
        <f>(10*18*435)/1000</f>
        <v>78.3</v>
      </c>
      <c r="K18" s="4" t="s">
        <v>383</v>
      </c>
    </row>
    <row r="19" spans="1:11" ht="13.5" hidden="1" x14ac:dyDescent="0.25">
      <c r="A19" s="31" t="s">
        <v>380</v>
      </c>
      <c r="B19" s="31" t="s">
        <v>96</v>
      </c>
      <c r="C19" s="4" t="s">
        <v>106</v>
      </c>
      <c r="D19" s="4" t="s">
        <v>381</v>
      </c>
      <c r="E19" s="4" t="s">
        <v>318</v>
      </c>
      <c r="F19" s="4" t="s">
        <v>402</v>
      </c>
      <c r="G19" s="4" t="s">
        <v>382</v>
      </c>
      <c r="H19" s="4" t="s">
        <v>403</v>
      </c>
      <c r="I19" s="31">
        <v>60</v>
      </c>
      <c r="J19" s="4">
        <f>(10*18*435)/1000</f>
        <v>78.3</v>
      </c>
      <c r="K19" s="4" t="s">
        <v>383</v>
      </c>
    </row>
    <row r="20" spans="1:11" ht="13.5" hidden="1" x14ac:dyDescent="0.25">
      <c r="A20" s="31" t="s">
        <v>380</v>
      </c>
      <c r="B20" s="31" t="s">
        <v>96</v>
      </c>
      <c r="C20" s="4" t="s">
        <v>106</v>
      </c>
      <c r="D20" s="4" t="s">
        <v>381</v>
      </c>
      <c r="E20" s="4" t="s">
        <v>318</v>
      </c>
      <c r="F20" s="4" t="s">
        <v>404</v>
      </c>
      <c r="G20" s="4" t="s">
        <v>394</v>
      </c>
      <c r="H20" s="4" t="s">
        <v>405</v>
      </c>
      <c r="I20" s="31">
        <v>40</v>
      </c>
      <c r="J20" s="4">
        <f>(7*18*435)/1000</f>
        <v>54.81</v>
      </c>
      <c r="K20" s="4" t="s">
        <v>383</v>
      </c>
    </row>
    <row r="21" spans="1:11" ht="13.5" hidden="1" x14ac:dyDescent="0.25">
      <c r="A21" s="31" t="s">
        <v>380</v>
      </c>
      <c r="B21" s="31" t="s">
        <v>96</v>
      </c>
      <c r="C21" s="4" t="s">
        <v>106</v>
      </c>
      <c r="D21" s="4" t="s">
        <v>381</v>
      </c>
      <c r="E21" s="4" t="s">
        <v>318</v>
      </c>
      <c r="F21" s="4" t="s">
        <v>406</v>
      </c>
      <c r="G21" s="4" t="s">
        <v>394</v>
      </c>
      <c r="H21" s="4" t="s">
        <v>407</v>
      </c>
      <c r="I21" s="31">
        <v>40</v>
      </c>
      <c r="J21" s="4">
        <f>(7*18*435)/1000</f>
        <v>54.81</v>
      </c>
      <c r="K21" s="4" t="s">
        <v>383</v>
      </c>
    </row>
    <row r="22" spans="1:11" ht="13.5" hidden="1" x14ac:dyDescent="0.25">
      <c r="A22" s="31" t="s">
        <v>380</v>
      </c>
      <c r="B22" s="31" t="s">
        <v>96</v>
      </c>
      <c r="C22" s="4" t="s">
        <v>108</v>
      </c>
      <c r="D22" s="4" t="s">
        <v>381</v>
      </c>
      <c r="E22" s="4" t="s">
        <v>318</v>
      </c>
      <c r="F22" s="4" t="s">
        <v>408</v>
      </c>
      <c r="G22" s="4" t="s">
        <v>382</v>
      </c>
      <c r="H22" s="4" t="s">
        <v>409</v>
      </c>
      <c r="I22" s="31">
        <v>60</v>
      </c>
      <c r="J22" s="4">
        <f>(11*18*400)/1000</f>
        <v>79.2</v>
      </c>
      <c r="K22" s="4" t="s">
        <v>383</v>
      </c>
    </row>
    <row r="23" spans="1:11" ht="13.5" hidden="1" x14ac:dyDescent="0.25">
      <c r="A23" s="31" t="s">
        <v>380</v>
      </c>
      <c r="B23" s="31" t="s">
        <v>96</v>
      </c>
      <c r="C23" s="4" t="s">
        <v>108</v>
      </c>
      <c r="D23" s="4" t="s">
        <v>381</v>
      </c>
      <c r="E23" s="4" t="s">
        <v>318</v>
      </c>
      <c r="F23" s="4" t="s">
        <v>410</v>
      </c>
      <c r="G23" s="4" t="s">
        <v>382</v>
      </c>
      <c r="H23" s="4" t="s">
        <v>411</v>
      </c>
      <c r="I23" s="31">
        <v>60</v>
      </c>
      <c r="J23" s="4">
        <f>(11*18*400)/1000</f>
        <v>79.2</v>
      </c>
      <c r="K23" s="4" t="s">
        <v>383</v>
      </c>
    </row>
    <row r="24" spans="1:11" ht="13.5" hidden="1" x14ac:dyDescent="0.25">
      <c r="A24" s="31" t="s">
        <v>380</v>
      </c>
      <c r="B24" s="31" t="s">
        <v>96</v>
      </c>
      <c r="C24" s="4" t="s">
        <v>108</v>
      </c>
      <c r="D24" s="4" t="s">
        <v>381</v>
      </c>
      <c r="E24" s="4" t="s">
        <v>318</v>
      </c>
      <c r="F24" s="4" t="s">
        <v>412</v>
      </c>
      <c r="G24" s="4" t="s">
        <v>382</v>
      </c>
      <c r="H24" s="4" t="s">
        <v>413</v>
      </c>
      <c r="I24" s="31">
        <v>60</v>
      </c>
      <c r="J24" s="4">
        <f>(11*18*400)/1000</f>
        <v>79.2</v>
      </c>
      <c r="K24" s="4" t="s">
        <v>383</v>
      </c>
    </row>
    <row r="25" spans="1:11" ht="13.5" hidden="1" x14ac:dyDescent="0.25">
      <c r="A25" s="31" t="s">
        <v>380</v>
      </c>
      <c r="B25" s="31" t="s">
        <v>96</v>
      </c>
      <c r="C25" s="4" t="s">
        <v>108</v>
      </c>
      <c r="D25" s="4" t="s">
        <v>381</v>
      </c>
      <c r="E25" s="4" t="s">
        <v>318</v>
      </c>
      <c r="F25" s="4" t="s">
        <v>414</v>
      </c>
      <c r="G25" s="4" t="s">
        <v>382</v>
      </c>
      <c r="H25" s="4" t="s">
        <v>415</v>
      </c>
      <c r="I25" s="31">
        <v>60</v>
      </c>
      <c r="J25" s="4">
        <f>(11*18*400)/1000</f>
        <v>79.2</v>
      </c>
      <c r="K25" s="4" t="s">
        <v>383</v>
      </c>
    </row>
    <row r="26" spans="1:11" ht="13.5" hidden="1" x14ac:dyDescent="0.25">
      <c r="A26" s="31" t="s">
        <v>380</v>
      </c>
      <c r="B26" s="31" t="s">
        <v>96</v>
      </c>
      <c r="C26" s="4" t="s">
        <v>108</v>
      </c>
      <c r="D26" s="4" t="s">
        <v>381</v>
      </c>
      <c r="E26" s="4" t="s">
        <v>318</v>
      </c>
      <c r="F26" s="4" t="s">
        <v>416</v>
      </c>
      <c r="G26" s="4" t="s">
        <v>382</v>
      </c>
      <c r="H26" s="4" t="s">
        <v>417</v>
      </c>
      <c r="I26" s="31">
        <v>60</v>
      </c>
      <c r="J26" s="4">
        <f>(11*18*400)/1000</f>
        <v>79.2</v>
      </c>
      <c r="K26" s="4" t="s">
        <v>383</v>
      </c>
    </row>
    <row r="27" spans="1:11" ht="13.5" hidden="1" x14ac:dyDescent="0.25">
      <c r="A27" s="31" t="s">
        <v>380</v>
      </c>
      <c r="B27" s="31" t="s">
        <v>96</v>
      </c>
      <c r="C27" s="4" t="s">
        <v>108</v>
      </c>
      <c r="D27" s="4" t="s">
        <v>381</v>
      </c>
      <c r="E27" s="4" t="s">
        <v>318</v>
      </c>
      <c r="F27" s="4" t="s">
        <v>418</v>
      </c>
      <c r="G27" s="4" t="s">
        <v>382</v>
      </c>
      <c r="H27" s="4" t="s">
        <v>419</v>
      </c>
      <c r="I27" s="31">
        <v>60</v>
      </c>
      <c r="J27" s="4">
        <f>(10*18*400)/1000</f>
        <v>72</v>
      </c>
      <c r="K27" s="4" t="s">
        <v>383</v>
      </c>
    </row>
    <row r="28" spans="1:11" ht="13.5" hidden="1" x14ac:dyDescent="0.25">
      <c r="A28" s="31" t="s">
        <v>380</v>
      </c>
      <c r="B28" s="31" t="s">
        <v>96</v>
      </c>
      <c r="C28" s="4" t="s">
        <v>110</v>
      </c>
      <c r="D28" s="4" t="s">
        <v>381</v>
      </c>
      <c r="E28" s="4" t="s">
        <v>318</v>
      </c>
      <c r="F28" s="4" t="s">
        <v>420</v>
      </c>
      <c r="G28" s="4" t="s">
        <v>382</v>
      </c>
      <c r="H28" s="4" t="s">
        <v>421</v>
      </c>
      <c r="I28" s="31">
        <v>60</v>
      </c>
      <c r="J28" s="4">
        <f>(10*18*400)/1000</f>
        <v>72</v>
      </c>
      <c r="K28" s="4" t="s">
        <v>383</v>
      </c>
    </row>
    <row r="29" spans="1:11" ht="13.5" hidden="1" x14ac:dyDescent="0.25">
      <c r="A29" s="31" t="s">
        <v>380</v>
      </c>
      <c r="B29" s="31" t="s">
        <v>96</v>
      </c>
      <c r="C29" s="4" t="s">
        <v>110</v>
      </c>
      <c r="D29" s="4" t="s">
        <v>381</v>
      </c>
      <c r="E29" s="4" t="s">
        <v>318</v>
      </c>
      <c r="F29" s="4" t="s">
        <v>422</v>
      </c>
      <c r="G29" s="4" t="s">
        <v>382</v>
      </c>
      <c r="H29" s="4" t="s">
        <v>423</v>
      </c>
      <c r="I29" s="31">
        <v>60</v>
      </c>
      <c r="J29" s="4">
        <f>(10*18*400)/1000</f>
        <v>72</v>
      </c>
      <c r="K29" s="4" t="s">
        <v>383</v>
      </c>
    </row>
    <row r="30" spans="1:11" ht="13.5" hidden="1" x14ac:dyDescent="0.25">
      <c r="A30" s="31" t="s">
        <v>380</v>
      </c>
      <c r="B30" s="31" t="s">
        <v>96</v>
      </c>
      <c r="C30" s="4" t="s">
        <v>110</v>
      </c>
      <c r="D30" s="4" t="s">
        <v>381</v>
      </c>
      <c r="E30" s="4" t="s">
        <v>318</v>
      </c>
      <c r="F30" s="4" t="s">
        <v>424</v>
      </c>
      <c r="G30" s="4" t="s">
        <v>384</v>
      </c>
      <c r="H30" s="4" t="s">
        <v>425</v>
      </c>
      <c r="I30" s="31">
        <v>50</v>
      </c>
      <c r="J30" s="4">
        <f>(10*18*410)/1000</f>
        <v>73.8</v>
      </c>
      <c r="K30" s="4" t="s">
        <v>383</v>
      </c>
    </row>
    <row r="31" spans="1:11" ht="13.5" hidden="1" x14ac:dyDescent="0.25">
      <c r="A31" s="31" t="s">
        <v>380</v>
      </c>
      <c r="B31" s="31" t="s">
        <v>96</v>
      </c>
      <c r="C31" s="4" t="s">
        <v>113</v>
      </c>
      <c r="D31" s="4" t="s">
        <v>381</v>
      </c>
      <c r="E31" s="4" t="s">
        <v>318</v>
      </c>
      <c r="F31" s="4" t="s">
        <v>426</v>
      </c>
      <c r="G31" s="4" t="s">
        <v>384</v>
      </c>
      <c r="H31" s="4" t="s">
        <v>427</v>
      </c>
      <c r="I31" s="31">
        <v>50</v>
      </c>
      <c r="J31" s="4">
        <f>(10*18*410)/1000</f>
        <v>73.8</v>
      </c>
      <c r="K31" s="4" t="s">
        <v>383</v>
      </c>
    </row>
    <row r="32" spans="1:11" ht="13.5" hidden="1" x14ac:dyDescent="0.25">
      <c r="A32" s="31" t="s">
        <v>380</v>
      </c>
      <c r="B32" s="31" t="s">
        <v>96</v>
      </c>
      <c r="C32" s="4" t="s">
        <v>113</v>
      </c>
      <c r="D32" s="4" t="s">
        <v>381</v>
      </c>
      <c r="E32" s="4" t="s">
        <v>318</v>
      </c>
      <c r="F32" s="4" t="s">
        <v>428</v>
      </c>
      <c r="G32" s="4" t="s">
        <v>382</v>
      </c>
      <c r="H32" s="4" t="s">
        <v>429</v>
      </c>
      <c r="I32" s="31">
        <v>60</v>
      </c>
      <c r="J32" s="4">
        <f>(10*18*400)/1000</f>
        <v>72</v>
      </c>
      <c r="K32" s="4" t="s">
        <v>383</v>
      </c>
    </row>
    <row r="33" spans="1:11" ht="13.5" hidden="1" x14ac:dyDescent="0.25">
      <c r="A33" s="31" t="s">
        <v>380</v>
      </c>
      <c r="B33" s="31" t="s">
        <v>96</v>
      </c>
      <c r="C33" s="4" t="s">
        <v>113</v>
      </c>
      <c r="D33" s="4" t="s">
        <v>381</v>
      </c>
      <c r="E33" s="4" t="s">
        <v>318</v>
      </c>
      <c r="F33" s="4" t="s">
        <v>430</v>
      </c>
      <c r="G33" s="4" t="s">
        <v>382</v>
      </c>
      <c r="H33" s="4" t="s">
        <v>431</v>
      </c>
      <c r="I33" s="31">
        <v>60</v>
      </c>
      <c r="J33" s="4">
        <f>(10*18*400)/1000</f>
        <v>72</v>
      </c>
      <c r="K33" s="4" t="s">
        <v>383</v>
      </c>
    </row>
    <row r="34" spans="1:11" ht="13.5" hidden="1" x14ac:dyDescent="0.25">
      <c r="A34" s="31" t="s">
        <v>380</v>
      </c>
      <c r="B34" s="31" t="s">
        <v>96</v>
      </c>
      <c r="C34" s="4" t="s">
        <v>115</v>
      </c>
      <c r="D34" s="4" t="s">
        <v>381</v>
      </c>
      <c r="E34" s="4" t="s">
        <v>318</v>
      </c>
      <c r="F34" s="4" t="s">
        <v>432</v>
      </c>
      <c r="G34" s="4" t="s">
        <v>382</v>
      </c>
      <c r="H34" s="4" t="s">
        <v>433</v>
      </c>
      <c r="I34" s="31">
        <v>60</v>
      </c>
      <c r="J34" s="4">
        <f>(11*18*400)/1000</f>
        <v>79.2</v>
      </c>
      <c r="K34" s="4" t="s">
        <v>383</v>
      </c>
    </row>
    <row r="35" spans="1:11" ht="13.5" hidden="1" x14ac:dyDescent="0.25">
      <c r="A35" s="31" t="s">
        <v>380</v>
      </c>
      <c r="B35" s="31" t="s">
        <v>96</v>
      </c>
      <c r="C35" s="4" t="s">
        <v>115</v>
      </c>
      <c r="D35" s="4" t="s">
        <v>381</v>
      </c>
      <c r="E35" s="4" t="s">
        <v>318</v>
      </c>
      <c r="F35" s="4" t="s">
        <v>434</v>
      </c>
      <c r="G35" s="4" t="s">
        <v>382</v>
      </c>
      <c r="H35" s="4" t="s">
        <v>435</v>
      </c>
      <c r="I35" s="31">
        <v>60</v>
      </c>
      <c r="J35" s="4">
        <f t="shared" ref="J35:J39" si="2">(11*18*400)/1000</f>
        <v>79.2</v>
      </c>
      <c r="K35" s="4" t="s">
        <v>383</v>
      </c>
    </row>
    <row r="36" spans="1:11" ht="13.5" hidden="1" x14ac:dyDescent="0.25">
      <c r="A36" s="31" t="s">
        <v>380</v>
      </c>
      <c r="B36" s="31" t="s">
        <v>96</v>
      </c>
      <c r="C36" s="4" t="s">
        <v>115</v>
      </c>
      <c r="D36" s="4" t="s">
        <v>381</v>
      </c>
      <c r="E36" s="4" t="s">
        <v>318</v>
      </c>
      <c r="F36" s="4" t="s">
        <v>436</v>
      </c>
      <c r="G36" s="4" t="s">
        <v>382</v>
      </c>
      <c r="H36" s="4" t="s">
        <v>437</v>
      </c>
      <c r="I36" s="31">
        <v>60</v>
      </c>
      <c r="J36" s="4">
        <f t="shared" si="2"/>
        <v>79.2</v>
      </c>
      <c r="K36" s="4" t="s">
        <v>383</v>
      </c>
    </row>
    <row r="37" spans="1:11" ht="13.5" hidden="1" x14ac:dyDescent="0.25">
      <c r="A37" s="31" t="s">
        <v>380</v>
      </c>
      <c r="B37" s="31" t="s">
        <v>96</v>
      </c>
      <c r="C37" s="4" t="s">
        <v>115</v>
      </c>
      <c r="D37" s="4" t="s">
        <v>381</v>
      </c>
      <c r="E37" s="4" t="s">
        <v>318</v>
      </c>
      <c r="F37" s="4" t="s">
        <v>438</v>
      </c>
      <c r="G37" s="4" t="s">
        <v>382</v>
      </c>
      <c r="H37" s="4" t="s">
        <v>439</v>
      </c>
      <c r="I37" s="31">
        <v>60</v>
      </c>
      <c r="J37" s="4">
        <f t="shared" si="2"/>
        <v>79.2</v>
      </c>
      <c r="K37" s="4" t="s">
        <v>383</v>
      </c>
    </row>
    <row r="38" spans="1:11" ht="13.5" hidden="1" x14ac:dyDescent="0.25">
      <c r="A38" s="31" t="s">
        <v>380</v>
      </c>
      <c r="B38" s="31" t="s">
        <v>96</v>
      </c>
      <c r="C38" s="4" t="s">
        <v>115</v>
      </c>
      <c r="D38" s="4" t="s">
        <v>381</v>
      </c>
      <c r="E38" s="4" t="s">
        <v>318</v>
      </c>
      <c r="F38" s="4" t="s">
        <v>440</v>
      </c>
      <c r="G38" s="4" t="s">
        <v>382</v>
      </c>
      <c r="H38" s="4" t="s">
        <v>441</v>
      </c>
      <c r="I38" s="31">
        <v>60</v>
      </c>
      <c r="J38" s="4">
        <f t="shared" si="2"/>
        <v>79.2</v>
      </c>
      <c r="K38" s="4" t="s">
        <v>383</v>
      </c>
    </row>
    <row r="39" spans="1:11" ht="13.5" hidden="1" x14ac:dyDescent="0.25">
      <c r="A39" s="31" t="s">
        <v>380</v>
      </c>
      <c r="B39" s="31" t="s">
        <v>96</v>
      </c>
      <c r="C39" s="4" t="s">
        <v>115</v>
      </c>
      <c r="D39" s="4" t="s">
        <v>381</v>
      </c>
      <c r="E39" s="4" t="s">
        <v>318</v>
      </c>
      <c r="F39" s="4" t="s">
        <v>442</v>
      </c>
      <c r="G39" s="4" t="s">
        <v>382</v>
      </c>
      <c r="H39" s="4" t="s">
        <v>443</v>
      </c>
      <c r="I39" s="31">
        <v>60</v>
      </c>
      <c r="J39" s="4">
        <f t="shared" si="2"/>
        <v>79.2</v>
      </c>
      <c r="K39" s="4" t="s">
        <v>383</v>
      </c>
    </row>
    <row r="40" spans="1:11" ht="13.5" hidden="1" x14ac:dyDescent="0.25">
      <c r="A40" s="31" t="s">
        <v>380</v>
      </c>
      <c r="B40" s="31" t="s">
        <v>96</v>
      </c>
      <c r="C40" s="4" t="s">
        <v>117</v>
      </c>
      <c r="D40" s="4" t="s">
        <v>381</v>
      </c>
      <c r="E40" s="4" t="s">
        <v>318</v>
      </c>
      <c r="F40" s="4" t="s">
        <v>444</v>
      </c>
      <c r="G40" s="4" t="s">
        <v>384</v>
      </c>
      <c r="H40" s="20" t="s">
        <v>445</v>
      </c>
      <c r="I40" s="31">
        <v>50</v>
      </c>
      <c r="J40" s="4">
        <f>(10*18*435)/1000</f>
        <v>78.3</v>
      </c>
      <c r="K40" s="4" t="s">
        <v>383</v>
      </c>
    </row>
    <row r="41" spans="1:11" ht="13.5" hidden="1" x14ac:dyDescent="0.25">
      <c r="A41" s="31" t="s">
        <v>380</v>
      </c>
      <c r="B41" s="31" t="s">
        <v>96</v>
      </c>
      <c r="C41" s="4" t="s">
        <v>117</v>
      </c>
      <c r="D41" s="4" t="s">
        <v>381</v>
      </c>
      <c r="E41" s="4" t="s">
        <v>318</v>
      </c>
      <c r="F41" s="4" t="s">
        <v>446</v>
      </c>
      <c r="G41" s="4" t="s">
        <v>384</v>
      </c>
      <c r="H41" s="4" t="s">
        <v>447</v>
      </c>
      <c r="I41" s="31">
        <v>50</v>
      </c>
      <c r="J41" s="4">
        <f>(10*18*435)/1000</f>
        <v>78.3</v>
      </c>
      <c r="K41" s="4" t="s">
        <v>383</v>
      </c>
    </row>
    <row r="42" spans="1:11" ht="9.9499999999999993" hidden="1" customHeight="1" x14ac:dyDescent="0.25">
      <c r="A42" s="31" t="s">
        <v>380</v>
      </c>
      <c r="B42" s="31" t="s">
        <v>96</v>
      </c>
      <c r="C42" s="4" t="s">
        <v>117</v>
      </c>
      <c r="D42" s="4" t="s">
        <v>381</v>
      </c>
      <c r="E42" s="4" t="s">
        <v>318</v>
      </c>
      <c r="F42" s="4" t="s">
        <v>448</v>
      </c>
      <c r="G42" s="4" t="s">
        <v>382</v>
      </c>
      <c r="H42" s="4" t="s">
        <v>449</v>
      </c>
      <c r="I42" s="31">
        <v>60</v>
      </c>
      <c r="J42" s="4">
        <f>(11*18*435)/1000</f>
        <v>86.13</v>
      </c>
      <c r="K42" s="4" t="s">
        <v>383</v>
      </c>
    </row>
    <row r="43" spans="1:11" ht="10.5" customHeight="1" x14ac:dyDescent="0.25">
      <c r="A43" s="31" t="s">
        <v>450</v>
      </c>
      <c r="B43" s="31" t="s">
        <v>119</v>
      </c>
      <c r="C43" s="4" t="s">
        <v>119</v>
      </c>
      <c r="D43" s="4" t="s">
        <v>451</v>
      </c>
      <c r="E43" s="4" t="s">
        <v>318</v>
      </c>
      <c r="F43" s="4" t="s">
        <v>452</v>
      </c>
      <c r="G43" s="4" t="s">
        <v>382</v>
      </c>
      <c r="H43" s="4" t="s">
        <v>453</v>
      </c>
      <c r="I43" s="31">
        <v>60</v>
      </c>
      <c r="J43" s="4">
        <f>(11*20*405)/1000</f>
        <v>89.1</v>
      </c>
      <c r="K43" s="4" t="s">
        <v>383</v>
      </c>
    </row>
    <row r="44" spans="1:11" ht="10.5" customHeight="1" x14ac:dyDescent="0.25">
      <c r="A44" s="31" t="s">
        <v>450</v>
      </c>
      <c r="B44" s="31" t="s">
        <v>119</v>
      </c>
      <c r="C44" s="4" t="s">
        <v>119</v>
      </c>
      <c r="D44" s="4" t="s">
        <v>451</v>
      </c>
      <c r="E44" s="4" t="s">
        <v>318</v>
      </c>
      <c r="F44" s="4" t="s">
        <v>454</v>
      </c>
      <c r="G44" s="4" t="s">
        <v>382</v>
      </c>
      <c r="H44" s="4" t="s">
        <v>455</v>
      </c>
      <c r="I44" s="31">
        <v>60</v>
      </c>
      <c r="J44" s="4">
        <f t="shared" ref="J44:J48" si="3">(11*20*405)/1000</f>
        <v>89.1</v>
      </c>
      <c r="K44" s="4" t="s">
        <v>383</v>
      </c>
    </row>
    <row r="45" spans="1:11" ht="10.5" customHeight="1" x14ac:dyDescent="0.25">
      <c r="A45" s="31" t="s">
        <v>450</v>
      </c>
      <c r="B45" s="31" t="s">
        <v>119</v>
      </c>
      <c r="C45" s="4" t="s">
        <v>119</v>
      </c>
      <c r="D45" s="4" t="s">
        <v>451</v>
      </c>
      <c r="E45" s="4" t="s">
        <v>318</v>
      </c>
      <c r="F45" s="4" t="s">
        <v>456</v>
      </c>
      <c r="G45" s="4" t="s">
        <v>382</v>
      </c>
      <c r="H45" s="4" t="s">
        <v>457</v>
      </c>
      <c r="I45" s="31">
        <v>60</v>
      </c>
      <c r="J45" s="4">
        <f t="shared" si="3"/>
        <v>89.1</v>
      </c>
      <c r="K45" s="4" t="s">
        <v>383</v>
      </c>
    </row>
    <row r="46" spans="1:11" ht="10.5" customHeight="1" x14ac:dyDescent="0.25">
      <c r="A46" s="31" t="s">
        <v>450</v>
      </c>
      <c r="B46" s="31" t="s">
        <v>119</v>
      </c>
      <c r="C46" s="4" t="s">
        <v>119</v>
      </c>
      <c r="D46" s="4" t="s">
        <v>451</v>
      </c>
      <c r="E46" s="4" t="s">
        <v>318</v>
      </c>
      <c r="F46" s="4" t="s">
        <v>458</v>
      </c>
      <c r="G46" s="4" t="s">
        <v>382</v>
      </c>
      <c r="H46" s="4" t="s">
        <v>459</v>
      </c>
      <c r="I46" s="31">
        <v>60</v>
      </c>
      <c r="J46" s="4">
        <f t="shared" si="3"/>
        <v>89.1</v>
      </c>
      <c r="K46" s="4" t="s">
        <v>383</v>
      </c>
    </row>
    <row r="47" spans="1:11" ht="10.5" customHeight="1" x14ac:dyDescent="0.25">
      <c r="A47" s="31" t="s">
        <v>450</v>
      </c>
      <c r="B47" s="31" t="s">
        <v>119</v>
      </c>
      <c r="C47" s="4" t="s">
        <v>119</v>
      </c>
      <c r="D47" s="4" t="s">
        <v>451</v>
      </c>
      <c r="E47" s="4" t="s">
        <v>318</v>
      </c>
      <c r="F47" s="4" t="s">
        <v>460</v>
      </c>
      <c r="G47" s="4" t="s">
        <v>382</v>
      </c>
      <c r="H47" s="4" t="s">
        <v>461</v>
      </c>
      <c r="I47" s="31">
        <v>60</v>
      </c>
      <c r="J47" s="4">
        <f t="shared" si="3"/>
        <v>89.1</v>
      </c>
      <c r="K47" s="4" t="s">
        <v>383</v>
      </c>
    </row>
    <row r="48" spans="1:11" ht="10.5" customHeight="1" x14ac:dyDescent="0.25">
      <c r="A48" s="31" t="s">
        <v>450</v>
      </c>
      <c r="B48" s="31" t="s">
        <v>119</v>
      </c>
      <c r="C48" s="4" t="s">
        <v>119</v>
      </c>
      <c r="D48" s="4" t="s">
        <v>451</v>
      </c>
      <c r="E48" s="4" t="s">
        <v>318</v>
      </c>
      <c r="F48" s="4" t="s">
        <v>462</v>
      </c>
      <c r="G48" s="4" t="s">
        <v>382</v>
      </c>
      <c r="H48" s="4" t="s">
        <v>463</v>
      </c>
      <c r="I48" s="31">
        <v>60</v>
      </c>
      <c r="J48" s="4">
        <f t="shared" si="3"/>
        <v>89.1</v>
      </c>
      <c r="K48" s="4" t="s">
        <v>383</v>
      </c>
    </row>
    <row r="49" spans="1:11" ht="10.5" customHeight="1" x14ac:dyDescent="0.25">
      <c r="A49" s="31" t="s">
        <v>450</v>
      </c>
      <c r="B49" s="31" t="s">
        <v>119</v>
      </c>
      <c r="C49" s="4" t="s">
        <v>119</v>
      </c>
      <c r="D49" s="4" t="s">
        <v>451</v>
      </c>
      <c r="E49" s="4" t="s">
        <v>318</v>
      </c>
      <c r="F49" s="4" t="s">
        <v>464</v>
      </c>
      <c r="G49" s="4" t="s">
        <v>382</v>
      </c>
      <c r="H49" s="4" t="s">
        <v>465</v>
      </c>
      <c r="I49" s="31">
        <v>60</v>
      </c>
      <c r="J49" s="4">
        <f>(10*20*405)/1000</f>
        <v>81</v>
      </c>
      <c r="K49" s="4" t="s">
        <v>383</v>
      </c>
    </row>
    <row r="50" spans="1:11" ht="10.5" customHeight="1" x14ac:dyDescent="0.25">
      <c r="A50" s="31" t="s">
        <v>450</v>
      </c>
      <c r="B50" s="31" t="s">
        <v>119</v>
      </c>
      <c r="C50" s="4" t="s">
        <v>119</v>
      </c>
      <c r="D50" s="4" t="s">
        <v>451</v>
      </c>
      <c r="E50" s="4" t="s">
        <v>318</v>
      </c>
      <c r="F50" s="4" t="s">
        <v>466</v>
      </c>
      <c r="G50" s="4" t="s">
        <v>382</v>
      </c>
      <c r="H50" s="4" t="s">
        <v>467</v>
      </c>
      <c r="I50" s="31">
        <v>60</v>
      </c>
      <c r="J50" s="4">
        <f>(10*20*405)/1000</f>
        <v>81</v>
      </c>
      <c r="K50" s="4" t="s">
        <v>383</v>
      </c>
    </row>
    <row r="51" spans="1:11" ht="10.5" customHeight="1" x14ac:dyDescent="0.25">
      <c r="A51" s="31" t="s">
        <v>450</v>
      </c>
      <c r="B51" s="31" t="s">
        <v>119</v>
      </c>
      <c r="C51" s="4" t="s">
        <v>122</v>
      </c>
      <c r="D51" s="4" t="s">
        <v>451</v>
      </c>
      <c r="E51" s="4" t="s">
        <v>318</v>
      </c>
      <c r="F51" s="4" t="s">
        <v>468</v>
      </c>
      <c r="G51" s="4" t="s">
        <v>382</v>
      </c>
      <c r="H51" s="4" t="s">
        <v>469</v>
      </c>
      <c r="I51" s="31">
        <v>60</v>
      </c>
      <c r="J51" s="4">
        <f>(10*20*405)/1000</f>
        <v>81</v>
      </c>
      <c r="K51" s="4" t="s">
        <v>383</v>
      </c>
    </row>
    <row r="52" spans="1:11" ht="10.5" customHeight="1" x14ac:dyDescent="0.25">
      <c r="A52" s="31" t="s">
        <v>450</v>
      </c>
      <c r="B52" s="31" t="s">
        <v>119</v>
      </c>
      <c r="C52" s="4" t="s">
        <v>122</v>
      </c>
      <c r="D52" s="4" t="s">
        <v>451</v>
      </c>
      <c r="E52" s="4" t="s">
        <v>318</v>
      </c>
      <c r="F52" s="4" t="s">
        <v>470</v>
      </c>
      <c r="G52" s="4" t="s">
        <v>382</v>
      </c>
      <c r="H52" s="4" t="s">
        <v>471</v>
      </c>
      <c r="I52" s="31">
        <v>60</v>
      </c>
      <c r="J52" s="4">
        <f t="shared" ref="J52:J54" si="4">(10*20*405)/1000</f>
        <v>81</v>
      </c>
      <c r="K52" s="4" t="s">
        <v>383</v>
      </c>
    </row>
    <row r="53" spans="1:11" ht="10.5" customHeight="1" x14ac:dyDescent="0.25">
      <c r="A53" s="31" t="s">
        <v>450</v>
      </c>
      <c r="B53" s="31" t="s">
        <v>119</v>
      </c>
      <c r="C53" s="4" t="s">
        <v>122</v>
      </c>
      <c r="D53" s="4" t="s">
        <v>451</v>
      </c>
      <c r="E53" s="4" t="s">
        <v>318</v>
      </c>
      <c r="F53" s="4" t="s">
        <v>472</v>
      </c>
      <c r="G53" s="4" t="s">
        <v>382</v>
      </c>
      <c r="H53" s="4" t="s">
        <v>473</v>
      </c>
      <c r="I53" s="31">
        <v>60</v>
      </c>
      <c r="J53" s="4">
        <f t="shared" si="4"/>
        <v>81</v>
      </c>
      <c r="K53" s="4" t="s">
        <v>383</v>
      </c>
    </row>
    <row r="54" spans="1:11" ht="10.5" customHeight="1" x14ac:dyDescent="0.25">
      <c r="A54" s="31" t="s">
        <v>450</v>
      </c>
      <c r="B54" s="31" t="s">
        <v>119</v>
      </c>
      <c r="C54" s="4" t="s">
        <v>122</v>
      </c>
      <c r="D54" s="4" t="s">
        <v>451</v>
      </c>
      <c r="E54" s="4" t="s">
        <v>318</v>
      </c>
      <c r="F54" s="4" t="s">
        <v>474</v>
      </c>
      <c r="G54" s="4" t="s">
        <v>382</v>
      </c>
      <c r="H54" s="4" t="s">
        <v>475</v>
      </c>
      <c r="I54" s="31">
        <v>60</v>
      </c>
      <c r="J54" s="4">
        <f t="shared" si="4"/>
        <v>81</v>
      </c>
      <c r="K54" s="4" t="s">
        <v>383</v>
      </c>
    </row>
    <row r="55" spans="1:11" ht="10.5" customHeight="1" x14ac:dyDescent="0.25">
      <c r="A55" s="31" t="s">
        <v>450</v>
      </c>
      <c r="B55" s="31" t="s">
        <v>119</v>
      </c>
      <c r="C55" s="4" t="s">
        <v>122</v>
      </c>
      <c r="D55" s="4" t="s">
        <v>451</v>
      </c>
      <c r="E55" s="4" t="s">
        <v>318</v>
      </c>
      <c r="F55" s="4" t="s">
        <v>476</v>
      </c>
      <c r="G55" s="4" t="s">
        <v>382</v>
      </c>
      <c r="H55" s="4" t="s">
        <v>477</v>
      </c>
      <c r="I55" s="31">
        <v>60</v>
      </c>
      <c r="J55" s="4">
        <f>(11*20*405)/1000</f>
        <v>89.1</v>
      </c>
      <c r="K55" s="4" t="s">
        <v>383</v>
      </c>
    </row>
    <row r="56" spans="1:11" ht="10.5" customHeight="1" x14ac:dyDescent="0.25">
      <c r="A56" s="31" t="s">
        <v>450</v>
      </c>
      <c r="B56" s="31" t="s">
        <v>119</v>
      </c>
      <c r="C56" s="4" t="s">
        <v>122</v>
      </c>
      <c r="D56" s="4" t="s">
        <v>451</v>
      </c>
      <c r="E56" s="4" t="s">
        <v>318</v>
      </c>
      <c r="F56" s="4" t="s">
        <v>478</v>
      </c>
      <c r="G56" s="4" t="s">
        <v>382</v>
      </c>
      <c r="H56" s="4" t="s">
        <v>479</v>
      </c>
      <c r="I56" s="31">
        <v>60</v>
      </c>
      <c r="J56" s="4">
        <f t="shared" ref="J56:J57" si="5">(11*20*405)/1000</f>
        <v>89.1</v>
      </c>
      <c r="K56" s="4" t="s">
        <v>383</v>
      </c>
    </row>
    <row r="57" spans="1:11" ht="10.5" customHeight="1" x14ac:dyDescent="0.25">
      <c r="A57" s="31" t="s">
        <v>450</v>
      </c>
      <c r="B57" s="31" t="s">
        <v>119</v>
      </c>
      <c r="C57" s="4" t="s">
        <v>122</v>
      </c>
      <c r="D57" s="4" t="s">
        <v>451</v>
      </c>
      <c r="E57" s="4" t="s">
        <v>318</v>
      </c>
      <c r="F57" s="4" t="s">
        <v>480</v>
      </c>
      <c r="G57" s="4" t="s">
        <v>382</v>
      </c>
      <c r="H57" s="4" t="s">
        <v>481</v>
      </c>
      <c r="I57" s="31">
        <v>60</v>
      </c>
      <c r="J57" s="4">
        <f t="shared" si="5"/>
        <v>89.1</v>
      </c>
      <c r="K57" s="4" t="s">
        <v>383</v>
      </c>
    </row>
    <row r="58" spans="1:11" ht="10.5" customHeight="1" x14ac:dyDescent="0.25">
      <c r="A58" s="31" t="s">
        <v>450</v>
      </c>
      <c r="B58" s="31" t="s">
        <v>119</v>
      </c>
      <c r="C58" s="4" t="s">
        <v>123</v>
      </c>
      <c r="D58" s="4" t="s">
        <v>451</v>
      </c>
      <c r="E58" s="4" t="s">
        <v>318</v>
      </c>
      <c r="F58" s="4" t="s">
        <v>482</v>
      </c>
      <c r="G58" s="4" t="s">
        <v>382</v>
      </c>
      <c r="H58" s="4" t="s">
        <v>483</v>
      </c>
      <c r="I58" s="31">
        <v>60</v>
      </c>
      <c r="J58" s="4">
        <f>(11*20*405)/1000</f>
        <v>89.1</v>
      </c>
      <c r="K58" s="4" t="s">
        <v>383</v>
      </c>
    </row>
    <row r="59" spans="1:11" ht="10.5" customHeight="1" x14ac:dyDescent="0.25">
      <c r="A59" s="31" t="s">
        <v>450</v>
      </c>
      <c r="B59" s="31" t="s">
        <v>119</v>
      </c>
      <c r="C59" s="4" t="s">
        <v>123</v>
      </c>
      <c r="D59" s="4" t="s">
        <v>451</v>
      </c>
      <c r="E59" s="4" t="s">
        <v>318</v>
      </c>
      <c r="F59" s="4" t="s">
        <v>484</v>
      </c>
      <c r="G59" s="4" t="s">
        <v>382</v>
      </c>
      <c r="H59" s="4" t="s">
        <v>485</v>
      </c>
      <c r="I59" s="31">
        <v>60</v>
      </c>
      <c r="J59" s="4">
        <f t="shared" ref="J59:J61" si="6">(11*20*405)/1000</f>
        <v>89.1</v>
      </c>
      <c r="K59" s="4" t="s">
        <v>383</v>
      </c>
    </row>
    <row r="60" spans="1:11" ht="10.5" customHeight="1" x14ac:dyDescent="0.25">
      <c r="A60" s="31" t="s">
        <v>450</v>
      </c>
      <c r="B60" s="31" t="s">
        <v>119</v>
      </c>
      <c r="C60" s="4" t="s">
        <v>123</v>
      </c>
      <c r="D60" s="4" t="s">
        <v>451</v>
      </c>
      <c r="E60" s="4" t="s">
        <v>318</v>
      </c>
      <c r="F60" s="4" t="s">
        <v>486</v>
      </c>
      <c r="G60" s="4" t="s">
        <v>382</v>
      </c>
      <c r="H60" s="4" t="s">
        <v>487</v>
      </c>
      <c r="I60" s="31">
        <v>60</v>
      </c>
      <c r="J60" s="4">
        <f t="shared" si="6"/>
        <v>89.1</v>
      </c>
      <c r="K60" s="4" t="s">
        <v>383</v>
      </c>
    </row>
    <row r="61" spans="1:11" ht="10.5" customHeight="1" x14ac:dyDescent="0.25">
      <c r="A61" s="31" t="s">
        <v>450</v>
      </c>
      <c r="B61" s="31" t="s">
        <v>119</v>
      </c>
      <c r="C61" s="4" t="s">
        <v>123</v>
      </c>
      <c r="D61" s="4" t="s">
        <v>451</v>
      </c>
      <c r="E61" s="4" t="s">
        <v>318</v>
      </c>
      <c r="F61" s="4" t="s">
        <v>488</v>
      </c>
      <c r="G61" s="4" t="s">
        <v>382</v>
      </c>
      <c r="H61" s="4" t="s">
        <v>489</v>
      </c>
      <c r="I61" s="31">
        <v>60</v>
      </c>
      <c r="J61" s="4">
        <f t="shared" si="6"/>
        <v>89.1</v>
      </c>
      <c r="K61" s="4" t="s">
        <v>383</v>
      </c>
    </row>
    <row r="62" spans="1:11" ht="10.5" customHeight="1" x14ac:dyDescent="0.25">
      <c r="A62" s="31" t="s">
        <v>450</v>
      </c>
      <c r="B62" s="31" t="s">
        <v>119</v>
      </c>
      <c r="C62" s="4" t="s">
        <v>123</v>
      </c>
      <c r="D62" s="4" t="s">
        <v>451</v>
      </c>
      <c r="E62" s="4" t="s">
        <v>318</v>
      </c>
      <c r="F62" s="4" t="s">
        <v>490</v>
      </c>
      <c r="G62" s="4" t="s">
        <v>382</v>
      </c>
      <c r="H62" s="4" t="s">
        <v>491</v>
      </c>
      <c r="I62" s="31">
        <v>60</v>
      </c>
      <c r="J62" s="4">
        <f>(10*20*405)/1000</f>
        <v>81</v>
      </c>
      <c r="K62" s="4" t="s">
        <v>383</v>
      </c>
    </row>
    <row r="63" spans="1:11" ht="10.5" customHeight="1" x14ac:dyDescent="0.25">
      <c r="A63" s="31" t="s">
        <v>450</v>
      </c>
      <c r="B63" s="31" t="s">
        <v>119</v>
      </c>
      <c r="C63" s="4" t="s">
        <v>124</v>
      </c>
      <c r="D63" s="4" t="s">
        <v>451</v>
      </c>
      <c r="E63" s="4" t="s">
        <v>318</v>
      </c>
      <c r="F63" s="4" t="s">
        <v>492</v>
      </c>
      <c r="G63" s="4" t="s">
        <v>382</v>
      </c>
      <c r="H63" s="4" t="s">
        <v>493</v>
      </c>
      <c r="I63" s="31">
        <v>60</v>
      </c>
      <c r="J63" s="4">
        <f>(11*20*405)/1000</f>
        <v>89.1</v>
      </c>
      <c r="K63" s="4" t="s">
        <v>383</v>
      </c>
    </row>
    <row r="64" spans="1:11" ht="10.5" customHeight="1" x14ac:dyDescent="0.25">
      <c r="A64" s="31" t="s">
        <v>450</v>
      </c>
      <c r="B64" s="31" t="s">
        <v>119</v>
      </c>
      <c r="C64" s="4" t="s">
        <v>124</v>
      </c>
      <c r="D64" s="4" t="s">
        <v>451</v>
      </c>
      <c r="E64" s="4" t="s">
        <v>318</v>
      </c>
      <c r="F64" s="4" t="s">
        <v>494</v>
      </c>
      <c r="G64" s="4" t="s">
        <v>382</v>
      </c>
      <c r="H64" s="4" t="s">
        <v>495</v>
      </c>
      <c r="I64" s="31">
        <v>60</v>
      </c>
      <c r="J64" s="4">
        <f>(10*20*405)/1000</f>
        <v>81</v>
      </c>
      <c r="K64" s="4" t="s">
        <v>383</v>
      </c>
    </row>
    <row r="65" spans="1:11" ht="10.5" customHeight="1" x14ac:dyDescent="0.25">
      <c r="A65" s="31" t="s">
        <v>450</v>
      </c>
      <c r="B65" s="31" t="s">
        <v>119</v>
      </c>
      <c r="C65" s="4" t="s">
        <v>124</v>
      </c>
      <c r="D65" s="4" t="s">
        <v>451</v>
      </c>
      <c r="E65" s="4" t="s">
        <v>318</v>
      </c>
      <c r="F65" s="4" t="s">
        <v>496</v>
      </c>
      <c r="G65" s="4" t="s">
        <v>382</v>
      </c>
      <c r="H65" s="4" t="s">
        <v>497</v>
      </c>
      <c r="I65" s="31">
        <v>60</v>
      </c>
      <c r="J65" s="4">
        <f>(10*20*405)/1000</f>
        <v>81</v>
      </c>
      <c r="K65" s="4" t="s">
        <v>383</v>
      </c>
    </row>
    <row r="66" spans="1:11" ht="10.5" customHeight="1" x14ac:dyDescent="0.25">
      <c r="A66" s="31" t="s">
        <v>450</v>
      </c>
      <c r="B66" s="31" t="s">
        <v>119</v>
      </c>
      <c r="C66" s="4" t="s">
        <v>124</v>
      </c>
      <c r="D66" s="4" t="s">
        <v>451</v>
      </c>
      <c r="E66" s="4" t="s">
        <v>318</v>
      </c>
      <c r="F66" s="4" t="s">
        <v>498</v>
      </c>
      <c r="G66" s="4" t="s">
        <v>382</v>
      </c>
      <c r="H66" s="4" t="s">
        <v>499</v>
      </c>
      <c r="I66" s="31">
        <v>60</v>
      </c>
      <c r="J66" s="4">
        <f>(10*20*405)/1000</f>
        <v>81</v>
      </c>
      <c r="K66" s="4" t="s">
        <v>383</v>
      </c>
    </row>
    <row r="67" spans="1:11" ht="10.5" customHeight="1" x14ac:dyDescent="0.25">
      <c r="A67" s="31" t="s">
        <v>450</v>
      </c>
      <c r="B67" s="31" t="s">
        <v>119</v>
      </c>
      <c r="C67" s="4" t="s">
        <v>125</v>
      </c>
      <c r="D67" s="4" t="s">
        <v>451</v>
      </c>
      <c r="E67" s="4" t="s">
        <v>318</v>
      </c>
      <c r="F67" s="4" t="s">
        <v>500</v>
      </c>
      <c r="G67" s="4" t="s">
        <v>384</v>
      </c>
      <c r="H67" s="4" t="s">
        <v>501</v>
      </c>
      <c r="I67" s="31">
        <v>50</v>
      </c>
      <c r="J67" s="4">
        <f>(9*20*405)/1000</f>
        <v>72.900000000000006</v>
      </c>
      <c r="K67" s="4" t="s">
        <v>383</v>
      </c>
    </row>
    <row r="68" spans="1:11" ht="10.5" customHeight="1" x14ac:dyDescent="0.25">
      <c r="A68" s="31" t="s">
        <v>450</v>
      </c>
      <c r="B68" s="31" t="s">
        <v>119</v>
      </c>
      <c r="C68" s="4" t="s">
        <v>125</v>
      </c>
      <c r="D68" s="4" t="s">
        <v>451</v>
      </c>
      <c r="E68" s="4" t="s">
        <v>318</v>
      </c>
      <c r="F68" s="4" t="s">
        <v>502</v>
      </c>
      <c r="G68" s="4" t="s">
        <v>384</v>
      </c>
      <c r="H68" s="4" t="s">
        <v>503</v>
      </c>
      <c r="I68" s="31">
        <v>50</v>
      </c>
      <c r="J68" s="4">
        <f>(9*20*405)/1000</f>
        <v>72.900000000000006</v>
      </c>
      <c r="K68" s="4" t="s">
        <v>383</v>
      </c>
    </row>
    <row r="69" spans="1:11" ht="10.5" customHeight="1" x14ac:dyDescent="0.25">
      <c r="A69" s="31" t="s">
        <v>450</v>
      </c>
      <c r="B69" s="31" t="s">
        <v>119</v>
      </c>
      <c r="C69" s="4" t="s">
        <v>125</v>
      </c>
      <c r="D69" s="4" t="s">
        <v>451</v>
      </c>
      <c r="E69" s="4" t="s">
        <v>318</v>
      </c>
      <c r="F69" s="4" t="s">
        <v>504</v>
      </c>
      <c r="G69" s="4" t="s">
        <v>384</v>
      </c>
      <c r="H69" s="4" t="s">
        <v>505</v>
      </c>
      <c r="I69" s="31">
        <v>50</v>
      </c>
      <c r="J69" s="4">
        <f>(9*20*400)/1000</f>
        <v>72</v>
      </c>
      <c r="K69" s="4" t="s">
        <v>383</v>
      </c>
    </row>
    <row r="70" spans="1:11" ht="10.5" customHeight="1" x14ac:dyDescent="0.25">
      <c r="A70" s="31" t="s">
        <v>450</v>
      </c>
      <c r="B70" s="31" t="s">
        <v>119</v>
      </c>
      <c r="C70" s="4" t="s">
        <v>125</v>
      </c>
      <c r="D70" s="4" t="s">
        <v>451</v>
      </c>
      <c r="E70" s="4" t="s">
        <v>318</v>
      </c>
      <c r="F70" s="4" t="s">
        <v>506</v>
      </c>
      <c r="G70" s="4" t="s">
        <v>384</v>
      </c>
      <c r="H70" s="4" t="s">
        <v>507</v>
      </c>
      <c r="I70" s="31">
        <v>50</v>
      </c>
      <c r="J70" s="4">
        <f>(9*20*400)/1000</f>
        <v>72</v>
      </c>
      <c r="K70" s="4" t="s">
        <v>383</v>
      </c>
    </row>
    <row r="71" spans="1:11" ht="10.5" customHeight="1" x14ac:dyDescent="0.25">
      <c r="A71" s="31" t="s">
        <v>450</v>
      </c>
      <c r="B71" s="31" t="s">
        <v>119</v>
      </c>
      <c r="C71" s="4" t="s">
        <v>125</v>
      </c>
      <c r="D71" s="4" t="s">
        <v>451</v>
      </c>
      <c r="E71" s="4" t="s">
        <v>318</v>
      </c>
      <c r="F71" s="4" t="s">
        <v>508</v>
      </c>
      <c r="G71" s="4" t="s">
        <v>384</v>
      </c>
      <c r="H71" s="4" t="s">
        <v>509</v>
      </c>
      <c r="I71" s="31">
        <v>50</v>
      </c>
      <c r="J71" s="4">
        <f>(10*20*400)/1000</f>
        <v>80</v>
      </c>
      <c r="K71" s="4" t="s">
        <v>383</v>
      </c>
    </row>
    <row r="72" spans="1:11" ht="10.5" customHeight="1" x14ac:dyDescent="0.25">
      <c r="A72" s="31" t="s">
        <v>450</v>
      </c>
      <c r="B72" s="31" t="s">
        <v>83</v>
      </c>
      <c r="C72" s="4" t="s">
        <v>144</v>
      </c>
      <c r="D72" s="4" t="s">
        <v>510</v>
      </c>
      <c r="E72" s="4" t="s">
        <v>318</v>
      </c>
      <c r="F72" s="4" t="s">
        <v>511</v>
      </c>
      <c r="G72" s="4" t="s">
        <v>512</v>
      </c>
      <c r="H72" s="4" t="s">
        <v>513</v>
      </c>
      <c r="I72" s="31">
        <v>75</v>
      </c>
      <c r="J72" s="4">
        <f>(11*18*530)/1000</f>
        <v>104.94</v>
      </c>
      <c r="K72" s="4" t="s">
        <v>383</v>
      </c>
    </row>
    <row r="73" spans="1:11" ht="10.5" customHeight="1" x14ac:dyDescent="0.25">
      <c r="A73" s="31" t="s">
        <v>450</v>
      </c>
      <c r="B73" s="31" t="s">
        <v>83</v>
      </c>
      <c r="C73" s="4" t="s">
        <v>144</v>
      </c>
      <c r="D73" s="4" t="s">
        <v>510</v>
      </c>
      <c r="E73" s="4" t="s">
        <v>318</v>
      </c>
      <c r="F73" s="4" t="s">
        <v>514</v>
      </c>
      <c r="G73" s="4" t="s">
        <v>512</v>
      </c>
      <c r="H73" s="4" t="s">
        <v>515</v>
      </c>
      <c r="I73" s="31">
        <v>75</v>
      </c>
      <c r="J73" s="4">
        <f>(11*18*530)/1000</f>
        <v>104.94</v>
      </c>
      <c r="K73" s="4" t="s">
        <v>383</v>
      </c>
    </row>
    <row r="74" spans="1:11" ht="10.5" customHeight="1" x14ac:dyDescent="0.25">
      <c r="A74" s="31" t="s">
        <v>450</v>
      </c>
      <c r="B74" s="31" t="s">
        <v>83</v>
      </c>
      <c r="C74" s="4" t="s">
        <v>144</v>
      </c>
      <c r="D74" s="4" t="s">
        <v>510</v>
      </c>
      <c r="E74" s="4" t="s">
        <v>318</v>
      </c>
      <c r="F74" s="4" t="s">
        <v>516</v>
      </c>
      <c r="G74" s="4" t="s">
        <v>512</v>
      </c>
      <c r="H74" s="4" t="s">
        <v>517</v>
      </c>
      <c r="I74" s="31">
        <v>75</v>
      </c>
      <c r="J74" s="4">
        <f>(11*18*530)/1000</f>
        <v>104.94</v>
      </c>
      <c r="K74" s="4" t="s">
        <v>383</v>
      </c>
    </row>
    <row r="75" spans="1:11" ht="10.5" customHeight="1" x14ac:dyDescent="0.25">
      <c r="A75" s="31" t="s">
        <v>450</v>
      </c>
      <c r="B75" s="31" t="s">
        <v>83</v>
      </c>
      <c r="C75" s="4" t="s">
        <v>144</v>
      </c>
      <c r="D75" s="4" t="s">
        <v>510</v>
      </c>
      <c r="E75" s="4" t="s">
        <v>318</v>
      </c>
      <c r="F75" s="4" t="s">
        <v>518</v>
      </c>
      <c r="G75" s="4" t="s">
        <v>512</v>
      </c>
      <c r="H75" s="4" t="s">
        <v>519</v>
      </c>
      <c r="I75" s="31">
        <v>75</v>
      </c>
      <c r="J75" s="4">
        <f>(11*18*530)/1000</f>
        <v>104.94</v>
      </c>
      <c r="K75" s="4" t="s">
        <v>383</v>
      </c>
    </row>
    <row r="76" spans="1:11" ht="10.5" customHeight="1" x14ac:dyDescent="0.25">
      <c r="A76" s="31" t="s">
        <v>450</v>
      </c>
      <c r="B76" s="31" t="s">
        <v>127</v>
      </c>
      <c r="C76" s="4" t="s">
        <v>127</v>
      </c>
      <c r="D76" s="4" t="s">
        <v>520</v>
      </c>
      <c r="E76" s="4" t="s">
        <v>318</v>
      </c>
      <c r="F76" s="4" t="s">
        <v>521</v>
      </c>
      <c r="G76" s="4" t="s">
        <v>382</v>
      </c>
      <c r="H76" s="4" t="s">
        <v>522</v>
      </c>
      <c r="I76" s="31">
        <v>60</v>
      </c>
      <c r="J76" s="4">
        <f>(18*405*10)/1000</f>
        <v>72.900000000000006</v>
      </c>
      <c r="K76" s="4" t="s">
        <v>383</v>
      </c>
    </row>
    <row r="77" spans="1:11" ht="10.5" customHeight="1" x14ac:dyDescent="0.25">
      <c r="A77" s="31" t="s">
        <v>450</v>
      </c>
      <c r="B77" s="31" t="s">
        <v>127</v>
      </c>
      <c r="C77" s="4" t="s">
        <v>131</v>
      </c>
      <c r="D77" s="4" t="s">
        <v>520</v>
      </c>
      <c r="E77" s="4" t="s">
        <v>318</v>
      </c>
      <c r="F77" s="4" t="s">
        <v>523</v>
      </c>
      <c r="G77" s="4" t="s">
        <v>384</v>
      </c>
      <c r="H77" s="4" t="s">
        <v>524</v>
      </c>
      <c r="I77" s="31">
        <v>50</v>
      </c>
      <c r="J77" s="21">
        <f>(18*530*7)/1000</f>
        <v>66.78</v>
      </c>
      <c r="K77" s="4" t="s">
        <v>383</v>
      </c>
    </row>
    <row r="78" spans="1:11" ht="10.5" customHeight="1" x14ac:dyDescent="0.25">
      <c r="A78" s="31" t="s">
        <v>450</v>
      </c>
      <c r="B78" s="31" t="s">
        <v>127</v>
      </c>
      <c r="C78" s="4" t="s">
        <v>134</v>
      </c>
      <c r="D78" s="4" t="s">
        <v>520</v>
      </c>
      <c r="E78" s="4" t="s">
        <v>318</v>
      </c>
      <c r="F78" s="4" t="s">
        <v>525</v>
      </c>
      <c r="G78" s="4" t="s">
        <v>382</v>
      </c>
      <c r="H78" s="4" t="s">
        <v>526</v>
      </c>
      <c r="I78" s="31">
        <v>60</v>
      </c>
      <c r="J78" s="4">
        <f>(18*405*10)/1000</f>
        <v>72.900000000000006</v>
      </c>
      <c r="K78" s="4" t="s">
        <v>383</v>
      </c>
    </row>
    <row r="79" spans="1:11" ht="10.5" customHeight="1" x14ac:dyDescent="0.25">
      <c r="A79" s="31" t="s">
        <v>450</v>
      </c>
      <c r="B79" s="31" t="s">
        <v>131</v>
      </c>
      <c r="C79" s="4" t="s">
        <v>136</v>
      </c>
      <c r="D79" s="4" t="s">
        <v>527</v>
      </c>
      <c r="E79" s="4" t="s">
        <v>318</v>
      </c>
      <c r="F79" s="4" t="s">
        <v>528</v>
      </c>
      <c r="G79" s="4" t="s">
        <v>382</v>
      </c>
      <c r="H79" s="4" t="s">
        <v>529</v>
      </c>
      <c r="I79" s="31">
        <v>60</v>
      </c>
      <c r="J79" s="4">
        <f>(18*405*10)/1000</f>
        <v>72.900000000000006</v>
      </c>
      <c r="K79" s="4" t="s">
        <v>383</v>
      </c>
    </row>
    <row r="80" spans="1:11" ht="10.5" customHeight="1" x14ac:dyDescent="0.25">
      <c r="A80" s="31" t="s">
        <v>450</v>
      </c>
      <c r="B80" s="31" t="s">
        <v>131</v>
      </c>
      <c r="C80" s="4" t="s">
        <v>138</v>
      </c>
      <c r="D80" s="4" t="s">
        <v>527</v>
      </c>
      <c r="E80" s="4" t="s">
        <v>318</v>
      </c>
      <c r="F80" s="4" t="s">
        <v>530</v>
      </c>
      <c r="G80" s="4" t="s">
        <v>384</v>
      </c>
      <c r="H80" s="4" t="s">
        <v>531</v>
      </c>
      <c r="I80" s="31">
        <v>50</v>
      </c>
      <c r="J80" s="21">
        <f>(18*530*7)/1000</f>
        <v>66.78</v>
      </c>
      <c r="K80" s="4" t="s">
        <v>383</v>
      </c>
    </row>
    <row r="81" spans="1:11" ht="10.5" customHeight="1" x14ac:dyDescent="0.25">
      <c r="A81" s="31" t="s">
        <v>450</v>
      </c>
      <c r="B81" s="31" t="s">
        <v>131</v>
      </c>
      <c r="C81" s="4" t="s">
        <v>140</v>
      </c>
      <c r="D81" s="4" t="s">
        <v>527</v>
      </c>
      <c r="E81" s="4" t="s">
        <v>318</v>
      </c>
      <c r="F81" s="4" t="s">
        <v>532</v>
      </c>
      <c r="G81" s="4" t="s">
        <v>384</v>
      </c>
      <c r="H81" s="4" t="s">
        <v>533</v>
      </c>
      <c r="I81" s="31">
        <v>50</v>
      </c>
      <c r="J81" s="21">
        <f>(18*530*7)/1000</f>
        <v>66.78</v>
      </c>
      <c r="K81" s="4" t="s">
        <v>383</v>
      </c>
    </row>
    <row r="82" spans="1:11" ht="10.5" customHeight="1" x14ac:dyDescent="0.25">
      <c r="A82" s="31" t="s">
        <v>450</v>
      </c>
      <c r="B82" s="31" t="s">
        <v>131</v>
      </c>
      <c r="C82" s="4" t="s">
        <v>142</v>
      </c>
      <c r="D82" s="4" t="s">
        <v>527</v>
      </c>
      <c r="E82" s="4" t="s">
        <v>318</v>
      </c>
      <c r="F82" s="4" t="s">
        <v>534</v>
      </c>
      <c r="G82" s="4" t="s">
        <v>382</v>
      </c>
      <c r="H82" s="4" t="s">
        <v>535</v>
      </c>
      <c r="I82" s="31">
        <v>60</v>
      </c>
      <c r="J82" s="4">
        <f>(18*405*10)/1000</f>
        <v>72.900000000000006</v>
      </c>
      <c r="K82" s="4" t="s">
        <v>383</v>
      </c>
    </row>
    <row r="83" spans="1:11" ht="10.5" customHeight="1" x14ac:dyDescent="0.25">
      <c r="A83" s="31" t="s">
        <v>450</v>
      </c>
      <c r="B83" s="31" t="s">
        <v>72</v>
      </c>
      <c r="C83" s="4" t="s">
        <v>72</v>
      </c>
      <c r="D83" s="4" t="s">
        <v>536</v>
      </c>
      <c r="E83" s="4" t="s">
        <v>318</v>
      </c>
      <c r="F83" s="23" t="s">
        <v>537</v>
      </c>
      <c r="G83" s="23" t="s">
        <v>538</v>
      </c>
      <c r="H83" s="4" t="s">
        <v>539</v>
      </c>
      <c r="I83" s="31">
        <v>125</v>
      </c>
      <c r="J83" s="4">
        <f t="shared" ref="J83:J89" si="7">(14*28*400)/1000</f>
        <v>156.80000000000001</v>
      </c>
      <c r="K83" s="4" t="s">
        <v>383</v>
      </c>
    </row>
    <row r="84" spans="1:11" ht="10.5" customHeight="1" x14ac:dyDescent="0.25">
      <c r="A84" s="31" t="s">
        <v>450</v>
      </c>
      <c r="B84" s="31" t="s">
        <v>72</v>
      </c>
      <c r="C84" s="4" t="s">
        <v>72</v>
      </c>
      <c r="D84" s="4" t="s">
        <v>536</v>
      </c>
      <c r="E84" s="4" t="s">
        <v>318</v>
      </c>
      <c r="F84" s="23" t="s">
        <v>540</v>
      </c>
      <c r="G84" s="23" t="s">
        <v>538</v>
      </c>
      <c r="H84" s="4" t="s">
        <v>541</v>
      </c>
      <c r="I84" s="31">
        <v>125</v>
      </c>
      <c r="J84" s="4">
        <f t="shared" si="7"/>
        <v>156.80000000000001</v>
      </c>
      <c r="K84" s="4" t="s">
        <v>383</v>
      </c>
    </row>
    <row r="85" spans="1:11" ht="10.5" customHeight="1" x14ac:dyDescent="0.25">
      <c r="A85" s="31" t="s">
        <v>450</v>
      </c>
      <c r="B85" s="31" t="s">
        <v>72</v>
      </c>
      <c r="C85" s="4" t="s">
        <v>72</v>
      </c>
      <c r="D85" s="4" t="s">
        <v>536</v>
      </c>
      <c r="E85" s="4" t="s">
        <v>318</v>
      </c>
      <c r="F85" s="23" t="s">
        <v>542</v>
      </c>
      <c r="G85" s="23" t="s">
        <v>538</v>
      </c>
      <c r="H85" s="4" t="s">
        <v>543</v>
      </c>
      <c r="I85" s="31">
        <v>125</v>
      </c>
      <c r="J85" s="4">
        <f t="shared" si="7"/>
        <v>156.80000000000001</v>
      </c>
      <c r="K85" s="4" t="s">
        <v>383</v>
      </c>
    </row>
    <row r="86" spans="1:11" ht="10.5" customHeight="1" x14ac:dyDescent="0.25">
      <c r="A86" s="31" t="s">
        <v>450</v>
      </c>
      <c r="B86" s="31" t="s">
        <v>72</v>
      </c>
      <c r="C86" s="4" t="s">
        <v>72</v>
      </c>
      <c r="D86" s="4" t="s">
        <v>536</v>
      </c>
      <c r="E86" s="4" t="s">
        <v>318</v>
      </c>
      <c r="F86" s="23" t="s">
        <v>544</v>
      </c>
      <c r="G86" s="23" t="s">
        <v>538</v>
      </c>
      <c r="H86" s="4" t="s">
        <v>545</v>
      </c>
      <c r="I86" s="31">
        <v>125</v>
      </c>
      <c r="J86" s="4">
        <f t="shared" si="7"/>
        <v>156.80000000000001</v>
      </c>
      <c r="K86" s="4" t="s">
        <v>383</v>
      </c>
    </row>
    <row r="87" spans="1:11" ht="10.5" customHeight="1" x14ac:dyDescent="0.25">
      <c r="A87" s="31" t="s">
        <v>450</v>
      </c>
      <c r="B87" s="31" t="s">
        <v>72</v>
      </c>
      <c r="C87" s="4" t="s">
        <v>72</v>
      </c>
      <c r="D87" s="4" t="s">
        <v>536</v>
      </c>
      <c r="E87" s="4" t="s">
        <v>318</v>
      </c>
      <c r="F87" s="23" t="s">
        <v>546</v>
      </c>
      <c r="G87" s="23" t="s">
        <v>538</v>
      </c>
      <c r="H87" s="4" t="s">
        <v>547</v>
      </c>
      <c r="I87" s="31">
        <v>125</v>
      </c>
      <c r="J87" s="4">
        <f t="shared" si="7"/>
        <v>156.80000000000001</v>
      </c>
      <c r="K87" s="4" t="s">
        <v>383</v>
      </c>
    </row>
    <row r="88" spans="1:11" ht="10.5" customHeight="1" x14ac:dyDescent="0.25">
      <c r="A88" s="31" t="s">
        <v>450</v>
      </c>
      <c r="B88" s="31" t="s">
        <v>72</v>
      </c>
      <c r="C88" s="4" t="s">
        <v>72</v>
      </c>
      <c r="D88" s="4" t="s">
        <v>536</v>
      </c>
      <c r="E88" s="4" t="s">
        <v>318</v>
      </c>
      <c r="F88" s="23" t="s">
        <v>548</v>
      </c>
      <c r="G88" s="23" t="s">
        <v>538</v>
      </c>
      <c r="H88" s="4" t="s">
        <v>549</v>
      </c>
      <c r="I88" s="31">
        <v>125</v>
      </c>
      <c r="J88" s="4">
        <f t="shared" si="7"/>
        <v>156.80000000000001</v>
      </c>
      <c r="K88" s="4" t="s">
        <v>383</v>
      </c>
    </row>
    <row r="89" spans="1:11" ht="10.5" customHeight="1" x14ac:dyDescent="0.25">
      <c r="A89" s="31" t="s">
        <v>450</v>
      </c>
      <c r="B89" s="31" t="s">
        <v>72</v>
      </c>
      <c r="C89" s="4" t="s">
        <v>72</v>
      </c>
      <c r="D89" s="4" t="s">
        <v>536</v>
      </c>
      <c r="E89" s="4" t="s">
        <v>318</v>
      </c>
      <c r="F89" s="23" t="s">
        <v>550</v>
      </c>
      <c r="G89" s="23" t="s">
        <v>538</v>
      </c>
      <c r="H89" s="4" t="s">
        <v>551</v>
      </c>
      <c r="I89" s="31">
        <v>125</v>
      </c>
      <c r="J89" s="4">
        <f t="shared" si="7"/>
        <v>156.80000000000001</v>
      </c>
      <c r="K89" s="4" t="s">
        <v>383</v>
      </c>
    </row>
    <row r="90" spans="1:11" ht="10.5" customHeight="1" x14ac:dyDescent="0.25">
      <c r="A90" s="31" t="s">
        <v>450</v>
      </c>
      <c r="B90" s="31" t="s">
        <v>77</v>
      </c>
      <c r="C90" s="4" t="s">
        <v>77</v>
      </c>
      <c r="D90" s="4" t="s">
        <v>552</v>
      </c>
      <c r="E90" s="4" t="s">
        <v>318</v>
      </c>
      <c r="F90" s="24" t="s">
        <v>553</v>
      </c>
      <c r="G90" s="24" t="s">
        <v>384</v>
      </c>
      <c r="H90" s="4" t="s">
        <v>554</v>
      </c>
      <c r="I90" s="31">
        <v>50</v>
      </c>
      <c r="J90" s="4">
        <f>(9*19*435)/1000</f>
        <v>74.385000000000005</v>
      </c>
      <c r="K90" s="4" t="s">
        <v>383</v>
      </c>
    </row>
    <row r="91" spans="1:11" ht="10.5" customHeight="1" x14ac:dyDescent="0.25">
      <c r="A91" s="31" t="s">
        <v>450</v>
      </c>
      <c r="B91" s="31" t="s">
        <v>77</v>
      </c>
      <c r="C91" s="4" t="s">
        <v>77</v>
      </c>
      <c r="D91" s="4" t="s">
        <v>552</v>
      </c>
      <c r="E91" s="4" t="s">
        <v>318</v>
      </c>
      <c r="F91" s="24" t="s">
        <v>555</v>
      </c>
      <c r="G91" s="24" t="s">
        <v>384</v>
      </c>
      <c r="H91" s="4" t="s">
        <v>556</v>
      </c>
      <c r="I91" s="31">
        <v>50</v>
      </c>
      <c r="J91" s="4">
        <f>(9*19*435)/1000</f>
        <v>74.385000000000005</v>
      </c>
      <c r="K91" s="4" t="s">
        <v>383</v>
      </c>
    </row>
    <row r="92" spans="1:11" ht="10.5" customHeight="1" x14ac:dyDescent="0.25">
      <c r="A92" s="31" t="s">
        <v>450</v>
      </c>
      <c r="B92" s="31" t="s">
        <v>77</v>
      </c>
      <c r="C92" s="4" t="s">
        <v>77</v>
      </c>
      <c r="D92" s="4" t="s">
        <v>552</v>
      </c>
      <c r="E92" s="4" t="s">
        <v>318</v>
      </c>
      <c r="F92" s="24" t="s">
        <v>557</v>
      </c>
      <c r="G92" s="24" t="s">
        <v>384</v>
      </c>
      <c r="H92" s="4" t="s">
        <v>558</v>
      </c>
      <c r="I92" s="31">
        <v>50</v>
      </c>
      <c r="J92" s="4">
        <f>(8*19*435)/1000</f>
        <v>66.12</v>
      </c>
      <c r="K92" s="4" t="s">
        <v>383</v>
      </c>
    </row>
    <row r="93" spans="1:11" ht="10.5" customHeight="1" x14ac:dyDescent="0.25">
      <c r="A93" s="31" t="s">
        <v>450</v>
      </c>
      <c r="B93" s="31" t="s">
        <v>77</v>
      </c>
      <c r="C93" s="4" t="s">
        <v>81</v>
      </c>
      <c r="D93" s="4" t="s">
        <v>552</v>
      </c>
      <c r="E93" s="4" t="s">
        <v>318</v>
      </c>
      <c r="F93" s="24" t="s">
        <v>559</v>
      </c>
      <c r="G93" s="24" t="s">
        <v>382</v>
      </c>
      <c r="H93" s="4" t="s">
        <v>560</v>
      </c>
      <c r="I93" s="31">
        <v>60</v>
      </c>
      <c r="J93" s="4">
        <f>(10*19*435)/1000</f>
        <v>82.65</v>
      </c>
      <c r="K93" s="4" t="s">
        <v>383</v>
      </c>
    </row>
    <row r="94" spans="1:11" ht="10.5" customHeight="1" x14ac:dyDescent="0.25">
      <c r="A94" s="31" t="s">
        <v>450</v>
      </c>
      <c r="B94" s="31" t="s">
        <v>77</v>
      </c>
      <c r="C94" s="4" t="s">
        <v>81</v>
      </c>
      <c r="D94" s="4" t="s">
        <v>552</v>
      </c>
      <c r="E94" s="4" t="s">
        <v>318</v>
      </c>
      <c r="F94" s="24" t="s">
        <v>561</v>
      </c>
      <c r="G94" s="24" t="s">
        <v>382</v>
      </c>
      <c r="H94" s="4" t="s">
        <v>562</v>
      </c>
      <c r="I94" s="31">
        <v>60</v>
      </c>
      <c r="J94" s="4">
        <f>(11*19*435)/1000</f>
        <v>90.915000000000006</v>
      </c>
      <c r="K94" s="4" t="s">
        <v>383</v>
      </c>
    </row>
    <row r="95" spans="1:11" ht="10.5" customHeight="1" x14ac:dyDescent="0.25">
      <c r="A95" s="31" t="s">
        <v>450</v>
      </c>
      <c r="B95" s="31" t="s">
        <v>77</v>
      </c>
      <c r="C95" s="4" t="s">
        <v>81</v>
      </c>
      <c r="D95" s="4" t="s">
        <v>552</v>
      </c>
      <c r="E95" s="4" t="s">
        <v>318</v>
      </c>
      <c r="F95" s="24" t="s">
        <v>563</v>
      </c>
      <c r="G95" s="24" t="s">
        <v>382</v>
      </c>
      <c r="H95" s="4" t="s">
        <v>564</v>
      </c>
      <c r="I95" s="31">
        <v>60</v>
      </c>
      <c r="J95" s="4">
        <f>(11*19*435)/1000</f>
        <v>90.915000000000006</v>
      </c>
      <c r="K95" s="4" t="s">
        <v>383</v>
      </c>
    </row>
    <row r="96" spans="1:11" ht="10.5" customHeight="1" x14ac:dyDescent="0.25">
      <c r="A96" s="31" t="s">
        <v>450</v>
      </c>
      <c r="B96" s="31" t="s">
        <v>77</v>
      </c>
      <c r="C96" s="4" t="s">
        <v>83</v>
      </c>
      <c r="D96" s="4" t="s">
        <v>552</v>
      </c>
      <c r="E96" s="4" t="s">
        <v>318</v>
      </c>
      <c r="F96" s="24" t="s">
        <v>565</v>
      </c>
      <c r="G96" s="24" t="s">
        <v>382</v>
      </c>
      <c r="H96" s="22" t="s">
        <v>566</v>
      </c>
      <c r="I96" s="31">
        <v>60</v>
      </c>
      <c r="J96" s="4">
        <f>(10*19*435)/1000</f>
        <v>82.65</v>
      </c>
      <c r="K96" s="4" t="s">
        <v>383</v>
      </c>
    </row>
    <row r="97" spans="1:11" ht="10.5" customHeight="1" x14ac:dyDescent="0.25">
      <c r="A97" s="31" t="s">
        <v>450</v>
      </c>
      <c r="B97" s="31" t="s">
        <v>77</v>
      </c>
      <c r="C97" s="4" t="s">
        <v>83</v>
      </c>
      <c r="D97" s="4" t="s">
        <v>552</v>
      </c>
      <c r="E97" s="4" t="s">
        <v>318</v>
      </c>
      <c r="F97" s="24" t="s">
        <v>567</v>
      </c>
      <c r="G97" s="24" t="s">
        <v>384</v>
      </c>
      <c r="H97" s="22" t="s">
        <v>568</v>
      </c>
      <c r="I97" s="31">
        <v>50</v>
      </c>
      <c r="J97" s="4">
        <f>(10*19*435)/1000</f>
        <v>82.65</v>
      </c>
      <c r="K97" s="4" t="s">
        <v>383</v>
      </c>
    </row>
    <row r="98" spans="1:11" ht="10.5" customHeight="1" x14ac:dyDescent="0.25">
      <c r="A98" s="31" t="s">
        <v>450</v>
      </c>
      <c r="B98" s="31" t="s">
        <v>77</v>
      </c>
      <c r="C98" s="4" t="s">
        <v>83</v>
      </c>
      <c r="D98" s="4" t="s">
        <v>552</v>
      </c>
      <c r="E98" s="4" t="s">
        <v>318</v>
      </c>
      <c r="F98" s="24" t="s">
        <v>569</v>
      </c>
      <c r="G98" s="24" t="s">
        <v>384</v>
      </c>
      <c r="H98" s="22" t="s">
        <v>570</v>
      </c>
      <c r="I98" s="31">
        <v>50</v>
      </c>
      <c r="J98" s="4">
        <f>(9*19*435)/1000</f>
        <v>74.385000000000005</v>
      </c>
      <c r="K98" s="4" t="s">
        <v>383</v>
      </c>
    </row>
    <row r="99" spans="1:11" ht="10.5" customHeight="1" x14ac:dyDescent="0.25">
      <c r="A99" s="31" t="s">
        <v>450</v>
      </c>
      <c r="B99" s="31" t="s">
        <v>77</v>
      </c>
      <c r="C99" s="4" t="s">
        <v>83</v>
      </c>
      <c r="D99" s="4" t="s">
        <v>552</v>
      </c>
      <c r="E99" s="4" t="s">
        <v>318</v>
      </c>
      <c r="F99" s="24" t="s">
        <v>571</v>
      </c>
      <c r="G99" s="24" t="s">
        <v>384</v>
      </c>
      <c r="H99" s="22" t="s">
        <v>572</v>
      </c>
      <c r="I99" s="31">
        <v>50</v>
      </c>
      <c r="J99" s="4">
        <f>(9*19*435)/1000</f>
        <v>74.385000000000005</v>
      </c>
      <c r="K99" s="4" t="s">
        <v>383</v>
      </c>
    </row>
    <row r="100" spans="1:11" ht="10.5" customHeight="1" x14ac:dyDescent="0.25">
      <c r="A100" s="31" t="s">
        <v>450</v>
      </c>
      <c r="B100" s="31" t="s">
        <v>77</v>
      </c>
      <c r="C100" s="4" t="s">
        <v>83</v>
      </c>
      <c r="D100" s="4" t="s">
        <v>552</v>
      </c>
      <c r="E100" s="4" t="s">
        <v>318</v>
      </c>
      <c r="F100" s="24" t="s">
        <v>573</v>
      </c>
      <c r="G100" s="24" t="s">
        <v>384</v>
      </c>
      <c r="H100" s="22" t="s">
        <v>574</v>
      </c>
      <c r="I100" s="31">
        <v>50</v>
      </c>
      <c r="J100" s="4">
        <f>(10*19*435)/1000</f>
        <v>82.65</v>
      </c>
      <c r="K100" s="4" t="s">
        <v>383</v>
      </c>
    </row>
    <row r="101" spans="1:11" ht="10.5" customHeight="1" x14ac:dyDescent="0.25">
      <c r="A101" s="31" t="s">
        <v>450</v>
      </c>
      <c r="B101" s="31" t="s">
        <v>77</v>
      </c>
      <c r="C101" s="4" t="s">
        <v>83</v>
      </c>
      <c r="D101" s="4" t="s">
        <v>552</v>
      </c>
      <c r="E101" s="4" t="s">
        <v>318</v>
      </c>
      <c r="F101" s="24" t="s">
        <v>575</v>
      </c>
      <c r="G101" s="24" t="s">
        <v>384</v>
      </c>
      <c r="H101" s="22" t="s">
        <v>576</v>
      </c>
      <c r="I101" s="31">
        <v>50</v>
      </c>
      <c r="J101" s="4">
        <f>(10*19*435)/1000</f>
        <v>82.65</v>
      </c>
      <c r="K101" s="4" t="s">
        <v>383</v>
      </c>
    </row>
    <row r="102" spans="1:11" ht="10.5" customHeight="1" x14ac:dyDescent="0.25">
      <c r="A102" s="31" t="s">
        <v>450</v>
      </c>
      <c r="B102" s="31" t="s">
        <v>77</v>
      </c>
      <c r="C102" s="4" t="s">
        <v>85</v>
      </c>
      <c r="D102" s="4" t="s">
        <v>552</v>
      </c>
      <c r="E102" s="4" t="s">
        <v>318</v>
      </c>
      <c r="F102" s="24" t="s">
        <v>577</v>
      </c>
      <c r="G102" s="24" t="s">
        <v>382</v>
      </c>
      <c r="H102" s="4" t="s">
        <v>578</v>
      </c>
      <c r="I102" s="31">
        <v>60</v>
      </c>
      <c r="J102" s="4">
        <f t="shared" ref="J102:J107" si="8">(11*19*435)/1000</f>
        <v>90.915000000000006</v>
      </c>
      <c r="K102" s="4" t="s">
        <v>383</v>
      </c>
    </row>
    <row r="103" spans="1:11" ht="10.5" customHeight="1" x14ac:dyDescent="0.25">
      <c r="A103" s="31" t="s">
        <v>450</v>
      </c>
      <c r="B103" s="31" t="s">
        <v>77</v>
      </c>
      <c r="C103" s="4" t="s">
        <v>85</v>
      </c>
      <c r="D103" s="4" t="s">
        <v>552</v>
      </c>
      <c r="E103" s="4" t="s">
        <v>318</v>
      </c>
      <c r="F103" s="24" t="s">
        <v>579</v>
      </c>
      <c r="G103" s="24" t="s">
        <v>382</v>
      </c>
      <c r="H103" s="4" t="s">
        <v>580</v>
      </c>
      <c r="I103" s="31">
        <v>60</v>
      </c>
      <c r="J103" s="4">
        <f t="shared" si="8"/>
        <v>90.915000000000006</v>
      </c>
      <c r="K103" s="4" t="s">
        <v>383</v>
      </c>
    </row>
    <row r="104" spans="1:11" ht="10.5" customHeight="1" x14ac:dyDescent="0.25">
      <c r="A104" s="31" t="s">
        <v>450</v>
      </c>
      <c r="B104" s="31" t="s">
        <v>77</v>
      </c>
      <c r="C104" s="4" t="s">
        <v>85</v>
      </c>
      <c r="D104" s="4" t="s">
        <v>552</v>
      </c>
      <c r="E104" s="4" t="s">
        <v>318</v>
      </c>
      <c r="F104" s="24" t="s">
        <v>581</v>
      </c>
      <c r="G104" s="24" t="s">
        <v>382</v>
      </c>
      <c r="H104" s="4" t="s">
        <v>582</v>
      </c>
      <c r="I104" s="31">
        <v>60</v>
      </c>
      <c r="J104" s="4">
        <f t="shared" si="8"/>
        <v>90.915000000000006</v>
      </c>
      <c r="K104" s="4" t="s">
        <v>383</v>
      </c>
    </row>
    <row r="105" spans="1:11" ht="10.5" customHeight="1" x14ac:dyDescent="0.25">
      <c r="A105" s="31" t="s">
        <v>450</v>
      </c>
      <c r="B105" s="31" t="s">
        <v>77</v>
      </c>
      <c r="C105" s="4" t="s">
        <v>85</v>
      </c>
      <c r="D105" s="4" t="s">
        <v>552</v>
      </c>
      <c r="E105" s="4" t="s">
        <v>318</v>
      </c>
      <c r="F105" s="24" t="s">
        <v>583</v>
      </c>
      <c r="G105" s="24" t="s">
        <v>382</v>
      </c>
      <c r="H105" s="4" t="s">
        <v>584</v>
      </c>
      <c r="I105" s="31">
        <v>60</v>
      </c>
      <c r="J105" s="4">
        <f t="shared" si="8"/>
        <v>90.915000000000006</v>
      </c>
      <c r="K105" s="4" t="s">
        <v>383</v>
      </c>
    </row>
    <row r="106" spans="1:11" ht="10.5" customHeight="1" x14ac:dyDescent="0.25">
      <c r="A106" s="31" t="s">
        <v>450</v>
      </c>
      <c r="B106" s="31" t="s">
        <v>77</v>
      </c>
      <c r="C106" s="4" t="s">
        <v>85</v>
      </c>
      <c r="D106" s="4" t="s">
        <v>552</v>
      </c>
      <c r="E106" s="4" t="s">
        <v>318</v>
      </c>
      <c r="F106" s="24" t="s">
        <v>585</v>
      </c>
      <c r="G106" s="24" t="s">
        <v>382</v>
      </c>
      <c r="H106" s="4" t="s">
        <v>586</v>
      </c>
      <c r="I106" s="31">
        <v>60</v>
      </c>
      <c r="J106" s="4">
        <f t="shared" si="8"/>
        <v>90.915000000000006</v>
      </c>
      <c r="K106" s="4" t="s">
        <v>383</v>
      </c>
    </row>
    <row r="107" spans="1:11" ht="10.5" customHeight="1" x14ac:dyDescent="0.25">
      <c r="A107" s="31" t="s">
        <v>450</v>
      </c>
      <c r="B107" s="31" t="s">
        <v>77</v>
      </c>
      <c r="C107" s="4" t="s">
        <v>85</v>
      </c>
      <c r="D107" s="4" t="s">
        <v>552</v>
      </c>
      <c r="E107" s="4" t="s">
        <v>318</v>
      </c>
      <c r="F107" s="24" t="s">
        <v>587</v>
      </c>
      <c r="G107" s="24" t="s">
        <v>382</v>
      </c>
      <c r="H107" s="4" t="s">
        <v>588</v>
      </c>
      <c r="I107" s="31">
        <v>60</v>
      </c>
      <c r="J107" s="4">
        <f t="shared" si="8"/>
        <v>90.915000000000006</v>
      </c>
      <c r="K107" s="4" t="s">
        <v>383</v>
      </c>
    </row>
    <row r="108" spans="1:11" ht="10.5" customHeight="1" x14ac:dyDescent="0.25">
      <c r="A108" s="31" t="s">
        <v>450</v>
      </c>
      <c r="B108" s="31" t="s">
        <v>81</v>
      </c>
      <c r="C108" s="4" t="s">
        <v>86</v>
      </c>
      <c r="D108" s="4" t="s">
        <v>589</v>
      </c>
      <c r="E108" s="4" t="s">
        <v>318</v>
      </c>
      <c r="F108" s="4" t="s">
        <v>590</v>
      </c>
      <c r="G108" s="4" t="s">
        <v>382</v>
      </c>
      <c r="H108" s="4" t="s">
        <v>591</v>
      </c>
      <c r="I108" s="31">
        <v>60</v>
      </c>
      <c r="J108" s="4">
        <f>(10*20*405)/1000</f>
        <v>81</v>
      </c>
      <c r="K108" s="4" t="s">
        <v>383</v>
      </c>
    </row>
    <row r="109" spans="1:11" ht="10.5" customHeight="1" x14ac:dyDescent="0.25">
      <c r="A109" s="31" t="s">
        <v>450</v>
      </c>
      <c r="B109" s="31" t="s">
        <v>81</v>
      </c>
      <c r="C109" s="4" t="s">
        <v>86</v>
      </c>
      <c r="D109" s="4" t="s">
        <v>589</v>
      </c>
      <c r="E109" s="4" t="s">
        <v>318</v>
      </c>
      <c r="F109" s="4" t="s">
        <v>592</v>
      </c>
      <c r="G109" s="4" t="s">
        <v>384</v>
      </c>
      <c r="H109" s="4" t="s">
        <v>593</v>
      </c>
      <c r="I109" s="31">
        <v>50</v>
      </c>
      <c r="J109" s="4">
        <f>(9*20*400)/1000</f>
        <v>72</v>
      </c>
      <c r="K109" s="4" t="s">
        <v>383</v>
      </c>
    </row>
    <row r="110" spans="1:11" ht="10.5" customHeight="1" x14ac:dyDescent="0.25">
      <c r="A110" s="31" t="s">
        <v>450</v>
      </c>
      <c r="B110" s="31" t="s">
        <v>81</v>
      </c>
      <c r="C110" s="4" t="s">
        <v>89</v>
      </c>
      <c r="D110" s="4" t="s">
        <v>589</v>
      </c>
      <c r="E110" s="4" t="s">
        <v>318</v>
      </c>
      <c r="F110" s="4" t="s">
        <v>594</v>
      </c>
      <c r="G110" s="4" t="s">
        <v>382</v>
      </c>
      <c r="H110" s="4" t="s">
        <v>595</v>
      </c>
      <c r="I110" s="31">
        <v>60</v>
      </c>
      <c r="J110" s="4">
        <f>(10*20*400)/1000</f>
        <v>80</v>
      </c>
      <c r="K110" s="4" t="s">
        <v>383</v>
      </c>
    </row>
    <row r="111" spans="1:11" ht="10.5" customHeight="1" x14ac:dyDescent="0.25">
      <c r="A111" s="32" t="s">
        <v>450</v>
      </c>
      <c r="B111" s="32" t="s">
        <v>81</v>
      </c>
      <c r="C111" s="22" t="s">
        <v>89</v>
      </c>
      <c r="D111" s="4" t="s">
        <v>589</v>
      </c>
      <c r="E111" s="22" t="s">
        <v>318</v>
      </c>
      <c r="F111" s="4" t="s">
        <v>596</v>
      </c>
      <c r="G111" s="23" t="s">
        <v>384</v>
      </c>
      <c r="H111" s="22" t="s">
        <v>597</v>
      </c>
      <c r="I111" s="32">
        <v>50</v>
      </c>
      <c r="J111" s="22">
        <f>(9*20*400)/1000</f>
        <v>72</v>
      </c>
      <c r="K111" s="4" t="s">
        <v>383</v>
      </c>
    </row>
    <row r="112" spans="1:11" ht="10.5" customHeight="1" x14ac:dyDescent="0.25">
      <c r="A112" s="31" t="s">
        <v>450</v>
      </c>
      <c r="B112" s="31" t="s">
        <v>55</v>
      </c>
      <c r="C112" s="4" t="s">
        <v>55</v>
      </c>
      <c r="D112" s="4" t="s">
        <v>598</v>
      </c>
      <c r="E112" s="4" t="s">
        <v>318</v>
      </c>
      <c r="F112" s="4" t="s">
        <v>599</v>
      </c>
      <c r="G112" s="4" t="s">
        <v>600</v>
      </c>
      <c r="H112" s="4" t="s">
        <v>601</v>
      </c>
      <c r="I112" s="31">
        <v>36</v>
      </c>
      <c r="J112" s="4">
        <f>(20*7*345)/1000</f>
        <v>48.3</v>
      </c>
      <c r="K112" s="4" t="s">
        <v>383</v>
      </c>
    </row>
    <row r="113" spans="1:11" ht="10.5" customHeight="1" x14ac:dyDescent="0.25">
      <c r="A113" s="31" t="s">
        <v>450</v>
      </c>
      <c r="B113" s="31" t="s">
        <v>55</v>
      </c>
      <c r="C113" s="4" t="s">
        <v>55</v>
      </c>
      <c r="D113" s="4" t="s">
        <v>598</v>
      </c>
      <c r="E113" s="4" t="s">
        <v>318</v>
      </c>
      <c r="F113" s="4" t="s">
        <v>602</v>
      </c>
      <c r="G113" s="4" t="s">
        <v>382</v>
      </c>
      <c r="H113" s="4" t="s">
        <v>603</v>
      </c>
      <c r="I113" s="31">
        <v>60</v>
      </c>
      <c r="J113" s="4">
        <f t="shared" ref="J113:J127" si="9">(20*11*345)/1000</f>
        <v>75.900000000000006</v>
      </c>
      <c r="K113" s="4" t="s">
        <v>383</v>
      </c>
    </row>
    <row r="114" spans="1:11" ht="10.5" customHeight="1" x14ac:dyDescent="0.25">
      <c r="A114" s="31" t="s">
        <v>450</v>
      </c>
      <c r="B114" s="31" t="s">
        <v>55</v>
      </c>
      <c r="C114" s="4" t="s">
        <v>55</v>
      </c>
      <c r="D114" s="22" t="s">
        <v>598</v>
      </c>
      <c r="E114" s="4" t="s">
        <v>318</v>
      </c>
      <c r="F114" s="4" t="s">
        <v>604</v>
      </c>
      <c r="G114" s="4" t="s">
        <v>382</v>
      </c>
      <c r="H114" s="4" t="s">
        <v>605</v>
      </c>
      <c r="I114" s="31">
        <v>60</v>
      </c>
      <c r="J114" s="4">
        <f t="shared" si="9"/>
        <v>75.900000000000006</v>
      </c>
      <c r="K114" s="4" t="s">
        <v>383</v>
      </c>
    </row>
    <row r="115" spans="1:11" ht="10.5" customHeight="1" x14ac:dyDescent="0.25">
      <c r="A115" s="31" t="s">
        <v>450</v>
      </c>
      <c r="B115" s="31" t="s">
        <v>55</v>
      </c>
      <c r="C115" s="4" t="s">
        <v>55</v>
      </c>
      <c r="D115" s="4" t="s">
        <v>598</v>
      </c>
      <c r="E115" s="4" t="s">
        <v>318</v>
      </c>
      <c r="F115" s="4" t="s">
        <v>606</v>
      </c>
      <c r="G115" s="4" t="s">
        <v>382</v>
      </c>
      <c r="H115" s="4" t="s">
        <v>607</v>
      </c>
      <c r="I115" s="31">
        <v>60</v>
      </c>
      <c r="J115" s="4">
        <f t="shared" si="9"/>
        <v>75.900000000000006</v>
      </c>
      <c r="K115" s="4" t="s">
        <v>383</v>
      </c>
    </row>
    <row r="116" spans="1:11" ht="10.5" customHeight="1" x14ac:dyDescent="0.25">
      <c r="A116" s="31" t="s">
        <v>450</v>
      </c>
      <c r="B116" s="31" t="s">
        <v>55</v>
      </c>
      <c r="C116" s="4" t="s">
        <v>55</v>
      </c>
      <c r="D116" s="4" t="s">
        <v>598</v>
      </c>
      <c r="E116" s="4" t="s">
        <v>318</v>
      </c>
      <c r="F116" s="4" t="s">
        <v>608</v>
      </c>
      <c r="G116" s="4" t="s">
        <v>382</v>
      </c>
      <c r="H116" s="4" t="s">
        <v>609</v>
      </c>
      <c r="I116" s="31">
        <v>60</v>
      </c>
      <c r="J116" s="4">
        <f t="shared" si="9"/>
        <v>75.900000000000006</v>
      </c>
      <c r="K116" s="4" t="s">
        <v>383</v>
      </c>
    </row>
    <row r="117" spans="1:11" ht="10.5" customHeight="1" x14ac:dyDescent="0.25">
      <c r="A117" s="31" t="s">
        <v>450</v>
      </c>
      <c r="B117" s="31" t="s">
        <v>55</v>
      </c>
      <c r="C117" s="4" t="s">
        <v>55</v>
      </c>
      <c r="D117" s="4" t="s">
        <v>598</v>
      </c>
      <c r="E117" s="4" t="s">
        <v>318</v>
      </c>
      <c r="F117" s="4" t="s">
        <v>610</v>
      </c>
      <c r="G117" s="4" t="s">
        <v>382</v>
      </c>
      <c r="H117" s="4" t="s">
        <v>611</v>
      </c>
      <c r="I117" s="31">
        <v>60</v>
      </c>
      <c r="J117" s="4">
        <f t="shared" si="9"/>
        <v>75.900000000000006</v>
      </c>
      <c r="K117" s="4" t="s">
        <v>383</v>
      </c>
    </row>
    <row r="118" spans="1:11" ht="10.5" customHeight="1" x14ac:dyDescent="0.25">
      <c r="A118" s="31" t="s">
        <v>450</v>
      </c>
      <c r="B118" s="31" t="s">
        <v>55</v>
      </c>
      <c r="C118" s="4" t="s">
        <v>55</v>
      </c>
      <c r="D118" s="4" t="s">
        <v>598</v>
      </c>
      <c r="E118" s="4" t="s">
        <v>318</v>
      </c>
      <c r="F118" s="4" t="s">
        <v>612</v>
      </c>
      <c r="G118" s="4" t="s">
        <v>382</v>
      </c>
      <c r="H118" s="4" t="s">
        <v>613</v>
      </c>
      <c r="I118" s="31">
        <v>60</v>
      </c>
      <c r="J118" s="4">
        <f t="shared" si="9"/>
        <v>75.900000000000006</v>
      </c>
      <c r="K118" s="4" t="s">
        <v>383</v>
      </c>
    </row>
    <row r="119" spans="1:11" ht="10.5" customHeight="1" x14ac:dyDescent="0.25">
      <c r="A119" s="31" t="s">
        <v>450</v>
      </c>
      <c r="B119" s="31" t="s">
        <v>55</v>
      </c>
      <c r="C119" s="4" t="s">
        <v>55</v>
      </c>
      <c r="D119" s="4" t="s">
        <v>598</v>
      </c>
      <c r="E119" s="4" t="s">
        <v>318</v>
      </c>
      <c r="F119" s="4" t="s">
        <v>614</v>
      </c>
      <c r="G119" s="4" t="s">
        <v>382</v>
      </c>
      <c r="H119" s="4" t="s">
        <v>615</v>
      </c>
      <c r="I119" s="31">
        <v>60</v>
      </c>
      <c r="J119" s="4">
        <f t="shared" si="9"/>
        <v>75.900000000000006</v>
      </c>
      <c r="K119" s="4" t="s">
        <v>383</v>
      </c>
    </row>
    <row r="120" spans="1:11" ht="10.5" customHeight="1" x14ac:dyDescent="0.25">
      <c r="A120" s="31" t="s">
        <v>450</v>
      </c>
      <c r="B120" s="31" t="s">
        <v>55</v>
      </c>
      <c r="C120" s="4" t="s">
        <v>55</v>
      </c>
      <c r="D120" s="4" t="s">
        <v>598</v>
      </c>
      <c r="E120" s="4" t="s">
        <v>318</v>
      </c>
      <c r="F120" s="4" t="s">
        <v>616</v>
      </c>
      <c r="G120" s="4" t="s">
        <v>382</v>
      </c>
      <c r="H120" s="4" t="s">
        <v>617</v>
      </c>
      <c r="I120" s="31">
        <v>60</v>
      </c>
      <c r="J120" s="4">
        <f>(20*12*345)/1000</f>
        <v>82.8</v>
      </c>
      <c r="K120" s="4" t="s">
        <v>383</v>
      </c>
    </row>
    <row r="121" spans="1:11" ht="10.5" customHeight="1" x14ac:dyDescent="0.25">
      <c r="A121" s="31" t="s">
        <v>450</v>
      </c>
      <c r="B121" s="31" t="s">
        <v>55</v>
      </c>
      <c r="C121" s="4" t="s">
        <v>55</v>
      </c>
      <c r="D121" s="4" t="s">
        <v>598</v>
      </c>
      <c r="E121" s="4" t="s">
        <v>318</v>
      </c>
      <c r="F121" s="4" t="s">
        <v>618</v>
      </c>
      <c r="G121" s="4" t="s">
        <v>382</v>
      </c>
      <c r="H121" s="4" t="s">
        <v>619</v>
      </c>
      <c r="I121" s="31">
        <v>60</v>
      </c>
      <c r="J121" s="4">
        <f t="shared" si="9"/>
        <v>75.900000000000006</v>
      </c>
      <c r="K121" s="4" t="s">
        <v>383</v>
      </c>
    </row>
    <row r="122" spans="1:11" ht="10.5" customHeight="1" x14ac:dyDescent="0.25">
      <c r="A122" s="31" t="s">
        <v>450</v>
      </c>
      <c r="B122" s="31" t="s">
        <v>55</v>
      </c>
      <c r="C122" s="4" t="s">
        <v>55</v>
      </c>
      <c r="D122" s="4" t="s">
        <v>598</v>
      </c>
      <c r="E122" s="4" t="s">
        <v>318</v>
      </c>
      <c r="F122" s="4" t="s">
        <v>620</v>
      </c>
      <c r="G122" s="4" t="s">
        <v>382</v>
      </c>
      <c r="H122" s="4" t="s">
        <v>621</v>
      </c>
      <c r="I122" s="31">
        <v>60</v>
      </c>
      <c r="J122" s="4">
        <f t="shared" si="9"/>
        <v>75.900000000000006</v>
      </c>
      <c r="K122" s="4" t="s">
        <v>383</v>
      </c>
    </row>
    <row r="123" spans="1:11" ht="10.5" customHeight="1" x14ac:dyDescent="0.25">
      <c r="A123" s="31" t="s">
        <v>450</v>
      </c>
      <c r="B123" s="31" t="s">
        <v>55</v>
      </c>
      <c r="C123" s="4" t="s">
        <v>55</v>
      </c>
      <c r="D123" s="4" t="s">
        <v>598</v>
      </c>
      <c r="E123" s="4" t="s">
        <v>318</v>
      </c>
      <c r="F123" s="4" t="s">
        <v>622</v>
      </c>
      <c r="G123" s="4" t="s">
        <v>382</v>
      </c>
      <c r="H123" s="4" t="s">
        <v>623</v>
      </c>
      <c r="I123" s="31">
        <v>60</v>
      </c>
      <c r="J123" s="4">
        <f t="shared" si="9"/>
        <v>75.900000000000006</v>
      </c>
      <c r="K123" s="4" t="s">
        <v>383</v>
      </c>
    </row>
    <row r="124" spans="1:11" ht="10.5" customHeight="1" x14ac:dyDescent="0.25">
      <c r="A124" s="31" t="s">
        <v>450</v>
      </c>
      <c r="B124" s="31" t="s">
        <v>55</v>
      </c>
      <c r="C124" s="4" t="s">
        <v>55</v>
      </c>
      <c r="D124" s="4" t="s">
        <v>598</v>
      </c>
      <c r="E124" s="4" t="s">
        <v>318</v>
      </c>
      <c r="F124" s="4" t="s">
        <v>624</v>
      </c>
      <c r="G124" s="4" t="s">
        <v>382</v>
      </c>
      <c r="H124" s="4" t="s">
        <v>625</v>
      </c>
      <c r="I124" s="31">
        <v>60</v>
      </c>
      <c r="J124" s="4">
        <f t="shared" si="9"/>
        <v>75.900000000000006</v>
      </c>
      <c r="K124" s="4" t="s">
        <v>383</v>
      </c>
    </row>
    <row r="125" spans="1:11" ht="10.5" customHeight="1" x14ac:dyDescent="0.25">
      <c r="A125" s="31" t="s">
        <v>450</v>
      </c>
      <c r="B125" s="31" t="s">
        <v>55</v>
      </c>
      <c r="C125" s="4" t="s">
        <v>55</v>
      </c>
      <c r="D125" s="4" t="s">
        <v>598</v>
      </c>
      <c r="E125" s="4" t="s">
        <v>318</v>
      </c>
      <c r="F125" s="4" t="s">
        <v>626</v>
      </c>
      <c r="G125" s="4" t="s">
        <v>382</v>
      </c>
      <c r="H125" s="4" t="s">
        <v>627</v>
      </c>
      <c r="I125" s="31">
        <v>60</v>
      </c>
      <c r="J125" s="4">
        <f t="shared" si="9"/>
        <v>75.900000000000006</v>
      </c>
      <c r="K125" s="4" t="s">
        <v>383</v>
      </c>
    </row>
    <row r="126" spans="1:11" ht="10.5" customHeight="1" x14ac:dyDescent="0.25">
      <c r="A126" s="31" t="s">
        <v>450</v>
      </c>
      <c r="B126" s="31" t="s">
        <v>55</v>
      </c>
      <c r="C126" s="4" t="s">
        <v>55</v>
      </c>
      <c r="D126" s="4" t="s">
        <v>598</v>
      </c>
      <c r="E126" s="4" t="s">
        <v>318</v>
      </c>
      <c r="F126" s="4" t="s">
        <v>628</v>
      </c>
      <c r="G126" s="4" t="s">
        <v>382</v>
      </c>
      <c r="H126" s="4" t="s">
        <v>629</v>
      </c>
      <c r="I126" s="31">
        <v>60</v>
      </c>
      <c r="J126" s="4">
        <f t="shared" si="9"/>
        <v>75.900000000000006</v>
      </c>
      <c r="K126" s="4" t="s">
        <v>383</v>
      </c>
    </row>
    <row r="127" spans="1:11" ht="10.5" customHeight="1" x14ac:dyDescent="0.25">
      <c r="A127" s="31" t="s">
        <v>450</v>
      </c>
      <c r="B127" s="31" t="s">
        <v>55</v>
      </c>
      <c r="C127" s="4" t="s">
        <v>55</v>
      </c>
      <c r="D127" s="4" t="s">
        <v>598</v>
      </c>
      <c r="E127" s="4" t="s">
        <v>318</v>
      </c>
      <c r="F127" s="4" t="s">
        <v>630</v>
      </c>
      <c r="G127" s="4" t="s">
        <v>382</v>
      </c>
      <c r="H127" s="4" t="s">
        <v>631</v>
      </c>
      <c r="I127" s="31">
        <v>60</v>
      </c>
      <c r="J127" s="4">
        <f t="shared" si="9"/>
        <v>75.900000000000006</v>
      </c>
      <c r="K127" s="4" t="s">
        <v>383</v>
      </c>
    </row>
    <row r="128" spans="1:11" ht="10.5" customHeight="1" x14ac:dyDescent="0.25">
      <c r="A128" s="31" t="s">
        <v>450</v>
      </c>
      <c r="B128" s="31" t="s">
        <v>55</v>
      </c>
      <c r="C128" s="4" t="s">
        <v>55</v>
      </c>
      <c r="D128" s="4" t="s">
        <v>598</v>
      </c>
      <c r="E128" s="4" t="s">
        <v>318</v>
      </c>
      <c r="F128" s="4" t="s">
        <v>632</v>
      </c>
      <c r="G128" s="4" t="s">
        <v>382</v>
      </c>
      <c r="H128" s="4" t="s">
        <v>633</v>
      </c>
      <c r="I128" s="31">
        <v>60</v>
      </c>
      <c r="J128" s="4">
        <f>(20*11*345)/1000</f>
        <v>75.900000000000006</v>
      </c>
      <c r="K128" s="4" t="s">
        <v>383</v>
      </c>
    </row>
    <row r="129" spans="1:11" ht="10.5" customHeight="1" x14ac:dyDescent="0.25">
      <c r="A129" s="31" t="s">
        <v>450</v>
      </c>
      <c r="B129" s="31" t="s">
        <v>62</v>
      </c>
      <c r="C129" s="4" t="s">
        <v>62</v>
      </c>
      <c r="D129" s="4" t="s">
        <v>634</v>
      </c>
      <c r="E129" s="4" t="s">
        <v>318</v>
      </c>
      <c r="F129" s="4" t="s">
        <v>635</v>
      </c>
      <c r="G129" s="4" t="s">
        <v>636</v>
      </c>
      <c r="H129" s="4" t="s">
        <v>637</v>
      </c>
      <c r="I129" s="31">
        <v>75</v>
      </c>
      <c r="J129" s="4">
        <v>107.78</v>
      </c>
      <c r="K129" s="4" t="s">
        <v>383</v>
      </c>
    </row>
    <row r="130" spans="1:11" ht="10.5" customHeight="1" x14ac:dyDescent="0.25">
      <c r="A130" s="31" t="s">
        <v>450</v>
      </c>
      <c r="B130" s="31" t="s">
        <v>62</v>
      </c>
      <c r="C130" s="4" t="s">
        <v>68</v>
      </c>
      <c r="D130" s="4" t="s">
        <v>634</v>
      </c>
      <c r="E130" s="4" t="s">
        <v>318</v>
      </c>
      <c r="F130" s="4" t="s">
        <v>638</v>
      </c>
      <c r="G130" s="4" t="s">
        <v>394</v>
      </c>
      <c r="H130" s="4" t="s">
        <v>639</v>
      </c>
      <c r="I130" s="31">
        <v>40</v>
      </c>
      <c r="J130" s="4">
        <f>(6*20*375)/1000</f>
        <v>45</v>
      </c>
      <c r="K130" s="4" t="s">
        <v>383</v>
      </c>
    </row>
    <row r="131" spans="1:11" ht="10.5" customHeight="1" x14ac:dyDescent="0.25">
      <c r="A131" s="31" t="s">
        <v>450</v>
      </c>
      <c r="B131" s="31" t="s">
        <v>62</v>
      </c>
      <c r="C131" s="4" t="s">
        <v>68</v>
      </c>
      <c r="D131" s="4" t="s">
        <v>634</v>
      </c>
      <c r="E131" s="4" t="s">
        <v>318</v>
      </c>
      <c r="F131" s="4" t="s">
        <v>640</v>
      </c>
      <c r="G131" s="4" t="s">
        <v>382</v>
      </c>
      <c r="H131" s="4" t="s">
        <v>641</v>
      </c>
      <c r="I131" s="31">
        <v>60</v>
      </c>
      <c r="J131" s="4">
        <f>(11*20*375)/1000</f>
        <v>82.5</v>
      </c>
      <c r="K131" s="4" t="s">
        <v>383</v>
      </c>
    </row>
    <row r="132" spans="1:11" ht="10.5" customHeight="1" x14ac:dyDescent="0.25">
      <c r="A132" s="31" t="s">
        <v>450</v>
      </c>
      <c r="B132" s="31" t="s">
        <v>62</v>
      </c>
      <c r="C132" s="4" t="s">
        <v>68</v>
      </c>
      <c r="D132" s="4" t="s">
        <v>634</v>
      </c>
      <c r="E132" s="4" t="s">
        <v>318</v>
      </c>
      <c r="F132" s="4" t="s">
        <v>642</v>
      </c>
      <c r="G132" s="4" t="s">
        <v>382</v>
      </c>
      <c r="H132" s="4" t="s">
        <v>643</v>
      </c>
      <c r="I132" s="31">
        <v>60</v>
      </c>
      <c r="J132" s="4">
        <f>(10*20*375)/1000</f>
        <v>75</v>
      </c>
      <c r="K132" s="4" t="s">
        <v>383</v>
      </c>
    </row>
    <row r="133" spans="1:11" ht="10.5" customHeight="1" x14ac:dyDescent="0.25">
      <c r="A133" s="31" t="s">
        <v>450</v>
      </c>
      <c r="B133" s="31" t="s">
        <v>62</v>
      </c>
      <c r="C133" s="4" t="s">
        <v>68</v>
      </c>
      <c r="D133" s="4" t="s">
        <v>634</v>
      </c>
      <c r="E133" s="4" t="s">
        <v>318</v>
      </c>
      <c r="F133" s="4" t="s">
        <v>644</v>
      </c>
      <c r="G133" s="4" t="s">
        <v>382</v>
      </c>
      <c r="H133" s="4" t="s">
        <v>645</v>
      </c>
      <c r="I133" s="31">
        <v>60</v>
      </c>
      <c r="J133" s="4">
        <f>(10*20*375)/1000</f>
        <v>75</v>
      </c>
      <c r="K133" s="4" t="s">
        <v>383</v>
      </c>
    </row>
    <row r="134" spans="1:11" ht="10.5" customHeight="1" x14ac:dyDescent="0.25">
      <c r="A134" s="31" t="s">
        <v>450</v>
      </c>
      <c r="B134" s="31" t="s">
        <v>62</v>
      </c>
      <c r="C134" s="4" t="s">
        <v>68</v>
      </c>
      <c r="D134" s="4" t="s">
        <v>634</v>
      </c>
      <c r="E134" s="4" t="s">
        <v>318</v>
      </c>
      <c r="F134" s="4" t="s">
        <v>646</v>
      </c>
      <c r="G134" s="4" t="s">
        <v>382</v>
      </c>
      <c r="H134" s="4" t="s">
        <v>647</v>
      </c>
      <c r="I134" s="31">
        <v>60</v>
      </c>
      <c r="J134" s="4">
        <f>(10*20*375)/1000</f>
        <v>75</v>
      </c>
      <c r="K134" s="4" t="s">
        <v>383</v>
      </c>
    </row>
    <row r="135" spans="1:11" ht="10.5" customHeight="1" x14ac:dyDescent="0.25">
      <c r="A135" s="31" t="s">
        <v>450</v>
      </c>
      <c r="B135" s="31" t="s">
        <v>62</v>
      </c>
      <c r="C135" s="4" t="s">
        <v>68</v>
      </c>
      <c r="D135" s="4" t="s">
        <v>634</v>
      </c>
      <c r="E135" s="4" t="s">
        <v>318</v>
      </c>
      <c r="F135" s="4" t="s">
        <v>648</v>
      </c>
      <c r="G135" s="4" t="s">
        <v>382</v>
      </c>
      <c r="H135" s="4" t="s">
        <v>649</v>
      </c>
      <c r="I135" s="31">
        <v>60</v>
      </c>
      <c r="J135" s="4">
        <f>(11*20*375)/1000</f>
        <v>82.5</v>
      </c>
      <c r="K135" s="4" t="s">
        <v>383</v>
      </c>
    </row>
    <row r="136" spans="1:11" ht="10.5" customHeight="1" x14ac:dyDescent="0.25">
      <c r="A136" s="31" t="s">
        <v>450</v>
      </c>
      <c r="B136" s="31" t="s">
        <v>62</v>
      </c>
      <c r="C136" s="4" t="s">
        <v>70</v>
      </c>
      <c r="D136" s="4" t="s">
        <v>634</v>
      </c>
      <c r="E136" s="4" t="s">
        <v>318</v>
      </c>
      <c r="F136" s="4" t="s">
        <v>650</v>
      </c>
      <c r="G136" s="4" t="s">
        <v>382</v>
      </c>
      <c r="H136" s="4" t="s">
        <v>651</v>
      </c>
      <c r="I136" s="31">
        <v>60</v>
      </c>
      <c r="J136" s="4">
        <f>(11*20*375)/1000</f>
        <v>82.5</v>
      </c>
      <c r="K136" s="4" t="s">
        <v>383</v>
      </c>
    </row>
    <row r="137" spans="1:11" ht="10.5" customHeight="1" x14ac:dyDescent="0.25">
      <c r="A137" s="31" t="s">
        <v>450</v>
      </c>
      <c r="B137" s="31" t="s">
        <v>62</v>
      </c>
      <c r="C137" s="4" t="s">
        <v>70</v>
      </c>
      <c r="D137" s="4" t="s">
        <v>634</v>
      </c>
      <c r="E137" s="4" t="s">
        <v>318</v>
      </c>
      <c r="F137" s="4" t="s">
        <v>652</v>
      </c>
      <c r="G137" s="4" t="s">
        <v>382</v>
      </c>
      <c r="H137" s="4" t="s">
        <v>653</v>
      </c>
      <c r="I137" s="31">
        <v>60</v>
      </c>
      <c r="J137" s="4">
        <f t="shared" ref="J137:J143" si="10">(11*20*375)/1000</f>
        <v>82.5</v>
      </c>
      <c r="K137" s="4" t="s">
        <v>383</v>
      </c>
    </row>
    <row r="138" spans="1:11" ht="10.5" customHeight="1" x14ac:dyDescent="0.25">
      <c r="A138" s="31" t="s">
        <v>450</v>
      </c>
      <c r="B138" s="31" t="s">
        <v>62</v>
      </c>
      <c r="C138" s="4" t="s">
        <v>70</v>
      </c>
      <c r="D138" s="4" t="s">
        <v>634</v>
      </c>
      <c r="E138" s="4" t="s">
        <v>318</v>
      </c>
      <c r="F138" s="4" t="s">
        <v>654</v>
      </c>
      <c r="G138" s="4" t="s">
        <v>382</v>
      </c>
      <c r="H138" s="4" t="s">
        <v>655</v>
      </c>
      <c r="I138" s="31">
        <v>60</v>
      </c>
      <c r="J138" s="4">
        <f t="shared" si="10"/>
        <v>82.5</v>
      </c>
      <c r="K138" s="4" t="s">
        <v>383</v>
      </c>
    </row>
    <row r="139" spans="1:11" ht="10.5" customHeight="1" x14ac:dyDescent="0.25">
      <c r="A139" s="31" t="s">
        <v>450</v>
      </c>
      <c r="B139" s="31" t="s">
        <v>62</v>
      </c>
      <c r="C139" s="4" t="s">
        <v>70</v>
      </c>
      <c r="D139" s="4" t="s">
        <v>634</v>
      </c>
      <c r="E139" s="4" t="s">
        <v>318</v>
      </c>
      <c r="F139" s="4" t="s">
        <v>656</v>
      </c>
      <c r="G139" s="4" t="s">
        <v>382</v>
      </c>
      <c r="H139" s="4" t="s">
        <v>657</v>
      </c>
      <c r="I139" s="31">
        <v>60</v>
      </c>
      <c r="J139" s="4">
        <f>(10*20*375)/1000</f>
        <v>75</v>
      </c>
      <c r="K139" s="4" t="s">
        <v>383</v>
      </c>
    </row>
    <row r="140" spans="1:11" ht="10.5" customHeight="1" x14ac:dyDescent="0.25">
      <c r="A140" s="31" t="s">
        <v>450</v>
      </c>
      <c r="B140" s="31" t="s">
        <v>62</v>
      </c>
      <c r="C140" s="4" t="s">
        <v>70</v>
      </c>
      <c r="D140" s="4" t="s">
        <v>634</v>
      </c>
      <c r="E140" s="4" t="s">
        <v>318</v>
      </c>
      <c r="F140" s="4" t="s">
        <v>658</v>
      </c>
      <c r="G140" s="4" t="s">
        <v>382</v>
      </c>
      <c r="H140" s="4" t="s">
        <v>659</v>
      </c>
      <c r="I140" s="31">
        <v>60</v>
      </c>
      <c r="J140" s="4">
        <f>(10*20*375)/1000</f>
        <v>75</v>
      </c>
      <c r="K140" s="4" t="s">
        <v>383</v>
      </c>
    </row>
    <row r="141" spans="1:11" ht="10.5" customHeight="1" x14ac:dyDescent="0.25">
      <c r="A141" s="31" t="s">
        <v>450</v>
      </c>
      <c r="B141" s="31" t="s">
        <v>62</v>
      </c>
      <c r="C141" s="4" t="s">
        <v>70</v>
      </c>
      <c r="D141" s="4" t="s">
        <v>634</v>
      </c>
      <c r="E141" s="4" t="s">
        <v>318</v>
      </c>
      <c r="F141" s="4" t="s">
        <v>660</v>
      </c>
      <c r="G141" s="4" t="s">
        <v>382</v>
      </c>
      <c r="H141" s="22" t="s">
        <v>661</v>
      </c>
      <c r="I141" s="31">
        <v>60</v>
      </c>
      <c r="J141" s="4">
        <f t="shared" si="10"/>
        <v>82.5</v>
      </c>
      <c r="K141" s="4" t="s">
        <v>383</v>
      </c>
    </row>
    <row r="142" spans="1:11" ht="10.5" customHeight="1" x14ac:dyDescent="0.25">
      <c r="A142" s="31" t="s">
        <v>450</v>
      </c>
      <c r="B142" s="31" t="s">
        <v>62</v>
      </c>
      <c r="C142" s="4" t="s">
        <v>70</v>
      </c>
      <c r="D142" s="4" t="s">
        <v>634</v>
      </c>
      <c r="E142" s="4" t="s">
        <v>318</v>
      </c>
      <c r="F142" s="4" t="s">
        <v>662</v>
      </c>
      <c r="G142" s="4" t="s">
        <v>382</v>
      </c>
      <c r="H142" s="4" t="s">
        <v>663</v>
      </c>
      <c r="I142" s="31">
        <v>60</v>
      </c>
      <c r="J142" s="4">
        <f t="shared" si="10"/>
        <v>82.5</v>
      </c>
      <c r="K142" s="4" t="s">
        <v>383</v>
      </c>
    </row>
    <row r="143" spans="1:11" ht="10.5" customHeight="1" x14ac:dyDescent="0.25">
      <c r="A143" s="31" t="s">
        <v>450</v>
      </c>
      <c r="B143" s="31" t="s">
        <v>62</v>
      </c>
      <c r="C143" s="4" t="s">
        <v>70</v>
      </c>
      <c r="D143" s="4" t="s">
        <v>634</v>
      </c>
      <c r="E143" s="4" t="s">
        <v>318</v>
      </c>
      <c r="F143" s="4" t="s">
        <v>664</v>
      </c>
      <c r="G143" s="4" t="s">
        <v>382</v>
      </c>
      <c r="H143" s="4" t="s">
        <v>665</v>
      </c>
      <c r="I143" s="31">
        <v>60</v>
      </c>
      <c r="J143" s="4">
        <f t="shared" si="10"/>
        <v>82.5</v>
      </c>
      <c r="K143" s="4" t="s">
        <v>383</v>
      </c>
    </row>
    <row r="144" spans="1:11" ht="10.5" customHeight="1" x14ac:dyDescent="0.25">
      <c r="A144" s="31" t="s">
        <v>450</v>
      </c>
      <c r="B144" s="31" t="s">
        <v>62</v>
      </c>
      <c r="C144" s="4" t="s">
        <v>70</v>
      </c>
      <c r="D144" s="4" t="s">
        <v>634</v>
      </c>
      <c r="E144" s="4" t="s">
        <v>318</v>
      </c>
      <c r="F144" s="4" t="s">
        <v>666</v>
      </c>
      <c r="G144" s="4" t="s">
        <v>382</v>
      </c>
      <c r="H144" s="4" t="s">
        <v>667</v>
      </c>
      <c r="I144" s="31">
        <v>60</v>
      </c>
      <c r="J144" s="4">
        <f>(10*20*375)/1000</f>
        <v>75</v>
      </c>
      <c r="K144" s="4" t="s">
        <v>383</v>
      </c>
    </row>
    <row r="145" spans="1:11" ht="10.5" customHeight="1" x14ac:dyDescent="0.25">
      <c r="A145" s="31" t="s">
        <v>450</v>
      </c>
      <c r="B145" s="31" t="s">
        <v>62</v>
      </c>
      <c r="C145" s="4" t="s">
        <v>70</v>
      </c>
      <c r="D145" s="4" t="s">
        <v>634</v>
      </c>
      <c r="E145" s="4" t="s">
        <v>318</v>
      </c>
      <c r="F145" s="4" t="s">
        <v>668</v>
      </c>
      <c r="G145" s="4" t="s">
        <v>382</v>
      </c>
      <c r="H145" s="4" t="s">
        <v>669</v>
      </c>
      <c r="I145" s="31">
        <v>60</v>
      </c>
      <c r="J145" s="4">
        <f>(10*20*375)/1000</f>
        <v>75</v>
      </c>
      <c r="K145" s="4" t="s">
        <v>383</v>
      </c>
    </row>
    <row r="146" spans="1:11" ht="10.5" customHeight="1" x14ac:dyDescent="0.25">
      <c r="A146" s="31" t="s">
        <v>450</v>
      </c>
      <c r="B146" s="31" t="s">
        <v>161</v>
      </c>
      <c r="C146" s="4" t="s">
        <v>161</v>
      </c>
      <c r="D146" s="4" t="s">
        <v>670</v>
      </c>
      <c r="E146" s="4" t="s">
        <v>318</v>
      </c>
      <c r="F146" s="4" t="s">
        <v>671</v>
      </c>
      <c r="G146" s="4" t="s">
        <v>512</v>
      </c>
      <c r="H146" s="4" t="s">
        <v>672</v>
      </c>
      <c r="I146" s="31">
        <v>75</v>
      </c>
      <c r="J146" s="4">
        <f>(11*20*540)/1000</f>
        <v>118.8</v>
      </c>
      <c r="K146" s="4" t="s">
        <v>383</v>
      </c>
    </row>
    <row r="147" spans="1:11" ht="10.5" customHeight="1" x14ac:dyDescent="0.25">
      <c r="A147" s="31" t="s">
        <v>450</v>
      </c>
      <c r="B147" s="31" t="s">
        <v>161</v>
      </c>
      <c r="C147" s="4" t="s">
        <v>161</v>
      </c>
      <c r="D147" s="4" t="s">
        <v>670</v>
      </c>
      <c r="E147" s="4" t="s">
        <v>318</v>
      </c>
      <c r="F147" s="4" t="s">
        <v>673</v>
      </c>
      <c r="G147" s="4" t="s">
        <v>512</v>
      </c>
      <c r="H147" s="4" t="s">
        <v>674</v>
      </c>
      <c r="I147" s="31">
        <v>75</v>
      </c>
      <c r="J147" s="4">
        <f>(10*20*540)/1000</f>
        <v>108</v>
      </c>
      <c r="K147" s="4" t="s">
        <v>383</v>
      </c>
    </row>
    <row r="148" spans="1:11" ht="10.5" customHeight="1" x14ac:dyDescent="0.25">
      <c r="A148" s="31" t="s">
        <v>450</v>
      </c>
      <c r="B148" s="31" t="s">
        <v>161</v>
      </c>
      <c r="C148" s="4" t="s">
        <v>161</v>
      </c>
      <c r="D148" s="4" t="s">
        <v>670</v>
      </c>
      <c r="E148" s="4" t="s">
        <v>318</v>
      </c>
      <c r="F148" s="4" t="s">
        <v>675</v>
      </c>
      <c r="G148" s="4" t="s">
        <v>512</v>
      </c>
      <c r="H148" s="4" t="s">
        <v>676</v>
      </c>
      <c r="I148" s="31">
        <v>75</v>
      </c>
      <c r="J148" s="4">
        <f>(10*18*540)/1000</f>
        <v>97.2</v>
      </c>
      <c r="K148" s="4" t="s">
        <v>383</v>
      </c>
    </row>
    <row r="149" spans="1:11" ht="10.5" customHeight="1" x14ac:dyDescent="0.25">
      <c r="A149" s="31" t="s">
        <v>450</v>
      </c>
      <c r="B149" s="31" t="s">
        <v>161</v>
      </c>
      <c r="C149" s="4" t="s">
        <v>161</v>
      </c>
      <c r="D149" s="4" t="s">
        <v>670</v>
      </c>
      <c r="E149" s="4" t="s">
        <v>318</v>
      </c>
      <c r="F149" s="4" t="s">
        <v>677</v>
      </c>
      <c r="G149" s="4" t="s">
        <v>512</v>
      </c>
      <c r="H149" s="4" t="s">
        <v>678</v>
      </c>
      <c r="I149" s="31">
        <v>75</v>
      </c>
      <c r="J149" s="4">
        <f>(10*18*540)/1000</f>
        <v>97.2</v>
      </c>
      <c r="K149" s="4" t="s">
        <v>383</v>
      </c>
    </row>
    <row r="150" spans="1:11" ht="10.5" customHeight="1" x14ac:dyDescent="0.25">
      <c r="A150" s="31" t="s">
        <v>679</v>
      </c>
      <c r="B150" s="31" t="s">
        <v>146</v>
      </c>
      <c r="C150" s="4" t="s">
        <v>146</v>
      </c>
      <c r="D150" s="4" t="s">
        <v>1098</v>
      </c>
      <c r="E150" s="4" t="s">
        <v>318</v>
      </c>
      <c r="F150" s="25" t="s">
        <v>680</v>
      </c>
      <c r="G150" s="25" t="s">
        <v>382</v>
      </c>
      <c r="H150" s="4" t="s">
        <v>681</v>
      </c>
      <c r="I150" s="31">
        <v>60</v>
      </c>
      <c r="J150" s="4">
        <f>(11*18*405)/1000</f>
        <v>80.19</v>
      </c>
      <c r="K150" s="4" t="s">
        <v>383</v>
      </c>
    </row>
    <row r="151" spans="1:11" ht="10.5" customHeight="1" x14ac:dyDescent="0.25">
      <c r="A151" s="31" t="s">
        <v>679</v>
      </c>
      <c r="B151" s="31" t="s">
        <v>146</v>
      </c>
      <c r="C151" s="4" t="s">
        <v>146</v>
      </c>
      <c r="D151" s="4" t="s">
        <v>1098</v>
      </c>
      <c r="E151" s="4" t="s">
        <v>318</v>
      </c>
      <c r="F151" s="25" t="s">
        <v>682</v>
      </c>
      <c r="G151" s="25" t="s">
        <v>382</v>
      </c>
      <c r="H151" s="4" t="s">
        <v>683</v>
      </c>
      <c r="I151" s="31">
        <v>60</v>
      </c>
      <c r="J151" s="4">
        <f t="shared" ref="J151:J162" si="11">(11*18*405)/1000</f>
        <v>80.19</v>
      </c>
      <c r="K151" s="4" t="s">
        <v>383</v>
      </c>
    </row>
    <row r="152" spans="1:11" ht="10.5" customHeight="1" x14ac:dyDescent="0.25">
      <c r="A152" s="31" t="s">
        <v>679</v>
      </c>
      <c r="B152" s="31" t="s">
        <v>146</v>
      </c>
      <c r="C152" s="4" t="s">
        <v>146</v>
      </c>
      <c r="D152" s="4" t="s">
        <v>1098</v>
      </c>
      <c r="E152" s="4" t="s">
        <v>318</v>
      </c>
      <c r="F152" s="25" t="s">
        <v>684</v>
      </c>
      <c r="G152" s="25" t="s">
        <v>382</v>
      </c>
      <c r="H152" s="4" t="s">
        <v>685</v>
      </c>
      <c r="I152" s="31">
        <v>60</v>
      </c>
      <c r="J152" s="4">
        <f t="shared" si="11"/>
        <v>80.19</v>
      </c>
      <c r="K152" s="4" t="s">
        <v>383</v>
      </c>
    </row>
    <row r="153" spans="1:11" ht="10.5" customHeight="1" x14ac:dyDescent="0.25">
      <c r="A153" s="31" t="s">
        <v>679</v>
      </c>
      <c r="B153" s="31" t="s">
        <v>146</v>
      </c>
      <c r="C153" s="4" t="s">
        <v>146</v>
      </c>
      <c r="D153" s="4" t="s">
        <v>1098</v>
      </c>
      <c r="E153" s="4" t="s">
        <v>318</v>
      </c>
      <c r="F153" s="25" t="s">
        <v>686</v>
      </c>
      <c r="G153" s="25" t="s">
        <v>382</v>
      </c>
      <c r="H153" s="4" t="s">
        <v>687</v>
      </c>
      <c r="I153" s="31">
        <v>60</v>
      </c>
      <c r="J153" s="4">
        <f t="shared" si="11"/>
        <v>80.19</v>
      </c>
      <c r="K153" s="4" t="s">
        <v>383</v>
      </c>
    </row>
    <row r="154" spans="1:11" ht="10.5" customHeight="1" x14ac:dyDescent="0.25">
      <c r="A154" s="31" t="s">
        <v>679</v>
      </c>
      <c r="B154" s="31" t="s">
        <v>146</v>
      </c>
      <c r="C154" s="4" t="s">
        <v>146</v>
      </c>
      <c r="D154" s="4" t="s">
        <v>1098</v>
      </c>
      <c r="E154" s="4" t="s">
        <v>318</v>
      </c>
      <c r="F154" s="25" t="s">
        <v>688</v>
      </c>
      <c r="G154" s="25" t="s">
        <v>382</v>
      </c>
      <c r="H154" s="4" t="s">
        <v>689</v>
      </c>
      <c r="I154" s="31">
        <v>60</v>
      </c>
      <c r="J154" s="4">
        <f t="shared" si="11"/>
        <v>80.19</v>
      </c>
      <c r="K154" s="4" t="s">
        <v>383</v>
      </c>
    </row>
    <row r="155" spans="1:11" ht="10.5" customHeight="1" x14ac:dyDescent="0.25">
      <c r="A155" s="31" t="s">
        <v>679</v>
      </c>
      <c r="B155" s="31" t="s">
        <v>146</v>
      </c>
      <c r="C155" s="4" t="s">
        <v>146</v>
      </c>
      <c r="D155" s="4" t="s">
        <v>1098</v>
      </c>
      <c r="E155" s="4" t="s">
        <v>318</v>
      </c>
      <c r="F155" s="25" t="s">
        <v>690</v>
      </c>
      <c r="G155" s="25" t="s">
        <v>382</v>
      </c>
      <c r="H155" s="4" t="s">
        <v>691</v>
      </c>
      <c r="I155" s="31">
        <v>60</v>
      </c>
      <c r="J155" s="4">
        <f t="shared" si="11"/>
        <v>80.19</v>
      </c>
      <c r="K155" s="4" t="s">
        <v>383</v>
      </c>
    </row>
    <row r="156" spans="1:11" ht="10.5" customHeight="1" x14ac:dyDescent="0.25">
      <c r="A156" s="31" t="s">
        <v>679</v>
      </c>
      <c r="B156" s="31" t="s">
        <v>146</v>
      </c>
      <c r="C156" s="4" t="s">
        <v>146</v>
      </c>
      <c r="D156" s="4" t="s">
        <v>1098</v>
      </c>
      <c r="E156" s="4" t="s">
        <v>318</v>
      </c>
      <c r="F156" s="25" t="s">
        <v>692</v>
      </c>
      <c r="G156" s="25" t="s">
        <v>382</v>
      </c>
      <c r="H156" s="4" t="s">
        <v>693</v>
      </c>
      <c r="I156" s="31">
        <v>60</v>
      </c>
      <c r="J156" s="4">
        <f t="shared" si="11"/>
        <v>80.19</v>
      </c>
      <c r="K156" s="4" t="s">
        <v>383</v>
      </c>
    </row>
    <row r="157" spans="1:11" ht="10.5" customHeight="1" x14ac:dyDescent="0.25">
      <c r="A157" s="31" t="s">
        <v>679</v>
      </c>
      <c r="B157" s="31" t="s">
        <v>146</v>
      </c>
      <c r="C157" s="4" t="s">
        <v>146</v>
      </c>
      <c r="D157" s="4" t="s">
        <v>1098</v>
      </c>
      <c r="E157" s="4" t="s">
        <v>318</v>
      </c>
      <c r="F157" s="25" t="s">
        <v>694</v>
      </c>
      <c r="G157" s="25" t="s">
        <v>382</v>
      </c>
      <c r="H157" s="4" t="s">
        <v>695</v>
      </c>
      <c r="I157" s="31">
        <v>60</v>
      </c>
      <c r="J157" s="4">
        <f t="shared" si="11"/>
        <v>80.19</v>
      </c>
      <c r="K157" s="4" t="s">
        <v>383</v>
      </c>
    </row>
    <row r="158" spans="1:11" ht="10.5" customHeight="1" x14ac:dyDescent="0.25">
      <c r="A158" s="31" t="s">
        <v>679</v>
      </c>
      <c r="B158" s="31" t="s">
        <v>146</v>
      </c>
      <c r="C158" s="4" t="s">
        <v>146</v>
      </c>
      <c r="D158" s="4" t="s">
        <v>1098</v>
      </c>
      <c r="E158" s="4" t="s">
        <v>318</v>
      </c>
      <c r="F158" s="25" t="s">
        <v>696</v>
      </c>
      <c r="G158" s="25" t="s">
        <v>382</v>
      </c>
      <c r="H158" s="4" t="s">
        <v>697</v>
      </c>
      <c r="I158" s="31">
        <v>60</v>
      </c>
      <c r="J158" s="4">
        <f t="shared" si="11"/>
        <v>80.19</v>
      </c>
      <c r="K158" s="4" t="s">
        <v>383</v>
      </c>
    </row>
    <row r="159" spans="1:11" ht="10.5" customHeight="1" x14ac:dyDescent="0.25">
      <c r="A159" s="31" t="s">
        <v>679</v>
      </c>
      <c r="B159" s="31" t="s">
        <v>146</v>
      </c>
      <c r="C159" s="4" t="s">
        <v>146</v>
      </c>
      <c r="D159" s="4" t="s">
        <v>1098</v>
      </c>
      <c r="E159" s="4" t="s">
        <v>318</v>
      </c>
      <c r="F159" s="25" t="s">
        <v>698</v>
      </c>
      <c r="G159" s="25" t="s">
        <v>382</v>
      </c>
      <c r="H159" s="4" t="s">
        <v>699</v>
      </c>
      <c r="I159" s="31">
        <v>60</v>
      </c>
      <c r="J159" s="4">
        <f t="shared" si="11"/>
        <v>80.19</v>
      </c>
      <c r="K159" s="4" t="s">
        <v>383</v>
      </c>
    </row>
    <row r="160" spans="1:11" ht="10.5" customHeight="1" x14ac:dyDescent="0.25">
      <c r="A160" s="31" t="s">
        <v>679</v>
      </c>
      <c r="B160" s="31" t="s">
        <v>146</v>
      </c>
      <c r="C160" s="4" t="s">
        <v>146</v>
      </c>
      <c r="D160" s="4" t="s">
        <v>1098</v>
      </c>
      <c r="E160" s="4" t="s">
        <v>318</v>
      </c>
      <c r="F160" s="25" t="s">
        <v>700</v>
      </c>
      <c r="G160" s="25" t="s">
        <v>382</v>
      </c>
      <c r="H160" s="4" t="s">
        <v>701</v>
      </c>
      <c r="I160" s="31">
        <v>60</v>
      </c>
      <c r="J160" s="4">
        <f t="shared" si="11"/>
        <v>80.19</v>
      </c>
      <c r="K160" s="4" t="s">
        <v>383</v>
      </c>
    </row>
    <row r="161" spans="1:11" ht="10.5" customHeight="1" x14ac:dyDescent="0.25">
      <c r="A161" s="31" t="s">
        <v>679</v>
      </c>
      <c r="B161" s="31" t="s">
        <v>146</v>
      </c>
      <c r="C161" s="4" t="s">
        <v>146</v>
      </c>
      <c r="D161" s="4" t="s">
        <v>1098</v>
      </c>
      <c r="E161" s="4" t="s">
        <v>318</v>
      </c>
      <c r="F161" s="25" t="s">
        <v>702</v>
      </c>
      <c r="G161" s="25" t="s">
        <v>382</v>
      </c>
      <c r="H161" s="4" t="s">
        <v>703</v>
      </c>
      <c r="I161" s="31">
        <v>60</v>
      </c>
      <c r="J161" s="4">
        <f t="shared" si="11"/>
        <v>80.19</v>
      </c>
      <c r="K161" s="4" t="s">
        <v>383</v>
      </c>
    </row>
    <row r="162" spans="1:11" ht="10.5" customHeight="1" x14ac:dyDescent="0.25">
      <c r="A162" s="31" t="s">
        <v>679</v>
      </c>
      <c r="B162" s="31" t="s">
        <v>146</v>
      </c>
      <c r="C162" s="4" t="s">
        <v>146</v>
      </c>
      <c r="D162" s="4" t="s">
        <v>1098</v>
      </c>
      <c r="E162" s="4" t="s">
        <v>318</v>
      </c>
      <c r="F162" s="25" t="s">
        <v>704</v>
      </c>
      <c r="G162" s="25" t="s">
        <v>382</v>
      </c>
      <c r="H162" s="4" t="s">
        <v>705</v>
      </c>
      <c r="I162" s="31">
        <v>60</v>
      </c>
      <c r="J162" s="4">
        <f t="shared" si="11"/>
        <v>80.19</v>
      </c>
      <c r="K162" s="4" t="s">
        <v>383</v>
      </c>
    </row>
    <row r="163" spans="1:11" ht="10.5" customHeight="1" x14ac:dyDescent="0.25">
      <c r="A163" s="31" t="s">
        <v>679</v>
      </c>
      <c r="B163" s="31" t="s">
        <v>146</v>
      </c>
      <c r="C163" s="4" t="s">
        <v>146</v>
      </c>
      <c r="D163" s="4" t="s">
        <v>1098</v>
      </c>
      <c r="E163" s="4" t="s">
        <v>318</v>
      </c>
      <c r="F163" s="25" t="s">
        <v>706</v>
      </c>
      <c r="G163" s="25" t="s">
        <v>382</v>
      </c>
      <c r="H163" s="4" t="s">
        <v>707</v>
      </c>
      <c r="I163" s="31">
        <v>60</v>
      </c>
      <c r="J163" s="4">
        <f>(10*18*405)/1000</f>
        <v>72.900000000000006</v>
      </c>
      <c r="K163" s="4" t="s">
        <v>383</v>
      </c>
    </row>
    <row r="164" spans="1:11" ht="10.5" customHeight="1" x14ac:dyDescent="0.25">
      <c r="A164" s="31" t="s">
        <v>679</v>
      </c>
      <c r="B164" s="31" t="s">
        <v>146</v>
      </c>
      <c r="C164" s="4" t="s">
        <v>146</v>
      </c>
      <c r="D164" s="4" t="s">
        <v>1098</v>
      </c>
      <c r="E164" s="4" t="s">
        <v>318</v>
      </c>
      <c r="F164" s="25" t="s">
        <v>708</v>
      </c>
      <c r="G164" s="25" t="s">
        <v>382</v>
      </c>
      <c r="H164" s="4" t="s">
        <v>709</v>
      </c>
      <c r="I164" s="31">
        <v>60</v>
      </c>
      <c r="J164" s="4">
        <f>(10*18*405)/1000</f>
        <v>72.900000000000006</v>
      </c>
      <c r="K164" s="4" t="s">
        <v>383</v>
      </c>
    </row>
    <row r="165" spans="1:11" ht="10.5" customHeight="1" x14ac:dyDescent="0.25">
      <c r="A165" s="31" t="s">
        <v>679</v>
      </c>
      <c r="B165" s="31" t="s">
        <v>146</v>
      </c>
      <c r="C165" s="4" t="s">
        <v>146</v>
      </c>
      <c r="D165" s="4" t="s">
        <v>1098</v>
      </c>
      <c r="E165" s="4" t="s">
        <v>318</v>
      </c>
      <c r="F165" s="25" t="s">
        <v>710</v>
      </c>
      <c r="G165" s="25" t="s">
        <v>382</v>
      </c>
      <c r="H165" s="4" t="s">
        <v>711</v>
      </c>
      <c r="I165" s="31">
        <v>60</v>
      </c>
      <c r="J165" s="4">
        <f>(10*18*405)/1000</f>
        <v>72.900000000000006</v>
      </c>
      <c r="K165" s="4" t="s">
        <v>383</v>
      </c>
    </row>
    <row r="166" spans="1:11" ht="10.5" customHeight="1" x14ac:dyDescent="0.25">
      <c r="A166" s="31" t="s">
        <v>679</v>
      </c>
      <c r="B166" s="31" t="s">
        <v>146</v>
      </c>
      <c r="C166" s="4" t="s">
        <v>146</v>
      </c>
      <c r="D166" s="4" t="s">
        <v>1098</v>
      </c>
      <c r="E166" s="4" t="s">
        <v>318</v>
      </c>
      <c r="F166" s="4" t="s">
        <v>712</v>
      </c>
      <c r="G166" s="4" t="s">
        <v>394</v>
      </c>
      <c r="H166" s="4" t="s">
        <v>713</v>
      </c>
      <c r="I166" s="31">
        <v>40</v>
      </c>
      <c r="J166" s="4">
        <f>(7*18*405)/1000</f>
        <v>51.03</v>
      </c>
      <c r="K166" s="4" t="s">
        <v>383</v>
      </c>
    </row>
    <row r="167" spans="1:11" ht="10.5" customHeight="1" x14ac:dyDescent="0.25">
      <c r="A167" s="31" t="s">
        <v>679</v>
      </c>
      <c r="B167" s="31" t="s">
        <v>146</v>
      </c>
      <c r="C167" s="4" t="s">
        <v>151</v>
      </c>
      <c r="D167" s="4" t="s">
        <v>714</v>
      </c>
      <c r="E167" s="4" t="s">
        <v>318</v>
      </c>
      <c r="F167" s="4" t="s">
        <v>715</v>
      </c>
      <c r="G167" s="4" t="s">
        <v>382</v>
      </c>
      <c r="H167" s="4" t="s">
        <v>716</v>
      </c>
      <c r="I167" s="31">
        <v>60</v>
      </c>
      <c r="J167" s="4">
        <f>(11*18*410)/1000</f>
        <v>81.180000000000007</v>
      </c>
      <c r="K167" s="4" t="s">
        <v>383</v>
      </c>
    </row>
    <row r="168" spans="1:11" ht="10.5" customHeight="1" x14ac:dyDescent="0.25">
      <c r="A168" s="31" t="s">
        <v>679</v>
      </c>
      <c r="B168" s="31" t="s">
        <v>146</v>
      </c>
      <c r="C168" s="4" t="s">
        <v>151</v>
      </c>
      <c r="D168" s="4" t="s">
        <v>714</v>
      </c>
      <c r="E168" s="4" t="s">
        <v>318</v>
      </c>
      <c r="F168" s="4" t="s">
        <v>717</v>
      </c>
      <c r="G168" s="4" t="s">
        <v>382</v>
      </c>
      <c r="H168" s="4" t="s">
        <v>718</v>
      </c>
      <c r="I168" s="31">
        <v>60</v>
      </c>
      <c r="J168" s="4">
        <f t="shared" ref="J168:J177" si="12">(11*18*410)/1000</f>
        <v>81.180000000000007</v>
      </c>
      <c r="K168" s="4" t="s">
        <v>383</v>
      </c>
    </row>
    <row r="169" spans="1:11" ht="10.5" customHeight="1" x14ac:dyDescent="0.25">
      <c r="A169" s="31" t="s">
        <v>679</v>
      </c>
      <c r="B169" s="31" t="s">
        <v>146</v>
      </c>
      <c r="C169" s="4" t="s">
        <v>151</v>
      </c>
      <c r="D169" s="4" t="s">
        <v>714</v>
      </c>
      <c r="E169" s="4" t="s">
        <v>318</v>
      </c>
      <c r="F169" s="4" t="s">
        <v>719</v>
      </c>
      <c r="G169" s="4" t="s">
        <v>382</v>
      </c>
      <c r="H169" s="4" t="s">
        <v>720</v>
      </c>
      <c r="I169" s="31">
        <v>60</v>
      </c>
      <c r="J169" s="4">
        <f t="shared" si="12"/>
        <v>81.180000000000007</v>
      </c>
      <c r="K169" s="4" t="s">
        <v>383</v>
      </c>
    </row>
    <row r="170" spans="1:11" ht="10.5" customHeight="1" x14ac:dyDescent="0.25">
      <c r="A170" s="31" t="s">
        <v>679</v>
      </c>
      <c r="B170" s="31" t="s">
        <v>146</v>
      </c>
      <c r="C170" s="4" t="s">
        <v>151</v>
      </c>
      <c r="D170" s="4" t="s">
        <v>714</v>
      </c>
      <c r="E170" s="4" t="s">
        <v>318</v>
      </c>
      <c r="F170" s="4" t="s">
        <v>721</v>
      </c>
      <c r="G170" s="4" t="s">
        <v>382</v>
      </c>
      <c r="H170" s="4" t="s">
        <v>722</v>
      </c>
      <c r="I170" s="31">
        <v>60</v>
      </c>
      <c r="J170" s="4">
        <f t="shared" si="12"/>
        <v>81.180000000000007</v>
      </c>
      <c r="K170" s="4" t="s">
        <v>383</v>
      </c>
    </row>
    <row r="171" spans="1:11" ht="10.5" customHeight="1" x14ac:dyDescent="0.25">
      <c r="A171" s="31" t="s">
        <v>679</v>
      </c>
      <c r="B171" s="31" t="s">
        <v>146</v>
      </c>
      <c r="C171" s="4" t="s">
        <v>151</v>
      </c>
      <c r="D171" s="4" t="s">
        <v>714</v>
      </c>
      <c r="E171" s="4" t="s">
        <v>318</v>
      </c>
      <c r="F171" s="4" t="s">
        <v>723</v>
      </c>
      <c r="G171" s="4" t="s">
        <v>382</v>
      </c>
      <c r="H171" s="4" t="s">
        <v>724</v>
      </c>
      <c r="I171" s="31">
        <v>60</v>
      </c>
      <c r="J171" s="4">
        <f t="shared" si="12"/>
        <v>81.180000000000007</v>
      </c>
      <c r="K171" s="4" t="s">
        <v>383</v>
      </c>
    </row>
    <row r="172" spans="1:11" ht="10.5" customHeight="1" x14ac:dyDescent="0.25">
      <c r="A172" s="31" t="s">
        <v>679</v>
      </c>
      <c r="B172" s="31" t="s">
        <v>146</v>
      </c>
      <c r="C172" s="4" t="s">
        <v>151</v>
      </c>
      <c r="D172" s="4" t="s">
        <v>714</v>
      </c>
      <c r="E172" s="4" t="s">
        <v>318</v>
      </c>
      <c r="F172" s="4" t="s">
        <v>725</v>
      </c>
      <c r="G172" s="4" t="s">
        <v>382</v>
      </c>
      <c r="H172" s="4" t="s">
        <v>726</v>
      </c>
      <c r="I172" s="31">
        <v>60</v>
      </c>
      <c r="J172" s="4">
        <f t="shared" si="12"/>
        <v>81.180000000000007</v>
      </c>
      <c r="K172" s="4" t="s">
        <v>383</v>
      </c>
    </row>
    <row r="173" spans="1:11" ht="10.5" customHeight="1" x14ac:dyDescent="0.25">
      <c r="A173" s="31" t="s">
        <v>679</v>
      </c>
      <c r="B173" s="31" t="s">
        <v>146</v>
      </c>
      <c r="C173" s="4" t="s">
        <v>151</v>
      </c>
      <c r="D173" s="4" t="s">
        <v>714</v>
      </c>
      <c r="E173" s="4" t="s">
        <v>318</v>
      </c>
      <c r="F173" s="4" t="s">
        <v>727</v>
      </c>
      <c r="G173" s="4" t="s">
        <v>382</v>
      </c>
      <c r="H173" s="4" t="s">
        <v>728</v>
      </c>
      <c r="I173" s="31">
        <v>60</v>
      </c>
      <c r="J173" s="4">
        <f t="shared" si="12"/>
        <v>81.180000000000007</v>
      </c>
      <c r="K173" s="4" t="s">
        <v>383</v>
      </c>
    </row>
    <row r="174" spans="1:11" ht="10.5" customHeight="1" x14ac:dyDescent="0.25">
      <c r="A174" s="31" t="s">
        <v>679</v>
      </c>
      <c r="B174" s="31" t="s">
        <v>146</v>
      </c>
      <c r="C174" s="4" t="s">
        <v>151</v>
      </c>
      <c r="D174" s="4" t="s">
        <v>714</v>
      </c>
      <c r="E174" s="4" t="s">
        <v>318</v>
      </c>
      <c r="F174" s="4" t="s">
        <v>729</v>
      </c>
      <c r="G174" s="4" t="s">
        <v>382</v>
      </c>
      <c r="H174" s="4" t="s">
        <v>730</v>
      </c>
      <c r="I174" s="31">
        <v>60</v>
      </c>
      <c r="J174" s="4">
        <f t="shared" si="12"/>
        <v>81.180000000000007</v>
      </c>
      <c r="K174" s="4" t="s">
        <v>383</v>
      </c>
    </row>
    <row r="175" spans="1:11" ht="10.5" customHeight="1" x14ac:dyDescent="0.25">
      <c r="A175" s="31" t="s">
        <v>679</v>
      </c>
      <c r="B175" s="31" t="s">
        <v>146</v>
      </c>
      <c r="C175" s="4" t="s">
        <v>151</v>
      </c>
      <c r="D175" s="4" t="s">
        <v>714</v>
      </c>
      <c r="E175" s="4" t="s">
        <v>318</v>
      </c>
      <c r="F175" s="4" t="s">
        <v>731</v>
      </c>
      <c r="G175" s="4" t="s">
        <v>382</v>
      </c>
      <c r="H175" s="4" t="s">
        <v>732</v>
      </c>
      <c r="I175" s="31">
        <v>60</v>
      </c>
      <c r="J175" s="4">
        <f t="shared" si="12"/>
        <v>81.180000000000007</v>
      </c>
      <c r="K175" s="4" t="s">
        <v>383</v>
      </c>
    </row>
    <row r="176" spans="1:11" ht="10.5" customHeight="1" x14ac:dyDescent="0.25">
      <c r="A176" s="31" t="s">
        <v>679</v>
      </c>
      <c r="B176" s="31" t="s">
        <v>146</v>
      </c>
      <c r="C176" s="4" t="s">
        <v>151</v>
      </c>
      <c r="D176" s="4" t="s">
        <v>714</v>
      </c>
      <c r="E176" s="4" t="s">
        <v>318</v>
      </c>
      <c r="F176" s="4" t="s">
        <v>733</v>
      </c>
      <c r="G176" s="4" t="s">
        <v>382</v>
      </c>
      <c r="H176" s="4" t="s">
        <v>734</v>
      </c>
      <c r="I176" s="31">
        <v>60</v>
      </c>
      <c r="J176" s="4">
        <f t="shared" si="12"/>
        <v>81.180000000000007</v>
      </c>
      <c r="K176" s="4" t="s">
        <v>383</v>
      </c>
    </row>
    <row r="177" spans="1:11" ht="10.5" customHeight="1" x14ac:dyDescent="0.25">
      <c r="A177" s="31" t="s">
        <v>679</v>
      </c>
      <c r="B177" s="31" t="s">
        <v>146</v>
      </c>
      <c r="C177" s="4" t="s">
        <v>151</v>
      </c>
      <c r="D177" s="4" t="s">
        <v>714</v>
      </c>
      <c r="E177" s="4" t="s">
        <v>318</v>
      </c>
      <c r="F177" s="4" t="s">
        <v>735</v>
      </c>
      <c r="G177" s="4" t="s">
        <v>382</v>
      </c>
      <c r="H177" s="4" t="s">
        <v>736</v>
      </c>
      <c r="I177" s="31">
        <v>60</v>
      </c>
      <c r="J177" s="4">
        <f t="shared" si="12"/>
        <v>81.180000000000007</v>
      </c>
      <c r="K177" s="4" t="s">
        <v>383</v>
      </c>
    </row>
    <row r="178" spans="1:11" ht="10.5" customHeight="1" x14ac:dyDescent="0.25">
      <c r="A178" s="31" t="s">
        <v>679</v>
      </c>
      <c r="B178" s="31" t="s">
        <v>146</v>
      </c>
      <c r="C178" s="4" t="s">
        <v>151</v>
      </c>
      <c r="D178" s="4" t="s">
        <v>714</v>
      </c>
      <c r="E178" s="4" t="s">
        <v>318</v>
      </c>
      <c r="F178" s="4" t="s">
        <v>737</v>
      </c>
      <c r="G178" s="4" t="s">
        <v>382</v>
      </c>
      <c r="H178" s="4" t="s">
        <v>738</v>
      </c>
      <c r="I178" s="31">
        <v>60</v>
      </c>
      <c r="J178" s="4">
        <f>(10*18*410)/1000</f>
        <v>73.8</v>
      </c>
      <c r="K178" s="4" t="s">
        <v>383</v>
      </c>
    </row>
    <row r="179" spans="1:11" ht="10.5" customHeight="1" x14ac:dyDescent="0.25">
      <c r="A179" s="31" t="s">
        <v>679</v>
      </c>
      <c r="B179" s="31" t="s">
        <v>146</v>
      </c>
      <c r="C179" s="4" t="s">
        <v>151</v>
      </c>
      <c r="D179" s="4" t="s">
        <v>714</v>
      </c>
      <c r="E179" s="4" t="s">
        <v>318</v>
      </c>
      <c r="F179" s="4" t="s">
        <v>739</v>
      </c>
      <c r="G179" s="4" t="s">
        <v>382</v>
      </c>
      <c r="H179" s="4" t="s">
        <v>740</v>
      </c>
      <c r="I179" s="31">
        <v>60</v>
      </c>
      <c r="J179" s="4">
        <f>(10*18*410)/1000</f>
        <v>73.8</v>
      </c>
      <c r="K179" s="4" t="s">
        <v>383</v>
      </c>
    </row>
    <row r="180" spans="1:11" ht="10.5" customHeight="1" x14ac:dyDescent="0.25">
      <c r="A180" s="31" t="s">
        <v>679</v>
      </c>
      <c r="B180" s="31" t="s">
        <v>146</v>
      </c>
      <c r="C180" s="4" t="s">
        <v>151</v>
      </c>
      <c r="D180" s="4" t="s">
        <v>714</v>
      </c>
      <c r="E180" s="4" t="s">
        <v>318</v>
      </c>
      <c r="F180" s="4" t="s">
        <v>741</v>
      </c>
      <c r="G180" s="4" t="s">
        <v>382</v>
      </c>
      <c r="H180" s="4" t="s">
        <v>742</v>
      </c>
      <c r="I180" s="31">
        <v>60</v>
      </c>
      <c r="J180" s="4">
        <f t="shared" ref="J180:J181" si="13">(10*18*410)/1000</f>
        <v>73.8</v>
      </c>
      <c r="K180" s="4" t="s">
        <v>383</v>
      </c>
    </row>
    <row r="181" spans="1:11" ht="10.5" customHeight="1" x14ac:dyDescent="0.25">
      <c r="A181" s="31" t="s">
        <v>679</v>
      </c>
      <c r="B181" s="31" t="s">
        <v>146</v>
      </c>
      <c r="C181" s="4" t="s">
        <v>151</v>
      </c>
      <c r="D181" s="4" t="s">
        <v>714</v>
      </c>
      <c r="E181" s="4" t="s">
        <v>318</v>
      </c>
      <c r="F181" s="4" t="s">
        <v>743</v>
      </c>
      <c r="G181" s="4" t="s">
        <v>382</v>
      </c>
      <c r="H181" s="4" t="s">
        <v>744</v>
      </c>
      <c r="I181" s="31">
        <v>60</v>
      </c>
      <c r="J181" s="4">
        <f t="shared" si="13"/>
        <v>73.8</v>
      </c>
      <c r="K181" s="4" t="s">
        <v>383</v>
      </c>
    </row>
    <row r="182" spans="1:11" ht="10.5" customHeight="1" x14ac:dyDescent="0.25">
      <c r="A182" s="31" t="s">
        <v>679</v>
      </c>
      <c r="B182" s="31" t="s">
        <v>146</v>
      </c>
      <c r="C182" s="4" t="s">
        <v>151</v>
      </c>
      <c r="D182" s="4" t="s">
        <v>714</v>
      </c>
      <c r="E182" s="4" t="s">
        <v>318</v>
      </c>
      <c r="F182" s="4" t="s">
        <v>745</v>
      </c>
      <c r="G182" s="4" t="s">
        <v>382</v>
      </c>
      <c r="H182" s="4" t="s">
        <v>746</v>
      </c>
      <c r="I182" s="31">
        <v>60</v>
      </c>
      <c r="J182" s="4">
        <f>(10*18*410)/1000</f>
        <v>73.8</v>
      </c>
      <c r="K182" s="4" t="s">
        <v>383</v>
      </c>
    </row>
    <row r="183" spans="1:11" ht="10.5" customHeight="1" x14ac:dyDescent="0.25">
      <c r="A183" s="31" t="s">
        <v>679</v>
      </c>
      <c r="B183" s="31" t="s">
        <v>146</v>
      </c>
      <c r="C183" s="4" t="s">
        <v>151</v>
      </c>
      <c r="D183" s="4" t="s">
        <v>714</v>
      </c>
      <c r="E183" s="4" t="s">
        <v>318</v>
      </c>
      <c r="F183" s="4" t="s">
        <v>747</v>
      </c>
      <c r="G183" s="4" t="s">
        <v>394</v>
      </c>
      <c r="H183" s="4" t="s">
        <v>748</v>
      </c>
      <c r="I183" s="31">
        <v>40</v>
      </c>
      <c r="J183" s="4">
        <f>(7*18*410)/1000</f>
        <v>51.66</v>
      </c>
      <c r="K183" s="4" t="s">
        <v>383</v>
      </c>
    </row>
    <row r="184" spans="1:11" ht="10.5" customHeight="1" x14ac:dyDescent="0.25">
      <c r="A184" s="31" t="s">
        <v>679</v>
      </c>
      <c r="B184" s="31" t="s">
        <v>146</v>
      </c>
      <c r="C184" s="4" t="s">
        <v>153</v>
      </c>
      <c r="D184" s="4" t="s">
        <v>749</v>
      </c>
      <c r="E184" s="4" t="s">
        <v>318</v>
      </c>
      <c r="F184" s="4" t="s">
        <v>750</v>
      </c>
      <c r="G184" s="4" t="s">
        <v>382</v>
      </c>
      <c r="H184" s="4" t="s">
        <v>751</v>
      </c>
      <c r="I184" s="31">
        <v>60</v>
      </c>
      <c r="J184" s="4">
        <f>(11*18*405)/1000</f>
        <v>80.19</v>
      </c>
      <c r="K184" s="4" t="s">
        <v>383</v>
      </c>
    </row>
    <row r="185" spans="1:11" ht="10.5" customHeight="1" x14ac:dyDescent="0.25">
      <c r="A185" s="31" t="s">
        <v>679</v>
      </c>
      <c r="B185" s="31" t="s">
        <v>146</v>
      </c>
      <c r="C185" s="4" t="s">
        <v>153</v>
      </c>
      <c r="D185" s="4" t="s">
        <v>749</v>
      </c>
      <c r="E185" s="4" t="s">
        <v>318</v>
      </c>
      <c r="F185" s="4" t="s">
        <v>752</v>
      </c>
      <c r="G185" s="4" t="s">
        <v>382</v>
      </c>
      <c r="H185" s="4" t="s">
        <v>753</v>
      </c>
      <c r="I185" s="31">
        <v>60</v>
      </c>
      <c r="J185" s="4">
        <f t="shared" ref="J185:J189" si="14">(11*18*405)/1000</f>
        <v>80.19</v>
      </c>
      <c r="K185" s="4" t="s">
        <v>383</v>
      </c>
    </row>
    <row r="186" spans="1:11" ht="10.5" customHeight="1" x14ac:dyDescent="0.25">
      <c r="A186" s="31" t="s">
        <v>679</v>
      </c>
      <c r="B186" s="31" t="s">
        <v>146</v>
      </c>
      <c r="C186" s="4" t="s">
        <v>153</v>
      </c>
      <c r="D186" s="4" t="s">
        <v>749</v>
      </c>
      <c r="E186" s="4" t="s">
        <v>318</v>
      </c>
      <c r="F186" s="4" t="s">
        <v>754</v>
      </c>
      <c r="G186" s="4" t="s">
        <v>382</v>
      </c>
      <c r="H186" s="4" t="s">
        <v>755</v>
      </c>
      <c r="I186" s="31">
        <v>60</v>
      </c>
      <c r="J186" s="4">
        <f t="shared" si="14"/>
        <v>80.19</v>
      </c>
      <c r="K186" s="4" t="s">
        <v>383</v>
      </c>
    </row>
    <row r="187" spans="1:11" ht="10.5" customHeight="1" x14ac:dyDescent="0.25">
      <c r="A187" s="31" t="s">
        <v>679</v>
      </c>
      <c r="B187" s="31" t="s">
        <v>146</v>
      </c>
      <c r="C187" s="4" t="s">
        <v>153</v>
      </c>
      <c r="D187" s="4" t="s">
        <v>749</v>
      </c>
      <c r="E187" s="4" t="s">
        <v>318</v>
      </c>
      <c r="F187" s="4" t="s">
        <v>756</v>
      </c>
      <c r="G187" s="4" t="s">
        <v>382</v>
      </c>
      <c r="H187" s="4" t="s">
        <v>757</v>
      </c>
      <c r="I187" s="31">
        <v>60</v>
      </c>
      <c r="J187" s="4">
        <f t="shared" si="14"/>
        <v>80.19</v>
      </c>
      <c r="K187" s="4" t="s">
        <v>383</v>
      </c>
    </row>
    <row r="188" spans="1:11" ht="10.5" customHeight="1" x14ac:dyDescent="0.25">
      <c r="A188" s="31" t="s">
        <v>679</v>
      </c>
      <c r="B188" s="31" t="s">
        <v>146</v>
      </c>
      <c r="C188" s="4" t="s">
        <v>153</v>
      </c>
      <c r="D188" s="4" t="s">
        <v>749</v>
      </c>
      <c r="E188" s="4" t="s">
        <v>318</v>
      </c>
      <c r="F188" s="4" t="s">
        <v>758</v>
      </c>
      <c r="G188" s="4" t="s">
        <v>382</v>
      </c>
      <c r="H188" s="4" t="s">
        <v>759</v>
      </c>
      <c r="I188" s="31">
        <v>60</v>
      </c>
      <c r="J188" s="4">
        <f t="shared" si="14"/>
        <v>80.19</v>
      </c>
      <c r="K188" s="4" t="s">
        <v>383</v>
      </c>
    </row>
    <row r="189" spans="1:11" ht="10.5" customHeight="1" x14ac:dyDescent="0.25">
      <c r="A189" s="31" t="s">
        <v>679</v>
      </c>
      <c r="B189" s="31" t="s">
        <v>146</v>
      </c>
      <c r="C189" s="4" t="s">
        <v>153</v>
      </c>
      <c r="D189" s="4" t="s">
        <v>749</v>
      </c>
      <c r="E189" s="4" t="s">
        <v>318</v>
      </c>
      <c r="F189" s="4" t="s">
        <v>760</v>
      </c>
      <c r="G189" s="4" t="s">
        <v>382</v>
      </c>
      <c r="H189" s="4" t="s">
        <v>761</v>
      </c>
      <c r="I189" s="31">
        <v>60</v>
      </c>
      <c r="J189" s="4">
        <f t="shared" si="14"/>
        <v>80.19</v>
      </c>
      <c r="K189" s="4" t="s">
        <v>383</v>
      </c>
    </row>
    <row r="190" spans="1:11" ht="10.5" customHeight="1" x14ac:dyDescent="0.25">
      <c r="A190" s="31" t="s">
        <v>679</v>
      </c>
      <c r="B190" s="31" t="s">
        <v>146</v>
      </c>
      <c r="C190" s="4" t="s">
        <v>153</v>
      </c>
      <c r="D190" s="4" t="s">
        <v>749</v>
      </c>
      <c r="E190" s="4" t="s">
        <v>318</v>
      </c>
      <c r="F190" s="4" t="s">
        <v>762</v>
      </c>
      <c r="G190" s="4" t="s">
        <v>382</v>
      </c>
      <c r="H190" s="4" t="s">
        <v>763</v>
      </c>
      <c r="I190" s="31">
        <v>60</v>
      </c>
      <c r="J190" s="4">
        <f>(10*18*405)/1000</f>
        <v>72.900000000000006</v>
      </c>
      <c r="K190" s="4" t="s">
        <v>383</v>
      </c>
    </row>
    <row r="191" spans="1:11" ht="10.5" customHeight="1" x14ac:dyDescent="0.25">
      <c r="A191" s="31" t="s">
        <v>679</v>
      </c>
      <c r="B191" s="31" t="s">
        <v>146</v>
      </c>
      <c r="C191" s="4" t="s">
        <v>153</v>
      </c>
      <c r="D191" s="4" t="s">
        <v>749</v>
      </c>
      <c r="E191" s="4" t="s">
        <v>318</v>
      </c>
      <c r="F191" s="4" t="s">
        <v>764</v>
      </c>
      <c r="G191" s="4" t="s">
        <v>394</v>
      </c>
      <c r="H191" s="4" t="s">
        <v>765</v>
      </c>
      <c r="I191" s="31">
        <v>40</v>
      </c>
      <c r="J191" s="4">
        <f>(7*18*405)/1000</f>
        <v>51.03</v>
      </c>
      <c r="K191" s="4" t="s">
        <v>383</v>
      </c>
    </row>
    <row r="192" spans="1:11" ht="10.5" customHeight="1" x14ac:dyDescent="0.25">
      <c r="A192" s="31" t="s">
        <v>679</v>
      </c>
      <c r="B192" s="31" t="s">
        <v>146</v>
      </c>
      <c r="C192" s="4" t="s">
        <v>153</v>
      </c>
      <c r="D192" s="4" t="s">
        <v>749</v>
      </c>
      <c r="E192" s="4" t="s">
        <v>318</v>
      </c>
      <c r="F192" s="4" t="s">
        <v>766</v>
      </c>
      <c r="G192" s="4" t="s">
        <v>394</v>
      </c>
      <c r="H192" s="4" t="s">
        <v>767</v>
      </c>
      <c r="I192" s="31">
        <v>40</v>
      </c>
      <c r="J192" s="4">
        <f>(7*18*405)/1000</f>
        <v>51.03</v>
      </c>
      <c r="K192" s="4" t="s">
        <v>383</v>
      </c>
    </row>
    <row r="193" spans="1:11" ht="10.5" customHeight="1" x14ac:dyDescent="0.25">
      <c r="A193" s="31" t="s">
        <v>768</v>
      </c>
      <c r="B193" s="31" t="s">
        <v>769</v>
      </c>
      <c r="C193" s="4" t="s">
        <v>173</v>
      </c>
      <c r="D193" s="4" t="s">
        <v>770</v>
      </c>
      <c r="E193" s="4" t="s">
        <v>318</v>
      </c>
      <c r="F193" s="4" t="s">
        <v>771</v>
      </c>
      <c r="G193" s="4" t="s">
        <v>394</v>
      </c>
      <c r="H193" s="4" t="s">
        <v>772</v>
      </c>
      <c r="I193" s="31">
        <v>40</v>
      </c>
      <c r="J193" s="4">
        <f>(6*16*540)/1000</f>
        <v>51.84</v>
      </c>
      <c r="K193" s="4" t="s">
        <v>383</v>
      </c>
    </row>
    <row r="194" spans="1:11" ht="10.5" customHeight="1" x14ac:dyDescent="0.25">
      <c r="A194" s="31" t="s">
        <v>768</v>
      </c>
      <c r="B194" s="31" t="s">
        <v>769</v>
      </c>
      <c r="C194" s="4" t="s">
        <v>173</v>
      </c>
      <c r="D194" s="4" t="s">
        <v>770</v>
      </c>
      <c r="E194" s="4" t="s">
        <v>318</v>
      </c>
      <c r="F194" s="4" t="s">
        <v>773</v>
      </c>
      <c r="G194" s="4" t="s">
        <v>394</v>
      </c>
      <c r="H194" s="4" t="s">
        <v>774</v>
      </c>
      <c r="I194" s="31">
        <v>40</v>
      </c>
      <c r="J194" s="4">
        <f>(6*16*540)/1000</f>
        <v>51.84</v>
      </c>
      <c r="K194" s="4" t="s">
        <v>383</v>
      </c>
    </row>
    <row r="195" spans="1:11" ht="10.5" customHeight="1" x14ac:dyDescent="0.25">
      <c r="A195" s="31" t="s">
        <v>768</v>
      </c>
      <c r="B195" s="31" t="s">
        <v>769</v>
      </c>
      <c r="C195" s="4" t="s">
        <v>180</v>
      </c>
      <c r="D195" s="4" t="s">
        <v>770</v>
      </c>
      <c r="E195" s="4" t="s">
        <v>318</v>
      </c>
      <c r="F195" s="4" t="s">
        <v>775</v>
      </c>
      <c r="G195" s="4" t="s">
        <v>512</v>
      </c>
      <c r="H195" s="4" t="s">
        <v>776</v>
      </c>
      <c r="I195" s="31">
        <v>75</v>
      </c>
      <c r="J195" s="4">
        <f t="shared" ref="J195:J202" si="15">(9*20*540)/1000</f>
        <v>97.2</v>
      </c>
      <c r="K195" s="4" t="s">
        <v>383</v>
      </c>
    </row>
    <row r="196" spans="1:11" ht="10.5" customHeight="1" x14ac:dyDescent="0.25">
      <c r="A196" s="31" t="s">
        <v>768</v>
      </c>
      <c r="B196" s="31" t="s">
        <v>769</v>
      </c>
      <c r="C196" s="4" t="s">
        <v>180</v>
      </c>
      <c r="D196" s="4" t="s">
        <v>770</v>
      </c>
      <c r="E196" s="4" t="s">
        <v>318</v>
      </c>
      <c r="F196" s="4" t="s">
        <v>777</v>
      </c>
      <c r="G196" s="4" t="s">
        <v>512</v>
      </c>
      <c r="H196" s="4" t="s">
        <v>778</v>
      </c>
      <c r="I196" s="31">
        <v>75</v>
      </c>
      <c r="J196" s="4">
        <f t="shared" si="15"/>
        <v>97.2</v>
      </c>
      <c r="K196" s="4" t="s">
        <v>383</v>
      </c>
    </row>
    <row r="197" spans="1:11" ht="10.5" customHeight="1" x14ac:dyDescent="0.25">
      <c r="A197" s="31" t="s">
        <v>768</v>
      </c>
      <c r="B197" s="31" t="s">
        <v>769</v>
      </c>
      <c r="C197" s="4" t="s">
        <v>180</v>
      </c>
      <c r="D197" s="4" t="s">
        <v>770</v>
      </c>
      <c r="E197" s="4" t="s">
        <v>318</v>
      </c>
      <c r="F197" s="4" t="s">
        <v>779</v>
      </c>
      <c r="G197" s="4" t="s">
        <v>512</v>
      </c>
      <c r="H197" s="4" t="s">
        <v>780</v>
      </c>
      <c r="I197" s="31">
        <v>75</v>
      </c>
      <c r="J197" s="4">
        <f t="shared" si="15"/>
        <v>97.2</v>
      </c>
      <c r="K197" s="4" t="s">
        <v>383</v>
      </c>
    </row>
    <row r="198" spans="1:11" ht="10.5" customHeight="1" x14ac:dyDescent="0.25">
      <c r="A198" s="31" t="s">
        <v>768</v>
      </c>
      <c r="B198" s="31" t="s">
        <v>769</v>
      </c>
      <c r="C198" s="4" t="s">
        <v>180</v>
      </c>
      <c r="D198" s="4" t="s">
        <v>770</v>
      </c>
      <c r="E198" s="4" t="s">
        <v>318</v>
      </c>
      <c r="F198" s="4" t="s">
        <v>781</v>
      </c>
      <c r="G198" s="4" t="s">
        <v>512</v>
      </c>
      <c r="H198" s="4" t="s">
        <v>782</v>
      </c>
      <c r="I198" s="31">
        <v>75</v>
      </c>
      <c r="J198" s="4">
        <f t="shared" si="15"/>
        <v>97.2</v>
      </c>
      <c r="K198" s="4" t="s">
        <v>383</v>
      </c>
    </row>
    <row r="199" spans="1:11" ht="10.5" customHeight="1" x14ac:dyDescent="0.25">
      <c r="A199" s="31" t="s">
        <v>768</v>
      </c>
      <c r="B199" s="31" t="s">
        <v>769</v>
      </c>
      <c r="C199" s="4" t="s">
        <v>182</v>
      </c>
      <c r="D199" s="4" t="s">
        <v>770</v>
      </c>
      <c r="E199" s="4" t="s">
        <v>318</v>
      </c>
      <c r="F199" s="4" t="s">
        <v>783</v>
      </c>
      <c r="G199" s="4" t="s">
        <v>512</v>
      </c>
      <c r="H199" s="4" t="s">
        <v>784</v>
      </c>
      <c r="I199" s="31">
        <v>75</v>
      </c>
      <c r="J199" s="4">
        <f t="shared" si="15"/>
        <v>97.2</v>
      </c>
      <c r="K199" s="4" t="s">
        <v>383</v>
      </c>
    </row>
    <row r="200" spans="1:11" ht="10.5" customHeight="1" x14ac:dyDescent="0.25">
      <c r="A200" s="31" t="s">
        <v>768</v>
      </c>
      <c r="B200" s="31" t="s">
        <v>769</v>
      </c>
      <c r="C200" s="4" t="s">
        <v>182</v>
      </c>
      <c r="D200" s="4" t="s">
        <v>770</v>
      </c>
      <c r="E200" s="4" t="s">
        <v>318</v>
      </c>
      <c r="F200" s="4" t="s">
        <v>785</v>
      </c>
      <c r="G200" s="4" t="s">
        <v>512</v>
      </c>
      <c r="H200" s="4" t="s">
        <v>786</v>
      </c>
      <c r="I200" s="31">
        <v>75</v>
      </c>
      <c r="J200" s="4">
        <f t="shared" si="15"/>
        <v>97.2</v>
      </c>
      <c r="K200" s="4" t="s">
        <v>383</v>
      </c>
    </row>
    <row r="201" spans="1:11" ht="10.5" customHeight="1" x14ac:dyDescent="0.25">
      <c r="A201" s="31" t="s">
        <v>768</v>
      </c>
      <c r="B201" s="31" t="s">
        <v>769</v>
      </c>
      <c r="C201" s="4" t="s">
        <v>182</v>
      </c>
      <c r="D201" s="4" t="s">
        <v>770</v>
      </c>
      <c r="E201" s="4" t="s">
        <v>318</v>
      </c>
      <c r="F201" s="4" t="s">
        <v>787</v>
      </c>
      <c r="G201" s="4" t="s">
        <v>512</v>
      </c>
      <c r="H201" s="4" t="s">
        <v>788</v>
      </c>
      <c r="I201" s="31">
        <v>75</v>
      </c>
      <c r="J201" s="4">
        <f t="shared" si="15"/>
        <v>97.2</v>
      </c>
      <c r="K201" s="4" t="s">
        <v>383</v>
      </c>
    </row>
    <row r="202" spans="1:11" ht="10.5" customHeight="1" x14ac:dyDescent="0.25">
      <c r="A202" s="31" t="s">
        <v>768</v>
      </c>
      <c r="B202" s="31" t="s">
        <v>769</v>
      </c>
      <c r="C202" s="4" t="s">
        <v>182</v>
      </c>
      <c r="D202" s="4" t="s">
        <v>770</v>
      </c>
      <c r="E202" s="4" t="s">
        <v>318</v>
      </c>
      <c r="F202" s="4" t="s">
        <v>789</v>
      </c>
      <c r="G202" s="4" t="s">
        <v>512</v>
      </c>
      <c r="H202" s="4" t="s">
        <v>790</v>
      </c>
      <c r="I202" s="31">
        <v>75</v>
      </c>
      <c r="J202" s="4">
        <f t="shared" si="15"/>
        <v>97.2</v>
      </c>
      <c r="K202" s="4" t="s">
        <v>383</v>
      </c>
    </row>
    <row r="203" spans="1:11" ht="10.5" customHeight="1" x14ac:dyDescent="0.25">
      <c r="A203" s="31" t="s">
        <v>450</v>
      </c>
      <c r="B203" s="43" t="s">
        <v>91</v>
      </c>
      <c r="C203" s="7" t="s">
        <v>91</v>
      </c>
      <c r="D203" s="4" t="s">
        <v>791</v>
      </c>
      <c r="E203" s="4" t="s">
        <v>318</v>
      </c>
      <c r="F203" s="4" t="s">
        <v>382</v>
      </c>
      <c r="G203" s="4" t="s">
        <v>382</v>
      </c>
      <c r="H203" s="4" t="s">
        <v>792</v>
      </c>
      <c r="I203" s="31">
        <v>60</v>
      </c>
      <c r="J203" s="4">
        <f>(9*18*445)/1000</f>
        <v>72.09</v>
      </c>
      <c r="K203" s="4" t="s">
        <v>383</v>
      </c>
    </row>
    <row r="204" spans="1:11" ht="10.5" customHeight="1" x14ac:dyDescent="0.25">
      <c r="A204" s="31" t="s">
        <v>450</v>
      </c>
      <c r="B204" s="43" t="s">
        <v>91</v>
      </c>
      <c r="C204" s="7" t="s">
        <v>91</v>
      </c>
      <c r="D204" s="4" t="s">
        <v>791</v>
      </c>
      <c r="E204" s="4" t="s">
        <v>793</v>
      </c>
      <c r="F204" s="4" t="s">
        <v>794</v>
      </c>
      <c r="G204" s="4" t="s">
        <v>795</v>
      </c>
      <c r="H204" s="4">
        <v>1730136741</v>
      </c>
      <c r="I204" s="31">
        <v>50</v>
      </c>
      <c r="J204" s="4">
        <f>(10*14*445)/1000</f>
        <v>62.3</v>
      </c>
      <c r="K204" s="4" t="s">
        <v>383</v>
      </c>
    </row>
    <row r="205" spans="1:11" ht="10.5" customHeight="1" x14ac:dyDescent="0.25">
      <c r="A205" s="31" t="s">
        <v>450</v>
      </c>
      <c r="B205" s="43" t="s">
        <v>91</v>
      </c>
      <c r="C205" s="7" t="s">
        <v>91</v>
      </c>
      <c r="D205" s="4" t="s">
        <v>791</v>
      </c>
      <c r="E205" s="4" t="s">
        <v>793</v>
      </c>
      <c r="F205" s="4" t="s">
        <v>190</v>
      </c>
      <c r="G205" s="4" t="s">
        <v>795</v>
      </c>
      <c r="H205" s="4">
        <v>1730136739</v>
      </c>
      <c r="I205" s="31">
        <v>50</v>
      </c>
      <c r="J205" s="4">
        <f>(12*16*330)/1000</f>
        <v>63.36</v>
      </c>
      <c r="K205" s="4" t="s">
        <v>383</v>
      </c>
    </row>
    <row r="206" spans="1:11" ht="10.5" customHeight="1" x14ac:dyDescent="0.25">
      <c r="A206" s="31" t="s">
        <v>450</v>
      </c>
      <c r="B206" s="43" t="s">
        <v>91</v>
      </c>
      <c r="C206" s="7" t="s">
        <v>91</v>
      </c>
      <c r="D206" s="7" t="s">
        <v>791</v>
      </c>
      <c r="E206" s="4" t="s">
        <v>793</v>
      </c>
      <c r="F206" s="4" t="s">
        <v>796</v>
      </c>
      <c r="G206" s="4" t="s">
        <v>795</v>
      </c>
      <c r="H206" s="4">
        <v>1730136744</v>
      </c>
      <c r="I206" s="31">
        <v>50</v>
      </c>
      <c r="J206" s="4">
        <f t="shared" ref="J206:J214" si="16">(11*18*330)/1000</f>
        <v>65.34</v>
      </c>
      <c r="K206" s="4" t="s">
        <v>383</v>
      </c>
    </row>
    <row r="207" spans="1:11" ht="10.5" customHeight="1" x14ac:dyDescent="0.25">
      <c r="A207" s="31" t="s">
        <v>450</v>
      </c>
      <c r="B207" s="43" t="s">
        <v>91</v>
      </c>
      <c r="C207" s="7" t="s">
        <v>91</v>
      </c>
      <c r="D207" s="7" t="s">
        <v>791</v>
      </c>
      <c r="E207" s="4" t="s">
        <v>793</v>
      </c>
      <c r="F207" s="4" t="s">
        <v>202</v>
      </c>
      <c r="G207" s="4" t="s">
        <v>795</v>
      </c>
      <c r="H207" s="4">
        <v>1730136745</v>
      </c>
      <c r="I207" s="31">
        <v>50</v>
      </c>
      <c r="J207" s="4">
        <f t="shared" si="16"/>
        <v>65.34</v>
      </c>
      <c r="K207" s="4" t="s">
        <v>383</v>
      </c>
    </row>
    <row r="208" spans="1:11" ht="10.5" customHeight="1" x14ac:dyDescent="0.25">
      <c r="A208" s="31" t="s">
        <v>450</v>
      </c>
      <c r="B208" s="43" t="s">
        <v>91</v>
      </c>
      <c r="C208" s="7" t="s">
        <v>91</v>
      </c>
      <c r="D208" s="7" t="s">
        <v>791</v>
      </c>
      <c r="E208" s="4" t="s">
        <v>793</v>
      </c>
      <c r="F208" s="4" t="s">
        <v>231</v>
      </c>
      <c r="G208" s="4" t="s">
        <v>795</v>
      </c>
      <c r="H208" s="4">
        <v>1730136752</v>
      </c>
      <c r="I208" s="31">
        <v>50</v>
      </c>
      <c r="J208" s="4">
        <f t="shared" si="16"/>
        <v>65.34</v>
      </c>
      <c r="K208" s="4" t="s">
        <v>383</v>
      </c>
    </row>
    <row r="209" spans="1:11" ht="10.5" customHeight="1" x14ac:dyDescent="0.25">
      <c r="A209" s="31" t="s">
        <v>450</v>
      </c>
      <c r="B209" s="43" t="s">
        <v>91</v>
      </c>
      <c r="C209" s="7" t="s">
        <v>91</v>
      </c>
      <c r="D209" s="7" t="s">
        <v>791</v>
      </c>
      <c r="E209" s="4" t="s">
        <v>793</v>
      </c>
      <c r="F209" s="4" t="s">
        <v>145</v>
      </c>
      <c r="G209" s="4" t="s">
        <v>795</v>
      </c>
      <c r="H209" s="4">
        <v>1730136755</v>
      </c>
      <c r="I209" s="31">
        <v>50</v>
      </c>
      <c r="J209" s="4">
        <f t="shared" si="16"/>
        <v>65.34</v>
      </c>
      <c r="K209" s="4" t="s">
        <v>383</v>
      </c>
    </row>
    <row r="210" spans="1:11" ht="10.5" customHeight="1" x14ac:dyDescent="0.25">
      <c r="A210" s="31" t="s">
        <v>450</v>
      </c>
      <c r="B210" s="43" t="s">
        <v>91</v>
      </c>
      <c r="C210" s="7" t="s">
        <v>91</v>
      </c>
      <c r="D210" s="7" t="s">
        <v>791</v>
      </c>
      <c r="E210" s="4" t="s">
        <v>793</v>
      </c>
      <c r="F210" s="4" t="s">
        <v>157</v>
      </c>
      <c r="G210" s="4" t="s">
        <v>795</v>
      </c>
      <c r="H210" s="4">
        <v>1730136747</v>
      </c>
      <c r="I210" s="31">
        <v>50</v>
      </c>
      <c r="J210" s="4">
        <f t="shared" si="16"/>
        <v>65.34</v>
      </c>
      <c r="K210" s="4" t="s">
        <v>383</v>
      </c>
    </row>
    <row r="211" spans="1:11" ht="10.5" customHeight="1" x14ac:dyDescent="0.25">
      <c r="A211" s="31" t="s">
        <v>450</v>
      </c>
      <c r="B211" s="43" t="s">
        <v>91</v>
      </c>
      <c r="C211" s="7" t="s">
        <v>91</v>
      </c>
      <c r="D211" s="7" t="s">
        <v>791</v>
      </c>
      <c r="E211" s="4" t="s">
        <v>793</v>
      </c>
      <c r="F211" s="4" t="s">
        <v>66</v>
      </c>
      <c r="G211" s="4" t="s">
        <v>795</v>
      </c>
      <c r="H211" s="4">
        <v>1730136749</v>
      </c>
      <c r="I211" s="31">
        <v>50</v>
      </c>
      <c r="J211" s="4">
        <f t="shared" si="16"/>
        <v>65.34</v>
      </c>
      <c r="K211" s="4" t="s">
        <v>383</v>
      </c>
    </row>
    <row r="212" spans="1:11" ht="10.5" customHeight="1" x14ac:dyDescent="0.25">
      <c r="A212" s="31" t="s">
        <v>450</v>
      </c>
      <c r="B212" s="43" t="s">
        <v>91</v>
      </c>
      <c r="C212" s="7" t="s">
        <v>91</v>
      </c>
      <c r="D212" s="7" t="s">
        <v>791</v>
      </c>
      <c r="E212" s="4" t="s">
        <v>793</v>
      </c>
      <c r="F212" s="4" t="s">
        <v>60</v>
      </c>
      <c r="G212" s="4" t="s">
        <v>795</v>
      </c>
      <c r="H212" s="4">
        <v>1730136748</v>
      </c>
      <c r="I212" s="31">
        <v>50</v>
      </c>
      <c r="J212" s="4">
        <f t="shared" si="16"/>
        <v>65.34</v>
      </c>
      <c r="K212" s="4" t="s">
        <v>383</v>
      </c>
    </row>
    <row r="213" spans="1:11" ht="10.5" customHeight="1" x14ac:dyDescent="0.25">
      <c r="A213" s="31" t="s">
        <v>450</v>
      </c>
      <c r="B213" s="43" t="s">
        <v>91</v>
      </c>
      <c r="C213" s="7" t="s">
        <v>91</v>
      </c>
      <c r="D213" s="7" t="s">
        <v>791</v>
      </c>
      <c r="E213" s="4" t="s">
        <v>793</v>
      </c>
      <c r="F213" s="4" t="s">
        <v>275</v>
      </c>
      <c r="G213" s="4" t="s">
        <v>795</v>
      </c>
      <c r="H213" s="4">
        <v>1730136751</v>
      </c>
      <c r="I213" s="31">
        <v>50</v>
      </c>
      <c r="J213" s="4">
        <f t="shared" si="16"/>
        <v>65.34</v>
      </c>
      <c r="K213" s="4" t="s">
        <v>383</v>
      </c>
    </row>
    <row r="214" spans="1:11" ht="10.5" customHeight="1" x14ac:dyDescent="0.25">
      <c r="A214" s="31" t="s">
        <v>450</v>
      </c>
      <c r="B214" s="43" t="s">
        <v>91</v>
      </c>
      <c r="C214" s="7" t="s">
        <v>91</v>
      </c>
      <c r="D214" s="7" t="s">
        <v>791</v>
      </c>
      <c r="E214" s="4" t="s">
        <v>793</v>
      </c>
      <c r="F214" s="4" t="s">
        <v>235</v>
      </c>
      <c r="G214" s="4" t="s">
        <v>795</v>
      </c>
      <c r="H214" s="4">
        <v>1730136743</v>
      </c>
      <c r="I214" s="31">
        <v>50</v>
      </c>
      <c r="J214" s="4">
        <f t="shared" si="16"/>
        <v>65.34</v>
      </c>
      <c r="K214" s="4" t="s">
        <v>383</v>
      </c>
    </row>
    <row r="215" spans="1:11" ht="10.5" customHeight="1" x14ac:dyDescent="0.25">
      <c r="A215" s="31" t="s">
        <v>450</v>
      </c>
      <c r="B215" s="43" t="s">
        <v>797</v>
      </c>
      <c r="C215" s="7" t="s">
        <v>797</v>
      </c>
      <c r="D215" s="7" t="s">
        <v>797</v>
      </c>
      <c r="E215" s="4" t="s">
        <v>355</v>
      </c>
      <c r="F215" s="4" t="s">
        <v>798</v>
      </c>
      <c r="G215" s="4" t="s">
        <v>799</v>
      </c>
      <c r="H215" s="4" t="s">
        <v>800</v>
      </c>
      <c r="I215" s="31">
        <v>200</v>
      </c>
      <c r="J215" s="4">
        <f>(12*31*660)/1000</f>
        <v>245.52</v>
      </c>
      <c r="K215" s="4" t="s">
        <v>383</v>
      </c>
    </row>
    <row r="216" spans="1:11" ht="10.5" customHeight="1" x14ac:dyDescent="0.25">
      <c r="A216" s="31" t="s">
        <v>450</v>
      </c>
      <c r="B216" s="43" t="s">
        <v>797</v>
      </c>
      <c r="C216" s="7" t="s">
        <v>797</v>
      </c>
      <c r="D216" s="7" t="s">
        <v>797</v>
      </c>
      <c r="E216" s="4" t="s">
        <v>355</v>
      </c>
      <c r="F216" s="4" t="s">
        <v>801</v>
      </c>
      <c r="G216" s="4" t="s">
        <v>799</v>
      </c>
      <c r="H216" s="4" t="s">
        <v>802</v>
      </c>
      <c r="I216" s="31">
        <v>200</v>
      </c>
      <c r="J216" s="4">
        <f>(13*31*660)/1000</f>
        <v>265.98</v>
      </c>
      <c r="K216" s="4" t="s">
        <v>383</v>
      </c>
    </row>
    <row r="217" spans="1:11" ht="10.5" customHeight="1" x14ac:dyDescent="0.25">
      <c r="A217" s="31" t="s">
        <v>450</v>
      </c>
      <c r="B217" s="43" t="s">
        <v>797</v>
      </c>
      <c r="C217" s="7" t="s">
        <v>797</v>
      </c>
      <c r="D217" s="7" t="s">
        <v>797</v>
      </c>
      <c r="E217" s="4" t="s">
        <v>355</v>
      </c>
      <c r="F217" s="4" t="s">
        <v>803</v>
      </c>
      <c r="G217" s="4" t="s">
        <v>799</v>
      </c>
      <c r="H217" s="4" t="s">
        <v>804</v>
      </c>
      <c r="I217" s="31">
        <v>200</v>
      </c>
      <c r="J217" s="4">
        <f>(13*31*660)/1000</f>
        <v>265.98</v>
      </c>
      <c r="K217" s="4" t="s">
        <v>383</v>
      </c>
    </row>
    <row r="218" spans="1:11" ht="10.5" customHeight="1" x14ac:dyDescent="0.25">
      <c r="A218" s="31" t="s">
        <v>450</v>
      </c>
      <c r="B218" s="43" t="s">
        <v>797</v>
      </c>
      <c r="C218" s="7" t="s">
        <v>797</v>
      </c>
      <c r="D218" s="7" t="s">
        <v>797</v>
      </c>
      <c r="E218" s="4" t="s">
        <v>355</v>
      </c>
      <c r="F218" s="4" t="s">
        <v>805</v>
      </c>
      <c r="G218" s="4" t="s">
        <v>799</v>
      </c>
      <c r="H218" s="4" t="s">
        <v>806</v>
      </c>
      <c r="I218" s="31">
        <v>200</v>
      </c>
      <c r="J218" s="4">
        <f>(13*31*660)/1000</f>
        <v>265.98</v>
      </c>
      <c r="K218" s="4" t="s">
        <v>383</v>
      </c>
    </row>
    <row r="219" spans="1:11" ht="10.5" customHeight="1" x14ac:dyDescent="0.25">
      <c r="A219" s="31" t="s">
        <v>450</v>
      </c>
      <c r="B219" s="43" t="s">
        <v>797</v>
      </c>
      <c r="C219" s="7" t="s">
        <v>797</v>
      </c>
      <c r="D219" s="7" t="s">
        <v>797</v>
      </c>
      <c r="E219" s="4" t="s">
        <v>355</v>
      </c>
      <c r="F219" s="4" t="s">
        <v>807</v>
      </c>
      <c r="G219" s="4" t="s">
        <v>799</v>
      </c>
      <c r="H219" s="4" t="s">
        <v>808</v>
      </c>
      <c r="I219" s="31">
        <v>200</v>
      </c>
      <c r="J219" s="4">
        <f>(12*31*660)/1000</f>
        <v>245.52</v>
      </c>
      <c r="K219" s="4" t="s">
        <v>383</v>
      </c>
    </row>
    <row r="220" spans="1:11" ht="10.5" customHeight="1" x14ac:dyDescent="0.25">
      <c r="A220" s="31" t="s">
        <v>450</v>
      </c>
      <c r="B220" s="43" t="s">
        <v>809</v>
      </c>
      <c r="C220" s="7" t="s">
        <v>809</v>
      </c>
      <c r="D220" s="7" t="s">
        <v>809</v>
      </c>
      <c r="E220" s="4" t="s">
        <v>355</v>
      </c>
      <c r="F220" s="4" t="s">
        <v>358</v>
      </c>
      <c r="G220" s="4" t="s">
        <v>799</v>
      </c>
      <c r="H220" s="4" t="s">
        <v>810</v>
      </c>
      <c r="I220" s="31">
        <v>200</v>
      </c>
      <c r="J220" s="4">
        <f>(12*31*660)/1000</f>
        <v>245.52</v>
      </c>
      <c r="K220" s="4" t="s">
        <v>383</v>
      </c>
    </row>
    <row r="221" spans="1:11" ht="10.5" customHeight="1" x14ac:dyDescent="0.25">
      <c r="A221" s="31" t="s">
        <v>450</v>
      </c>
      <c r="B221" s="43" t="s">
        <v>809</v>
      </c>
      <c r="C221" s="7" t="s">
        <v>809</v>
      </c>
      <c r="D221" s="7" t="s">
        <v>809</v>
      </c>
      <c r="E221" s="4" t="s">
        <v>355</v>
      </c>
      <c r="F221" s="4" t="s">
        <v>811</v>
      </c>
      <c r="G221" s="4" t="s">
        <v>812</v>
      </c>
      <c r="H221" s="4" t="s">
        <v>813</v>
      </c>
      <c r="I221" s="31">
        <v>100</v>
      </c>
      <c r="J221" s="4">
        <f>(6*31*660)/1000</f>
        <v>122.76</v>
      </c>
      <c r="K221" s="4" t="s">
        <v>383</v>
      </c>
    </row>
    <row r="222" spans="1:11" ht="10.5" customHeight="1" x14ac:dyDescent="0.25">
      <c r="A222" s="31" t="s">
        <v>450</v>
      </c>
      <c r="B222" s="43" t="s">
        <v>809</v>
      </c>
      <c r="C222" s="7" t="s">
        <v>809</v>
      </c>
      <c r="D222" s="7" t="s">
        <v>809</v>
      </c>
      <c r="E222" s="4" t="s">
        <v>355</v>
      </c>
      <c r="F222" s="4" t="s">
        <v>357</v>
      </c>
      <c r="G222" s="4" t="s">
        <v>799</v>
      </c>
      <c r="H222" s="4" t="s">
        <v>814</v>
      </c>
      <c r="I222" s="31">
        <v>200</v>
      </c>
      <c r="J222" s="4">
        <f>(12*31*660)/1000</f>
        <v>245.52</v>
      </c>
      <c r="K222" s="4" t="s">
        <v>383</v>
      </c>
    </row>
    <row r="223" spans="1:11" ht="10.5" customHeight="1" x14ac:dyDescent="0.25">
      <c r="A223" s="31" t="s">
        <v>450</v>
      </c>
      <c r="B223" s="43" t="s">
        <v>815</v>
      </c>
      <c r="C223" s="7" t="s">
        <v>815</v>
      </c>
      <c r="D223" s="7" t="s">
        <v>815</v>
      </c>
      <c r="E223" s="4" t="s">
        <v>355</v>
      </c>
      <c r="F223" s="4" t="s">
        <v>816</v>
      </c>
      <c r="G223" s="4" t="s">
        <v>799</v>
      </c>
      <c r="H223" s="4" t="s">
        <v>817</v>
      </c>
      <c r="I223" s="31">
        <v>200</v>
      </c>
      <c r="J223" s="4">
        <f>(14*31*660)/1000</f>
        <v>286.44</v>
      </c>
      <c r="K223" s="4" t="s">
        <v>383</v>
      </c>
    </row>
    <row r="224" spans="1:11" ht="10.5" customHeight="1" x14ac:dyDescent="0.25">
      <c r="A224" s="31" t="s">
        <v>450</v>
      </c>
      <c r="B224" s="43" t="s">
        <v>815</v>
      </c>
      <c r="C224" s="7" t="s">
        <v>815</v>
      </c>
      <c r="D224" s="7" t="s">
        <v>815</v>
      </c>
      <c r="E224" s="4" t="s">
        <v>355</v>
      </c>
      <c r="F224" s="4" t="s">
        <v>818</v>
      </c>
      <c r="G224" s="4" t="s">
        <v>799</v>
      </c>
      <c r="H224" s="4" t="s">
        <v>819</v>
      </c>
      <c r="I224" s="31">
        <v>200</v>
      </c>
      <c r="J224" s="4">
        <f>(14*31*660)/1000</f>
        <v>286.44</v>
      </c>
      <c r="K224" s="4" t="s">
        <v>383</v>
      </c>
    </row>
    <row r="225" spans="1:11" ht="10.5" customHeight="1" x14ac:dyDescent="0.25">
      <c r="A225" s="31" t="s">
        <v>450</v>
      </c>
      <c r="B225" s="43" t="s">
        <v>815</v>
      </c>
      <c r="C225" s="7" t="s">
        <v>815</v>
      </c>
      <c r="D225" s="7" t="s">
        <v>815</v>
      </c>
      <c r="E225" s="4" t="s">
        <v>355</v>
      </c>
      <c r="F225" s="4" t="s">
        <v>820</v>
      </c>
      <c r="G225" s="4" t="s">
        <v>799</v>
      </c>
      <c r="H225" s="4" t="s">
        <v>821</v>
      </c>
      <c r="I225" s="31">
        <v>200</v>
      </c>
      <c r="J225" s="4">
        <f>(14*31*660)/1000</f>
        <v>286.44</v>
      </c>
      <c r="K225" s="4" t="s">
        <v>383</v>
      </c>
    </row>
    <row r="226" spans="1:11" ht="10.5" customHeight="1" x14ac:dyDescent="0.25">
      <c r="A226" s="31" t="s">
        <v>450</v>
      </c>
      <c r="B226" s="43" t="s">
        <v>815</v>
      </c>
      <c r="C226" s="7" t="s">
        <v>815</v>
      </c>
      <c r="D226" s="7" t="s">
        <v>815</v>
      </c>
      <c r="E226" s="4" t="s">
        <v>355</v>
      </c>
      <c r="F226" s="4" t="s">
        <v>822</v>
      </c>
      <c r="G226" s="4" t="s">
        <v>799</v>
      </c>
      <c r="H226" s="4" t="s">
        <v>823</v>
      </c>
      <c r="I226" s="31">
        <v>200</v>
      </c>
      <c r="J226" s="4">
        <f>(13*31*660)/1000</f>
        <v>265.98</v>
      </c>
      <c r="K226" s="4" t="s">
        <v>383</v>
      </c>
    </row>
    <row r="227" spans="1:11" ht="10.5" customHeight="1" x14ac:dyDescent="0.25">
      <c r="A227" s="31" t="s">
        <v>450</v>
      </c>
      <c r="B227" s="43" t="s">
        <v>815</v>
      </c>
      <c r="C227" s="7" t="s">
        <v>815</v>
      </c>
      <c r="D227" s="7" t="s">
        <v>815</v>
      </c>
      <c r="E227" s="4" t="s">
        <v>355</v>
      </c>
      <c r="F227" s="4" t="s">
        <v>824</v>
      </c>
      <c r="G227" s="4" t="s">
        <v>799</v>
      </c>
      <c r="H227" s="4" t="s">
        <v>825</v>
      </c>
      <c r="I227" s="31">
        <v>200</v>
      </c>
      <c r="J227" s="4">
        <f>(13*31*660)/1000</f>
        <v>265.98</v>
      </c>
      <c r="K227" s="4" t="s">
        <v>383</v>
      </c>
    </row>
    <row r="228" spans="1:11" ht="10.5" customHeight="1" x14ac:dyDescent="0.25">
      <c r="A228" s="31" t="s">
        <v>450</v>
      </c>
      <c r="B228" s="43" t="s">
        <v>826</v>
      </c>
      <c r="C228" s="7" t="s">
        <v>826</v>
      </c>
      <c r="D228" s="7" t="s">
        <v>826</v>
      </c>
      <c r="E228" s="4" t="s">
        <v>355</v>
      </c>
      <c r="F228" s="4" t="s">
        <v>827</v>
      </c>
      <c r="G228" s="4" t="s">
        <v>799</v>
      </c>
      <c r="H228" s="4" t="s">
        <v>828</v>
      </c>
      <c r="I228" s="31">
        <v>200</v>
      </c>
      <c r="J228" s="4">
        <f>(14*31*660)/1000</f>
        <v>286.44</v>
      </c>
      <c r="K228" s="4" t="s">
        <v>383</v>
      </c>
    </row>
    <row r="229" spans="1:11" ht="10.5" customHeight="1" x14ac:dyDescent="0.25">
      <c r="A229" s="31" t="s">
        <v>450</v>
      </c>
      <c r="B229" s="43" t="s">
        <v>826</v>
      </c>
      <c r="C229" s="7" t="s">
        <v>826</v>
      </c>
      <c r="D229" s="7" t="s">
        <v>826</v>
      </c>
      <c r="E229" s="4" t="s">
        <v>355</v>
      </c>
      <c r="F229" s="4" t="s">
        <v>829</v>
      </c>
      <c r="G229" s="4" t="s">
        <v>799</v>
      </c>
      <c r="H229" s="4" t="s">
        <v>830</v>
      </c>
      <c r="I229" s="31">
        <v>200</v>
      </c>
      <c r="J229" s="4">
        <f>(13*31*660)/1000</f>
        <v>265.98</v>
      </c>
      <c r="K229" s="4" t="s">
        <v>383</v>
      </c>
    </row>
    <row r="230" spans="1:11" ht="10.5" customHeight="1" x14ac:dyDescent="0.25">
      <c r="A230" s="31" t="s">
        <v>450</v>
      </c>
      <c r="B230" s="43" t="s">
        <v>826</v>
      </c>
      <c r="C230" s="7" t="s">
        <v>826</v>
      </c>
      <c r="D230" s="7" t="s">
        <v>826</v>
      </c>
      <c r="E230" s="4" t="s">
        <v>355</v>
      </c>
      <c r="F230" s="4" t="s">
        <v>831</v>
      </c>
      <c r="G230" s="4" t="s">
        <v>799</v>
      </c>
      <c r="H230" s="4" t="s">
        <v>832</v>
      </c>
      <c r="I230" s="31">
        <v>200</v>
      </c>
      <c r="J230" s="4">
        <f>(13*31*660)/1000</f>
        <v>265.98</v>
      </c>
      <c r="K230" s="4" t="s">
        <v>383</v>
      </c>
    </row>
    <row r="231" spans="1:11" ht="10.5" customHeight="1" x14ac:dyDescent="0.25">
      <c r="A231" s="31" t="s">
        <v>450</v>
      </c>
      <c r="B231" s="43" t="s">
        <v>826</v>
      </c>
      <c r="C231" s="7" t="s">
        <v>826</v>
      </c>
      <c r="D231" s="7" t="s">
        <v>826</v>
      </c>
      <c r="E231" s="4" t="s">
        <v>355</v>
      </c>
      <c r="F231" s="4" t="s">
        <v>833</v>
      </c>
      <c r="G231" s="4" t="s">
        <v>799</v>
      </c>
      <c r="H231" s="4" t="s">
        <v>834</v>
      </c>
      <c r="I231" s="31">
        <v>200</v>
      </c>
      <c r="J231" s="4">
        <f>(13*31*660)/1000</f>
        <v>265.98</v>
      </c>
      <c r="K231" s="4" t="s">
        <v>383</v>
      </c>
    </row>
    <row r="232" spans="1:11" ht="10.5" customHeight="1" x14ac:dyDescent="0.25">
      <c r="A232" s="31" t="s">
        <v>450</v>
      </c>
      <c r="B232" s="43" t="s">
        <v>826</v>
      </c>
      <c r="C232" s="7" t="s">
        <v>826</v>
      </c>
      <c r="D232" s="7" t="s">
        <v>826</v>
      </c>
      <c r="E232" s="4" t="s">
        <v>355</v>
      </c>
      <c r="F232" s="4" t="s">
        <v>835</v>
      </c>
      <c r="G232" s="4" t="s">
        <v>799</v>
      </c>
      <c r="H232" s="4" t="s">
        <v>836</v>
      </c>
      <c r="I232" s="31">
        <v>200</v>
      </c>
      <c r="J232" s="4">
        <f>(13*31*660)/1000</f>
        <v>265.98</v>
      </c>
      <c r="K232" s="4" t="s">
        <v>383</v>
      </c>
    </row>
    <row r="233" spans="1:11" ht="10.5" customHeight="1" x14ac:dyDescent="0.25">
      <c r="A233" s="31" t="s">
        <v>450</v>
      </c>
      <c r="B233" s="43" t="s">
        <v>837</v>
      </c>
      <c r="C233" s="7" t="s">
        <v>837</v>
      </c>
      <c r="D233" s="7" t="s">
        <v>837</v>
      </c>
      <c r="E233" s="4" t="s">
        <v>355</v>
      </c>
      <c r="F233" s="4" t="s">
        <v>838</v>
      </c>
      <c r="G233" s="4" t="s">
        <v>799</v>
      </c>
      <c r="H233" s="4" t="s">
        <v>839</v>
      </c>
      <c r="I233" s="31">
        <v>200</v>
      </c>
      <c r="J233" s="4">
        <f>(14*31*660)/1000</f>
        <v>286.44</v>
      </c>
      <c r="K233" s="4" t="s">
        <v>383</v>
      </c>
    </row>
    <row r="234" spans="1:11" ht="10.5" customHeight="1" x14ac:dyDescent="0.25">
      <c r="A234" s="31" t="s">
        <v>450</v>
      </c>
      <c r="B234" s="43" t="s">
        <v>837</v>
      </c>
      <c r="C234" s="7" t="s">
        <v>837</v>
      </c>
      <c r="D234" s="7" t="s">
        <v>837</v>
      </c>
      <c r="E234" s="4" t="s">
        <v>355</v>
      </c>
      <c r="F234" s="4" t="s">
        <v>840</v>
      </c>
      <c r="G234" s="4" t="s">
        <v>799</v>
      </c>
      <c r="H234" s="4" t="s">
        <v>841</v>
      </c>
      <c r="I234" s="31">
        <v>200</v>
      </c>
      <c r="J234" s="4">
        <f>(14*31*660)/1000</f>
        <v>286.44</v>
      </c>
      <c r="K234" s="4" t="s">
        <v>383</v>
      </c>
    </row>
    <row r="235" spans="1:11" ht="10.5" customHeight="1" x14ac:dyDescent="0.25">
      <c r="A235" s="31" t="s">
        <v>450</v>
      </c>
      <c r="B235" s="43" t="s">
        <v>837</v>
      </c>
      <c r="C235" s="7" t="s">
        <v>837</v>
      </c>
      <c r="D235" s="7" t="s">
        <v>837</v>
      </c>
      <c r="E235" s="4" t="s">
        <v>355</v>
      </c>
      <c r="F235" s="4" t="s">
        <v>842</v>
      </c>
      <c r="G235" s="4" t="s">
        <v>812</v>
      </c>
      <c r="H235" s="4" t="s">
        <v>843</v>
      </c>
      <c r="I235" s="31">
        <v>100</v>
      </c>
      <c r="J235" s="4">
        <f>(6*31*660)/1000</f>
        <v>122.76</v>
      </c>
      <c r="K235" s="4" t="s">
        <v>383</v>
      </c>
    </row>
    <row r="236" spans="1:11" ht="10.5" customHeight="1" x14ac:dyDescent="0.25">
      <c r="A236" s="31" t="s">
        <v>450</v>
      </c>
      <c r="B236" s="43" t="s">
        <v>844</v>
      </c>
      <c r="C236" s="7" t="s">
        <v>844</v>
      </c>
      <c r="D236" s="7" t="s">
        <v>844</v>
      </c>
      <c r="E236" s="4" t="s">
        <v>355</v>
      </c>
      <c r="F236" s="4" t="s">
        <v>803</v>
      </c>
      <c r="G236" s="4" t="s">
        <v>799</v>
      </c>
      <c r="H236" s="4" t="s">
        <v>845</v>
      </c>
      <c r="I236" s="31">
        <v>200</v>
      </c>
      <c r="J236" s="4">
        <f>(14*31*660)/1000</f>
        <v>286.44</v>
      </c>
      <c r="K236" s="4" t="s">
        <v>383</v>
      </c>
    </row>
    <row r="237" spans="1:11" ht="10.5" customHeight="1" x14ac:dyDescent="0.25">
      <c r="A237" s="31" t="s">
        <v>450</v>
      </c>
      <c r="B237" s="43" t="s">
        <v>844</v>
      </c>
      <c r="C237" s="7" t="s">
        <v>844</v>
      </c>
      <c r="D237" s="7" t="s">
        <v>844</v>
      </c>
      <c r="E237" s="4" t="s">
        <v>355</v>
      </c>
      <c r="F237" s="4" t="s">
        <v>805</v>
      </c>
      <c r="G237" s="4" t="s">
        <v>799</v>
      </c>
      <c r="H237" s="4" t="s">
        <v>846</v>
      </c>
      <c r="I237" s="31">
        <v>200</v>
      </c>
      <c r="J237" s="4">
        <f t="shared" ref="J237:J238" si="17">(13*31*660)/1000</f>
        <v>265.98</v>
      </c>
      <c r="K237" s="4" t="s">
        <v>383</v>
      </c>
    </row>
    <row r="238" spans="1:11" ht="10.5" customHeight="1" x14ac:dyDescent="0.25">
      <c r="A238" s="31" t="s">
        <v>450</v>
      </c>
      <c r="B238" s="43" t="s">
        <v>844</v>
      </c>
      <c r="C238" s="7" t="s">
        <v>844</v>
      </c>
      <c r="D238" s="7" t="s">
        <v>844</v>
      </c>
      <c r="E238" s="4" t="s">
        <v>355</v>
      </c>
      <c r="F238" s="4" t="s">
        <v>807</v>
      </c>
      <c r="G238" s="4" t="s">
        <v>799</v>
      </c>
      <c r="H238" s="4" t="s">
        <v>847</v>
      </c>
      <c r="I238" s="31">
        <v>200</v>
      </c>
      <c r="J238" s="4">
        <f t="shared" si="17"/>
        <v>265.98</v>
      </c>
      <c r="K238" s="4" t="s">
        <v>383</v>
      </c>
    </row>
    <row r="239" spans="1:11" ht="10.5" customHeight="1" x14ac:dyDescent="0.25">
      <c r="A239" s="31" t="s">
        <v>450</v>
      </c>
      <c r="B239" s="43" t="s">
        <v>844</v>
      </c>
      <c r="C239" s="7" t="s">
        <v>844</v>
      </c>
      <c r="D239" s="7" t="s">
        <v>844</v>
      </c>
      <c r="E239" s="4" t="s">
        <v>355</v>
      </c>
      <c r="F239" s="4" t="s">
        <v>848</v>
      </c>
      <c r="G239" s="4" t="s">
        <v>799</v>
      </c>
      <c r="H239" s="4" t="s">
        <v>849</v>
      </c>
      <c r="I239" s="31">
        <v>200</v>
      </c>
      <c r="J239" s="4">
        <f>(14*31*660)/1000</f>
        <v>286.44</v>
      </c>
      <c r="K239" s="4" t="s">
        <v>383</v>
      </c>
    </row>
    <row r="240" spans="1:11" ht="10.5" customHeight="1" x14ac:dyDescent="0.25">
      <c r="A240" s="31" t="s">
        <v>450</v>
      </c>
      <c r="B240" s="43" t="s">
        <v>844</v>
      </c>
      <c r="C240" s="7" t="s">
        <v>844</v>
      </c>
      <c r="D240" s="7" t="s">
        <v>844</v>
      </c>
      <c r="E240" s="4" t="s">
        <v>355</v>
      </c>
      <c r="F240" s="4" t="s">
        <v>850</v>
      </c>
      <c r="G240" s="4" t="s">
        <v>799</v>
      </c>
      <c r="H240" s="4" t="s">
        <v>851</v>
      </c>
      <c r="I240" s="31">
        <v>200</v>
      </c>
      <c r="J240" s="4">
        <f>(14*31*660)/1000</f>
        <v>286.44</v>
      </c>
      <c r="K240" s="4" t="s">
        <v>383</v>
      </c>
    </row>
    <row r="241" spans="1:11" ht="10.5" customHeight="1" x14ac:dyDescent="0.25">
      <c r="A241" s="31" t="s">
        <v>450</v>
      </c>
      <c r="B241" s="43" t="s">
        <v>852</v>
      </c>
      <c r="C241" s="7" t="s">
        <v>852</v>
      </c>
      <c r="D241" s="7" t="s">
        <v>852</v>
      </c>
      <c r="E241" s="4" t="s">
        <v>355</v>
      </c>
      <c r="F241" s="4" t="s">
        <v>827</v>
      </c>
      <c r="G241" s="4" t="s">
        <v>799</v>
      </c>
      <c r="H241" s="4" t="s">
        <v>853</v>
      </c>
      <c r="I241" s="31">
        <v>200</v>
      </c>
      <c r="J241" s="4">
        <f>(14*31*660)/1000</f>
        <v>286.44</v>
      </c>
      <c r="K241" s="4" t="s">
        <v>383</v>
      </c>
    </row>
    <row r="242" spans="1:11" ht="10.5" customHeight="1" x14ac:dyDescent="0.25">
      <c r="A242" s="31" t="s">
        <v>450</v>
      </c>
      <c r="B242" s="43" t="s">
        <v>852</v>
      </c>
      <c r="C242" s="7" t="s">
        <v>852</v>
      </c>
      <c r="D242" s="7" t="s">
        <v>852</v>
      </c>
      <c r="E242" s="4" t="s">
        <v>355</v>
      </c>
      <c r="F242" s="4" t="s">
        <v>829</v>
      </c>
      <c r="G242" s="4" t="s">
        <v>799</v>
      </c>
      <c r="H242" s="4" t="s">
        <v>854</v>
      </c>
      <c r="I242" s="31">
        <v>200</v>
      </c>
      <c r="J242" s="4">
        <f>(13*31*660)/1000</f>
        <v>265.98</v>
      </c>
      <c r="K242" s="4" t="s">
        <v>383</v>
      </c>
    </row>
    <row r="243" spans="1:11" ht="10.5" customHeight="1" x14ac:dyDescent="0.25">
      <c r="A243" s="31" t="s">
        <v>450</v>
      </c>
      <c r="B243" s="43" t="s">
        <v>852</v>
      </c>
      <c r="C243" s="7" t="s">
        <v>852</v>
      </c>
      <c r="D243" s="7" t="s">
        <v>852</v>
      </c>
      <c r="E243" s="4" t="s">
        <v>355</v>
      </c>
      <c r="F243" s="4" t="s">
        <v>831</v>
      </c>
      <c r="G243" s="4" t="s">
        <v>799</v>
      </c>
      <c r="H243" s="4" t="s">
        <v>855</v>
      </c>
      <c r="I243" s="31">
        <v>200</v>
      </c>
      <c r="J243" s="4">
        <f>(13*31*660)/1000</f>
        <v>265.98</v>
      </c>
      <c r="K243" s="4" t="s">
        <v>383</v>
      </c>
    </row>
    <row r="244" spans="1:11" ht="10.5" customHeight="1" x14ac:dyDescent="0.25">
      <c r="A244" s="31" t="s">
        <v>450</v>
      </c>
      <c r="B244" s="43" t="s">
        <v>852</v>
      </c>
      <c r="C244" s="7" t="s">
        <v>852</v>
      </c>
      <c r="D244" s="7" t="s">
        <v>852</v>
      </c>
      <c r="E244" s="4" t="s">
        <v>355</v>
      </c>
      <c r="F244" s="4" t="s">
        <v>833</v>
      </c>
      <c r="G244" s="4" t="s">
        <v>799</v>
      </c>
      <c r="H244" s="4" t="s">
        <v>856</v>
      </c>
      <c r="I244" s="31">
        <v>200</v>
      </c>
      <c r="J244" s="4">
        <f>(13*31*660)/1000</f>
        <v>265.98</v>
      </c>
      <c r="K244" s="4" t="s">
        <v>383</v>
      </c>
    </row>
    <row r="245" spans="1:11" ht="10.5" customHeight="1" x14ac:dyDescent="0.25">
      <c r="A245" s="31" t="s">
        <v>450</v>
      </c>
      <c r="B245" s="43" t="s">
        <v>852</v>
      </c>
      <c r="C245" s="7" t="s">
        <v>852</v>
      </c>
      <c r="D245" s="7" t="s">
        <v>852</v>
      </c>
      <c r="E245" s="4" t="s">
        <v>355</v>
      </c>
      <c r="F245" s="4" t="s">
        <v>835</v>
      </c>
      <c r="G245" s="4" t="s">
        <v>799</v>
      </c>
      <c r="H245" s="4" t="s">
        <v>857</v>
      </c>
      <c r="I245" s="31">
        <v>200</v>
      </c>
      <c r="J245" s="4">
        <f>(13*31*660)/1000</f>
        <v>265.98</v>
      </c>
      <c r="K245" s="4" t="s">
        <v>383</v>
      </c>
    </row>
    <row r="246" spans="1:11" ht="10.5" customHeight="1" x14ac:dyDescent="0.25">
      <c r="A246" s="31" t="s">
        <v>450</v>
      </c>
      <c r="B246" s="43" t="s">
        <v>858</v>
      </c>
      <c r="C246" s="7" t="s">
        <v>858</v>
      </c>
      <c r="D246" s="7" t="s">
        <v>858</v>
      </c>
      <c r="E246" s="4" t="s">
        <v>355</v>
      </c>
      <c r="F246" s="4" t="s">
        <v>838</v>
      </c>
      <c r="G246" s="4" t="s">
        <v>799</v>
      </c>
      <c r="H246" s="4" t="s">
        <v>859</v>
      </c>
      <c r="I246" s="31">
        <v>200</v>
      </c>
      <c r="J246" s="4">
        <f>(14*31*660)/1000</f>
        <v>286.44</v>
      </c>
      <c r="K246" s="4" t="s">
        <v>383</v>
      </c>
    </row>
    <row r="247" spans="1:11" ht="10.5" customHeight="1" x14ac:dyDescent="0.25">
      <c r="A247" s="31" t="s">
        <v>450</v>
      </c>
      <c r="B247" s="43" t="s">
        <v>858</v>
      </c>
      <c r="C247" s="7" t="s">
        <v>858</v>
      </c>
      <c r="D247" s="7" t="s">
        <v>858</v>
      </c>
      <c r="E247" s="4" t="s">
        <v>355</v>
      </c>
      <c r="F247" s="4" t="s">
        <v>840</v>
      </c>
      <c r="G247" s="4" t="s">
        <v>799</v>
      </c>
      <c r="H247" s="4" t="s">
        <v>860</v>
      </c>
      <c r="I247" s="31">
        <v>200</v>
      </c>
      <c r="J247" s="4">
        <f>(14*31*660)/1000</f>
        <v>286.44</v>
      </c>
      <c r="K247" s="4" t="s">
        <v>383</v>
      </c>
    </row>
    <row r="248" spans="1:11" ht="10.5" customHeight="1" x14ac:dyDescent="0.25">
      <c r="A248" s="31" t="s">
        <v>450</v>
      </c>
      <c r="B248" s="43" t="s">
        <v>858</v>
      </c>
      <c r="C248" s="7" t="s">
        <v>858</v>
      </c>
      <c r="D248" s="7" t="s">
        <v>858</v>
      </c>
      <c r="E248" s="4" t="s">
        <v>355</v>
      </c>
      <c r="F248" s="4" t="s">
        <v>842</v>
      </c>
      <c r="G248" s="4" t="s">
        <v>812</v>
      </c>
      <c r="H248" s="4" t="s">
        <v>861</v>
      </c>
      <c r="I248" s="31">
        <v>100</v>
      </c>
      <c r="J248" s="4">
        <f>(6*31*660)/1000</f>
        <v>122.76</v>
      </c>
      <c r="K248" s="4" t="s">
        <v>383</v>
      </c>
    </row>
    <row r="249" spans="1:11" ht="10.5" customHeight="1" x14ac:dyDescent="0.25">
      <c r="A249" s="31" t="s">
        <v>450</v>
      </c>
      <c r="B249" s="43" t="s">
        <v>862</v>
      </c>
      <c r="C249" s="7" t="s">
        <v>862</v>
      </c>
      <c r="D249" s="7" t="s">
        <v>862</v>
      </c>
      <c r="E249" s="4" t="s">
        <v>355</v>
      </c>
      <c r="F249" s="4" t="s">
        <v>358</v>
      </c>
      <c r="G249" s="4" t="s">
        <v>799</v>
      </c>
      <c r="H249" s="4" t="s">
        <v>368</v>
      </c>
      <c r="I249" s="31">
        <v>200</v>
      </c>
      <c r="J249" s="4">
        <f>(14*30*660)/1000</f>
        <v>277.2</v>
      </c>
      <c r="K249" s="4" t="s">
        <v>383</v>
      </c>
    </row>
    <row r="250" spans="1:11" ht="10.5" customHeight="1" x14ac:dyDescent="0.25">
      <c r="A250" s="31" t="s">
        <v>450</v>
      </c>
      <c r="B250" s="43" t="s">
        <v>862</v>
      </c>
      <c r="C250" s="7" t="s">
        <v>862</v>
      </c>
      <c r="D250" s="7" t="s">
        <v>862</v>
      </c>
      <c r="E250" s="4" t="s">
        <v>355</v>
      </c>
      <c r="F250" s="4" t="s">
        <v>357</v>
      </c>
      <c r="G250" s="4" t="s">
        <v>799</v>
      </c>
      <c r="H250" s="4" t="s">
        <v>366</v>
      </c>
      <c r="I250" s="31">
        <v>200</v>
      </c>
      <c r="J250" s="4">
        <f>(14*30*660)/1000</f>
        <v>277.2</v>
      </c>
      <c r="K250" s="4" t="s">
        <v>383</v>
      </c>
    </row>
    <row r="251" spans="1:11" ht="10.5" customHeight="1" x14ac:dyDescent="0.25">
      <c r="A251" s="31" t="s">
        <v>450</v>
      </c>
      <c r="B251" s="43" t="s">
        <v>862</v>
      </c>
      <c r="C251" s="7" t="s">
        <v>862</v>
      </c>
      <c r="D251" s="7" t="s">
        <v>862</v>
      </c>
      <c r="E251" s="4" t="s">
        <v>355</v>
      </c>
      <c r="F251" s="4" t="s">
        <v>356</v>
      </c>
      <c r="G251" s="4" t="s">
        <v>799</v>
      </c>
      <c r="H251" s="4" t="s">
        <v>364</v>
      </c>
      <c r="I251" s="31">
        <v>200</v>
      </c>
      <c r="J251" s="4">
        <f>(14*30*660)/1000</f>
        <v>277.2</v>
      </c>
      <c r="K251" s="4" t="s">
        <v>383</v>
      </c>
    </row>
    <row r="252" spans="1:11" ht="10.5" customHeight="1" x14ac:dyDescent="0.25">
      <c r="A252" s="31" t="s">
        <v>450</v>
      </c>
      <c r="B252" s="43" t="s">
        <v>862</v>
      </c>
      <c r="C252" s="7" t="s">
        <v>862</v>
      </c>
      <c r="D252" s="7" t="s">
        <v>862</v>
      </c>
      <c r="E252" s="4" t="s">
        <v>355</v>
      </c>
      <c r="F252" s="4" t="s">
        <v>359</v>
      </c>
      <c r="G252" s="4" t="s">
        <v>799</v>
      </c>
      <c r="H252" s="4" t="s">
        <v>370</v>
      </c>
      <c r="I252" s="31">
        <v>200</v>
      </c>
      <c r="J252" s="4">
        <f>(9*30*660)/1000+(4*31*660)/1000</f>
        <v>260.03999999999996</v>
      </c>
      <c r="K252" s="4" t="s">
        <v>383</v>
      </c>
    </row>
    <row r="253" spans="1:11" ht="10.5" customHeight="1" x14ac:dyDescent="0.25">
      <c r="A253" s="31" t="s">
        <v>450</v>
      </c>
      <c r="B253" s="43" t="s">
        <v>862</v>
      </c>
      <c r="C253" s="7" t="s">
        <v>862</v>
      </c>
      <c r="D253" s="7" t="s">
        <v>862</v>
      </c>
      <c r="E253" s="4" t="s">
        <v>355</v>
      </c>
      <c r="F253" s="4" t="s">
        <v>360</v>
      </c>
      <c r="G253" s="4" t="s">
        <v>799</v>
      </c>
      <c r="H253" s="4" t="s">
        <v>372</v>
      </c>
      <c r="I253" s="31">
        <v>200</v>
      </c>
      <c r="J253" s="4">
        <f>(5*30*660)/1000+(8*31*660)/1000</f>
        <v>262.68</v>
      </c>
      <c r="K253" s="4" t="s">
        <v>383</v>
      </c>
    </row>
    <row r="254" spans="1:11" ht="10.5" customHeight="1" x14ac:dyDescent="0.25">
      <c r="A254" s="31" t="s">
        <v>450</v>
      </c>
      <c r="B254" s="43" t="s">
        <v>863</v>
      </c>
      <c r="C254" s="7" t="s">
        <v>863</v>
      </c>
      <c r="D254" s="7" t="s">
        <v>863</v>
      </c>
      <c r="E254" s="4" t="s">
        <v>355</v>
      </c>
      <c r="F254" s="4" t="s">
        <v>358</v>
      </c>
      <c r="G254" s="4" t="s">
        <v>799</v>
      </c>
      <c r="H254" s="4" t="s">
        <v>864</v>
      </c>
      <c r="I254" s="31">
        <v>200</v>
      </c>
      <c r="J254" s="4">
        <f>(14*31*660)/1000</f>
        <v>286.44</v>
      </c>
      <c r="K254" s="4" t="s">
        <v>383</v>
      </c>
    </row>
    <row r="255" spans="1:11" ht="10.5" customHeight="1" x14ac:dyDescent="0.25">
      <c r="A255" s="31" t="s">
        <v>450</v>
      </c>
      <c r="B255" s="43" t="s">
        <v>863</v>
      </c>
      <c r="C255" s="7" t="s">
        <v>863</v>
      </c>
      <c r="D255" s="7" t="s">
        <v>863</v>
      </c>
      <c r="E255" s="4" t="s">
        <v>355</v>
      </c>
      <c r="F255" s="4" t="s">
        <v>357</v>
      </c>
      <c r="G255" s="4" t="s">
        <v>799</v>
      </c>
      <c r="H255" s="4" t="s">
        <v>865</v>
      </c>
      <c r="I255" s="31">
        <v>200</v>
      </c>
      <c r="J255" s="4">
        <f>(13*31*660)/1000</f>
        <v>265.98</v>
      </c>
      <c r="K255" s="4" t="s">
        <v>383</v>
      </c>
    </row>
    <row r="256" spans="1:11" ht="10.5" customHeight="1" x14ac:dyDescent="0.25">
      <c r="A256" s="31" t="s">
        <v>450</v>
      </c>
      <c r="B256" s="43" t="s">
        <v>863</v>
      </c>
      <c r="C256" s="7" t="s">
        <v>863</v>
      </c>
      <c r="D256" s="7" t="s">
        <v>863</v>
      </c>
      <c r="E256" s="4" t="s">
        <v>355</v>
      </c>
      <c r="F256" s="4" t="s">
        <v>356</v>
      </c>
      <c r="G256" s="4" t="s">
        <v>799</v>
      </c>
      <c r="H256" s="4" t="s">
        <v>866</v>
      </c>
      <c r="I256" s="31">
        <v>200</v>
      </c>
      <c r="J256" s="4">
        <f>(4*30*660)/1000+(10*31*660)/1000</f>
        <v>283.8</v>
      </c>
      <c r="K256" s="4" t="s">
        <v>383</v>
      </c>
    </row>
    <row r="257" spans="1:11" ht="10.5" customHeight="1" x14ac:dyDescent="0.25">
      <c r="A257" s="31" t="s">
        <v>450</v>
      </c>
      <c r="B257" s="43" t="s">
        <v>863</v>
      </c>
      <c r="C257" s="7" t="s">
        <v>863</v>
      </c>
      <c r="D257" s="7" t="s">
        <v>863</v>
      </c>
      <c r="E257" s="4" t="s">
        <v>355</v>
      </c>
      <c r="F257" s="4" t="s">
        <v>359</v>
      </c>
      <c r="G257" s="4" t="s">
        <v>799</v>
      </c>
      <c r="H257" s="4" t="s">
        <v>867</v>
      </c>
      <c r="I257" s="31">
        <v>200</v>
      </c>
      <c r="J257" s="4">
        <f>(3*30*660)/1000+(10*31*660)/1000</f>
        <v>264</v>
      </c>
      <c r="K257" s="4" t="s">
        <v>383</v>
      </c>
    </row>
    <row r="258" spans="1:11" ht="10.5" customHeight="1" x14ac:dyDescent="0.25">
      <c r="A258" s="31" t="s">
        <v>450</v>
      </c>
      <c r="B258" s="43" t="s">
        <v>863</v>
      </c>
      <c r="C258" s="7" t="s">
        <v>863</v>
      </c>
      <c r="D258" s="7" t="s">
        <v>863</v>
      </c>
      <c r="E258" s="4" t="s">
        <v>355</v>
      </c>
      <c r="F258" s="4" t="s">
        <v>360</v>
      </c>
      <c r="G258" s="4" t="s">
        <v>799</v>
      </c>
      <c r="H258" s="4" t="s">
        <v>868</v>
      </c>
      <c r="I258" s="31">
        <v>200</v>
      </c>
      <c r="J258" s="4">
        <f>(13*31*660)/1000</f>
        <v>265.98</v>
      </c>
      <c r="K258" s="4" t="s">
        <v>383</v>
      </c>
    </row>
    <row r="259" spans="1:11" ht="10.5" customHeight="1" x14ac:dyDescent="0.25">
      <c r="A259" s="31" t="s">
        <v>450</v>
      </c>
      <c r="B259" s="43" t="s">
        <v>869</v>
      </c>
      <c r="C259" s="7" t="s">
        <v>869</v>
      </c>
      <c r="D259" s="7" t="s">
        <v>869</v>
      </c>
      <c r="E259" s="4" t="s">
        <v>355</v>
      </c>
      <c r="F259" s="4" t="s">
        <v>358</v>
      </c>
      <c r="G259" s="4" t="s">
        <v>799</v>
      </c>
      <c r="H259" s="4" t="s">
        <v>870</v>
      </c>
      <c r="I259" s="31">
        <v>200</v>
      </c>
      <c r="J259" s="4">
        <f>(4*30*660)/1000+(9*31*660)/1000</f>
        <v>263.33999999999997</v>
      </c>
      <c r="K259" s="4" t="s">
        <v>383</v>
      </c>
    </row>
    <row r="260" spans="1:11" ht="10.5" customHeight="1" x14ac:dyDescent="0.25">
      <c r="A260" s="31" t="s">
        <v>450</v>
      </c>
      <c r="B260" s="43" t="s">
        <v>869</v>
      </c>
      <c r="C260" s="7" t="s">
        <v>869</v>
      </c>
      <c r="D260" s="7" t="s">
        <v>869</v>
      </c>
      <c r="E260" s="4" t="s">
        <v>355</v>
      </c>
      <c r="F260" s="4" t="s">
        <v>357</v>
      </c>
      <c r="G260" s="4" t="s">
        <v>799</v>
      </c>
      <c r="H260" s="4" t="s">
        <v>871</v>
      </c>
      <c r="I260" s="31">
        <v>200</v>
      </c>
      <c r="J260" s="4">
        <f>(13*31*660)/1000</f>
        <v>265.98</v>
      </c>
      <c r="K260" s="4" t="s">
        <v>383</v>
      </c>
    </row>
    <row r="261" spans="1:11" ht="10.5" customHeight="1" x14ac:dyDescent="0.25">
      <c r="A261" s="31" t="s">
        <v>450</v>
      </c>
      <c r="B261" s="43" t="s">
        <v>869</v>
      </c>
      <c r="C261" s="7" t="s">
        <v>869</v>
      </c>
      <c r="D261" s="7" t="s">
        <v>869</v>
      </c>
      <c r="E261" s="4" t="s">
        <v>355</v>
      </c>
      <c r="F261" s="4" t="s">
        <v>356</v>
      </c>
      <c r="G261" s="4" t="s">
        <v>799</v>
      </c>
      <c r="H261" s="4" t="s">
        <v>872</v>
      </c>
      <c r="I261" s="31">
        <v>200</v>
      </c>
      <c r="J261" s="4">
        <f>(13*31*660)/1000</f>
        <v>265.98</v>
      </c>
      <c r="K261" s="4" t="s">
        <v>383</v>
      </c>
    </row>
    <row r="262" spans="1:11" ht="10.5" customHeight="1" x14ac:dyDescent="0.25">
      <c r="A262" s="31" t="s">
        <v>450</v>
      </c>
      <c r="B262" s="43" t="s">
        <v>869</v>
      </c>
      <c r="C262" s="7" t="s">
        <v>869</v>
      </c>
      <c r="D262" s="7" t="s">
        <v>869</v>
      </c>
      <c r="E262" s="4" t="s">
        <v>355</v>
      </c>
      <c r="F262" s="4" t="s">
        <v>359</v>
      </c>
      <c r="G262" s="4" t="s">
        <v>799</v>
      </c>
      <c r="H262" s="4" t="s">
        <v>873</v>
      </c>
      <c r="I262" s="31">
        <v>200</v>
      </c>
      <c r="J262" s="4">
        <f>(13*31*660)/1000</f>
        <v>265.98</v>
      </c>
      <c r="K262" s="4" t="s">
        <v>383</v>
      </c>
    </row>
    <row r="263" spans="1:11" ht="10.5" customHeight="1" x14ac:dyDescent="0.25">
      <c r="A263" s="31" t="s">
        <v>450</v>
      </c>
      <c r="B263" s="43" t="s">
        <v>869</v>
      </c>
      <c r="C263" s="7" t="s">
        <v>869</v>
      </c>
      <c r="D263" s="7" t="s">
        <v>869</v>
      </c>
      <c r="E263" s="4" t="s">
        <v>355</v>
      </c>
      <c r="F263" s="4" t="s">
        <v>360</v>
      </c>
      <c r="G263" s="4" t="s">
        <v>799</v>
      </c>
      <c r="H263" s="4" t="s">
        <v>874</v>
      </c>
      <c r="I263" s="31">
        <v>200</v>
      </c>
      <c r="J263" s="4">
        <f>(12*31*660)/1000</f>
        <v>245.52</v>
      </c>
      <c r="K263" s="4" t="s">
        <v>383</v>
      </c>
    </row>
    <row r="264" spans="1:11" ht="10.5" customHeight="1" x14ac:dyDescent="0.25">
      <c r="A264" s="31" t="s">
        <v>450</v>
      </c>
      <c r="B264" s="43" t="s">
        <v>875</v>
      </c>
      <c r="C264" s="7" t="s">
        <v>875</v>
      </c>
      <c r="D264" s="7" t="s">
        <v>875</v>
      </c>
      <c r="E264" s="4" t="s">
        <v>355</v>
      </c>
      <c r="F264" s="4" t="s">
        <v>876</v>
      </c>
      <c r="G264" s="4" t="s">
        <v>799</v>
      </c>
      <c r="H264" s="4" t="s">
        <v>877</v>
      </c>
      <c r="I264" s="31">
        <v>200</v>
      </c>
      <c r="J264" s="4">
        <f t="shared" ref="J264:J288" si="18">(4*30*660)/1000+(10*31*660)/1000</f>
        <v>283.8</v>
      </c>
      <c r="K264" s="4" t="s">
        <v>383</v>
      </c>
    </row>
    <row r="265" spans="1:11" ht="10.5" customHeight="1" x14ac:dyDescent="0.25">
      <c r="A265" s="31" t="s">
        <v>450</v>
      </c>
      <c r="B265" s="43" t="s">
        <v>875</v>
      </c>
      <c r="C265" s="7" t="s">
        <v>875</v>
      </c>
      <c r="D265" s="7" t="s">
        <v>875</v>
      </c>
      <c r="E265" s="4" t="s">
        <v>355</v>
      </c>
      <c r="F265" s="4" t="s">
        <v>358</v>
      </c>
      <c r="G265" s="4" t="s">
        <v>799</v>
      </c>
      <c r="H265" s="4" t="s">
        <v>878</v>
      </c>
      <c r="I265" s="31">
        <v>200</v>
      </c>
      <c r="J265" s="4">
        <f t="shared" si="18"/>
        <v>283.8</v>
      </c>
      <c r="K265" s="4" t="s">
        <v>383</v>
      </c>
    </row>
    <row r="266" spans="1:11" ht="10.5" customHeight="1" x14ac:dyDescent="0.25">
      <c r="A266" s="31" t="s">
        <v>450</v>
      </c>
      <c r="B266" s="43" t="s">
        <v>875</v>
      </c>
      <c r="C266" s="7" t="s">
        <v>875</v>
      </c>
      <c r="D266" s="7" t="s">
        <v>875</v>
      </c>
      <c r="E266" s="4" t="s">
        <v>355</v>
      </c>
      <c r="F266" s="4" t="s">
        <v>357</v>
      </c>
      <c r="G266" s="4" t="s">
        <v>799</v>
      </c>
      <c r="H266" s="4" t="s">
        <v>879</v>
      </c>
      <c r="I266" s="31">
        <v>200</v>
      </c>
      <c r="J266" s="4">
        <f t="shared" si="18"/>
        <v>283.8</v>
      </c>
      <c r="K266" s="4" t="s">
        <v>383</v>
      </c>
    </row>
    <row r="267" spans="1:11" ht="10.5" customHeight="1" x14ac:dyDescent="0.25">
      <c r="A267" s="31" t="s">
        <v>450</v>
      </c>
      <c r="B267" s="43" t="s">
        <v>875</v>
      </c>
      <c r="C267" s="7" t="s">
        <v>875</v>
      </c>
      <c r="D267" s="7" t="s">
        <v>875</v>
      </c>
      <c r="E267" s="4" t="s">
        <v>355</v>
      </c>
      <c r="F267" s="4" t="s">
        <v>360</v>
      </c>
      <c r="G267" s="4" t="s">
        <v>799</v>
      </c>
      <c r="H267" s="4" t="s">
        <v>880</v>
      </c>
      <c r="I267" s="31">
        <v>200</v>
      </c>
      <c r="J267" s="4">
        <f t="shared" si="18"/>
        <v>283.8</v>
      </c>
      <c r="K267" s="4" t="s">
        <v>383</v>
      </c>
    </row>
    <row r="268" spans="1:11" ht="10.5" customHeight="1" x14ac:dyDescent="0.25">
      <c r="A268" s="31" t="s">
        <v>450</v>
      </c>
      <c r="B268" s="43" t="s">
        <v>875</v>
      </c>
      <c r="C268" s="7" t="s">
        <v>875</v>
      </c>
      <c r="D268" s="7" t="s">
        <v>875</v>
      </c>
      <c r="E268" s="4" t="s">
        <v>355</v>
      </c>
      <c r="F268" s="4" t="s">
        <v>359</v>
      </c>
      <c r="G268" s="4" t="s">
        <v>799</v>
      </c>
      <c r="H268" s="4" t="s">
        <v>881</v>
      </c>
      <c r="I268" s="31">
        <v>200</v>
      </c>
      <c r="J268" s="4">
        <f t="shared" si="18"/>
        <v>283.8</v>
      </c>
      <c r="K268" s="4" t="s">
        <v>383</v>
      </c>
    </row>
    <row r="269" spans="1:11" ht="10.5" customHeight="1" x14ac:dyDescent="0.25">
      <c r="A269" s="31" t="s">
        <v>450</v>
      </c>
      <c r="B269" s="43" t="s">
        <v>882</v>
      </c>
      <c r="C269" s="7" t="s">
        <v>882</v>
      </c>
      <c r="D269" s="7" t="s">
        <v>882</v>
      </c>
      <c r="E269" s="4" t="s">
        <v>355</v>
      </c>
      <c r="F269" s="4" t="s">
        <v>876</v>
      </c>
      <c r="G269" s="4" t="s">
        <v>799</v>
      </c>
      <c r="H269" s="4" t="s">
        <v>883</v>
      </c>
      <c r="I269" s="31">
        <v>200</v>
      </c>
      <c r="J269" s="4">
        <f t="shared" si="18"/>
        <v>283.8</v>
      </c>
      <c r="K269" s="4" t="s">
        <v>383</v>
      </c>
    </row>
    <row r="270" spans="1:11" ht="10.5" customHeight="1" x14ac:dyDescent="0.25">
      <c r="A270" s="31" t="s">
        <v>450</v>
      </c>
      <c r="B270" s="43" t="s">
        <v>882</v>
      </c>
      <c r="C270" s="7" t="s">
        <v>882</v>
      </c>
      <c r="D270" s="7" t="s">
        <v>882</v>
      </c>
      <c r="E270" s="4" t="s">
        <v>355</v>
      </c>
      <c r="F270" s="4" t="s">
        <v>884</v>
      </c>
      <c r="G270" s="4" t="s">
        <v>799</v>
      </c>
      <c r="H270" s="4" t="s">
        <v>885</v>
      </c>
      <c r="I270" s="31">
        <v>200</v>
      </c>
      <c r="J270" s="4">
        <f t="shared" si="18"/>
        <v>283.8</v>
      </c>
      <c r="K270" s="4" t="s">
        <v>383</v>
      </c>
    </row>
    <row r="271" spans="1:11" ht="10.5" customHeight="1" x14ac:dyDescent="0.25">
      <c r="A271" s="31" t="s">
        <v>450</v>
      </c>
      <c r="B271" s="43" t="s">
        <v>882</v>
      </c>
      <c r="C271" s="7" t="s">
        <v>882</v>
      </c>
      <c r="D271" s="7" t="s">
        <v>882</v>
      </c>
      <c r="E271" s="4" t="s">
        <v>355</v>
      </c>
      <c r="F271" s="4" t="s">
        <v>886</v>
      </c>
      <c r="G271" s="4" t="s">
        <v>799</v>
      </c>
      <c r="H271" s="4" t="s">
        <v>887</v>
      </c>
      <c r="I271" s="31">
        <v>200</v>
      </c>
      <c r="J271" s="4">
        <f t="shared" si="18"/>
        <v>283.8</v>
      </c>
      <c r="K271" s="4" t="s">
        <v>383</v>
      </c>
    </row>
    <row r="272" spans="1:11" ht="10.5" customHeight="1" x14ac:dyDescent="0.25">
      <c r="A272" s="31" t="s">
        <v>450</v>
      </c>
      <c r="B272" s="43" t="s">
        <v>882</v>
      </c>
      <c r="C272" s="7" t="s">
        <v>882</v>
      </c>
      <c r="D272" s="7" t="s">
        <v>882</v>
      </c>
      <c r="E272" s="4" t="s">
        <v>355</v>
      </c>
      <c r="F272" s="4" t="s">
        <v>807</v>
      </c>
      <c r="G272" s="4" t="s">
        <v>799</v>
      </c>
      <c r="H272" s="4" t="s">
        <v>888</v>
      </c>
      <c r="I272" s="31">
        <v>200</v>
      </c>
      <c r="J272" s="4">
        <f t="shared" si="18"/>
        <v>283.8</v>
      </c>
      <c r="K272" s="4" t="s">
        <v>383</v>
      </c>
    </row>
    <row r="273" spans="1:11" ht="10.5" customHeight="1" x14ac:dyDescent="0.25">
      <c r="A273" s="31" t="s">
        <v>450</v>
      </c>
      <c r="B273" s="43" t="s">
        <v>882</v>
      </c>
      <c r="C273" s="7" t="s">
        <v>882</v>
      </c>
      <c r="D273" s="7" t="s">
        <v>882</v>
      </c>
      <c r="E273" s="4" t="s">
        <v>355</v>
      </c>
      <c r="F273" s="4" t="s">
        <v>798</v>
      </c>
      <c r="G273" s="4" t="s">
        <v>799</v>
      </c>
      <c r="H273" s="4" t="s">
        <v>889</v>
      </c>
      <c r="I273" s="31">
        <v>200</v>
      </c>
      <c r="J273" s="4">
        <f t="shared" si="18"/>
        <v>283.8</v>
      </c>
      <c r="K273" s="4" t="s">
        <v>383</v>
      </c>
    </row>
    <row r="274" spans="1:11" ht="10.5" customHeight="1" x14ac:dyDescent="0.25">
      <c r="A274" s="31" t="s">
        <v>450</v>
      </c>
      <c r="B274" s="43" t="s">
        <v>890</v>
      </c>
      <c r="C274" s="7" t="s">
        <v>890</v>
      </c>
      <c r="D274" s="7" t="s">
        <v>890</v>
      </c>
      <c r="E274" s="4" t="s">
        <v>355</v>
      </c>
      <c r="F274" s="4" t="s">
        <v>360</v>
      </c>
      <c r="G274" s="4" t="s">
        <v>799</v>
      </c>
      <c r="H274" s="4" t="s">
        <v>891</v>
      </c>
      <c r="I274" s="31">
        <v>200</v>
      </c>
      <c r="J274" s="4">
        <f t="shared" si="18"/>
        <v>283.8</v>
      </c>
      <c r="K274" s="4" t="s">
        <v>383</v>
      </c>
    </row>
    <row r="275" spans="1:11" ht="10.5" customHeight="1" x14ac:dyDescent="0.25">
      <c r="A275" s="31" t="s">
        <v>450</v>
      </c>
      <c r="B275" s="43" t="s">
        <v>890</v>
      </c>
      <c r="C275" s="7" t="s">
        <v>890</v>
      </c>
      <c r="D275" s="7" t="s">
        <v>890</v>
      </c>
      <c r="E275" s="4" t="s">
        <v>355</v>
      </c>
      <c r="F275" s="4" t="s">
        <v>356</v>
      </c>
      <c r="G275" s="4" t="s">
        <v>799</v>
      </c>
      <c r="H275" s="4" t="s">
        <v>892</v>
      </c>
      <c r="I275" s="31">
        <v>200</v>
      </c>
      <c r="J275" s="4">
        <f t="shared" si="18"/>
        <v>283.8</v>
      </c>
      <c r="K275" s="4" t="s">
        <v>383</v>
      </c>
    </row>
    <row r="276" spans="1:11" ht="10.5" customHeight="1" x14ac:dyDescent="0.25">
      <c r="A276" s="31" t="s">
        <v>450</v>
      </c>
      <c r="B276" s="43" t="s">
        <v>890</v>
      </c>
      <c r="C276" s="7" t="s">
        <v>890</v>
      </c>
      <c r="D276" s="7" t="s">
        <v>890</v>
      </c>
      <c r="E276" s="4" t="s">
        <v>355</v>
      </c>
      <c r="F276" s="4" t="s">
        <v>359</v>
      </c>
      <c r="G276" s="4" t="s">
        <v>799</v>
      </c>
      <c r="H276" s="4" t="s">
        <v>893</v>
      </c>
      <c r="I276" s="31">
        <v>200</v>
      </c>
      <c r="J276" s="4">
        <f t="shared" si="18"/>
        <v>283.8</v>
      </c>
      <c r="K276" s="4" t="s">
        <v>383</v>
      </c>
    </row>
    <row r="277" spans="1:11" ht="10.5" customHeight="1" x14ac:dyDescent="0.25">
      <c r="A277" s="31" t="s">
        <v>450</v>
      </c>
      <c r="B277" s="43" t="s">
        <v>890</v>
      </c>
      <c r="C277" s="7" t="s">
        <v>890</v>
      </c>
      <c r="D277" s="7" t="s">
        <v>890</v>
      </c>
      <c r="E277" s="4" t="s">
        <v>355</v>
      </c>
      <c r="F277" s="4" t="s">
        <v>358</v>
      </c>
      <c r="G277" s="4" t="s">
        <v>799</v>
      </c>
      <c r="H277" s="4" t="s">
        <v>894</v>
      </c>
      <c r="I277" s="31">
        <v>200</v>
      </c>
      <c r="J277" s="4">
        <f t="shared" si="18"/>
        <v>283.8</v>
      </c>
      <c r="K277" s="4" t="s">
        <v>383</v>
      </c>
    </row>
    <row r="278" spans="1:11" ht="10.5" customHeight="1" x14ac:dyDescent="0.25">
      <c r="A278" s="31" t="s">
        <v>450</v>
      </c>
      <c r="B278" s="43" t="s">
        <v>890</v>
      </c>
      <c r="C278" s="7" t="s">
        <v>890</v>
      </c>
      <c r="D278" s="7" t="s">
        <v>890</v>
      </c>
      <c r="E278" s="4" t="s">
        <v>355</v>
      </c>
      <c r="F278" s="4" t="s">
        <v>357</v>
      </c>
      <c r="G278" s="4" t="s">
        <v>799</v>
      </c>
      <c r="H278" s="4" t="s">
        <v>895</v>
      </c>
      <c r="I278" s="31">
        <v>200</v>
      </c>
      <c r="J278" s="4">
        <f t="shared" si="18"/>
        <v>283.8</v>
      </c>
      <c r="K278" s="4" t="s">
        <v>383</v>
      </c>
    </row>
    <row r="279" spans="1:11" ht="10.5" customHeight="1" x14ac:dyDescent="0.25">
      <c r="A279" s="31" t="s">
        <v>450</v>
      </c>
      <c r="B279" s="43" t="s">
        <v>896</v>
      </c>
      <c r="C279" s="7" t="s">
        <v>896</v>
      </c>
      <c r="D279" s="7" t="s">
        <v>896</v>
      </c>
      <c r="E279" s="4" t="s">
        <v>355</v>
      </c>
      <c r="F279" s="4" t="s">
        <v>897</v>
      </c>
      <c r="G279" s="4" t="s">
        <v>799</v>
      </c>
      <c r="H279" s="4" t="s">
        <v>898</v>
      </c>
      <c r="I279" s="31">
        <v>200</v>
      </c>
      <c r="J279" s="4">
        <f t="shared" si="18"/>
        <v>283.8</v>
      </c>
      <c r="K279" s="4" t="s">
        <v>383</v>
      </c>
    </row>
    <row r="280" spans="1:11" ht="10.5" customHeight="1" x14ac:dyDescent="0.25">
      <c r="A280" s="31" t="s">
        <v>450</v>
      </c>
      <c r="B280" s="43" t="s">
        <v>896</v>
      </c>
      <c r="C280" s="7" t="s">
        <v>896</v>
      </c>
      <c r="D280" s="7" t="s">
        <v>896</v>
      </c>
      <c r="E280" s="4" t="s">
        <v>355</v>
      </c>
      <c r="F280" s="4" t="s">
        <v>356</v>
      </c>
      <c r="G280" s="4" t="s">
        <v>799</v>
      </c>
      <c r="H280" s="4" t="s">
        <v>899</v>
      </c>
      <c r="I280" s="31">
        <v>200</v>
      </c>
      <c r="J280" s="4">
        <f t="shared" si="18"/>
        <v>283.8</v>
      </c>
      <c r="K280" s="4" t="s">
        <v>383</v>
      </c>
    </row>
    <row r="281" spans="1:11" ht="10.5" customHeight="1" x14ac:dyDescent="0.25">
      <c r="A281" s="31" t="s">
        <v>450</v>
      </c>
      <c r="B281" s="43" t="s">
        <v>896</v>
      </c>
      <c r="C281" s="7" t="s">
        <v>896</v>
      </c>
      <c r="D281" s="7" t="s">
        <v>896</v>
      </c>
      <c r="E281" s="4" t="s">
        <v>355</v>
      </c>
      <c r="F281" s="4" t="s">
        <v>357</v>
      </c>
      <c r="G281" s="4" t="s">
        <v>799</v>
      </c>
      <c r="H281" s="4" t="s">
        <v>900</v>
      </c>
      <c r="I281" s="31">
        <v>200</v>
      </c>
      <c r="J281" s="4">
        <f t="shared" si="18"/>
        <v>283.8</v>
      </c>
      <c r="K281" s="4" t="s">
        <v>383</v>
      </c>
    </row>
    <row r="282" spans="1:11" ht="10.5" customHeight="1" x14ac:dyDescent="0.25">
      <c r="A282" s="31" t="s">
        <v>450</v>
      </c>
      <c r="B282" s="43" t="s">
        <v>896</v>
      </c>
      <c r="C282" s="7" t="s">
        <v>896</v>
      </c>
      <c r="D282" s="7" t="s">
        <v>896</v>
      </c>
      <c r="E282" s="4" t="s">
        <v>355</v>
      </c>
      <c r="F282" s="4" t="s">
        <v>360</v>
      </c>
      <c r="G282" s="4" t="s">
        <v>799</v>
      </c>
      <c r="H282" s="4" t="s">
        <v>901</v>
      </c>
      <c r="I282" s="31">
        <v>200</v>
      </c>
      <c r="J282" s="4">
        <f t="shared" si="18"/>
        <v>283.8</v>
      </c>
      <c r="K282" s="4" t="s">
        <v>383</v>
      </c>
    </row>
    <row r="283" spans="1:11" ht="10.5" customHeight="1" x14ac:dyDescent="0.25">
      <c r="A283" s="31" t="s">
        <v>450</v>
      </c>
      <c r="B283" s="43" t="s">
        <v>896</v>
      </c>
      <c r="C283" s="7" t="s">
        <v>896</v>
      </c>
      <c r="D283" s="7" t="s">
        <v>896</v>
      </c>
      <c r="E283" s="4" t="s">
        <v>355</v>
      </c>
      <c r="F283" s="4" t="s">
        <v>359</v>
      </c>
      <c r="G283" s="4" t="s">
        <v>799</v>
      </c>
      <c r="H283" s="4" t="s">
        <v>902</v>
      </c>
      <c r="I283" s="31">
        <v>200</v>
      </c>
      <c r="J283" s="4">
        <f t="shared" si="18"/>
        <v>283.8</v>
      </c>
      <c r="K283" s="4" t="s">
        <v>383</v>
      </c>
    </row>
    <row r="284" spans="1:11" ht="10.5" customHeight="1" x14ac:dyDescent="0.25">
      <c r="A284" s="31" t="s">
        <v>450</v>
      </c>
      <c r="B284" s="43" t="s">
        <v>903</v>
      </c>
      <c r="C284" s="7" t="s">
        <v>903</v>
      </c>
      <c r="D284" s="7" t="s">
        <v>903</v>
      </c>
      <c r="E284" s="4" t="s">
        <v>355</v>
      </c>
      <c r="F284" s="4" t="s">
        <v>359</v>
      </c>
      <c r="G284" s="4" t="s">
        <v>799</v>
      </c>
      <c r="H284" s="4" t="s">
        <v>904</v>
      </c>
      <c r="I284" s="31">
        <v>200</v>
      </c>
      <c r="J284" s="4">
        <f t="shared" si="18"/>
        <v>283.8</v>
      </c>
      <c r="K284" s="4" t="s">
        <v>383</v>
      </c>
    </row>
    <row r="285" spans="1:11" ht="10.5" customHeight="1" x14ac:dyDescent="0.25">
      <c r="A285" s="31" t="s">
        <v>450</v>
      </c>
      <c r="B285" s="43" t="s">
        <v>903</v>
      </c>
      <c r="C285" s="7" t="s">
        <v>903</v>
      </c>
      <c r="D285" s="7" t="s">
        <v>903</v>
      </c>
      <c r="E285" s="4" t="s">
        <v>355</v>
      </c>
      <c r="F285" s="4" t="s">
        <v>357</v>
      </c>
      <c r="G285" s="4" t="s">
        <v>799</v>
      </c>
      <c r="H285" s="4" t="s">
        <v>905</v>
      </c>
      <c r="I285" s="31">
        <v>200</v>
      </c>
      <c r="J285" s="4">
        <f t="shared" si="18"/>
        <v>283.8</v>
      </c>
      <c r="K285" s="4" t="s">
        <v>383</v>
      </c>
    </row>
    <row r="286" spans="1:11" ht="10.5" customHeight="1" x14ac:dyDescent="0.25">
      <c r="A286" s="31" t="s">
        <v>450</v>
      </c>
      <c r="B286" s="31" t="s">
        <v>903</v>
      </c>
      <c r="C286" s="4" t="s">
        <v>903</v>
      </c>
      <c r="D286" s="7" t="s">
        <v>903</v>
      </c>
      <c r="E286" s="4" t="s">
        <v>355</v>
      </c>
      <c r="F286" s="4" t="s">
        <v>358</v>
      </c>
      <c r="G286" s="4" t="s">
        <v>799</v>
      </c>
      <c r="H286" s="4" t="s">
        <v>906</v>
      </c>
      <c r="I286" s="31">
        <v>200</v>
      </c>
      <c r="J286" s="4">
        <f t="shared" si="18"/>
        <v>283.8</v>
      </c>
      <c r="K286" s="4" t="s">
        <v>383</v>
      </c>
    </row>
    <row r="287" spans="1:11" ht="10.5" customHeight="1" x14ac:dyDescent="0.25">
      <c r="A287" s="31" t="s">
        <v>450</v>
      </c>
      <c r="B287" s="31" t="s">
        <v>903</v>
      </c>
      <c r="C287" s="4" t="s">
        <v>903</v>
      </c>
      <c r="D287" s="7" t="s">
        <v>903</v>
      </c>
      <c r="E287" s="4" t="s">
        <v>355</v>
      </c>
      <c r="F287" s="4" t="s">
        <v>907</v>
      </c>
      <c r="G287" s="4" t="s">
        <v>799</v>
      </c>
      <c r="H287" s="4" t="s">
        <v>908</v>
      </c>
      <c r="I287" s="31">
        <v>200</v>
      </c>
      <c r="J287" s="4">
        <f t="shared" si="18"/>
        <v>283.8</v>
      </c>
      <c r="K287" s="4" t="s">
        <v>383</v>
      </c>
    </row>
    <row r="288" spans="1:11" ht="10.5" customHeight="1" x14ac:dyDescent="0.25">
      <c r="A288" s="31" t="s">
        <v>450</v>
      </c>
      <c r="B288" s="31" t="s">
        <v>903</v>
      </c>
      <c r="C288" s="4" t="s">
        <v>903</v>
      </c>
      <c r="D288" s="7" t="s">
        <v>903</v>
      </c>
      <c r="E288" s="4" t="s">
        <v>355</v>
      </c>
      <c r="F288" s="4" t="s">
        <v>356</v>
      </c>
      <c r="G288" s="4" t="s">
        <v>799</v>
      </c>
      <c r="H288" s="4" t="s">
        <v>909</v>
      </c>
      <c r="I288" s="31">
        <v>200</v>
      </c>
      <c r="J288" s="4">
        <f t="shared" si="18"/>
        <v>283.8</v>
      </c>
      <c r="K288" s="4" t="s">
        <v>383</v>
      </c>
    </row>
    <row r="289" spans="1:11" ht="10.5" customHeight="1" x14ac:dyDescent="0.25">
      <c r="A289" s="31" t="s">
        <v>679</v>
      </c>
      <c r="B289" s="43" t="s">
        <v>910</v>
      </c>
      <c r="C289" s="7" t="s">
        <v>910</v>
      </c>
      <c r="D289" s="4" t="s">
        <v>910</v>
      </c>
      <c r="E289" s="4" t="s">
        <v>355</v>
      </c>
      <c r="F289" s="4" t="s">
        <v>911</v>
      </c>
      <c r="G289" s="4" t="s">
        <v>912</v>
      </c>
      <c r="H289" s="4" t="s">
        <v>913</v>
      </c>
      <c r="I289" s="31">
        <v>200</v>
      </c>
      <c r="J289" s="4">
        <f>(34*4*585)/1000+(35*9*585)/1000</f>
        <v>263.83500000000004</v>
      </c>
      <c r="K289" s="4" t="s">
        <v>383</v>
      </c>
    </row>
    <row r="290" spans="1:11" ht="10.5" customHeight="1" x14ac:dyDescent="0.25">
      <c r="A290" s="31" t="s">
        <v>679</v>
      </c>
      <c r="B290" s="43" t="s">
        <v>910</v>
      </c>
      <c r="C290" s="7" t="s">
        <v>910</v>
      </c>
      <c r="D290" s="4" t="s">
        <v>910</v>
      </c>
      <c r="E290" s="4" t="s">
        <v>355</v>
      </c>
      <c r="F290" s="4" t="s">
        <v>914</v>
      </c>
      <c r="G290" s="4" t="s">
        <v>912</v>
      </c>
      <c r="H290" s="4" t="s">
        <v>915</v>
      </c>
      <c r="I290" s="31">
        <v>200</v>
      </c>
      <c r="J290" s="4">
        <f>(34*5*585)/1000+(35*9*585)/1000</f>
        <v>283.72500000000002</v>
      </c>
      <c r="K290" s="4" t="s">
        <v>383</v>
      </c>
    </row>
    <row r="291" spans="1:11" ht="10.5" customHeight="1" x14ac:dyDescent="0.25">
      <c r="A291" s="31" t="s">
        <v>679</v>
      </c>
      <c r="B291" s="43" t="s">
        <v>910</v>
      </c>
      <c r="C291" s="7" t="s">
        <v>910</v>
      </c>
      <c r="D291" s="4" t="s">
        <v>910</v>
      </c>
      <c r="E291" s="4" t="s">
        <v>355</v>
      </c>
      <c r="F291" s="4" t="s">
        <v>916</v>
      </c>
      <c r="G291" s="4" t="s">
        <v>912</v>
      </c>
      <c r="H291" s="4" t="s">
        <v>917</v>
      </c>
      <c r="I291" s="31">
        <v>200</v>
      </c>
      <c r="J291" s="4">
        <f>(34*4*585)/1000+(35*9*585)/1000</f>
        <v>263.83500000000004</v>
      </c>
      <c r="K291" s="4" t="s">
        <v>383</v>
      </c>
    </row>
    <row r="292" spans="1:11" ht="10.5" customHeight="1" x14ac:dyDescent="0.25">
      <c r="A292" s="31" t="s">
        <v>679</v>
      </c>
      <c r="B292" s="43" t="s">
        <v>910</v>
      </c>
      <c r="C292" s="7" t="s">
        <v>910</v>
      </c>
      <c r="D292" s="7" t="s">
        <v>910</v>
      </c>
      <c r="E292" s="4" t="s">
        <v>355</v>
      </c>
      <c r="F292" s="4" t="s">
        <v>918</v>
      </c>
      <c r="G292" s="4" t="s">
        <v>912</v>
      </c>
      <c r="H292" s="4" t="s">
        <v>919</v>
      </c>
      <c r="I292" s="31">
        <v>200</v>
      </c>
      <c r="J292" s="4">
        <f>(34*5*585)/1000+(35*9*585)/1000</f>
        <v>283.72500000000002</v>
      </c>
      <c r="K292" s="4" t="s">
        <v>383</v>
      </c>
    </row>
    <row r="293" spans="1:11" ht="10.5" customHeight="1" x14ac:dyDescent="0.25">
      <c r="A293" s="31" t="s">
        <v>679</v>
      </c>
      <c r="B293" s="43" t="s">
        <v>910</v>
      </c>
      <c r="C293" s="7" t="s">
        <v>910</v>
      </c>
      <c r="D293" s="7" t="s">
        <v>910</v>
      </c>
      <c r="E293" s="4" t="s">
        <v>355</v>
      </c>
      <c r="F293" s="4" t="s">
        <v>920</v>
      </c>
      <c r="G293" s="4" t="s">
        <v>912</v>
      </c>
      <c r="H293" s="4" t="s">
        <v>921</v>
      </c>
      <c r="I293" s="31">
        <v>200</v>
      </c>
      <c r="J293" s="4">
        <f>(34*4*585)/1000+(35*9*585)/1000</f>
        <v>263.83500000000004</v>
      </c>
      <c r="K293" s="4" t="s">
        <v>383</v>
      </c>
    </row>
    <row r="294" spans="1:11" ht="10.5" customHeight="1" x14ac:dyDescent="0.25">
      <c r="A294" s="31" t="s">
        <v>679</v>
      </c>
      <c r="B294" s="43" t="s">
        <v>922</v>
      </c>
      <c r="C294" s="7" t="s">
        <v>922</v>
      </c>
      <c r="D294" s="7" t="s">
        <v>922</v>
      </c>
      <c r="E294" s="4" t="s">
        <v>355</v>
      </c>
      <c r="F294" s="4" t="s">
        <v>923</v>
      </c>
      <c r="G294" s="4" t="s">
        <v>912</v>
      </c>
      <c r="H294" s="4" t="s">
        <v>924</v>
      </c>
      <c r="I294" s="31">
        <v>200</v>
      </c>
      <c r="J294" s="4">
        <f>(34*5*585)/1000+(35*9*585)/1000</f>
        <v>283.72500000000002</v>
      </c>
      <c r="K294" s="4" t="s">
        <v>383</v>
      </c>
    </row>
    <row r="295" spans="1:11" ht="10.5" customHeight="1" x14ac:dyDescent="0.25">
      <c r="A295" s="31" t="s">
        <v>679</v>
      </c>
      <c r="B295" s="43" t="s">
        <v>922</v>
      </c>
      <c r="C295" s="7" t="s">
        <v>922</v>
      </c>
      <c r="D295" s="7" t="s">
        <v>922</v>
      </c>
      <c r="E295" s="4" t="s">
        <v>355</v>
      </c>
      <c r="F295" s="4" t="s">
        <v>925</v>
      </c>
      <c r="G295" s="4" t="s">
        <v>912</v>
      </c>
      <c r="H295" s="4" t="s">
        <v>926</v>
      </c>
      <c r="I295" s="31">
        <v>200</v>
      </c>
      <c r="J295" s="4">
        <f>(34*4*585)/1000+(35*9*585)/1000</f>
        <v>263.83500000000004</v>
      </c>
      <c r="K295" s="4" t="s">
        <v>383</v>
      </c>
    </row>
    <row r="296" spans="1:11" ht="10.5" customHeight="1" x14ac:dyDescent="0.25">
      <c r="A296" s="31" t="s">
        <v>679</v>
      </c>
      <c r="B296" s="43" t="s">
        <v>922</v>
      </c>
      <c r="C296" s="7" t="s">
        <v>922</v>
      </c>
      <c r="D296" s="7" t="s">
        <v>922</v>
      </c>
      <c r="E296" s="4" t="s">
        <v>355</v>
      </c>
      <c r="F296" s="4" t="s">
        <v>927</v>
      </c>
      <c r="G296" s="4" t="s">
        <v>912</v>
      </c>
      <c r="H296" s="4" t="s">
        <v>928</v>
      </c>
      <c r="I296" s="31">
        <v>200</v>
      </c>
      <c r="J296" s="4">
        <f>(34*4*585)/1000+(35*9*585)/1000</f>
        <v>263.83500000000004</v>
      </c>
      <c r="K296" s="4" t="s">
        <v>383</v>
      </c>
    </row>
    <row r="297" spans="1:11" ht="10.5" customHeight="1" x14ac:dyDescent="0.25">
      <c r="A297" s="31" t="s">
        <v>679</v>
      </c>
      <c r="B297" s="43" t="s">
        <v>922</v>
      </c>
      <c r="C297" s="7" t="s">
        <v>922</v>
      </c>
      <c r="D297" s="7" t="s">
        <v>922</v>
      </c>
      <c r="E297" s="4" t="s">
        <v>355</v>
      </c>
      <c r="F297" s="4" t="s">
        <v>929</v>
      </c>
      <c r="G297" s="4" t="s">
        <v>912</v>
      </c>
      <c r="H297" s="4" t="s">
        <v>930</v>
      </c>
      <c r="I297" s="31">
        <v>200</v>
      </c>
      <c r="J297" s="4">
        <f>(34*5*585)/1000+(35*9*585)/1000</f>
        <v>283.72500000000002</v>
      </c>
      <c r="K297" s="4" t="s">
        <v>383</v>
      </c>
    </row>
    <row r="298" spans="1:11" ht="10.5" customHeight="1" x14ac:dyDescent="0.25">
      <c r="A298" s="31" t="s">
        <v>679</v>
      </c>
      <c r="B298" s="43" t="s">
        <v>922</v>
      </c>
      <c r="C298" s="7" t="s">
        <v>922</v>
      </c>
      <c r="D298" s="7" t="s">
        <v>922</v>
      </c>
      <c r="E298" s="4" t="s">
        <v>355</v>
      </c>
      <c r="F298" s="4" t="s">
        <v>931</v>
      </c>
      <c r="G298" s="4" t="s">
        <v>912</v>
      </c>
      <c r="H298" s="4" t="s">
        <v>932</v>
      </c>
      <c r="I298" s="31">
        <v>200</v>
      </c>
      <c r="J298" s="4">
        <f>(34*4*585)/1000+(35*9*585)/1000</f>
        <v>263.83500000000004</v>
      </c>
      <c r="K298" s="4" t="s">
        <v>383</v>
      </c>
    </row>
    <row r="299" spans="1:11" ht="10.5" customHeight="1" x14ac:dyDescent="0.25">
      <c r="A299" s="31" t="s">
        <v>679</v>
      </c>
      <c r="B299" s="43" t="s">
        <v>933</v>
      </c>
      <c r="C299" s="7" t="s">
        <v>933</v>
      </c>
      <c r="D299" s="7" t="s">
        <v>933</v>
      </c>
      <c r="E299" s="4" t="s">
        <v>355</v>
      </c>
      <c r="F299" s="4" t="s">
        <v>876</v>
      </c>
      <c r="G299" s="4" t="s">
        <v>812</v>
      </c>
      <c r="H299" s="4" t="s">
        <v>934</v>
      </c>
      <c r="I299" s="31">
        <v>100</v>
      </c>
      <c r="J299" s="4">
        <f>(34*5*585)/1000+(35*9*585)/1000</f>
        <v>283.72500000000002</v>
      </c>
      <c r="K299" s="4" t="s">
        <v>383</v>
      </c>
    </row>
    <row r="300" spans="1:11" ht="10.5" customHeight="1" x14ac:dyDescent="0.25">
      <c r="A300" s="31" t="s">
        <v>679</v>
      </c>
      <c r="B300" s="43" t="s">
        <v>933</v>
      </c>
      <c r="C300" s="7" t="s">
        <v>933</v>
      </c>
      <c r="D300" s="7" t="s">
        <v>933</v>
      </c>
      <c r="E300" s="4" t="s">
        <v>355</v>
      </c>
      <c r="F300" s="4" t="s">
        <v>935</v>
      </c>
      <c r="G300" s="4" t="s">
        <v>912</v>
      </c>
      <c r="H300" s="4" t="s">
        <v>936</v>
      </c>
      <c r="I300" s="31">
        <v>200</v>
      </c>
      <c r="J300" s="4">
        <f>(34*4*585)/1000+(35*9*585)/1000</f>
        <v>263.83500000000004</v>
      </c>
      <c r="K300" s="4" t="s">
        <v>383</v>
      </c>
    </row>
    <row r="301" spans="1:11" ht="10.5" customHeight="1" x14ac:dyDescent="0.25">
      <c r="A301" s="31" t="s">
        <v>679</v>
      </c>
      <c r="B301" s="43" t="s">
        <v>933</v>
      </c>
      <c r="C301" s="7" t="s">
        <v>933</v>
      </c>
      <c r="D301" s="7" t="s">
        <v>933</v>
      </c>
      <c r="E301" s="4" t="s">
        <v>355</v>
      </c>
      <c r="F301" s="4" t="s">
        <v>927</v>
      </c>
      <c r="G301" s="4" t="s">
        <v>912</v>
      </c>
      <c r="H301" s="4" t="s">
        <v>937</v>
      </c>
      <c r="I301" s="31">
        <v>200</v>
      </c>
      <c r="J301" s="4">
        <f>(26*8*585)/1000</f>
        <v>121.68</v>
      </c>
      <c r="K301" s="4" t="s">
        <v>383</v>
      </c>
    </row>
    <row r="302" spans="1:11" ht="10.5" customHeight="1" x14ac:dyDescent="0.25">
      <c r="A302" s="31" t="s">
        <v>679</v>
      </c>
      <c r="B302" s="43" t="s">
        <v>938</v>
      </c>
      <c r="C302" s="7" t="s">
        <v>938</v>
      </c>
      <c r="D302" s="7" t="s">
        <v>938</v>
      </c>
      <c r="E302" s="4" t="s">
        <v>355</v>
      </c>
      <c r="F302" s="4" t="s">
        <v>923</v>
      </c>
      <c r="G302" s="4" t="s">
        <v>912</v>
      </c>
      <c r="H302" s="4" t="s">
        <v>939</v>
      </c>
      <c r="I302" s="31">
        <v>200</v>
      </c>
      <c r="J302" s="4">
        <f>(34*4*585)/1000+(35*9*585)/1000</f>
        <v>263.83500000000004</v>
      </c>
      <c r="K302" s="4" t="s">
        <v>383</v>
      </c>
    </row>
    <row r="303" spans="1:11" ht="10.5" customHeight="1" x14ac:dyDescent="0.25">
      <c r="A303" s="31" t="s">
        <v>679</v>
      </c>
      <c r="B303" s="43" t="s">
        <v>938</v>
      </c>
      <c r="C303" s="7" t="s">
        <v>938</v>
      </c>
      <c r="D303" s="7" t="s">
        <v>938</v>
      </c>
      <c r="E303" s="4" t="s">
        <v>355</v>
      </c>
      <c r="F303" s="4" t="s">
        <v>925</v>
      </c>
      <c r="G303" s="4" t="s">
        <v>912</v>
      </c>
      <c r="H303" s="4" t="s">
        <v>940</v>
      </c>
      <c r="I303" s="31">
        <v>200</v>
      </c>
      <c r="J303" s="4">
        <f>(34*5*585)/1000+(35*9*585)/1000</f>
        <v>283.72500000000002</v>
      </c>
      <c r="K303" s="4" t="s">
        <v>383</v>
      </c>
    </row>
    <row r="304" spans="1:11" ht="10.5" customHeight="1" x14ac:dyDescent="0.25">
      <c r="A304" s="31" t="s">
        <v>679</v>
      </c>
      <c r="B304" s="43" t="s">
        <v>938</v>
      </c>
      <c r="C304" s="7" t="s">
        <v>938</v>
      </c>
      <c r="D304" s="7" t="s">
        <v>938</v>
      </c>
      <c r="E304" s="4" t="s">
        <v>355</v>
      </c>
      <c r="F304" s="4" t="s">
        <v>927</v>
      </c>
      <c r="G304" s="4" t="s">
        <v>912</v>
      </c>
      <c r="H304" s="4" t="s">
        <v>941</v>
      </c>
      <c r="I304" s="31">
        <v>200</v>
      </c>
      <c r="J304" s="4">
        <f>(34*5*585)/1000+(35*9*585)/1000</f>
        <v>283.72500000000002</v>
      </c>
      <c r="K304" s="4" t="s">
        <v>383</v>
      </c>
    </row>
    <row r="305" spans="1:11" ht="10.5" customHeight="1" x14ac:dyDescent="0.25">
      <c r="A305" s="31" t="s">
        <v>679</v>
      </c>
      <c r="B305" s="43" t="s">
        <v>938</v>
      </c>
      <c r="C305" s="7" t="s">
        <v>938</v>
      </c>
      <c r="D305" s="7" t="s">
        <v>938</v>
      </c>
      <c r="E305" s="4" t="s">
        <v>355</v>
      </c>
      <c r="F305" s="4" t="s">
        <v>929</v>
      </c>
      <c r="G305" s="4" t="s">
        <v>912</v>
      </c>
      <c r="H305" s="4" t="s">
        <v>942</v>
      </c>
      <c r="I305" s="31">
        <v>200</v>
      </c>
      <c r="J305" s="4">
        <f>(34*4*585)/1000+(35*9*585)/1000</f>
        <v>263.83500000000004</v>
      </c>
      <c r="K305" s="4" t="s">
        <v>383</v>
      </c>
    </row>
    <row r="306" spans="1:11" ht="10.5" customHeight="1" x14ac:dyDescent="0.25">
      <c r="A306" s="31" t="s">
        <v>679</v>
      </c>
      <c r="B306" s="43" t="s">
        <v>938</v>
      </c>
      <c r="C306" s="7" t="s">
        <v>938</v>
      </c>
      <c r="D306" s="7" t="s">
        <v>938</v>
      </c>
      <c r="E306" s="4" t="s">
        <v>355</v>
      </c>
      <c r="F306" s="4" t="s">
        <v>931</v>
      </c>
      <c r="G306" s="4" t="s">
        <v>912</v>
      </c>
      <c r="H306" s="4" t="s">
        <v>943</v>
      </c>
      <c r="I306" s="31">
        <v>200</v>
      </c>
      <c r="J306" s="4">
        <f>(34*4*585)/1000+(35*9*585)/1000</f>
        <v>263.83500000000004</v>
      </c>
      <c r="K306" s="4" t="s">
        <v>383</v>
      </c>
    </row>
    <row r="307" spans="1:11" ht="10.5" customHeight="1" x14ac:dyDescent="0.25">
      <c r="A307" s="31" t="s">
        <v>679</v>
      </c>
      <c r="B307" s="43" t="s">
        <v>944</v>
      </c>
      <c r="C307" s="7" t="s">
        <v>944</v>
      </c>
      <c r="D307" s="7" t="s">
        <v>944</v>
      </c>
      <c r="E307" s="4" t="s">
        <v>355</v>
      </c>
      <c r="F307" s="4" t="s">
        <v>925</v>
      </c>
      <c r="G307" s="4" t="s">
        <v>912</v>
      </c>
      <c r="H307" s="4" t="s">
        <v>945</v>
      </c>
      <c r="I307" s="31">
        <v>200</v>
      </c>
      <c r="J307" s="4">
        <f>(34*4*585)/1000+(35*9*585)/1000</f>
        <v>263.83500000000004</v>
      </c>
      <c r="K307" s="4" t="s">
        <v>383</v>
      </c>
    </row>
    <row r="308" spans="1:11" ht="10.5" customHeight="1" x14ac:dyDescent="0.25">
      <c r="A308" s="31" t="s">
        <v>679</v>
      </c>
      <c r="B308" s="43" t="s">
        <v>944</v>
      </c>
      <c r="C308" s="7" t="s">
        <v>944</v>
      </c>
      <c r="D308" s="7" t="s">
        <v>944</v>
      </c>
      <c r="E308" s="4" t="s">
        <v>355</v>
      </c>
      <c r="F308" s="4" t="s">
        <v>927</v>
      </c>
      <c r="G308" s="4" t="s">
        <v>912</v>
      </c>
      <c r="H308" s="4" t="s">
        <v>946</v>
      </c>
      <c r="I308" s="31">
        <v>200</v>
      </c>
      <c r="J308" s="4">
        <f>(34*5*585)/1000+(35*9*585)/1000</f>
        <v>283.72500000000002</v>
      </c>
      <c r="K308" s="4" t="s">
        <v>383</v>
      </c>
    </row>
    <row r="309" spans="1:11" ht="10.5" customHeight="1" x14ac:dyDescent="0.25">
      <c r="A309" s="31" t="s">
        <v>679</v>
      </c>
      <c r="B309" s="43" t="s">
        <v>944</v>
      </c>
      <c r="C309" s="7" t="s">
        <v>944</v>
      </c>
      <c r="D309" s="7" t="s">
        <v>944</v>
      </c>
      <c r="E309" s="4" t="s">
        <v>355</v>
      </c>
      <c r="F309" s="4" t="s">
        <v>929</v>
      </c>
      <c r="G309" s="4" t="s">
        <v>912</v>
      </c>
      <c r="H309" s="4" t="s">
        <v>947</v>
      </c>
      <c r="I309" s="31">
        <v>200</v>
      </c>
      <c r="J309" s="4">
        <f>(34*5*585)/1000+(35*9*585)/1000</f>
        <v>283.72500000000002</v>
      </c>
      <c r="K309" s="4" t="s">
        <v>383</v>
      </c>
    </row>
    <row r="310" spans="1:11" ht="10.5" customHeight="1" x14ac:dyDescent="0.25">
      <c r="A310" s="31" t="s">
        <v>679</v>
      </c>
      <c r="B310" s="43" t="s">
        <v>944</v>
      </c>
      <c r="C310" s="7" t="s">
        <v>944</v>
      </c>
      <c r="D310" s="7" t="s">
        <v>944</v>
      </c>
      <c r="E310" s="4" t="s">
        <v>355</v>
      </c>
      <c r="F310" s="4" t="s">
        <v>931</v>
      </c>
      <c r="G310" s="4" t="s">
        <v>912</v>
      </c>
      <c r="H310" s="4" t="s">
        <v>948</v>
      </c>
      <c r="I310" s="31">
        <v>200</v>
      </c>
      <c r="J310" s="4">
        <f>(34*4*585)/1000+(35*9*585)/1000</f>
        <v>263.83500000000004</v>
      </c>
      <c r="K310" s="4" t="s">
        <v>383</v>
      </c>
    </row>
    <row r="311" spans="1:11" ht="10.5" customHeight="1" x14ac:dyDescent="0.25">
      <c r="A311" s="31" t="s">
        <v>679</v>
      </c>
      <c r="B311" s="43" t="s">
        <v>944</v>
      </c>
      <c r="C311" s="7" t="s">
        <v>944</v>
      </c>
      <c r="D311" s="7" t="s">
        <v>944</v>
      </c>
      <c r="E311" s="4" t="s">
        <v>355</v>
      </c>
      <c r="F311" s="4" t="s">
        <v>923</v>
      </c>
      <c r="G311" s="4" t="s">
        <v>912</v>
      </c>
      <c r="H311" s="4" t="s">
        <v>949</v>
      </c>
      <c r="I311" s="31">
        <v>200</v>
      </c>
      <c r="J311" s="4">
        <f>(34*4*585)/1000+(35*9*585)/1000</f>
        <v>263.83500000000004</v>
      </c>
      <c r="K311" s="4" t="s">
        <v>383</v>
      </c>
    </row>
    <row r="312" spans="1:11" ht="10.5" customHeight="1" x14ac:dyDescent="0.25">
      <c r="A312" s="31" t="s">
        <v>679</v>
      </c>
      <c r="B312" s="43" t="s">
        <v>950</v>
      </c>
      <c r="C312" s="7" t="s">
        <v>950</v>
      </c>
      <c r="D312" s="7" t="s">
        <v>950</v>
      </c>
      <c r="E312" s="4" t="s">
        <v>355</v>
      </c>
      <c r="F312" s="4" t="s">
        <v>951</v>
      </c>
      <c r="G312" s="4" t="s">
        <v>812</v>
      </c>
      <c r="H312" s="4" t="s">
        <v>952</v>
      </c>
      <c r="I312" s="31">
        <v>100</v>
      </c>
      <c r="J312" s="4">
        <f>(34*5*585)/1000+(35*9*585)/1000</f>
        <v>283.72500000000002</v>
      </c>
      <c r="K312" s="4" t="s">
        <v>383</v>
      </c>
    </row>
    <row r="313" spans="1:11" ht="10.5" customHeight="1" x14ac:dyDescent="0.25">
      <c r="A313" s="31" t="s">
        <v>679</v>
      </c>
      <c r="B313" s="43" t="s">
        <v>950</v>
      </c>
      <c r="C313" s="7" t="s">
        <v>950</v>
      </c>
      <c r="D313" s="7" t="s">
        <v>950</v>
      </c>
      <c r="E313" s="4" t="s">
        <v>355</v>
      </c>
      <c r="F313" s="4" t="s">
        <v>925</v>
      </c>
      <c r="G313" s="4" t="s">
        <v>912</v>
      </c>
      <c r="H313" s="4" t="s">
        <v>953</v>
      </c>
      <c r="I313" s="31">
        <v>200</v>
      </c>
      <c r="J313" s="4">
        <f>(34*4*585)/1000+(35*9*585)/1000</f>
        <v>263.83500000000004</v>
      </c>
      <c r="K313" s="4" t="s">
        <v>383</v>
      </c>
    </row>
    <row r="314" spans="1:11" ht="10.5" customHeight="1" x14ac:dyDescent="0.25">
      <c r="A314" s="31" t="s">
        <v>679</v>
      </c>
      <c r="B314" s="43" t="s">
        <v>950</v>
      </c>
      <c r="C314" s="7" t="s">
        <v>950</v>
      </c>
      <c r="D314" s="7" t="s">
        <v>950</v>
      </c>
      <c r="E314" s="4" t="s">
        <v>355</v>
      </c>
      <c r="F314" s="4" t="s">
        <v>923</v>
      </c>
      <c r="G314" s="4" t="s">
        <v>912</v>
      </c>
      <c r="H314" s="4" t="s">
        <v>954</v>
      </c>
      <c r="I314" s="31">
        <v>200</v>
      </c>
      <c r="J314" s="4">
        <f>(26*8*585)/1000</f>
        <v>121.68</v>
      </c>
      <c r="K314" s="4" t="s">
        <v>383</v>
      </c>
    </row>
    <row r="315" spans="1:11" ht="10.5" customHeight="1" x14ac:dyDescent="0.25">
      <c r="A315" s="31" t="s">
        <v>679</v>
      </c>
      <c r="B315" s="43" t="s">
        <v>955</v>
      </c>
      <c r="C315" s="7" t="s">
        <v>955</v>
      </c>
      <c r="D315" s="7" t="s">
        <v>955</v>
      </c>
      <c r="E315" s="4" t="s">
        <v>355</v>
      </c>
      <c r="F315" s="4" t="s">
        <v>876</v>
      </c>
      <c r="G315" s="4" t="s">
        <v>912</v>
      </c>
      <c r="H315" s="4" t="s">
        <v>956</v>
      </c>
      <c r="I315" s="31">
        <v>200</v>
      </c>
      <c r="J315" s="4">
        <f>(9*33*585)/1000+(5*34*585)/1000</f>
        <v>273.19499999999999</v>
      </c>
      <c r="K315" s="4" t="s">
        <v>383</v>
      </c>
    </row>
    <row r="316" spans="1:11" ht="10.5" customHeight="1" x14ac:dyDescent="0.25">
      <c r="A316" s="31" t="s">
        <v>679</v>
      </c>
      <c r="B316" s="43" t="s">
        <v>955</v>
      </c>
      <c r="C316" s="7" t="s">
        <v>955</v>
      </c>
      <c r="D316" s="7" t="s">
        <v>955</v>
      </c>
      <c r="E316" s="4" t="s">
        <v>355</v>
      </c>
      <c r="F316" s="4" t="s">
        <v>957</v>
      </c>
      <c r="G316" s="4" t="s">
        <v>912</v>
      </c>
      <c r="H316" s="4" t="s">
        <v>958</v>
      </c>
      <c r="I316" s="31">
        <v>200</v>
      </c>
      <c r="J316" s="4">
        <f>(9*33*585)/1000+(4*34*585)/1000</f>
        <v>253.30500000000001</v>
      </c>
      <c r="K316" s="4" t="s">
        <v>383</v>
      </c>
    </row>
    <row r="317" spans="1:11" ht="10.5" customHeight="1" x14ac:dyDescent="0.25">
      <c r="A317" s="31" t="s">
        <v>679</v>
      </c>
      <c r="B317" s="43" t="s">
        <v>955</v>
      </c>
      <c r="C317" s="7" t="s">
        <v>955</v>
      </c>
      <c r="D317" s="7" t="s">
        <v>955</v>
      </c>
      <c r="E317" s="4" t="s">
        <v>355</v>
      </c>
      <c r="F317" s="4" t="s">
        <v>959</v>
      </c>
      <c r="G317" s="4" t="s">
        <v>912</v>
      </c>
      <c r="H317" s="4" t="s">
        <v>960</v>
      </c>
      <c r="I317" s="31">
        <v>200</v>
      </c>
      <c r="J317" s="4">
        <f>(9*33*585)/1000+(5*34*585)/1000</f>
        <v>273.19499999999999</v>
      </c>
      <c r="K317" s="4" t="s">
        <v>383</v>
      </c>
    </row>
    <row r="318" spans="1:11" ht="10.5" customHeight="1" x14ac:dyDescent="0.25">
      <c r="A318" s="31" t="s">
        <v>679</v>
      </c>
      <c r="B318" s="43" t="s">
        <v>955</v>
      </c>
      <c r="C318" s="7" t="s">
        <v>955</v>
      </c>
      <c r="D318" s="7" t="s">
        <v>955</v>
      </c>
      <c r="E318" s="4" t="s">
        <v>355</v>
      </c>
      <c r="F318" s="4" t="s">
        <v>798</v>
      </c>
      <c r="G318" s="4" t="s">
        <v>912</v>
      </c>
      <c r="H318" s="4" t="s">
        <v>961</v>
      </c>
      <c r="I318" s="31">
        <v>200</v>
      </c>
      <c r="J318" s="4">
        <f>(9*33*585)/1000+(4*34*585)/1000</f>
        <v>253.30500000000001</v>
      </c>
      <c r="K318" s="4" t="s">
        <v>383</v>
      </c>
    </row>
    <row r="319" spans="1:11" ht="10.5" customHeight="1" x14ac:dyDescent="0.25">
      <c r="A319" s="31" t="s">
        <v>679</v>
      </c>
      <c r="B319" s="43" t="s">
        <v>955</v>
      </c>
      <c r="C319" s="7" t="s">
        <v>955</v>
      </c>
      <c r="D319" s="7" t="s">
        <v>955</v>
      </c>
      <c r="E319" s="4" t="s">
        <v>355</v>
      </c>
      <c r="F319" s="4" t="s">
        <v>962</v>
      </c>
      <c r="G319" s="4" t="s">
        <v>912</v>
      </c>
      <c r="H319" s="4" t="s">
        <v>963</v>
      </c>
      <c r="I319" s="31">
        <v>200</v>
      </c>
      <c r="J319" s="4">
        <f>(8*33*585)/1000+(4*34*585)/1000+(1*35*585)/1000</f>
        <v>254.47499999999999</v>
      </c>
      <c r="K319" s="4" t="s">
        <v>383</v>
      </c>
    </row>
    <row r="320" spans="1:11" ht="10.5" customHeight="1" x14ac:dyDescent="0.25">
      <c r="A320" s="31" t="s">
        <v>679</v>
      </c>
      <c r="B320" s="43" t="s">
        <v>964</v>
      </c>
      <c r="C320" s="7" t="s">
        <v>964</v>
      </c>
      <c r="D320" s="7" t="s">
        <v>964</v>
      </c>
      <c r="E320" s="4" t="s">
        <v>355</v>
      </c>
      <c r="F320" s="4" t="s">
        <v>876</v>
      </c>
      <c r="G320" s="4" t="s">
        <v>912</v>
      </c>
      <c r="H320" s="4" t="s">
        <v>965</v>
      </c>
      <c r="I320" s="31">
        <v>200</v>
      </c>
      <c r="J320" s="4">
        <f>(8*33*585)/1000+(4*34*585)/1000+(1*35*585)/1000</f>
        <v>254.47499999999999</v>
      </c>
      <c r="K320" s="4" t="s">
        <v>383</v>
      </c>
    </row>
    <row r="321" spans="1:11" ht="10.5" customHeight="1" x14ac:dyDescent="0.25">
      <c r="A321" s="31" t="s">
        <v>679</v>
      </c>
      <c r="B321" s="43" t="s">
        <v>964</v>
      </c>
      <c r="C321" s="7" t="s">
        <v>964</v>
      </c>
      <c r="D321" s="7" t="s">
        <v>964</v>
      </c>
      <c r="E321" s="4" t="s">
        <v>355</v>
      </c>
      <c r="F321" s="4" t="s">
        <v>966</v>
      </c>
      <c r="G321" s="4" t="s">
        <v>912</v>
      </c>
      <c r="H321" s="4" t="s">
        <v>967</v>
      </c>
      <c r="I321" s="31">
        <v>200</v>
      </c>
      <c r="J321" s="4">
        <f>(9*33*585)/1000+(4*34*585)/1000</f>
        <v>253.30500000000001</v>
      </c>
      <c r="K321" s="4" t="s">
        <v>383</v>
      </c>
    </row>
    <row r="322" spans="1:11" ht="10.5" customHeight="1" x14ac:dyDescent="0.25">
      <c r="A322" s="31" t="s">
        <v>679</v>
      </c>
      <c r="B322" s="43" t="s">
        <v>964</v>
      </c>
      <c r="C322" s="7" t="s">
        <v>964</v>
      </c>
      <c r="D322" s="7" t="s">
        <v>964</v>
      </c>
      <c r="E322" s="4" t="s">
        <v>355</v>
      </c>
      <c r="F322" s="4" t="s">
        <v>798</v>
      </c>
      <c r="G322" s="4" t="s">
        <v>912</v>
      </c>
      <c r="H322" s="4" t="s">
        <v>968</v>
      </c>
      <c r="I322" s="31">
        <v>200</v>
      </c>
      <c r="J322" s="4">
        <f>(9*33*585)/1000+(4*34*585)/1000</f>
        <v>253.30500000000001</v>
      </c>
      <c r="K322" s="4" t="s">
        <v>383</v>
      </c>
    </row>
    <row r="323" spans="1:11" ht="10.5" customHeight="1" x14ac:dyDescent="0.25">
      <c r="A323" s="31" t="s">
        <v>679</v>
      </c>
      <c r="B323" s="43" t="s">
        <v>964</v>
      </c>
      <c r="C323" s="7" t="s">
        <v>964</v>
      </c>
      <c r="D323" s="7" t="s">
        <v>964</v>
      </c>
      <c r="E323" s="4" t="s">
        <v>355</v>
      </c>
      <c r="F323" s="4" t="s">
        <v>969</v>
      </c>
      <c r="G323" s="4" t="s">
        <v>912</v>
      </c>
      <c r="H323" s="4" t="s">
        <v>970</v>
      </c>
      <c r="I323" s="31">
        <v>200</v>
      </c>
      <c r="J323" s="4">
        <f>(9*33*585)/1000+(5*34*585)/1000</f>
        <v>273.19499999999999</v>
      </c>
      <c r="K323" s="4" t="s">
        <v>383</v>
      </c>
    </row>
    <row r="324" spans="1:11" ht="10.5" customHeight="1" x14ac:dyDescent="0.25">
      <c r="A324" s="31" t="s">
        <v>679</v>
      </c>
      <c r="B324" s="43" t="s">
        <v>964</v>
      </c>
      <c r="C324" s="7" t="s">
        <v>964</v>
      </c>
      <c r="D324" s="7" t="s">
        <v>964</v>
      </c>
      <c r="E324" s="4" t="s">
        <v>355</v>
      </c>
      <c r="F324" s="4" t="s">
        <v>971</v>
      </c>
      <c r="G324" s="4" t="s">
        <v>912</v>
      </c>
      <c r="H324" s="4" t="s">
        <v>972</v>
      </c>
      <c r="I324" s="31">
        <v>200</v>
      </c>
      <c r="J324" s="4">
        <f>(9*33*585)/1000+(5*34*585)/1000</f>
        <v>273.19499999999999</v>
      </c>
      <c r="K324" s="4" t="s">
        <v>383</v>
      </c>
    </row>
    <row r="325" spans="1:11" ht="10.5" customHeight="1" x14ac:dyDescent="0.25">
      <c r="A325" s="31" t="s">
        <v>679</v>
      </c>
      <c r="B325" s="43" t="s">
        <v>973</v>
      </c>
      <c r="C325" s="7" t="s">
        <v>973</v>
      </c>
      <c r="D325" s="7" t="s">
        <v>973</v>
      </c>
      <c r="E325" s="4" t="s">
        <v>355</v>
      </c>
      <c r="F325" s="4" t="s">
        <v>974</v>
      </c>
      <c r="G325" s="4" t="s">
        <v>912</v>
      </c>
      <c r="H325" s="4" t="s">
        <v>975</v>
      </c>
      <c r="I325" s="31">
        <v>200</v>
      </c>
      <c r="J325" s="4">
        <f>(9*33*585)/1000+(5*34*585)/1000</f>
        <v>273.19499999999999</v>
      </c>
      <c r="K325" s="4" t="s">
        <v>383</v>
      </c>
    </row>
    <row r="326" spans="1:11" ht="10.5" customHeight="1" x14ac:dyDescent="0.25">
      <c r="A326" s="31" t="s">
        <v>679</v>
      </c>
      <c r="B326" s="43" t="s">
        <v>973</v>
      </c>
      <c r="C326" s="7" t="s">
        <v>973</v>
      </c>
      <c r="D326" s="7" t="s">
        <v>973</v>
      </c>
      <c r="E326" s="4" t="s">
        <v>355</v>
      </c>
      <c r="F326" s="4" t="s">
        <v>798</v>
      </c>
      <c r="G326" s="4" t="s">
        <v>912</v>
      </c>
      <c r="H326" s="4" t="s">
        <v>976</v>
      </c>
      <c r="I326" s="31">
        <v>200</v>
      </c>
      <c r="J326" s="4">
        <f>(9*33*585)/1000+(4*34*585)/1000</f>
        <v>253.30500000000001</v>
      </c>
      <c r="K326" s="4" t="s">
        <v>383</v>
      </c>
    </row>
    <row r="327" spans="1:11" ht="10.5" customHeight="1" x14ac:dyDescent="0.25">
      <c r="A327" s="31" t="s">
        <v>679</v>
      </c>
      <c r="B327" s="43" t="s">
        <v>973</v>
      </c>
      <c r="C327" s="7" t="s">
        <v>973</v>
      </c>
      <c r="D327" s="7" t="s">
        <v>973</v>
      </c>
      <c r="E327" s="4" t="s">
        <v>355</v>
      </c>
      <c r="F327" s="4" t="s">
        <v>801</v>
      </c>
      <c r="G327" s="4" t="s">
        <v>812</v>
      </c>
      <c r="H327" s="4" t="s">
        <v>977</v>
      </c>
      <c r="I327" s="31">
        <v>100</v>
      </c>
      <c r="J327" s="4">
        <f>(6*34*585)/1000</f>
        <v>119.34</v>
      </c>
      <c r="K327" s="4" t="s">
        <v>383</v>
      </c>
    </row>
    <row r="328" spans="1:11" ht="10.5" customHeight="1" x14ac:dyDescent="0.25">
      <c r="A328" s="31" t="s">
        <v>450</v>
      </c>
      <c r="B328" s="31" t="s">
        <v>272</v>
      </c>
      <c r="C328" s="4" t="s">
        <v>978</v>
      </c>
      <c r="D328" s="7" t="s">
        <v>978</v>
      </c>
      <c r="E328" s="4" t="s">
        <v>355</v>
      </c>
      <c r="F328" s="26" t="s">
        <v>803</v>
      </c>
      <c r="G328" s="20" t="s">
        <v>979</v>
      </c>
      <c r="H328" s="4" t="s">
        <v>980</v>
      </c>
      <c r="I328" s="33">
        <v>250</v>
      </c>
      <c r="J328" s="4"/>
      <c r="K328" s="4" t="s">
        <v>383</v>
      </c>
    </row>
    <row r="329" spans="1:11" ht="10.5" customHeight="1" x14ac:dyDescent="0.25">
      <c r="A329" s="31" t="s">
        <v>450</v>
      </c>
      <c r="B329" s="31" t="s">
        <v>272</v>
      </c>
      <c r="C329" s="4" t="s">
        <v>978</v>
      </c>
      <c r="D329" s="7" t="s">
        <v>978</v>
      </c>
      <c r="E329" s="4" t="s">
        <v>355</v>
      </c>
      <c r="F329" s="26" t="s">
        <v>805</v>
      </c>
      <c r="G329" s="20" t="s">
        <v>979</v>
      </c>
      <c r="H329" s="4" t="s">
        <v>981</v>
      </c>
      <c r="I329" s="33">
        <v>250</v>
      </c>
      <c r="J329" s="4"/>
      <c r="K329" s="4" t="s">
        <v>383</v>
      </c>
    </row>
    <row r="330" spans="1:11" ht="10.5" customHeight="1" x14ac:dyDescent="0.25">
      <c r="A330" s="31" t="s">
        <v>450</v>
      </c>
      <c r="B330" s="31" t="s">
        <v>272</v>
      </c>
      <c r="C330" s="4" t="s">
        <v>978</v>
      </c>
      <c r="D330" s="7" t="s">
        <v>978</v>
      </c>
      <c r="E330" s="4" t="s">
        <v>355</v>
      </c>
      <c r="F330" s="26" t="s">
        <v>798</v>
      </c>
      <c r="G330" s="20" t="s">
        <v>979</v>
      </c>
      <c r="H330" s="4" t="s">
        <v>982</v>
      </c>
      <c r="I330" s="33">
        <v>250</v>
      </c>
      <c r="J330" s="4"/>
      <c r="K330" s="4" t="s">
        <v>383</v>
      </c>
    </row>
    <row r="331" spans="1:11" ht="10.5" customHeight="1" x14ac:dyDescent="0.25">
      <c r="A331" s="31" t="s">
        <v>450</v>
      </c>
      <c r="B331" s="31" t="s">
        <v>272</v>
      </c>
      <c r="C331" s="4" t="s">
        <v>978</v>
      </c>
      <c r="D331" s="4" t="s">
        <v>978</v>
      </c>
      <c r="E331" s="4" t="s">
        <v>355</v>
      </c>
      <c r="F331" s="26" t="s">
        <v>801</v>
      </c>
      <c r="G331" s="20" t="s">
        <v>979</v>
      </c>
      <c r="H331" s="4" t="s">
        <v>983</v>
      </c>
      <c r="I331" s="33">
        <v>250</v>
      </c>
      <c r="J331" s="4"/>
      <c r="K331" s="4" t="s">
        <v>383</v>
      </c>
    </row>
    <row r="332" spans="1:11" ht="10.5" customHeight="1" x14ac:dyDescent="0.25">
      <c r="A332" s="31" t="s">
        <v>450</v>
      </c>
      <c r="B332" s="31" t="s">
        <v>272</v>
      </c>
      <c r="C332" s="4" t="s">
        <v>984</v>
      </c>
      <c r="D332" s="4" t="s">
        <v>984</v>
      </c>
      <c r="E332" s="4" t="s">
        <v>355</v>
      </c>
      <c r="F332" s="26" t="s">
        <v>803</v>
      </c>
      <c r="G332" s="20" t="s">
        <v>979</v>
      </c>
      <c r="H332" s="4" t="s">
        <v>985</v>
      </c>
      <c r="I332" s="33">
        <v>250</v>
      </c>
      <c r="J332" s="4"/>
      <c r="K332" s="4" t="s">
        <v>383</v>
      </c>
    </row>
    <row r="333" spans="1:11" ht="10.5" customHeight="1" x14ac:dyDescent="0.25">
      <c r="A333" s="31" t="s">
        <v>450</v>
      </c>
      <c r="B333" s="31" t="s">
        <v>272</v>
      </c>
      <c r="C333" s="4" t="s">
        <v>984</v>
      </c>
      <c r="D333" s="4" t="s">
        <v>984</v>
      </c>
      <c r="E333" s="4" t="s">
        <v>355</v>
      </c>
      <c r="F333" s="26" t="s">
        <v>801</v>
      </c>
      <c r="G333" s="20" t="s">
        <v>979</v>
      </c>
      <c r="H333" s="4" t="s">
        <v>986</v>
      </c>
      <c r="I333" s="33">
        <v>250</v>
      </c>
      <c r="J333" s="4"/>
      <c r="K333" s="4" t="s">
        <v>383</v>
      </c>
    </row>
    <row r="334" spans="1:11" ht="10.5" customHeight="1" x14ac:dyDescent="0.25">
      <c r="A334" s="31" t="s">
        <v>450</v>
      </c>
      <c r="B334" s="31" t="s">
        <v>272</v>
      </c>
      <c r="C334" s="4" t="s">
        <v>984</v>
      </c>
      <c r="D334" s="4" t="s">
        <v>984</v>
      </c>
      <c r="E334" s="4" t="s">
        <v>355</v>
      </c>
      <c r="F334" s="26" t="s">
        <v>798</v>
      </c>
      <c r="G334" s="20" t="s">
        <v>979</v>
      </c>
      <c r="H334" s="4" t="s">
        <v>987</v>
      </c>
      <c r="I334" s="33">
        <v>250</v>
      </c>
      <c r="J334" s="4"/>
      <c r="K334" s="4" t="s">
        <v>383</v>
      </c>
    </row>
    <row r="335" spans="1:11" ht="10.5" customHeight="1" x14ac:dyDescent="0.25">
      <c r="A335" s="31" t="s">
        <v>450</v>
      </c>
      <c r="B335" s="31" t="s">
        <v>272</v>
      </c>
      <c r="C335" s="4" t="s">
        <v>984</v>
      </c>
      <c r="D335" s="4" t="s">
        <v>984</v>
      </c>
      <c r="E335" s="4" t="s">
        <v>355</v>
      </c>
      <c r="F335" s="26" t="s">
        <v>805</v>
      </c>
      <c r="G335" s="20" t="s">
        <v>979</v>
      </c>
      <c r="H335" s="4" t="s">
        <v>988</v>
      </c>
      <c r="I335" s="33">
        <v>250</v>
      </c>
      <c r="J335" s="4"/>
      <c r="K335" s="4" t="s">
        <v>383</v>
      </c>
    </row>
    <row r="336" spans="1:11" ht="10.5" customHeight="1" x14ac:dyDescent="0.25">
      <c r="A336" s="31" t="s">
        <v>450</v>
      </c>
      <c r="B336" s="31" t="s">
        <v>272</v>
      </c>
      <c r="C336" s="4" t="s">
        <v>989</v>
      </c>
      <c r="D336" s="4" t="s">
        <v>989</v>
      </c>
      <c r="E336" s="4" t="s">
        <v>355</v>
      </c>
      <c r="F336" s="26" t="s">
        <v>801</v>
      </c>
      <c r="G336" s="20" t="s">
        <v>979</v>
      </c>
      <c r="H336" s="4" t="s">
        <v>990</v>
      </c>
      <c r="I336" s="33">
        <v>250</v>
      </c>
      <c r="J336" s="4"/>
      <c r="K336" s="4" t="s">
        <v>383</v>
      </c>
    </row>
    <row r="337" spans="1:11" ht="10.5" customHeight="1" x14ac:dyDescent="0.25">
      <c r="A337" s="31" t="s">
        <v>450</v>
      </c>
      <c r="B337" s="31" t="s">
        <v>272</v>
      </c>
      <c r="C337" s="4" t="s">
        <v>989</v>
      </c>
      <c r="D337" s="4" t="s">
        <v>989</v>
      </c>
      <c r="E337" s="4" t="s">
        <v>355</v>
      </c>
      <c r="F337" s="26" t="s">
        <v>803</v>
      </c>
      <c r="G337" s="20" t="s">
        <v>979</v>
      </c>
      <c r="H337" s="4" t="s">
        <v>991</v>
      </c>
      <c r="I337" s="33">
        <v>250</v>
      </c>
      <c r="J337" s="4"/>
      <c r="K337" s="4" t="s">
        <v>383</v>
      </c>
    </row>
    <row r="338" spans="1:11" ht="10.5" customHeight="1" x14ac:dyDescent="0.25">
      <c r="A338" s="31" t="s">
        <v>450</v>
      </c>
      <c r="B338" s="31" t="s">
        <v>272</v>
      </c>
      <c r="C338" s="4" t="s">
        <v>989</v>
      </c>
      <c r="D338" s="4" t="s">
        <v>989</v>
      </c>
      <c r="E338" s="4" t="s">
        <v>355</v>
      </c>
      <c r="F338" s="26" t="s">
        <v>805</v>
      </c>
      <c r="G338" s="20" t="s">
        <v>979</v>
      </c>
      <c r="H338" s="4" t="s">
        <v>992</v>
      </c>
      <c r="I338" s="33">
        <v>250</v>
      </c>
      <c r="J338" s="4"/>
      <c r="K338" s="4" t="s">
        <v>383</v>
      </c>
    </row>
    <row r="339" spans="1:11" ht="10.5" customHeight="1" x14ac:dyDescent="0.25">
      <c r="A339" s="31" t="s">
        <v>450</v>
      </c>
      <c r="B339" s="31" t="s">
        <v>272</v>
      </c>
      <c r="C339" s="4" t="s">
        <v>989</v>
      </c>
      <c r="D339" s="4" t="s">
        <v>989</v>
      </c>
      <c r="E339" s="4" t="s">
        <v>355</v>
      </c>
      <c r="F339" s="26" t="s">
        <v>876</v>
      </c>
      <c r="G339" s="20" t="s">
        <v>979</v>
      </c>
      <c r="H339" s="4" t="s">
        <v>993</v>
      </c>
      <c r="I339" s="33">
        <v>250</v>
      </c>
      <c r="J339" s="4"/>
      <c r="K339" s="4" t="s">
        <v>383</v>
      </c>
    </row>
    <row r="340" spans="1:11" ht="10.5" customHeight="1" x14ac:dyDescent="0.25">
      <c r="A340" s="31" t="s">
        <v>450</v>
      </c>
      <c r="B340" s="31" t="s">
        <v>272</v>
      </c>
      <c r="C340" s="4" t="s">
        <v>994</v>
      </c>
      <c r="D340" s="4" t="s">
        <v>994</v>
      </c>
      <c r="E340" s="4" t="s">
        <v>355</v>
      </c>
      <c r="F340" s="26" t="s">
        <v>803</v>
      </c>
      <c r="G340" s="20" t="s">
        <v>979</v>
      </c>
      <c r="H340" s="4" t="s">
        <v>995</v>
      </c>
      <c r="I340" s="33">
        <v>250</v>
      </c>
      <c r="J340" s="4"/>
      <c r="K340" s="4" t="s">
        <v>383</v>
      </c>
    </row>
    <row r="341" spans="1:11" ht="10.5" customHeight="1" x14ac:dyDescent="0.25">
      <c r="A341" s="31" t="s">
        <v>450</v>
      </c>
      <c r="B341" s="31" t="s">
        <v>272</v>
      </c>
      <c r="C341" s="4" t="s">
        <v>994</v>
      </c>
      <c r="D341" s="4" t="s">
        <v>994</v>
      </c>
      <c r="E341" s="4" t="s">
        <v>355</v>
      </c>
      <c r="F341" s="26" t="s">
        <v>805</v>
      </c>
      <c r="G341" s="20" t="s">
        <v>979</v>
      </c>
      <c r="H341" s="4" t="s">
        <v>996</v>
      </c>
      <c r="I341" s="33">
        <v>250</v>
      </c>
      <c r="J341" s="4"/>
      <c r="K341" s="4" t="s">
        <v>383</v>
      </c>
    </row>
    <row r="342" spans="1:11" ht="10.5" customHeight="1" x14ac:dyDescent="0.25">
      <c r="A342" s="31" t="s">
        <v>450</v>
      </c>
      <c r="B342" s="31" t="s">
        <v>272</v>
      </c>
      <c r="C342" s="4" t="s">
        <v>994</v>
      </c>
      <c r="D342" s="4" t="s">
        <v>994</v>
      </c>
      <c r="E342" s="4" t="s">
        <v>355</v>
      </c>
      <c r="F342" s="26" t="s">
        <v>801</v>
      </c>
      <c r="G342" s="20" t="s">
        <v>979</v>
      </c>
      <c r="H342" s="4" t="s">
        <v>997</v>
      </c>
      <c r="I342" s="33">
        <v>250</v>
      </c>
      <c r="J342" s="4"/>
      <c r="K342" s="4" t="s">
        <v>383</v>
      </c>
    </row>
    <row r="343" spans="1:11" ht="10.5" customHeight="1" x14ac:dyDescent="0.25">
      <c r="A343" s="31" t="s">
        <v>450</v>
      </c>
      <c r="B343" s="31" t="s">
        <v>272</v>
      </c>
      <c r="C343" s="4" t="s">
        <v>994</v>
      </c>
      <c r="D343" s="4" t="s">
        <v>994</v>
      </c>
      <c r="E343" s="4" t="s">
        <v>355</v>
      </c>
      <c r="F343" s="26" t="s">
        <v>798</v>
      </c>
      <c r="G343" s="20" t="s">
        <v>979</v>
      </c>
      <c r="H343" s="4" t="s">
        <v>998</v>
      </c>
      <c r="I343" s="33">
        <v>250</v>
      </c>
      <c r="J343" s="4"/>
      <c r="K343" s="4" t="s">
        <v>383</v>
      </c>
    </row>
    <row r="344" spans="1:11" ht="10.5" customHeight="1" x14ac:dyDescent="0.25">
      <c r="A344" s="31" t="s">
        <v>450</v>
      </c>
      <c r="B344" s="31" t="s">
        <v>272</v>
      </c>
      <c r="C344" s="4" t="s">
        <v>999</v>
      </c>
      <c r="D344" s="4" t="s">
        <v>999</v>
      </c>
      <c r="E344" s="4" t="s">
        <v>355</v>
      </c>
      <c r="F344" s="26" t="s">
        <v>801</v>
      </c>
      <c r="G344" s="20" t="s">
        <v>979</v>
      </c>
      <c r="H344" s="4" t="s">
        <v>1000</v>
      </c>
      <c r="I344" s="33">
        <v>250</v>
      </c>
      <c r="J344" s="4"/>
      <c r="K344" s="4" t="s">
        <v>383</v>
      </c>
    </row>
    <row r="345" spans="1:11" ht="10.5" customHeight="1" x14ac:dyDescent="0.25">
      <c r="A345" s="31" t="s">
        <v>450</v>
      </c>
      <c r="B345" s="31" t="s">
        <v>272</v>
      </c>
      <c r="C345" s="4" t="s">
        <v>999</v>
      </c>
      <c r="D345" s="4" t="s">
        <v>999</v>
      </c>
      <c r="E345" s="4" t="s">
        <v>355</v>
      </c>
      <c r="F345" s="26" t="s">
        <v>798</v>
      </c>
      <c r="G345" s="20" t="s">
        <v>979</v>
      </c>
      <c r="H345" s="4" t="s">
        <v>1001</v>
      </c>
      <c r="I345" s="33">
        <v>250</v>
      </c>
      <c r="J345" s="4"/>
      <c r="K345" s="4" t="s">
        <v>383</v>
      </c>
    </row>
    <row r="346" spans="1:11" ht="10.5" customHeight="1" x14ac:dyDescent="0.25">
      <c r="A346" s="31" t="s">
        <v>450</v>
      </c>
      <c r="B346" s="31" t="s">
        <v>272</v>
      </c>
      <c r="C346" s="4" t="s">
        <v>999</v>
      </c>
      <c r="D346" s="4" t="s">
        <v>999</v>
      </c>
      <c r="E346" s="4" t="s">
        <v>355</v>
      </c>
      <c r="F346" s="26" t="s">
        <v>803</v>
      </c>
      <c r="G346" s="20" t="s">
        <v>979</v>
      </c>
      <c r="H346" s="4" t="s">
        <v>1002</v>
      </c>
      <c r="I346" s="33">
        <v>250</v>
      </c>
      <c r="J346" s="4"/>
      <c r="K346" s="4" t="s">
        <v>383</v>
      </c>
    </row>
    <row r="347" spans="1:11" ht="10.5" customHeight="1" x14ac:dyDescent="0.25">
      <c r="A347" s="44" t="s">
        <v>450</v>
      </c>
      <c r="B347" s="44" t="s">
        <v>272</v>
      </c>
      <c r="C347" s="27" t="s">
        <v>999</v>
      </c>
      <c r="D347" s="4" t="s">
        <v>999</v>
      </c>
      <c r="E347" s="4" t="s">
        <v>355</v>
      </c>
      <c r="F347" s="28" t="s">
        <v>876</v>
      </c>
      <c r="G347" s="29" t="s">
        <v>979</v>
      </c>
      <c r="H347" s="27" t="s">
        <v>1003</v>
      </c>
      <c r="I347" s="33">
        <v>250</v>
      </c>
      <c r="J347" s="27"/>
      <c r="K347" s="4" t="s">
        <v>383</v>
      </c>
    </row>
    <row r="348" spans="1:11" ht="10.5" customHeight="1" x14ac:dyDescent="0.25">
      <c r="A348" s="31" t="s">
        <v>1004</v>
      </c>
      <c r="B348" s="31" t="s">
        <v>1005</v>
      </c>
      <c r="C348" s="4" t="s">
        <v>1006</v>
      </c>
      <c r="D348" s="4" t="s">
        <v>1006</v>
      </c>
      <c r="E348" s="4" t="s">
        <v>355</v>
      </c>
      <c r="F348" s="26" t="s">
        <v>801</v>
      </c>
      <c r="G348" s="20" t="s">
        <v>979</v>
      </c>
      <c r="H348" s="4" t="s">
        <v>1007</v>
      </c>
      <c r="I348" s="33">
        <v>250</v>
      </c>
      <c r="J348" s="4"/>
      <c r="K348" s="4" t="s">
        <v>383</v>
      </c>
    </row>
    <row r="349" spans="1:11" ht="10.5" customHeight="1" x14ac:dyDescent="0.25">
      <c r="A349" s="31" t="s">
        <v>1004</v>
      </c>
      <c r="B349" s="31" t="s">
        <v>1005</v>
      </c>
      <c r="C349" s="4" t="s">
        <v>1006</v>
      </c>
      <c r="D349" s="4" t="s">
        <v>1006</v>
      </c>
      <c r="E349" s="4" t="s">
        <v>355</v>
      </c>
      <c r="F349" s="26" t="s">
        <v>803</v>
      </c>
      <c r="G349" s="20" t="s">
        <v>979</v>
      </c>
      <c r="H349" s="4" t="s">
        <v>1008</v>
      </c>
      <c r="I349" s="33">
        <v>250</v>
      </c>
      <c r="J349" s="4"/>
      <c r="K349" s="4" t="s">
        <v>383</v>
      </c>
    </row>
    <row r="350" spans="1:11" ht="10.5" customHeight="1" x14ac:dyDescent="0.25">
      <c r="A350" s="31" t="s">
        <v>1004</v>
      </c>
      <c r="B350" s="31" t="s">
        <v>1005</v>
      </c>
      <c r="C350" s="4" t="s">
        <v>1006</v>
      </c>
      <c r="D350" s="27" t="s">
        <v>1006</v>
      </c>
      <c r="E350" s="4" t="s">
        <v>355</v>
      </c>
      <c r="F350" s="26" t="s">
        <v>798</v>
      </c>
      <c r="G350" s="20" t="s">
        <v>979</v>
      </c>
      <c r="H350" s="4" t="s">
        <v>1009</v>
      </c>
      <c r="I350" s="33">
        <v>250</v>
      </c>
      <c r="J350" s="4"/>
      <c r="K350" s="4" t="s">
        <v>383</v>
      </c>
    </row>
    <row r="351" spans="1:11" ht="10.5" customHeight="1" x14ac:dyDescent="0.25">
      <c r="A351" s="31" t="s">
        <v>1004</v>
      </c>
      <c r="B351" s="31" t="s">
        <v>1005</v>
      </c>
      <c r="C351" s="4" t="s">
        <v>1006</v>
      </c>
      <c r="D351" s="4" t="s">
        <v>1006</v>
      </c>
      <c r="E351" s="27" t="s">
        <v>355</v>
      </c>
      <c r="F351" s="28" t="s">
        <v>805</v>
      </c>
      <c r="G351" s="29" t="s">
        <v>979</v>
      </c>
      <c r="H351" s="27" t="s">
        <v>1010</v>
      </c>
      <c r="I351" s="34">
        <v>250</v>
      </c>
      <c r="J351" s="27"/>
      <c r="K351" s="4" t="s">
        <v>383</v>
      </c>
    </row>
    <row r="352" spans="1:11" ht="10.5" customHeight="1" x14ac:dyDescent="0.25">
      <c r="A352" s="52" t="s">
        <v>450</v>
      </c>
      <c r="B352" s="48" t="s">
        <v>85</v>
      </c>
      <c r="C352" s="35" t="s">
        <v>1011</v>
      </c>
      <c r="D352" s="4" t="s">
        <v>1011</v>
      </c>
      <c r="E352" s="4" t="s">
        <v>355</v>
      </c>
      <c r="F352" s="26" t="s">
        <v>876</v>
      </c>
      <c r="G352" s="20" t="s">
        <v>799</v>
      </c>
      <c r="H352" s="35" t="s">
        <v>1012</v>
      </c>
      <c r="I352" s="36">
        <v>200</v>
      </c>
      <c r="J352" s="4"/>
      <c r="K352" s="4" t="s">
        <v>383</v>
      </c>
    </row>
    <row r="353" spans="1:11" ht="10.5" customHeight="1" x14ac:dyDescent="0.25">
      <c r="A353" s="53" t="s">
        <v>450</v>
      </c>
      <c r="B353" s="49" t="s">
        <v>85</v>
      </c>
      <c r="C353" s="35" t="s">
        <v>1013</v>
      </c>
      <c r="D353" s="35" t="s">
        <v>1013</v>
      </c>
      <c r="E353" s="4" t="s">
        <v>355</v>
      </c>
      <c r="F353" s="26" t="s">
        <v>876</v>
      </c>
      <c r="G353" s="20" t="s">
        <v>799</v>
      </c>
      <c r="H353" s="35" t="s">
        <v>1014</v>
      </c>
      <c r="I353" s="36">
        <v>200</v>
      </c>
      <c r="J353" s="4"/>
      <c r="K353" s="4" t="s">
        <v>383</v>
      </c>
    </row>
    <row r="354" spans="1:11" ht="10.5" customHeight="1" x14ac:dyDescent="0.25">
      <c r="A354" s="53" t="s">
        <v>450</v>
      </c>
      <c r="B354" s="49" t="s">
        <v>85</v>
      </c>
      <c r="C354" s="35" t="s">
        <v>1015</v>
      </c>
      <c r="D354" s="35" t="s">
        <v>1015</v>
      </c>
      <c r="E354" s="4" t="s">
        <v>355</v>
      </c>
      <c r="F354" s="26" t="s">
        <v>876</v>
      </c>
      <c r="G354" s="20" t="s">
        <v>799</v>
      </c>
      <c r="H354" s="35" t="s">
        <v>1016</v>
      </c>
      <c r="I354" s="36">
        <v>200</v>
      </c>
      <c r="J354" s="4"/>
      <c r="K354" s="4" t="s">
        <v>383</v>
      </c>
    </row>
    <row r="355" spans="1:11" ht="10.5" customHeight="1" x14ac:dyDescent="0.25">
      <c r="A355" s="53" t="s">
        <v>450</v>
      </c>
      <c r="B355" s="49" t="s">
        <v>85</v>
      </c>
      <c r="C355" s="35" t="s">
        <v>1017</v>
      </c>
      <c r="D355" s="35" t="s">
        <v>1017</v>
      </c>
      <c r="E355" s="4" t="s">
        <v>355</v>
      </c>
      <c r="F355" s="26" t="s">
        <v>876</v>
      </c>
      <c r="G355" s="20" t="s">
        <v>799</v>
      </c>
      <c r="H355" s="35" t="s">
        <v>1018</v>
      </c>
      <c r="I355" s="36">
        <v>200</v>
      </c>
      <c r="J355" s="4"/>
      <c r="K355" s="4" t="s">
        <v>383</v>
      </c>
    </row>
    <row r="356" spans="1:11" ht="10.5" customHeight="1" x14ac:dyDescent="0.25">
      <c r="A356" s="53" t="s">
        <v>450</v>
      </c>
      <c r="B356" s="49" t="s">
        <v>85</v>
      </c>
      <c r="C356" s="35" t="s">
        <v>1019</v>
      </c>
      <c r="D356" s="35" t="s">
        <v>1019</v>
      </c>
      <c r="E356" s="4" t="s">
        <v>355</v>
      </c>
      <c r="F356" s="26" t="s">
        <v>876</v>
      </c>
      <c r="G356" s="20" t="s">
        <v>799</v>
      </c>
      <c r="H356" s="35" t="s">
        <v>1020</v>
      </c>
      <c r="I356" s="36">
        <v>200</v>
      </c>
      <c r="J356" s="4"/>
      <c r="K356" s="4" t="s">
        <v>383</v>
      </c>
    </row>
    <row r="357" spans="1:11" ht="10.5" customHeight="1" x14ac:dyDescent="0.25">
      <c r="A357" s="53" t="s">
        <v>450</v>
      </c>
      <c r="B357" s="49" t="s">
        <v>232</v>
      </c>
      <c r="C357" s="35" t="s">
        <v>1021</v>
      </c>
      <c r="D357" s="35" t="s">
        <v>1021</v>
      </c>
      <c r="E357" s="4" t="s">
        <v>355</v>
      </c>
      <c r="F357" s="26" t="s">
        <v>801</v>
      </c>
      <c r="G357" s="20" t="s">
        <v>979</v>
      </c>
      <c r="H357" s="35" t="s">
        <v>1022</v>
      </c>
      <c r="I357" s="36">
        <v>250</v>
      </c>
      <c r="J357" s="4"/>
      <c r="K357" s="4" t="s">
        <v>383</v>
      </c>
    </row>
    <row r="358" spans="1:11" ht="10.5" customHeight="1" x14ac:dyDescent="0.25">
      <c r="A358" s="53" t="s">
        <v>450</v>
      </c>
      <c r="B358" s="49" t="s">
        <v>232</v>
      </c>
      <c r="C358" s="35" t="s">
        <v>1021</v>
      </c>
      <c r="D358" s="35" t="s">
        <v>1021</v>
      </c>
      <c r="E358" s="4" t="s">
        <v>355</v>
      </c>
      <c r="F358" s="26" t="s">
        <v>798</v>
      </c>
      <c r="G358" s="20" t="s">
        <v>979</v>
      </c>
      <c r="H358" s="35" t="s">
        <v>1023</v>
      </c>
      <c r="I358" s="36">
        <v>250</v>
      </c>
      <c r="J358" s="4"/>
      <c r="K358" s="4" t="s">
        <v>383</v>
      </c>
    </row>
    <row r="359" spans="1:11" ht="10.5" customHeight="1" x14ac:dyDescent="0.25">
      <c r="A359" s="53" t="s">
        <v>450</v>
      </c>
      <c r="B359" s="49" t="s">
        <v>232</v>
      </c>
      <c r="C359" s="35" t="s">
        <v>1021</v>
      </c>
      <c r="D359" s="35" t="s">
        <v>1021</v>
      </c>
      <c r="E359" s="4" t="s">
        <v>355</v>
      </c>
      <c r="F359" s="26" t="s">
        <v>805</v>
      </c>
      <c r="G359" s="20" t="s">
        <v>979</v>
      </c>
      <c r="H359" s="35" t="s">
        <v>1024</v>
      </c>
      <c r="I359" s="36">
        <v>250</v>
      </c>
      <c r="J359" s="4"/>
      <c r="K359" s="4" t="s">
        <v>383</v>
      </c>
    </row>
    <row r="360" spans="1:11" ht="10.5" customHeight="1" x14ac:dyDescent="0.25">
      <c r="A360" s="53" t="s">
        <v>450</v>
      </c>
      <c r="B360" s="49" t="s">
        <v>232</v>
      </c>
      <c r="C360" s="35" t="s">
        <v>1021</v>
      </c>
      <c r="D360" s="35" t="s">
        <v>1021</v>
      </c>
      <c r="E360" s="4" t="s">
        <v>355</v>
      </c>
      <c r="F360" s="26" t="s">
        <v>803</v>
      </c>
      <c r="G360" s="20" t="s">
        <v>979</v>
      </c>
      <c r="H360" s="35" t="s">
        <v>1025</v>
      </c>
      <c r="I360" s="36">
        <v>250</v>
      </c>
      <c r="J360" s="4"/>
      <c r="K360" s="4" t="s">
        <v>383</v>
      </c>
    </row>
    <row r="361" spans="1:11" ht="10.5" customHeight="1" x14ac:dyDescent="0.25">
      <c r="A361" s="53" t="s">
        <v>450</v>
      </c>
      <c r="B361" s="49" t="s">
        <v>232</v>
      </c>
      <c r="C361" s="35" t="s">
        <v>1026</v>
      </c>
      <c r="D361" s="35" t="s">
        <v>1026</v>
      </c>
      <c r="E361" s="4" t="s">
        <v>355</v>
      </c>
      <c r="F361" s="26" t="s">
        <v>801</v>
      </c>
      <c r="G361" s="20" t="s">
        <v>979</v>
      </c>
      <c r="H361" s="35" t="s">
        <v>1027</v>
      </c>
      <c r="I361" s="36">
        <v>250</v>
      </c>
      <c r="J361" s="4"/>
      <c r="K361" s="4" t="s">
        <v>383</v>
      </c>
    </row>
    <row r="362" spans="1:11" ht="10.5" customHeight="1" x14ac:dyDescent="0.25">
      <c r="A362" s="53" t="s">
        <v>450</v>
      </c>
      <c r="B362" s="49" t="s">
        <v>232</v>
      </c>
      <c r="C362" s="35" t="s">
        <v>1026</v>
      </c>
      <c r="D362" s="35" t="s">
        <v>1026</v>
      </c>
      <c r="E362" s="4" t="s">
        <v>355</v>
      </c>
      <c r="F362" s="26" t="s">
        <v>798</v>
      </c>
      <c r="G362" s="20" t="s">
        <v>979</v>
      </c>
      <c r="H362" s="35" t="s">
        <v>1028</v>
      </c>
      <c r="I362" s="36">
        <v>250</v>
      </c>
      <c r="J362" s="4"/>
      <c r="K362" s="4" t="s">
        <v>383</v>
      </c>
    </row>
    <row r="363" spans="1:11" ht="10.5" customHeight="1" x14ac:dyDescent="0.25">
      <c r="A363" s="53" t="s">
        <v>450</v>
      </c>
      <c r="B363" s="49" t="s">
        <v>232</v>
      </c>
      <c r="C363" s="35" t="s">
        <v>1026</v>
      </c>
      <c r="D363" s="35" t="s">
        <v>1026</v>
      </c>
      <c r="E363" s="4" t="s">
        <v>355</v>
      </c>
      <c r="F363" s="26" t="s">
        <v>805</v>
      </c>
      <c r="G363" s="20" t="s">
        <v>979</v>
      </c>
      <c r="H363" s="35" t="s">
        <v>1029</v>
      </c>
      <c r="I363" s="36">
        <v>250</v>
      </c>
      <c r="J363" s="4"/>
      <c r="K363" s="4" t="s">
        <v>383</v>
      </c>
    </row>
    <row r="364" spans="1:11" ht="10.5" customHeight="1" x14ac:dyDescent="0.25">
      <c r="A364" s="53" t="s">
        <v>450</v>
      </c>
      <c r="B364" s="49" t="s">
        <v>232</v>
      </c>
      <c r="C364" s="35" t="s">
        <v>1026</v>
      </c>
      <c r="D364" s="35" t="s">
        <v>1026</v>
      </c>
      <c r="E364" s="4" t="s">
        <v>355</v>
      </c>
      <c r="F364" s="26" t="s">
        <v>803</v>
      </c>
      <c r="G364" s="20" t="s">
        <v>979</v>
      </c>
      <c r="H364" s="35" t="s">
        <v>1030</v>
      </c>
      <c r="I364" s="36">
        <v>250</v>
      </c>
      <c r="J364" s="4"/>
      <c r="K364" s="4" t="s">
        <v>383</v>
      </c>
    </row>
    <row r="365" spans="1:11" ht="10.5" customHeight="1" x14ac:dyDescent="0.25">
      <c r="A365" s="53" t="s">
        <v>450</v>
      </c>
      <c r="B365" s="49" t="s">
        <v>232</v>
      </c>
      <c r="C365" s="35" t="s">
        <v>1031</v>
      </c>
      <c r="D365" s="35" t="s">
        <v>1031</v>
      </c>
      <c r="E365" s="4" t="s">
        <v>355</v>
      </c>
      <c r="F365" s="26" t="s">
        <v>801</v>
      </c>
      <c r="G365" s="20" t="s">
        <v>979</v>
      </c>
      <c r="H365" s="35" t="s">
        <v>1032</v>
      </c>
      <c r="I365" s="36">
        <v>250</v>
      </c>
      <c r="J365" s="4"/>
      <c r="K365" s="4" t="s">
        <v>383</v>
      </c>
    </row>
    <row r="366" spans="1:11" ht="10.5" customHeight="1" x14ac:dyDescent="0.25">
      <c r="A366" s="53" t="s">
        <v>450</v>
      </c>
      <c r="B366" s="49" t="s">
        <v>232</v>
      </c>
      <c r="C366" s="35" t="s">
        <v>1031</v>
      </c>
      <c r="D366" s="35" t="s">
        <v>1031</v>
      </c>
      <c r="E366" s="4" t="s">
        <v>355</v>
      </c>
      <c r="F366" s="26" t="s">
        <v>798</v>
      </c>
      <c r="G366" s="20" t="s">
        <v>979</v>
      </c>
      <c r="H366" s="35" t="s">
        <v>1033</v>
      </c>
      <c r="I366" s="36">
        <v>250</v>
      </c>
      <c r="J366" s="4"/>
      <c r="K366" s="4" t="s">
        <v>383</v>
      </c>
    </row>
    <row r="367" spans="1:11" ht="10.5" customHeight="1" x14ac:dyDescent="0.25">
      <c r="A367" s="53" t="s">
        <v>450</v>
      </c>
      <c r="B367" s="49" t="s">
        <v>236</v>
      </c>
      <c r="C367" s="35" t="s">
        <v>1034</v>
      </c>
      <c r="D367" s="35" t="s">
        <v>1034</v>
      </c>
      <c r="E367" s="4" t="s">
        <v>355</v>
      </c>
      <c r="F367" s="26" t="s">
        <v>798</v>
      </c>
      <c r="G367" s="20" t="s">
        <v>979</v>
      </c>
      <c r="H367" s="35" t="s">
        <v>1035</v>
      </c>
      <c r="I367" s="36">
        <v>250</v>
      </c>
      <c r="J367" s="4"/>
      <c r="K367" s="4" t="s">
        <v>383</v>
      </c>
    </row>
    <row r="368" spans="1:11" ht="10.5" customHeight="1" x14ac:dyDescent="0.25">
      <c r="A368" s="53" t="s">
        <v>450</v>
      </c>
      <c r="B368" s="49" t="s">
        <v>236</v>
      </c>
      <c r="C368" s="35" t="s">
        <v>1034</v>
      </c>
      <c r="D368" s="35" t="s">
        <v>1034</v>
      </c>
      <c r="E368" s="4" t="s">
        <v>355</v>
      </c>
      <c r="F368" s="26" t="s">
        <v>803</v>
      </c>
      <c r="G368" s="20" t="s">
        <v>979</v>
      </c>
      <c r="H368" s="35" t="s">
        <v>1036</v>
      </c>
      <c r="I368" s="36">
        <v>250</v>
      </c>
      <c r="J368" s="4"/>
      <c r="K368" s="4" t="s">
        <v>383</v>
      </c>
    </row>
    <row r="369" spans="1:11" ht="10.5" customHeight="1" x14ac:dyDescent="0.25">
      <c r="A369" s="53" t="s">
        <v>450</v>
      </c>
      <c r="B369" s="49" t="s">
        <v>236</v>
      </c>
      <c r="C369" s="35" t="s">
        <v>1034</v>
      </c>
      <c r="D369" s="35" t="s">
        <v>1034</v>
      </c>
      <c r="E369" s="4" t="s">
        <v>355</v>
      </c>
      <c r="F369" s="26" t="s">
        <v>801</v>
      </c>
      <c r="G369" s="20" t="s">
        <v>979</v>
      </c>
      <c r="H369" s="35" t="s">
        <v>1037</v>
      </c>
      <c r="I369" s="36">
        <v>250</v>
      </c>
      <c r="J369" s="4"/>
      <c r="K369" s="4" t="s">
        <v>383</v>
      </c>
    </row>
    <row r="370" spans="1:11" ht="10.5" customHeight="1" x14ac:dyDescent="0.25">
      <c r="A370" s="53" t="s">
        <v>450</v>
      </c>
      <c r="B370" s="49" t="s">
        <v>236</v>
      </c>
      <c r="C370" s="35" t="s">
        <v>1034</v>
      </c>
      <c r="D370" s="35" t="s">
        <v>1034</v>
      </c>
      <c r="E370" s="4" t="s">
        <v>355</v>
      </c>
      <c r="F370" s="26" t="s">
        <v>876</v>
      </c>
      <c r="G370" s="20" t="s">
        <v>979</v>
      </c>
      <c r="H370" s="35" t="s">
        <v>1038</v>
      </c>
      <c r="I370" s="36">
        <v>250</v>
      </c>
      <c r="J370" s="4"/>
      <c r="K370" s="4" t="s">
        <v>383</v>
      </c>
    </row>
    <row r="371" spans="1:11" ht="10.5" customHeight="1" x14ac:dyDescent="0.25">
      <c r="A371" s="53" t="s">
        <v>450</v>
      </c>
      <c r="B371" s="49" t="s">
        <v>236</v>
      </c>
      <c r="C371" s="35" t="s">
        <v>1039</v>
      </c>
      <c r="D371" s="35" t="s">
        <v>1039</v>
      </c>
      <c r="E371" s="4" t="s">
        <v>355</v>
      </c>
      <c r="F371" s="26" t="s">
        <v>803</v>
      </c>
      <c r="G371" s="20" t="s">
        <v>979</v>
      </c>
      <c r="H371" s="35" t="s">
        <v>1040</v>
      </c>
      <c r="I371" s="36">
        <v>250</v>
      </c>
      <c r="J371" s="4"/>
      <c r="K371" s="4" t="s">
        <v>383</v>
      </c>
    </row>
    <row r="372" spans="1:11" ht="10.5" customHeight="1" x14ac:dyDescent="0.25">
      <c r="A372" s="53" t="s">
        <v>450</v>
      </c>
      <c r="B372" s="49" t="s">
        <v>236</v>
      </c>
      <c r="C372" s="35" t="s">
        <v>1039</v>
      </c>
      <c r="D372" s="35" t="s">
        <v>1039</v>
      </c>
      <c r="E372" s="4" t="s">
        <v>355</v>
      </c>
      <c r="F372" s="26" t="s">
        <v>801</v>
      </c>
      <c r="G372" s="20" t="s">
        <v>979</v>
      </c>
      <c r="H372" s="35" t="s">
        <v>1041</v>
      </c>
      <c r="I372" s="36">
        <v>250</v>
      </c>
      <c r="J372" s="4"/>
      <c r="K372" s="4" t="s">
        <v>383</v>
      </c>
    </row>
    <row r="373" spans="1:11" ht="10.5" customHeight="1" x14ac:dyDescent="0.25">
      <c r="A373" s="53" t="s">
        <v>450</v>
      </c>
      <c r="B373" s="49" t="s">
        <v>236</v>
      </c>
      <c r="C373" s="35" t="s">
        <v>1039</v>
      </c>
      <c r="D373" s="35" t="s">
        <v>1039</v>
      </c>
      <c r="E373" s="4" t="s">
        <v>355</v>
      </c>
      <c r="F373" s="26" t="s">
        <v>798</v>
      </c>
      <c r="G373" s="20" t="s">
        <v>979</v>
      </c>
      <c r="H373" s="35" t="s">
        <v>1042</v>
      </c>
      <c r="I373" s="36">
        <v>250</v>
      </c>
      <c r="J373" s="4"/>
      <c r="K373" s="4" t="s">
        <v>383</v>
      </c>
    </row>
    <row r="374" spans="1:11" ht="10.5" customHeight="1" x14ac:dyDescent="0.25">
      <c r="A374" s="53" t="s">
        <v>450</v>
      </c>
      <c r="B374" s="49" t="s">
        <v>236</v>
      </c>
      <c r="C374" s="35" t="s">
        <v>1039</v>
      </c>
      <c r="D374" s="35" t="s">
        <v>1039</v>
      </c>
      <c r="E374" s="4" t="s">
        <v>355</v>
      </c>
      <c r="F374" s="26" t="s">
        <v>876</v>
      </c>
      <c r="G374" s="20" t="s">
        <v>979</v>
      </c>
      <c r="H374" s="35" t="s">
        <v>1043</v>
      </c>
      <c r="I374" s="36">
        <v>250</v>
      </c>
      <c r="J374" s="4"/>
      <c r="K374" s="4" t="s">
        <v>383</v>
      </c>
    </row>
    <row r="375" spans="1:11" ht="10.5" customHeight="1" x14ac:dyDescent="0.25">
      <c r="A375" s="53" t="s">
        <v>450</v>
      </c>
      <c r="B375" s="49" t="s">
        <v>236</v>
      </c>
      <c r="C375" s="35" t="s">
        <v>1044</v>
      </c>
      <c r="D375" s="35" t="s">
        <v>1044</v>
      </c>
      <c r="E375" s="4" t="s">
        <v>355</v>
      </c>
      <c r="F375" s="26" t="s">
        <v>801</v>
      </c>
      <c r="G375" s="20" t="s">
        <v>979</v>
      </c>
      <c r="H375" s="35" t="s">
        <v>1045</v>
      </c>
      <c r="I375" s="36">
        <v>250</v>
      </c>
      <c r="J375" s="4"/>
      <c r="K375" s="4" t="s">
        <v>383</v>
      </c>
    </row>
    <row r="376" spans="1:11" ht="10.5" customHeight="1" x14ac:dyDescent="0.25">
      <c r="A376" s="53" t="s">
        <v>450</v>
      </c>
      <c r="B376" s="49" t="s">
        <v>236</v>
      </c>
      <c r="C376" s="37" t="s">
        <v>1044</v>
      </c>
      <c r="D376" s="35" t="s">
        <v>1044</v>
      </c>
      <c r="E376" s="27" t="s">
        <v>355</v>
      </c>
      <c r="F376" s="28" t="s">
        <v>798</v>
      </c>
      <c r="G376" s="29" t="s">
        <v>979</v>
      </c>
      <c r="H376" s="37" t="s">
        <v>1046</v>
      </c>
      <c r="I376" s="38">
        <v>250</v>
      </c>
      <c r="J376" s="27"/>
      <c r="K376" s="4" t="s">
        <v>383</v>
      </c>
    </row>
    <row r="377" spans="1:11" ht="10.5" customHeight="1" x14ac:dyDescent="0.25">
      <c r="A377" s="45" t="s">
        <v>1047</v>
      </c>
      <c r="B377" s="45" t="s">
        <v>295</v>
      </c>
      <c r="C377" s="35" t="s">
        <v>1048</v>
      </c>
      <c r="D377" s="35" t="s">
        <v>1048</v>
      </c>
      <c r="E377" s="4" t="s">
        <v>355</v>
      </c>
      <c r="F377" s="26" t="s">
        <v>798</v>
      </c>
      <c r="G377" s="20" t="s">
        <v>979</v>
      </c>
      <c r="H377" s="35" t="s">
        <v>1049</v>
      </c>
      <c r="I377" s="36">
        <v>250</v>
      </c>
      <c r="J377" s="4"/>
      <c r="K377" s="4" t="s">
        <v>383</v>
      </c>
    </row>
    <row r="378" spans="1:11" ht="10.5" customHeight="1" x14ac:dyDescent="0.25">
      <c r="A378" s="45" t="s">
        <v>1047</v>
      </c>
      <c r="B378" s="45" t="s">
        <v>295</v>
      </c>
      <c r="C378" s="35" t="s">
        <v>1048</v>
      </c>
      <c r="D378" s="35" t="s">
        <v>1048</v>
      </c>
      <c r="E378" s="4" t="s">
        <v>355</v>
      </c>
      <c r="F378" s="26" t="s">
        <v>801</v>
      </c>
      <c r="G378" s="20" t="s">
        <v>979</v>
      </c>
      <c r="H378" s="35" t="s">
        <v>1050</v>
      </c>
      <c r="I378" s="36">
        <v>250</v>
      </c>
      <c r="J378" s="4"/>
      <c r="K378" s="4" t="s">
        <v>383</v>
      </c>
    </row>
    <row r="379" spans="1:11" ht="10.5" customHeight="1" x14ac:dyDescent="0.25">
      <c r="A379" s="45" t="s">
        <v>1047</v>
      </c>
      <c r="B379" s="45" t="s">
        <v>295</v>
      </c>
      <c r="C379" s="35" t="s">
        <v>1048</v>
      </c>
      <c r="D379" s="37" t="s">
        <v>1048</v>
      </c>
      <c r="E379" s="4" t="s">
        <v>355</v>
      </c>
      <c r="F379" s="26" t="s">
        <v>803</v>
      </c>
      <c r="G379" s="20" t="s">
        <v>979</v>
      </c>
      <c r="H379" s="35" t="s">
        <v>1051</v>
      </c>
      <c r="I379" s="36">
        <v>250</v>
      </c>
      <c r="J379" s="4"/>
      <c r="K379" s="4" t="s">
        <v>383</v>
      </c>
    </row>
    <row r="380" spans="1:11" ht="10.5" customHeight="1" x14ac:dyDescent="0.25">
      <c r="A380" s="45" t="s">
        <v>1047</v>
      </c>
      <c r="B380" s="45" t="s">
        <v>295</v>
      </c>
      <c r="C380" s="35" t="s">
        <v>1048</v>
      </c>
      <c r="D380" s="35" t="s">
        <v>1048</v>
      </c>
      <c r="E380" s="4" t="s">
        <v>355</v>
      </c>
      <c r="F380" s="26" t="s">
        <v>805</v>
      </c>
      <c r="G380" s="20" t="s">
        <v>979</v>
      </c>
      <c r="H380" s="35" t="s">
        <v>1052</v>
      </c>
      <c r="I380" s="36">
        <v>250</v>
      </c>
      <c r="J380" s="4"/>
      <c r="K380" s="4" t="s">
        <v>383</v>
      </c>
    </row>
    <row r="381" spans="1:11" ht="10.5" customHeight="1" x14ac:dyDescent="0.25">
      <c r="A381" s="45" t="s">
        <v>1047</v>
      </c>
      <c r="B381" s="45" t="s">
        <v>295</v>
      </c>
      <c r="C381" s="35" t="s">
        <v>1053</v>
      </c>
      <c r="D381" s="35" t="s">
        <v>1053</v>
      </c>
      <c r="E381" s="4" t="s">
        <v>355</v>
      </c>
      <c r="F381" s="26" t="s">
        <v>798</v>
      </c>
      <c r="G381" s="20" t="s">
        <v>979</v>
      </c>
      <c r="H381" s="35" t="s">
        <v>1054</v>
      </c>
      <c r="I381" s="36">
        <v>250</v>
      </c>
      <c r="J381" s="4"/>
      <c r="K381" s="4" t="s">
        <v>383</v>
      </c>
    </row>
    <row r="382" spans="1:11" ht="10.5" customHeight="1" x14ac:dyDescent="0.25">
      <c r="A382" s="45" t="s">
        <v>1047</v>
      </c>
      <c r="B382" s="45" t="s">
        <v>295</v>
      </c>
      <c r="C382" s="35" t="s">
        <v>1053</v>
      </c>
      <c r="D382" s="35" t="s">
        <v>1053</v>
      </c>
      <c r="E382" s="4" t="s">
        <v>355</v>
      </c>
      <c r="F382" s="26" t="s">
        <v>801</v>
      </c>
      <c r="G382" s="20" t="s">
        <v>979</v>
      </c>
      <c r="H382" s="35" t="s">
        <v>1055</v>
      </c>
      <c r="I382" s="36">
        <v>250</v>
      </c>
      <c r="J382" s="4"/>
      <c r="K382" s="4" t="s">
        <v>383</v>
      </c>
    </row>
    <row r="383" spans="1:11" ht="10.5" customHeight="1" x14ac:dyDescent="0.25">
      <c r="A383" s="45" t="s">
        <v>1047</v>
      </c>
      <c r="B383" s="45" t="s">
        <v>295</v>
      </c>
      <c r="C383" s="35" t="s">
        <v>1053</v>
      </c>
      <c r="D383" s="35" t="s">
        <v>1053</v>
      </c>
      <c r="E383" s="4" t="s">
        <v>355</v>
      </c>
      <c r="F383" s="26" t="s">
        <v>803</v>
      </c>
      <c r="G383" s="20" t="s">
        <v>979</v>
      </c>
      <c r="H383" s="35" t="s">
        <v>1056</v>
      </c>
      <c r="I383" s="36">
        <v>250</v>
      </c>
      <c r="J383" s="4"/>
      <c r="K383" s="4" t="s">
        <v>383</v>
      </c>
    </row>
    <row r="384" spans="1:11" ht="10.5" customHeight="1" x14ac:dyDescent="0.25">
      <c r="A384" s="45" t="s">
        <v>1047</v>
      </c>
      <c r="B384" s="45" t="s">
        <v>295</v>
      </c>
      <c r="C384" s="35" t="s">
        <v>1053</v>
      </c>
      <c r="D384" s="35" t="s">
        <v>1053</v>
      </c>
      <c r="E384" s="4" t="s">
        <v>355</v>
      </c>
      <c r="F384" s="26" t="s">
        <v>805</v>
      </c>
      <c r="G384" s="20" t="s">
        <v>979</v>
      </c>
      <c r="H384" s="35" t="s">
        <v>1057</v>
      </c>
      <c r="I384" s="36">
        <v>250</v>
      </c>
      <c r="J384" s="4"/>
      <c r="K384" s="4" t="s">
        <v>383</v>
      </c>
    </row>
    <row r="385" spans="1:11" ht="10.5" customHeight="1" x14ac:dyDescent="0.25">
      <c r="A385" s="45" t="s">
        <v>1047</v>
      </c>
      <c r="B385" s="45" t="s">
        <v>295</v>
      </c>
      <c r="C385" s="35" t="s">
        <v>1058</v>
      </c>
      <c r="D385" s="35" t="s">
        <v>1058</v>
      </c>
      <c r="E385" s="4" t="s">
        <v>355</v>
      </c>
      <c r="F385" s="26" t="s">
        <v>1059</v>
      </c>
      <c r="G385" s="20" t="s">
        <v>979</v>
      </c>
      <c r="H385" s="35" t="s">
        <v>1060</v>
      </c>
      <c r="I385" s="36">
        <v>250</v>
      </c>
      <c r="J385" s="4"/>
      <c r="K385" s="4" t="s">
        <v>383</v>
      </c>
    </row>
    <row r="386" spans="1:11" ht="10.5" customHeight="1" x14ac:dyDescent="0.25">
      <c r="A386" s="45" t="s">
        <v>1047</v>
      </c>
      <c r="B386" s="45" t="s">
        <v>295</v>
      </c>
      <c r="C386" s="35" t="s">
        <v>1058</v>
      </c>
      <c r="D386" s="35" t="s">
        <v>1058</v>
      </c>
      <c r="E386" s="4" t="s">
        <v>355</v>
      </c>
      <c r="F386" s="26" t="s">
        <v>876</v>
      </c>
      <c r="G386" s="20" t="s">
        <v>979</v>
      </c>
      <c r="H386" s="35" t="s">
        <v>1061</v>
      </c>
      <c r="I386" s="36">
        <v>250</v>
      </c>
      <c r="J386" s="4"/>
      <c r="K386" s="4" t="s">
        <v>383</v>
      </c>
    </row>
    <row r="387" spans="1:11" ht="10.5" customHeight="1" x14ac:dyDescent="0.25">
      <c r="A387" s="45" t="s">
        <v>1047</v>
      </c>
      <c r="B387" s="45" t="s">
        <v>300</v>
      </c>
      <c r="C387" s="35" t="s">
        <v>1062</v>
      </c>
      <c r="D387" s="35" t="s">
        <v>1062</v>
      </c>
      <c r="E387" s="4" t="s">
        <v>355</v>
      </c>
      <c r="F387" s="26" t="s">
        <v>798</v>
      </c>
      <c r="G387" s="20" t="s">
        <v>979</v>
      </c>
      <c r="H387" s="35" t="s">
        <v>1063</v>
      </c>
      <c r="I387" s="36">
        <v>250</v>
      </c>
      <c r="J387" s="4"/>
      <c r="K387" s="4" t="s">
        <v>383</v>
      </c>
    </row>
    <row r="388" spans="1:11" ht="10.5" customHeight="1" x14ac:dyDescent="0.25">
      <c r="A388" s="45" t="s">
        <v>1047</v>
      </c>
      <c r="B388" s="45" t="s">
        <v>300</v>
      </c>
      <c r="C388" s="35" t="s">
        <v>1062</v>
      </c>
      <c r="D388" s="35" t="s">
        <v>1062</v>
      </c>
      <c r="E388" s="4" t="s">
        <v>355</v>
      </c>
      <c r="F388" s="26" t="s">
        <v>805</v>
      </c>
      <c r="G388" s="20" t="s">
        <v>979</v>
      </c>
      <c r="H388" s="35" t="s">
        <v>1064</v>
      </c>
      <c r="I388" s="36">
        <v>250</v>
      </c>
      <c r="J388" s="4"/>
      <c r="K388" s="4" t="s">
        <v>383</v>
      </c>
    </row>
    <row r="389" spans="1:11" ht="10.5" customHeight="1" x14ac:dyDescent="0.25">
      <c r="A389" s="45" t="s">
        <v>1047</v>
      </c>
      <c r="B389" s="45" t="s">
        <v>300</v>
      </c>
      <c r="C389" s="35" t="s">
        <v>1062</v>
      </c>
      <c r="D389" s="35" t="s">
        <v>1062</v>
      </c>
      <c r="E389" s="4" t="s">
        <v>355</v>
      </c>
      <c r="F389" s="26" t="s">
        <v>803</v>
      </c>
      <c r="G389" s="20" t="s">
        <v>979</v>
      </c>
      <c r="H389" s="35" t="s">
        <v>1065</v>
      </c>
      <c r="I389" s="36">
        <v>250</v>
      </c>
      <c r="J389" s="4"/>
      <c r="K389" s="4" t="s">
        <v>383</v>
      </c>
    </row>
    <row r="390" spans="1:11" ht="10.5" customHeight="1" x14ac:dyDescent="0.25">
      <c r="A390" s="45" t="s">
        <v>1047</v>
      </c>
      <c r="B390" s="45" t="s">
        <v>300</v>
      </c>
      <c r="C390" s="35" t="s">
        <v>1062</v>
      </c>
      <c r="D390" s="35" t="s">
        <v>1062</v>
      </c>
      <c r="E390" s="4" t="s">
        <v>355</v>
      </c>
      <c r="F390" s="26" t="s">
        <v>876</v>
      </c>
      <c r="G390" s="20" t="s">
        <v>979</v>
      </c>
      <c r="H390" s="35" t="s">
        <v>1066</v>
      </c>
      <c r="I390" s="36">
        <v>250</v>
      </c>
      <c r="J390" s="4"/>
      <c r="K390" s="4" t="s">
        <v>383</v>
      </c>
    </row>
    <row r="391" spans="1:11" ht="10.5" customHeight="1" x14ac:dyDescent="0.25">
      <c r="A391" s="45" t="s">
        <v>1047</v>
      </c>
      <c r="B391" s="45" t="s">
        <v>300</v>
      </c>
      <c r="C391" s="35" t="s">
        <v>1067</v>
      </c>
      <c r="D391" s="35" t="s">
        <v>1067</v>
      </c>
      <c r="E391" s="4" t="s">
        <v>355</v>
      </c>
      <c r="F391" s="26" t="s">
        <v>805</v>
      </c>
      <c r="G391" s="20" t="s">
        <v>979</v>
      </c>
      <c r="H391" s="35" t="s">
        <v>1068</v>
      </c>
      <c r="I391" s="36">
        <v>250</v>
      </c>
      <c r="J391" s="4"/>
      <c r="K391" s="4" t="s">
        <v>383</v>
      </c>
    </row>
    <row r="392" spans="1:11" ht="10.5" customHeight="1" x14ac:dyDescent="0.25">
      <c r="A392" s="45" t="s">
        <v>1047</v>
      </c>
      <c r="B392" s="45" t="s">
        <v>300</v>
      </c>
      <c r="C392" s="35" t="s">
        <v>1067</v>
      </c>
      <c r="D392" s="35" t="s">
        <v>1067</v>
      </c>
      <c r="E392" s="4" t="s">
        <v>355</v>
      </c>
      <c r="F392" s="26" t="s">
        <v>801</v>
      </c>
      <c r="G392" s="20" t="s">
        <v>979</v>
      </c>
      <c r="H392" s="35" t="s">
        <v>1069</v>
      </c>
      <c r="I392" s="36">
        <v>250</v>
      </c>
      <c r="J392" s="4"/>
      <c r="K392" s="4" t="s">
        <v>383</v>
      </c>
    </row>
    <row r="393" spans="1:11" ht="10.5" customHeight="1" x14ac:dyDescent="0.25">
      <c r="A393" s="45" t="s">
        <v>1047</v>
      </c>
      <c r="B393" s="45" t="s">
        <v>300</v>
      </c>
      <c r="C393" s="35" t="s">
        <v>1067</v>
      </c>
      <c r="D393" s="35" t="s">
        <v>1067</v>
      </c>
      <c r="E393" s="4" t="s">
        <v>355</v>
      </c>
      <c r="F393" s="26" t="s">
        <v>803</v>
      </c>
      <c r="G393" s="20" t="s">
        <v>979</v>
      </c>
      <c r="H393" s="35" t="s">
        <v>1070</v>
      </c>
      <c r="I393" s="36">
        <v>250</v>
      </c>
      <c r="J393" s="4"/>
      <c r="K393" s="4" t="s">
        <v>383</v>
      </c>
    </row>
    <row r="394" spans="1:11" ht="10.5" customHeight="1" x14ac:dyDescent="0.25">
      <c r="A394" s="45" t="s">
        <v>1047</v>
      </c>
      <c r="B394" s="45" t="s">
        <v>300</v>
      </c>
      <c r="C394" s="35" t="s">
        <v>1067</v>
      </c>
      <c r="D394" s="35" t="s">
        <v>1067</v>
      </c>
      <c r="E394" s="4" t="s">
        <v>355</v>
      </c>
      <c r="F394" s="26" t="s">
        <v>798</v>
      </c>
      <c r="G394" s="20" t="s">
        <v>979</v>
      </c>
      <c r="H394" s="35" t="s">
        <v>1071</v>
      </c>
      <c r="I394" s="36">
        <v>250</v>
      </c>
      <c r="J394" s="4"/>
      <c r="K394" s="4" t="s">
        <v>383</v>
      </c>
    </row>
    <row r="395" spans="1:11" ht="10.5" customHeight="1" x14ac:dyDescent="0.25">
      <c r="A395" s="45" t="s">
        <v>1047</v>
      </c>
      <c r="B395" s="45" t="s">
        <v>300</v>
      </c>
      <c r="C395" s="35" t="s">
        <v>1072</v>
      </c>
      <c r="D395" s="35" t="s">
        <v>1072</v>
      </c>
      <c r="E395" s="4" t="s">
        <v>355</v>
      </c>
      <c r="F395" s="26" t="s">
        <v>798</v>
      </c>
      <c r="G395" s="20" t="s">
        <v>979</v>
      </c>
      <c r="H395" s="35" t="s">
        <v>1073</v>
      </c>
      <c r="I395" s="36">
        <v>250</v>
      </c>
      <c r="J395" s="4"/>
      <c r="K395" s="4" t="s">
        <v>383</v>
      </c>
    </row>
    <row r="396" spans="1:11" ht="10.5" customHeight="1" x14ac:dyDescent="0.25">
      <c r="A396" s="46" t="s">
        <v>1047</v>
      </c>
      <c r="B396" s="46" t="s">
        <v>300</v>
      </c>
      <c r="C396" s="37" t="s">
        <v>1072</v>
      </c>
      <c r="D396" s="35" t="s">
        <v>1072</v>
      </c>
      <c r="E396" s="27" t="s">
        <v>355</v>
      </c>
      <c r="F396" s="28" t="s">
        <v>801</v>
      </c>
      <c r="G396" s="29" t="s">
        <v>979</v>
      </c>
      <c r="H396" s="37" t="s">
        <v>1074</v>
      </c>
      <c r="I396" s="38">
        <v>250</v>
      </c>
      <c r="J396" s="27"/>
      <c r="K396" s="27" t="s">
        <v>383</v>
      </c>
    </row>
    <row r="397" spans="1:11" ht="10.5" customHeight="1" x14ac:dyDescent="0.25">
      <c r="A397" s="54" t="s">
        <v>1004</v>
      </c>
      <c r="B397" s="47" t="s">
        <v>305</v>
      </c>
      <c r="C397" s="39" t="s">
        <v>1075</v>
      </c>
      <c r="D397" s="35" t="s">
        <v>1075</v>
      </c>
      <c r="E397" s="39" t="s">
        <v>355</v>
      </c>
      <c r="F397" s="40" t="s">
        <v>798</v>
      </c>
      <c r="G397" s="41" t="s">
        <v>1076</v>
      </c>
      <c r="H397" s="39" t="s">
        <v>1077</v>
      </c>
      <c r="I397" s="42">
        <v>250</v>
      </c>
      <c r="J397" s="39"/>
      <c r="K397" s="39" t="s">
        <v>383</v>
      </c>
    </row>
    <row r="398" spans="1:11" ht="10.5" customHeight="1" x14ac:dyDescent="0.25">
      <c r="A398" s="54" t="s">
        <v>1004</v>
      </c>
      <c r="B398" s="47" t="s">
        <v>305</v>
      </c>
      <c r="C398" s="39" t="s">
        <v>1075</v>
      </c>
      <c r="D398" s="35" t="s">
        <v>1075</v>
      </c>
      <c r="E398" s="39" t="s">
        <v>355</v>
      </c>
      <c r="F398" s="40" t="s">
        <v>801</v>
      </c>
      <c r="G398" s="41" t="s">
        <v>1076</v>
      </c>
      <c r="H398" s="39" t="s">
        <v>1078</v>
      </c>
      <c r="I398" s="42">
        <v>250</v>
      </c>
      <c r="J398" s="39"/>
      <c r="K398" s="39" t="s">
        <v>383</v>
      </c>
    </row>
    <row r="399" spans="1:11" ht="10.5" customHeight="1" x14ac:dyDescent="0.25">
      <c r="A399" s="54" t="s">
        <v>1004</v>
      </c>
      <c r="B399" s="47" t="s">
        <v>305</v>
      </c>
      <c r="C399" s="39" t="s">
        <v>1075</v>
      </c>
      <c r="D399" s="37" t="s">
        <v>1075</v>
      </c>
      <c r="E399" s="39" t="s">
        <v>355</v>
      </c>
      <c r="F399" s="40" t="s">
        <v>803</v>
      </c>
      <c r="G399" s="41" t="s">
        <v>1076</v>
      </c>
      <c r="H399" s="39" t="s">
        <v>1079</v>
      </c>
      <c r="I399" s="42">
        <v>250</v>
      </c>
      <c r="J399" s="39"/>
      <c r="K399" s="39" t="s">
        <v>383</v>
      </c>
    </row>
    <row r="400" spans="1:11" ht="10.5" customHeight="1" x14ac:dyDescent="0.25">
      <c r="A400" s="54" t="s">
        <v>1004</v>
      </c>
      <c r="B400" s="47" t="s">
        <v>305</v>
      </c>
      <c r="C400" s="39" t="s">
        <v>1075</v>
      </c>
      <c r="D400" s="39" t="s">
        <v>1075</v>
      </c>
      <c r="E400" s="39" t="s">
        <v>355</v>
      </c>
      <c r="F400" s="40" t="s">
        <v>805</v>
      </c>
      <c r="G400" s="41" t="s">
        <v>1076</v>
      </c>
      <c r="H400" s="39" t="s">
        <v>1080</v>
      </c>
      <c r="I400" s="42">
        <v>250</v>
      </c>
      <c r="J400" s="39"/>
      <c r="K400" s="39" t="s">
        <v>383</v>
      </c>
    </row>
    <row r="401" spans="1:11" ht="10.5" customHeight="1" x14ac:dyDescent="0.25">
      <c r="A401" s="54" t="s">
        <v>1004</v>
      </c>
      <c r="B401" s="47" t="s">
        <v>305</v>
      </c>
      <c r="C401" s="39" t="s">
        <v>1081</v>
      </c>
      <c r="D401" s="39" t="s">
        <v>1081</v>
      </c>
      <c r="E401" s="39" t="s">
        <v>355</v>
      </c>
      <c r="F401" s="40" t="s">
        <v>798</v>
      </c>
      <c r="G401" s="41" t="s">
        <v>1076</v>
      </c>
      <c r="H401" s="39" t="s">
        <v>1082</v>
      </c>
      <c r="I401" s="42">
        <v>250</v>
      </c>
      <c r="J401" s="39"/>
      <c r="K401" s="39" t="s">
        <v>383</v>
      </c>
    </row>
    <row r="402" spans="1:11" ht="10.5" customHeight="1" x14ac:dyDescent="0.25">
      <c r="A402" s="54" t="s">
        <v>1004</v>
      </c>
      <c r="B402" s="47" t="s">
        <v>305</v>
      </c>
      <c r="C402" s="39" t="s">
        <v>1081</v>
      </c>
      <c r="D402" s="39" t="s">
        <v>1081</v>
      </c>
      <c r="E402" s="39" t="s">
        <v>355</v>
      </c>
      <c r="F402" s="40" t="s">
        <v>801</v>
      </c>
      <c r="G402" s="41" t="s">
        <v>1076</v>
      </c>
      <c r="H402" s="39" t="s">
        <v>1083</v>
      </c>
      <c r="I402" s="42">
        <v>250</v>
      </c>
      <c r="J402" s="39"/>
      <c r="K402" s="39" t="s">
        <v>383</v>
      </c>
    </row>
    <row r="403" spans="1:11" ht="10.5" customHeight="1" x14ac:dyDescent="0.25">
      <c r="A403" s="54" t="s">
        <v>1004</v>
      </c>
      <c r="B403" s="47" t="s">
        <v>305</v>
      </c>
      <c r="C403" s="39" t="s">
        <v>1081</v>
      </c>
      <c r="D403" s="39" t="s">
        <v>1081</v>
      </c>
      <c r="E403" s="39" t="s">
        <v>355</v>
      </c>
      <c r="F403" s="40" t="s">
        <v>803</v>
      </c>
      <c r="G403" s="41" t="s">
        <v>1076</v>
      </c>
      <c r="H403" s="39" t="s">
        <v>1084</v>
      </c>
      <c r="I403" s="42">
        <v>250</v>
      </c>
      <c r="J403" s="39"/>
      <c r="K403" s="39" t="s">
        <v>383</v>
      </c>
    </row>
    <row r="404" spans="1:11" ht="10.5" customHeight="1" x14ac:dyDescent="0.25">
      <c r="A404" s="54" t="s">
        <v>1004</v>
      </c>
      <c r="B404" s="47" t="s">
        <v>305</v>
      </c>
      <c r="C404" s="39" t="s">
        <v>1081</v>
      </c>
      <c r="D404" s="39" t="s">
        <v>1081</v>
      </c>
      <c r="E404" s="39" t="s">
        <v>355</v>
      </c>
      <c r="F404" s="40" t="s">
        <v>805</v>
      </c>
      <c r="G404" s="41" t="s">
        <v>1076</v>
      </c>
      <c r="H404" s="39" t="s">
        <v>1085</v>
      </c>
      <c r="I404" s="42">
        <v>250</v>
      </c>
      <c r="J404" s="39"/>
      <c r="K404" s="39" t="s">
        <v>383</v>
      </c>
    </row>
    <row r="405" spans="1:11" ht="10.5" customHeight="1" x14ac:dyDescent="0.25">
      <c r="A405" s="61" t="s">
        <v>450</v>
      </c>
      <c r="B405" s="62" t="s">
        <v>1086</v>
      </c>
      <c r="C405" s="62" t="s">
        <v>1087</v>
      </c>
      <c r="D405" s="62" t="s">
        <v>1087</v>
      </c>
      <c r="E405" s="62" t="s">
        <v>1088</v>
      </c>
      <c r="F405" s="63" t="s">
        <v>1089</v>
      </c>
      <c r="G405" s="64"/>
      <c r="H405" s="62"/>
      <c r="I405" s="65">
        <v>980</v>
      </c>
      <c r="J405" s="62">
        <v>1150</v>
      </c>
      <c r="K405" s="66" t="s">
        <v>383</v>
      </c>
    </row>
    <row r="406" spans="1:11" ht="10.5" customHeight="1" x14ac:dyDescent="0.25">
      <c r="A406" s="61" t="s">
        <v>450</v>
      </c>
      <c r="B406" s="62" t="s">
        <v>1086</v>
      </c>
      <c r="C406" s="62" t="s">
        <v>1090</v>
      </c>
      <c r="D406" s="62" t="s">
        <v>1090</v>
      </c>
      <c r="E406" s="62" t="s">
        <v>1088</v>
      </c>
      <c r="F406" s="63" t="s">
        <v>1091</v>
      </c>
      <c r="G406" s="64"/>
      <c r="H406" s="62"/>
      <c r="I406" s="65">
        <v>650</v>
      </c>
      <c r="J406" s="62">
        <v>750</v>
      </c>
      <c r="K406" s="66" t="s">
        <v>383</v>
      </c>
    </row>
    <row r="415" spans="1:11" ht="10.5" customHeight="1" x14ac:dyDescent="0.25">
      <c r="E415" s="2" t="s">
        <v>1092</v>
      </c>
    </row>
  </sheetData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19B22-A999-401C-8395-6EAE29FE4981}">
  <dimension ref="A1:C67"/>
  <sheetViews>
    <sheetView workbookViewId="0"/>
  </sheetViews>
  <sheetFormatPr defaultRowHeight="15" x14ac:dyDescent="0.25"/>
  <cols>
    <col min="1" max="1" width="20.140625" style="17" bestFit="1" customWidth="1"/>
    <col min="2" max="2" width="21" bestFit="1" customWidth="1"/>
    <col min="3" max="3" width="37.85546875" bestFit="1" customWidth="1"/>
  </cols>
  <sheetData>
    <row r="1" spans="1:3" x14ac:dyDescent="0.25">
      <c r="A1" s="17" t="s">
        <v>1093</v>
      </c>
      <c r="B1" s="17" t="s">
        <v>1094</v>
      </c>
      <c r="C1" t="s">
        <v>1095</v>
      </c>
    </row>
    <row r="2" spans="1:3" hidden="1" x14ac:dyDescent="0.25">
      <c r="A2" s="17" t="s">
        <v>1096</v>
      </c>
      <c r="B2" s="18" t="s">
        <v>536</v>
      </c>
      <c r="C2" s="17">
        <v>7</v>
      </c>
    </row>
    <row r="3" spans="1:3" hidden="1" x14ac:dyDescent="0.25">
      <c r="A3" s="17" t="s">
        <v>1096</v>
      </c>
      <c r="B3" s="18" t="s">
        <v>552</v>
      </c>
      <c r="C3" s="17">
        <v>18</v>
      </c>
    </row>
    <row r="4" spans="1:3" hidden="1" x14ac:dyDescent="0.25">
      <c r="A4" s="17" t="s">
        <v>1096</v>
      </c>
      <c r="B4" s="18" t="s">
        <v>589</v>
      </c>
      <c r="C4" s="17">
        <v>4</v>
      </c>
    </row>
    <row r="5" spans="1:3" hidden="1" x14ac:dyDescent="0.25">
      <c r="A5" s="17" t="s">
        <v>1096</v>
      </c>
      <c r="B5" s="18" t="s">
        <v>510</v>
      </c>
      <c r="C5" s="17">
        <v>4</v>
      </c>
    </row>
    <row r="6" spans="1:3" x14ac:dyDescent="0.25">
      <c r="A6" s="17" t="s">
        <v>1097</v>
      </c>
      <c r="B6" s="18" t="s">
        <v>1011</v>
      </c>
      <c r="C6" s="17">
        <v>1</v>
      </c>
    </row>
    <row r="7" spans="1:3" x14ac:dyDescent="0.25">
      <c r="A7" s="17" t="s">
        <v>1097</v>
      </c>
      <c r="B7" s="18" t="s">
        <v>1013</v>
      </c>
      <c r="C7" s="17">
        <v>1</v>
      </c>
    </row>
    <row r="8" spans="1:3" x14ac:dyDescent="0.25">
      <c r="A8" s="17" t="s">
        <v>1097</v>
      </c>
      <c r="B8" s="18" t="s">
        <v>1015</v>
      </c>
      <c r="C8" s="17">
        <v>1</v>
      </c>
    </row>
    <row r="9" spans="1:3" x14ac:dyDescent="0.25">
      <c r="A9" s="17" t="s">
        <v>1097</v>
      </c>
      <c r="B9" s="18" t="s">
        <v>1017</v>
      </c>
      <c r="C9" s="17">
        <v>1</v>
      </c>
    </row>
    <row r="10" spans="1:3" x14ac:dyDescent="0.25">
      <c r="A10" s="17" t="s">
        <v>1097</v>
      </c>
      <c r="B10" s="18" t="s">
        <v>1019</v>
      </c>
      <c r="C10" s="17">
        <v>1</v>
      </c>
    </row>
    <row r="11" spans="1:3" hidden="1" x14ac:dyDescent="0.25">
      <c r="A11" s="17" t="s">
        <v>1096</v>
      </c>
      <c r="B11" s="18" t="s">
        <v>770</v>
      </c>
      <c r="C11" s="17">
        <v>10</v>
      </c>
    </row>
    <row r="12" spans="1:3" hidden="1" x14ac:dyDescent="0.25">
      <c r="A12" s="17" t="s">
        <v>1096</v>
      </c>
      <c r="B12" s="18" t="s">
        <v>451</v>
      </c>
      <c r="C12" s="17">
        <v>29</v>
      </c>
    </row>
    <row r="13" spans="1:3" x14ac:dyDescent="0.25">
      <c r="A13" s="17" t="s">
        <v>1097</v>
      </c>
      <c r="B13" s="18" t="s">
        <v>862</v>
      </c>
      <c r="C13" s="17">
        <v>5</v>
      </c>
    </row>
    <row r="14" spans="1:3" x14ac:dyDescent="0.25">
      <c r="A14" s="17" t="s">
        <v>1097</v>
      </c>
      <c r="B14" s="18" t="s">
        <v>863</v>
      </c>
      <c r="C14" s="17">
        <v>5</v>
      </c>
    </row>
    <row r="15" spans="1:3" x14ac:dyDescent="0.25">
      <c r="A15" s="17" t="s">
        <v>1097</v>
      </c>
      <c r="B15" s="18" t="s">
        <v>869</v>
      </c>
      <c r="C15" s="17">
        <v>5</v>
      </c>
    </row>
    <row r="16" spans="1:3" x14ac:dyDescent="0.25">
      <c r="A16" s="17" t="s">
        <v>1097</v>
      </c>
      <c r="B16" s="18" t="s">
        <v>875</v>
      </c>
      <c r="C16" s="17">
        <v>5</v>
      </c>
    </row>
    <row r="17" spans="1:3" x14ac:dyDescent="0.25">
      <c r="A17" s="17" t="s">
        <v>1097</v>
      </c>
      <c r="B17" s="18" t="s">
        <v>882</v>
      </c>
      <c r="C17" s="17">
        <v>5</v>
      </c>
    </row>
    <row r="18" spans="1:3" x14ac:dyDescent="0.25">
      <c r="A18" s="17" t="s">
        <v>1097</v>
      </c>
      <c r="B18" s="18" t="s">
        <v>890</v>
      </c>
      <c r="C18" s="17">
        <v>5</v>
      </c>
    </row>
    <row r="19" spans="1:3" x14ac:dyDescent="0.25">
      <c r="A19" s="17" t="s">
        <v>1097</v>
      </c>
      <c r="B19" s="18" t="s">
        <v>896</v>
      </c>
      <c r="C19" s="17">
        <v>5</v>
      </c>
    </row>
    <row r="20" spans="1:3" x14ac:dyDescent="0.25">
      <c r="A20" s="17" t="s">
        <v>1097</v>
      </c>
      <c r="B20" s="18" t="s">
        <v>903</v>
      </c>
      <c r="C20" s="17">
        <v>5</v>
      </c>
    </row>
    <row r="21" spans="1:3" x14ac:dyDescent="0.25">
      <c r="A21" s="17" t="s">
        <v>1097</v>
      </c>
      <c r="B21" s="18" t="s">
        <v>797</v>
      </c>
      <c r="C21" s="17">
        <v>5</v>
      </c>
    </row>
    <row r="22" spans="1:3" x14ac:dyDescent="0.25">
      <c r="A22" s="17" t="s">
        <v>1097</v>
      </c>
      <c r="B22" s="18" t="s">
        <v>809</v>
      </c>
      <c r="C22" s="17">
        <v>3</v>
      </c>
    </row>
    <row r="23" spans="1:3" x14ac:dyDescent="0.25">
      <c r="A23" s="17" t="s">
        <v>1097</v>
      </c>
      <c r="B23" s="18" t="s">
        <v>815</v>
      </c>
      <c r="C23" s="17">
        <v>5</v>
      </c>
    </row>
    <row r="24" spans="1:3" x14ac:dyDescent="0.25">
      <c r="A24" s="17" t="s">
        <v>1097</v>
      </c>
      <c r="B24" s="18" t="s">
        <v>826</v>
      </c>
      <c r="C24" s="17">
        <v>5</v>
      </c>
    </row>
    <row r="25" spans="1:3" x14ac:dyDescent="0.25">
      <c r="A25" s="17" t="s">
        <v>1097</v>
      </c>
      <c r="B25" s="18" t="s">
        <v>837</v>
      </c>
      <c r="C25" s="17">
        <v>3</v>
      </c>
    </row>
    <row r="26" spans="1:3" x14ac:dyDescent="0.25">
      <c r="A26" s="17" t="s">
        <v>1097</v>
      </c>
      <c r="B26" s="18" t="s">
        <v>844</v>
      </c>
      <c r="C26" s="17">
        <v>5</v>
      </c>
    </row>
    <row r="27" spans="1:3" x14ac:dyDescent="0.25">
      <c r="A27" s="17" t="s">
        <v>1097</v>
      </c>
      <c r="B27" s="18" t="s">
        <v>852</v>
      </c>
      <c r="C27" s="17">
        <v>5</v>
      </c>
    </row>
    <row r="28" spans="1:3" x14ac:dyDescent="0.25">
      <c r="A28" s="17" t="s">
        <v>1097</v>
      </c>
      <c r="B28" s="18" t="s">
        <v>858</v>
      </c>
      <c r="C28" s="17">
        <v>3</v>
      </c>
    </row>
    <row r="29" spans="1:3" x14ac:dyDescent="0.25">
      <c r="A29" s="17" t="s">
        <v>1097</v>
      </c>
      <c r="B29" s="18" t="s">
        <v>1021</v>
      </c>
      <c r="C29" s="17">
        <v>4</v>
      </c>
    </row>
    <row r="30" spans="1:3" x14ac:dyDescent="0.25">
      <c r="A30" s="17" t="s">
        <v>1097</v>
      </c>
      <c r="B30" s="18" t="s">
        <v>1026</v>
      </c>
      <c r="C30" s="17">
        <v>4</v>
      </c>
    </row>
    <row r="31" spans="1:3" x14ac:dyDescent="0.25">
      <c r="A31" s="17" t="s">
        <v>1097</v>
      </c>
      <c r="B31" s="18" t="s">
        <v>1031</v>
      </c>
      <c r="C31" s="17">
        <v>2</v>
      </c>
    </row>
    <row r="32" spans="1:3" x14ac:dyDescent="0.25">
      <c r="A32" s="17" t="s">
        <v>1097</v>
      </c>
      <c r="B32" s="18" t="s">
        <v>1034</v>
      </c>
      <c r="C32" s="17">
        <v>4</v>
      </c>
    </row>
    <row r="33" spans="1:3" x14ac:dyDescent="0.25">
      <c r="A33" s="17" t="s">
        <v>1097</v>
      </c>
      <c r="B33" s="18" t="s">
        <v>1039</v>
      </c>
      <c r="C33" s="17">
        <v>4</v>
      </c>
    </row>
    <row r="34" spans="1:3" x14ac:dyDescent="0.25">
      <c r="A34" s="17" t="s">
        <v>1097</v>
      </c>
      <c r="B34" s="18" t="s">
        <v>1044</v>
      </c>
      <c r="C34" s="17">
        <v>2</v>
      </c>
    </row>
    <row r="35" spans="1:3" x14ac:dyDescent="0.25">
      <c r="A35" s="17" t="s">
        <v>1097</v>
      </c>
      <c r="B35" s="18" t="s">
        <v>1006</v>
      </c>
      <c r="C35" s="17">
        <v>4</v>
      </c>
    </row>
    <row r="36" spans="1:3" hidden="1" x14ac:dyDescent="0.25">
      <c r="A36" s="17" t="s">
        <v>1096</v>
      </c>
      <c r="B36" s="18" t="s">
        <v>520</v>
      </c>
      <c r="C36" s="17">
        <v>3</v>
      </c>
    </row>
    <row r="37" spans="1:3" hidden="1" x14ac:dyDescent="0.25">
      <c r="A37" s="17" t="s">
        <v>1096</v>
      </c>
      <c r="B37" s="18" t="s">
        <v>527</v>
      </c>
      <c r="C37" s="17">
        <v>4</v>
      </c>
    </row>
    <row r="38" spans="1:3" hidden="1" x14ac:dyDescent="0.25">
      <c r="A38" s="17" t="s">
        <v>1096</v>
      </c>
      <c r="B38" s="18" t="s">
        <v>381</v>
      </c>
      <c r="C38" s="17">
        <v>41</v>
      </c>
    </row>
    <row r="39" spans="1:3" hidden="1" x14ac:dyDescent="0.25">
      <c r="A39" s="17" t="s">
        <v>1096</v>
      </c>
      <c r="B39" s="18" t="s">
        <v>598</v>
      </c>
      <c r="C39" s="17">
        <v>17</v>
      </c>
    </row>
    <row r="40" spans="1:3" hidden="1" x14ac:dyDescent="0.25">
      <c r="A40" s="17" t="s">
        <v>1096</v>
      </c>
      <c r="B40" s="18" t="s">
        <v>670</v>
      </c>
      <c r="C40" s="17">
        <v>4</v>
      </c>
    </row>
    <row r="41" spans="1:3" hidden="1" x14ac:dyDescent="0.25">
      <c r="A41" s="17" t="s">
        <v>1096</v>
      </c>
      <c r="B41" s="18" t="s">
        <v>634</v>
      </c>
      <c r="C41" s="17">
        <v>17</v>
      </c>
    </row>
    <row r="42" spans="1:3" x14ac:dyDescent="0.25">
      <c r="A42" s="17" t="s">
        <v>1097</v>
      </c>
      <c r="B42" s="18" t="s">
        <v>978</v>
      </c>
      <c r="C42" s="17">
        <v>4</v>
      </c>
    </row>
    <row r="43" spans="1:3" x14ac:dyDescent="0.25">
      <c r="A43" s="17" t="s">
        <v>1097</v>
      </c>
      <c r="B43" s="18" t="s">
        <v>984</v>
      </c>
      <c r="C43" s="17">
        <v>4</v>
      </c>
    </row>
    <row r="44" spans="1:3" x14ac:dyDescent="0.25">
      <c r="A44" s="17" t="s">
        <v>1097</v>
      </c>
      <c r="B44" s="18" t="s">
        <v>989</v>
      </c>
      <c r="C44" s="17">
        <v>4</v>
      </c>
    </row>
    <row r="45" spans="1:3" x14ac:dyDescent="0.25">
      <c r="A45" s="17" t="s">
        <v>1097</v>
      </c>
      <c r="B45" s="18" t="s">
        <v>994</v>
      </c>
      <c r="C45" s="17">
        <v>4</v>
      </c>
    </row>
    <row r="46" spans="1:3" x14ac:dyDescent="0.25">
      <c r="A46" s="17" t="s">
        <v>1097</v>
      </c>
      <c r="B46" s="18" t="s">
        <v>999</v>
      </c>
      <c r="C46" s="17">
        <v>4</v>
      </c>
    </row>
    <row r="47" spans="1:3" x14ac:dyDescent="0.25">
      <c r="A47" s="17" t="s">
        <v>1097</v>
      </c>
      <c r="B47" s="18" t="s">
        <v>910</v>
      </c>
      <c r="C47" s="17">
        <v>5</v>
      </c>
    </row>
    <row r="48" spans="1:3" x14ac:dyDescent="0.25">
      <c r="A48" s="17" t="s">
        <v>1097</v>
      </c>
      <c r="B48" s="18" t="s">
        <v>922</v>
      </c>
      <c r="C48" s="17">
        <v>5</v>
      </c>
    </row>
    <row r="49" spans="1:3" x14ac:dyDescent="0.25">
      <c r="A49" s="17" t="s">
        <v>1097</v>
      </c>
      <c r="B49" s="18" t="s">
        <v>933</v>
      </c>
      <c r="C49" s="17">
        <v>3</v>
      </c>
    </row>
    <row r="50" spans="1:3" x14ac:dyDescent="0.25">
      <c r="A50" s="17" t="s">
        <v>1097</v>
      </c>
      <c r="B50" s="18" t="s">
        <v>938</v>
      </c>
      <c r="C50" s="17">
        <v>5</v>
      </c>
    </row>
    <row r="51" spans="1:3" x14ac:dyDescent="0.25">
      <c r="A51" s="17" t="s">
        <v>1097</v>
      </c>
      <c r="B51" s="18" t="s">
        <v>944</v>
      </c>
      <c r="C51" s="17">
        <v>5</v>
      </c>
    </row>
    <row r="52" spans="1:3" x14ac:dyDescent="0.25">
      <c r="A52" s="17" t="s">
        <v>1097</v>
      </c>
      <c r="B52" s="18" t="s">
        <v>950</v>
      </c>
      <c r="C52" s="17">
        <v>3</v>
      </c>
    </row>
    <row r="53" spans="1:3" hidden="1" x14ac:dyDescent="0.25">
      <c r="A53" s="17" t="s">
        <v>1096</v>
      </c>
      <c r="B53" s="18" t="s">
        <v>1098</v>
      </c>
      <c r="C53" s="17">
        <v>17</v>
      </c>
    </row>
    <row r="54" spans="1:3" hidden="1" x14ac:dyDescent="0.25">
      <c r="A54" s="17" t="s">
        <v>1096</v>
      </c>
      <c r="B54" s="18" t="s">
        <v>714</v>
      </c>
      <c r="C54" s="17">
        <v>17</v>
      </c>
    </row>
    <row r="55" spans="1:3" hidden="1" x14ac:dyDescent="0.25">
      <c r="A55" s="17" t="s">
        <v>1096</v>
      </c>
      <c r="B55" s="18" t="s">
        <v>749</v>
      </c>
      <c r="C55" s="17">
        <v>9</v>
      </c>
    </row>
    <row r="56" spans="1:3" x14ac:dyDescent="0.25">
      <c r="A56" s="17" t="s">
        <v>1097</v>
      </c>
      <c r="B56" s="18" t="s">
        <v>955</v>
      </c>
      <c r="C56" s="17">
        <v>5</v>
      </c>
    </row>
    <row r="57" spans="1:3" x14ac:dyDescent="0.25">
      <c r="A57" s="17" t="s">
        <v>1097</v>
      </c>
      <c r="B57" s="18" t="s">
        <v>964</v>
      </c>
      <c r="C57" s="17">
        <v>5</v>
      </c>
    </row>
    <row r="58" spans="1:3" x14ac:dyDescent="0.25">
      <c r="A58" s="17" t="s">
        <v>1097</v>
      </c>
      <c r="B58" s="18" t="s">
        <v>973</v>
      </c>
      <c r="C58" s="17">
        <v>3</v>
      </c>
    </row>
    <row r="59" spans="1:3" x14ac:dyDescent="0.25">
      <c r="A59" s="17" t="s">
        <v>1099</v>
      </c>
      <c r="B59" s="18" t="s">
        <v>1100</v>
      </c>
      <c r="C59" s="17">
        <v>12</v>
      </c>
    </row>
    <row r="60" spans="1:3" x14ac:dyDescent="0.25">
      <c r="A60" s="17" t="s">
        <v>1097</v>
      </c>
      <c r="B60" s="17" t="s">
        <v>1048</v>
      </c>
      <c r="C60" s="17">
        <v>4</v>
      </c>
    </row>
    <row r="61" spans="1:3" x14ac:dyDescent="0.25">
      <c r="A61" s="17" t="s">
        <v>1097</v>
      </c>
      <c r="B61" s="17" t="s">
        <v>1053</v>
      </c>
      <c r="C61" s="17">
        <v>4</v>
      </c>
    </row>
    <row r="62" spans="1:3" x14ac:dyDescent="0.25">
      <c r="A62" s="17" t="s">
        <v>1097</v>
      </c>
      <c r="B62" s="17" t="s">
        <v>1058</v>
      </c>
      <c r="C62" s="17">
        <v>2</v>
      </c>
    </row>
    <row r="63" spans="1:3" x14ac:dyDescent="0.25">
      <c r="A63" s="17" t="s">
        <v>1097</v>
      </c>
      <c r="B63" s="17" t="s">
        <v>1062</v>
      </c>
      <c r="C63" s="17">
        <v>4</v>
      </c>
    </row>
    <row r="64" spans="1:3" x14ac:dyDescent="0.25">
      <c r="A64" s="17" t="s">
        <v>1097</v>
      </c>
      <c r="B64" s="17" t="s">
        <v>1067</v>
      </c>
      <c r="C64" s="17">
        <v>4</v>
      </c>
    </row>
    <row r="65" spans="1:3" x14ac:dyDescent="0.25">
      <c r="A65" s="17" t="s">
        <v>1097</v>
      </c>
      <c r="B65" s="17" t="s">
        <v>1072</v>
      </c>
      <c r="C65" s="17">
        <v>2</v>
      </c>
    </row>
    <row r="66" spans="1:3" x14ac:dyDescent="0.25">
      <c r="A66" s="17" t="s">
        <v>1097</v>
      </c>
      <c r="B66" s="17" t="s">
        <v>1075</v>
      </c>
      <c r="C66" s="17">
        <v>4</v>
      </c>
    </row>
    <row r="67" spans="1:3" x14ac:dyDescent="0.25">
      <c r="A67" s="17" t="s">
        <v>1097</v>
      </c>
      <c r="B67" s="17" t="s">
        <v>1081</v>
      </c>
      <c r="C67" s="17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91286-34ED-45AE-969D-DA879D3FBC21}">
  <sheetPr codeName="Planilha4"/>
  <dimension ref="A1:P107"/>
  <sheetViews>
    <sheetView workbookViewId="0">
      <selection activeCell="M10" sqref="M10:M12"/>
    </sheetView>
  </sheetViews>
  <sheetFormatPr defaultRowHeight="15" customHeight="1" x14ac:dyDescent="0.25"/>
  <cols>
    <col min="1" max="1" width="17.28515625" style="1" bestFit="1" customWidth="1"/>
    <col min="2" max="2" width="16.5703125" style="1" customWidth="1"/>
    <col min="3" max="3" width="13.5703125" style="1" customWidth="1"/>
    <col min="4" max="4" width="8.85546875" style="1" customWidth="1"/>
    <col min="5" max="5" width="10.42578125" style="1" customWidth="1"/>
    <col min="6" max="6" width="31.7109375" style="1" customWidth="1"/>
    <col min="7" max="7" width="19.5703125" style="1" customWidth="1"/>
    <col min="8" max="8" width="20.7109375" style="1" customWidth="1"/>
    <col min="9" max="9" width="15.140625" style="1" customWidth="1"/>
    <col min="10" max="10" width="16.28515625" style="1" customWidth="1"/>
    <col min="11" max="11" width="12.42578125" style="1" customWidth="1"/>
    <col min="12" max="12" width="15.85546875" style="1" customWidth="1"/>
    <col min="13" max="13" width="17" style="1" customWidth="1"/>
    <col min="14" max="14" width="16.28515625" style="1" customWidth="1"/>
    <col min="15" max="16" width="14.85546875" bestFit="1" customWidth="1"/>
  </cols>
  <sheetData>
    <row r="1" spans="1:16" ht="31.5" customHeight="1" x14ac:dyDescent="0.25">
      <c r="A1" s="6" t="s">
        <v>1101</v>
      </c>
      <c r="B1" s="6" t="s">
        <v>1102</v>
      </c>
      <c r="C1" s="6" t="s">
        <v>1103</v>
      </c>
      <c r="D1" s="6" t="s">
        <v>3</v>
      </c>
      <c r="E1" s="6" t="s">
        <v>1104</v>
      </c>
      <c r="F1" s="6" t="s">
        <v>5</v>
      </c>
      <c r="G1" s="6" t="s">
        <v>1105</v>
      </c>
      <c r="H1" s="6" t="s">
        <v>1106</v>
      </c>
      <c r="I1" s="6" t="s">
        <v>7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1107</v>
      </c>
      <c r="O1" s="5" t="s">
        <v>1108</v>
      </c>
      <c r="P1" s="8" t="s">
        <v>1109</v>
      </c>
    </row>
    <row r="2" spans="1:16" ht="27" x14ac:dyDescent="0.25">
      <c r="A2" s="7" t="s">
        <v>72</v>
      </c>
      <c r="B2" s="7" t="s">
        <v>72</v>
      </c>
      <c r="C2" s="7" t="s">
        <v>46</v>
      </c>
      <c r="D2" s="7" t="s">
        <v>47</v>
      </c>
      <c r="E2" s="7" t="s">
        <v>73</v>
      </c>
      <c r="F2" s="7" t="s">
        <v>74</v>
      </c>
      <c r="G2" s="7" t="s">
        <v>1110</v>
      </c>
      <c r="H2" s="7" t="s">
        <v>50</v>
      </c>
      <c r="I2" s="7">
        <v>10031214850</v>
      </c>
      <c r="J2" s="7" t="s">
        <v>56</v>
      </c>
      <c r="K2" s="7" t="s">
        <v>57</v>
      </c>
      <c r="L2" s="7">
        <v>875</v>
      </c>
      <c r="M2" s="7">
        <v>1097.5999999999999</v>
      </c>
      <c r="N2" s="7" t="s">
        <v>75</v>
      </c>
      <c r="O2" s="7">
        <v>7</v>
      </c>
      <c r="P2" s="19">
        <v>43889</v>
      </c>
    </row>
    <row r="3" spans="1:16" ht="27" x14ac:dyDescent="0.25">
      <c r="A3" s="7" t="s">
        <v>77</v>
      </c>
      <c r="B3" s="7" t="s">
        <v>77</v>
      </c>
      <c r="C3" s="7" t="s">
        <v>46</v>
      </c>
      <c r="D3" s="7" t="s">
        <v>47</v>
      </c>
      <c r="E3" s="7" t="s">
        <v>73</v>
      </c>
      <c r="F3" s="7" t="s">
        <v>74</v>
      </c>
      <c r="G3" s="7" t="s">
        <v>1111</v>
      </c>
      <c r="H3" s="7" t="s">
        <v>50</v>
      </c>
      <c r="I3" s="7">
        <v>10031394475</v>
      </c>
      <c r="J3" s="7" t="s">
        <v>56</v>
      </c>
      <c r="K3" s="7" t="s">
        <v>78</v>
      </c>
      <c r="L3" s="7">
        <v>150</v>
      </c>
      <c r="M3" s="7">
        <v>214.89</v>
      </c>
      <c r="N3" s="7" t="s">
        <v>79</v>
      </c>
      <c r="O3" s="7">
        <v>3</v>
      </c>
      <c r="P3" s="19">
        <v>44228</v>
      </c>
    </row>
    <row r="4" spans="1:16" ht="27" x14ac:dyDescent="0.25">
      <c r="A4" s="7" t="s">
        <v>81</v>
      </c>
      <c r="B4" s="7" t="s">
        <v>77</v>
      </c>
      <c r="C4" s="7" t="s">
        <v>46</v>
      </c>
      <c r="D4" s="7" t="s">
        <v>47</v>
      </c>
      <c r="E4" s="7" t="s">
        <v>73</v>
      </c>
      <c r="F4" s="7" t="s">
        <v>74</v>
      </c>
      <c r="G4" s="7" t="s">
        <v>1112</v>
      </c>
      <c r="H4" s="7" t="s">
        <v>50</v>
      </c>
      <c r="I4" s="7">
        <v>10031394572</v>
      </c>
      <c r="J4" s="7" t="s">
        <v>56</v>
      </c>
      <c r="K4" s="7" t="s">
        <v>78</v>
      </c>
      <c r="L4" s="7">
        <v>180</v>
      </c>
      <c r="M4" s="7">
        <v>264.48</v>
      </c>
      <c r="N4" s="7" t="s">
        <v>82</v>
      </c>
      <c r="O4" s="7">
        <v>3</v>
      </c>
      <c r="P4" s="19">
        <v>44228</v>
      </c>
    </row>
    <row r="5" spans="1:16" ht="27" x14ac:dyDescent="0.25">
      <c r="A5" s="7" t="s">
        <v>83</v>
      </c>
      <c r="B5" s="7" t="s">
        <v>77</v>
      </c>
      <c r="C5" s="7" t="s">
        <v>46</v>
      </c>
      <c r="D5" s="7" t="s">
        <v>47</v>
      </c>
      <c r="E5" s="7" t="s">
        <v>73</v>
      </c>
      <c r="F5" s="7" t="s">
        <v>74</v>
      </c>
      <c r="G5" s="7" t="s">
        <v>1113</v>
      </c>
      <c r="H5" s="7" t="s">
        <v>50</v>
      </c>
      <c r="I5" s="7">
        <v>10031394211</v>
      </c>
      <c r="J5" s="7" t="s">
        <v>56</v>
      </c>
      <c r="K5" s="7" t="s">
        <v>78</v>
      </c>
      <c r="L5" s="7">
        <v>310</v>
      </c>
      <c r="M5" s="7">
        <v>479.37</v>
      </c>
      <c r="N5" s="7" t="s">
        <v>84</v>
      </c>
      <c r="O5" s="7">
        <v>6</v>
      </c>
      <c r="P5" s="19">
        <v>44228</v>
      </c>
    </row>
    <row r="6" spans="1:16" ht="27" x14ac:dyDescent="0.25">
      <c r="A6" s="7" t="s">
        <v>85</v>
      </c>
      <c r="B6" s="7" t="s">
        <v>77</v>
      </c>
      <c r="C6" s="7" t="s">
        <v>46</v>
      </c>
      <c r="D6" s="7" t="s">
        <v>47</v>
      </c>
      <c r="E6" s="7" t="s">
        <v>73</v>
      </c>
      <c r="F6" s="7" t="s">
        <v>74</v>
      </c>
      <c r="G6" s="7" t="s">
        <v>1114</v>
      </c>
      <c r="H6" s="7" t="s">
        <v>50</v>
      </c>
      <c r="I6" s="7">
        <v>10031394599</v>
      </c>
      <c r="J6" s="7" t="s">
        <v>56</v>
      </c>
      <c r="K6" s="7" t="s">
        <v>78</v>
      </c>
      <c r="L6" s="7">
        <v>360</v>
      </c>
      <c r="M6" s="7">
        <v>545.49</v>
      </c>
      <c r="N6" s="7" t="s">
        <v>82</v>
      </c>
      <c r="O6" s="7">
        <v>6</v>
      </c>
      <c r="P6" s="19">
        <v>44228</v>
      </c>
    </row>
    <row r="7" spans="1:16" ht="27" x14ac:dyDescent="0.25">
      <c r="A7" s="7" t="s">
        <v>86</v>
      </c>
      <c r="B7" s="7" t="s">
        <v>81</v>
      </c>
      <c r="C7" s="7" t="s">
        <v>46</v>
      </c>
      <c r="D7" s="7" t="s">
        <v>47</v>
      </c>
      <c r="E7" s="7" t="s">
        <v>73</v>
      </c>
      <c r="F7" s="7" t="s">
        <v>74</v>
      </c>
      <c r="G7" s="7" t="s">
        <v>1115</v>
      </c>
      <c r="H7" s="7" t="s">
        <v>50</v>
      </c>
      <c r="I7" s="7">
        <v>10035044444</v>
      </c>
      <c r="J7" s="7" t="s">
        <v>56</v>
      </c>
      <c r="K7" s="7" t="s">
        <v>57</v>
      </c>
      <c r="L7" s="7">
        <v>110</v>
      </c>
      <c r="M7" s="7">
        <v>153</v>
      </c>
      <c r="N7" s="7" t="s">
        <v>84</v>
      </c>
      <c r="O7" s="7">
        <v>2</v>
      </c>
      <c r="P7" s="19">
        <v>44473</v>
      </c>
    </row>
    <row r="8" spans="1:16" ht="27" x14ac:dyDescent="0.25">
      <c r="A8" s="7" t="s">
        <v>89</v>
      </c>
      <c r="B8" s="7" t="s">
        <v>81</v>
      </c>
      <c r="C8" s="7" t="s">
        <v>46</v>
      </c>
      <c r="D8" s="7" t="s">
        <v>47</v>
      </c>
      <c r="E8" s="7" t="s">
        <v>73</v>
      </c>
      <c r="F8" s="7" t="s">
        <v>74</v>
      </c>
      <c r="G8" s="7" t="s">
        <v>1116</v>
      </c>
      <c r="H8" s="7" t="s">
        <v>50</v>
      </c>
      <c r="I8" s="7">
        <v>10035044363</v>
      </c>
      <c r="J8" s="7" t="s">
        <v>56</v>
      </c>
      <c r="K8" s="7" t="s">
        <v>57</v>
      </c>
      <c r="L8" s="7">
        <v>110</v>
      </c>
      <c r="M8" s="7">
        <v>152</v>
      </c>
      <c r="N8" s="7" t="s">
        <v>84</v>
      </c>
      <c r="O8" s="7">
        <v>2</v>
      </c>
      <c r="P8" s="19">
        <v>44473</v>
      </c>
    </row>
    <row r="9" spans="1:16" ht="27" x14ac:dyDescent="0.25">
      <c r="A9" s="7" t="s">
        <v>144</v>
      </c>
      <c r="B9" s="7" t="s">
        <v>83</v>
      </c>
      <c r="C9" s="7" t="s">
        <v>46</v>
      </c>
      <c r="D9" s="7" t="s">
        <v>47</v>
      </c>
      <c r="E9" s="7" t="s">
        <v>73</v>
      </c>
      <c r="F9" s="7" t="s">
        <v>74</v>
      </c>
      <c r="G9" s="7" t="s">
        <v>1117</v>
      </c>
      <c r="H9" s="7" t="s">
        <v>50</v>
      </c>
      <c r="I9" s="7">
        <v>10035302079</v>
      </c>
      <c r="J9" s="7" t="s">
        <v>56</v>
      </c>
      <c r="K9" s="7" t="s">
        <v>57</v>
      </c>
      <c r="L9" s="7">
        <v>300</v>
      </c>
      <c r="M9" s="7">
        <v>419.76</v>
      </c>
      <c r="N9" s="7" t="s">
        <v>64</v>
      </c>
      <c r="O9" s="7">
        <v>4</v>
      </c>
      <c r="P9" s="19">
        <v>44844</v>
      </c>
    </row>
    <row r="10" spans="1:16" ht="40.5" x14ac:dyDescent="0.25">
      <c r="A10" s="7" t="s">
        <v>173</v>
      </c>
      <c r="B10" s="7" t="s">
        <v>173</v>
      </c>
      <c r="C10" s="7" t="s">
        <v>46</v>
      </c>
      <c r="D10" s="7" t="s">
        <v>174</v>
      </c>
      <c r="E10" s="7" t="s">
        <v>175</v>
      </c>
      <c r="F10" s="7" t="s">
        <v>176</v>
      </c>
      <c r="G10" s="7" t="s">
        <v>1118</v>
      </c>
      <c r="H10" s="7" t="s">
        <v>177</v>
      </c>
      <c r="I10" s="7">
        <v>641366030</v>
      </c>
      <c r="J10" s="7" t="s">
        <v>56</v>
      </c>
      <c r="K10" s="7" t="s">
        <v>57</v>
      </c>
      <c r="L10" s="7">
        <v>80</v>
      </c>
      <c r="M10" s="7">
        <v>103.68</v>
      </c>
      <c r="N10" s="7" t="s">
        <v>184</v>
      </c>
      <c r="O10" s="7">
        <v>4</v>
      </c>
      <c r="P10" s="19">
        <v>45154</v>
      </c>
    </row>
    <row r="11" spans="1:16" ht="40.5" x14ac:dyDescent="0.25">
      <c r="A11" s="7" t="s">
        <v>180</v>
      </c>
      <c r="B11" s="7" t="s">
        <v>173</v>
      </c>
      <c r="C11" s="7" t="s">
        <v>46</v>
      </c>
      <c r="D11" s="7" t="s">
        <v>174</v>
      </c>
      <c r="E11" s="7" t="s">
        <v>175</v>
      </c>
      <c r="F11" s="7" t="s">
        <v>176</v>
      </c>
      <c r="G11" s="7" t="s">
        <v>1119</v>
      </c>
      <c r="H11" s="7" t="s">
        <v>177</v>
      </c>
      <c r="I11" s="7">
        <v>641365420</v>
      </c>
      <c r="J11" s="7" t="s">
        <v>56</v>
      </c>
      <c r="K11" s="7" t="s">
        <v>57</v>
      </c>
      <c r="L11" s="7">
        <v>300</v>
      </c>
      <c r="M11" s="7">
        <v>388.8</v>
      </c>
      <c r="N11" s="7" t="s">
        <v>64</v>
      </c>
      <c r="O11" s="7">
        <v>4</v>
      </c>
      <c r="P11" s="19">
        <v>45148</v>
      </c>
    </row>
    <row r="12" spans="1:16" ht="40.5" x14ac:dyDescent="0.25">
      <c r="A12" s="7" t="s">
        <v>182</v>
      </c>
      <c r="B12" s="7" t="s">
        <v>173</v>
      </c>
      <c r="C12" s="7" t="s">
        <v>46</v>
      </c>
      <c r="D12" s="7" t="s">
        <v>174</v>
      </c>
      <c r="E12" s="7" t="s">
        <v>175</v>
      </c>
      <c r="F12" s="7" t="s">
        <v>176</v>
      </c>
      <c r="G12" s="7" t="s">
        <v>1120</v>
      </c>
      <c r="H12" s="7" t="s">
        <v>177</v>
      </c>
      <c r="I12" s="7">
        <v>641365388</v>
      </c>
      <c r="J12" s="7" t="s">
        <v>56</v>
      </c>
      <c r="K12" s="7" t="s">
        <v>57</v>
      </c>
      <c r="L12" s="7">
        <v>300</v>
      </c>
      <c r="M12" s="7">
        <v>388.8</v>
      </c>
      <c r="N12" s="7" t="s">
        <v>64</v>
      </c>
      <c r="O12" s="7">
        <v>2</v>
      </c>
      <c r="P12" s="19">
        <v>45148</v>
      </c>
    </row>
    <row r="13" spans="1:16" ht="27" x14ac:dyDescent="0.25">
      <c r="A13" s="7" t="s">
        <v>862</v>
      </c>
      <c r="B13" s="7" t="s">
        <v>122</v>
      </c>
      <c r="C13" s="7" t="s">
        <v>46</v>
      </c>
      <c r="D13" s="7" t="s">
        <v>47</v>
      </c>
      <c r="E13" s="7" t="s">
        <v>48</v>
      </c>
      <c r="F13" s="7" t="s">
        <v>120</v>
      </c>
      <c r="G13" s="7" t="s">
        <v>1121</v>
      </c>
      <c r="H13" s="7" t="s">
        <v>50</v>
      </c>
      <c r="I13" s="7">
        <v>10035462084</v>
      </c>
      <c r="J13" s="7" t="s">
        <v>56</v>
      </c>
      <c r="K13" s="7" t="s">
        <v>78</v>
      </c>
      <c r="L13" s="7">
        <v>1000</v>
      </c>
      <c r="M13" s="7">
        <v>1354.32</v>
      </c>
      <c r="N13" s="7" t="s">
        <v>1122</v>
      </c>
      <c r="O13" s="7">
        <v>5</v>
      </c>
      <c r="P13" s="19">
        <v>45502</v>
      </c>
    </row>
    <row r="14" spans="1:16" ht="27" x14ac:dyDescent="0.25">
      <c r="A14" s="7" t="s">
        <v>863</v>
      </c>
      <c r="B14" s="7" t="s">
        <v>122</v>
      </c>
      <c r="C14" s="7" t="s">
        <v>46</v>
      </c>
      <c r="D14" s="7" t="s">
        <v>47</v>
      </c>
      <c r="E14" s="7" t="s">
        <v>48</v>
      </c>
      <c r="F14" s="7" t="s">
        <v>120</v>
      </c>
      <c r="G14" s="7" t="s">
        <v>1123</v>
      </c>
      <c r="H14" s="7" t="s">
        <v>50</v>
      </c>
      <c r="I14" s="7">
        <v>10035462114</v>
      </c>
      <c r="J14" s="7" t="s">
        <v>56</v>
      </c>
      <c r="K14" s="7" t="s">
        <v>78</v>
      </c>
      <c r="L14" s="7">
        <v>1000</v>
      </c>
      <c r="M14" s="7">
        <v>1366.2</v>
      </c>
      <c r="N14" s="7" t="s">
        <v>188</v>
      </c>
      <c r="O14" s="7">
        <v>5</v>
      </c>
      <c r="P14" s="19">
        <v>45502</v>
      </c>
    </row>
    <row r="15" spans="1:16" ht="27" x14ac:dyDescent="0.25">
      <c r="A15" s="7" t="s">
        <v>869</v>
      </c>
      <c r="B15" s="7" t="s">
        <v>122</v>
      </c>
      <c r="C15" s="7" t="s">
        <v>46</v>
      </c>
      <c r="D15" s="7" t="s">
        <v>47</v>
      </c>
      <c r="E15" s="7" t="s">
        <v>48</v>
      </c>
      <c r="F15" s="7" t="s">
        <v>120</v>
      </c>
      <c r="G15" s="7" t="s">
        <v>1124</v>
      </c>
      <c r="H15" s="7" t="s">
        <v>50</v>
      </c>
      <c r="I15" s="7">
        <v>10035462262</v>
      </c>
      <c r="J15" s="7" t="s">
        <v>56</v>
      </c>
      <c r="K15" s="7" t="s">
        <v>78</v>
      </c>
      <c r="L15" s="7">
        <v>1000</v>
      </c>
      <c r="M15" s="7">
        <v>1306.8</v>
      </c>
      <c r="N15" s="7" t="s">
        <v>188</v>
      </c>
      <c r="O15" s="7">
        <v>5</v>
      </c>
      <c r="P15" s="19">
        <v>45511</v>
      </c>
    </row>
    <row r="16" spans="1:16" ht="40.5" x14ac:dyDescent="0.25">
      <c r="A16" s="7" t="s">
        <v>875</v>
      </c>
      <c r="B16" s="7" t="s">
        <v>194</v>
      </c>
      <c r="C16" s="7" t="s">
        <v>46</v>
      </c>
      <c r="D16" s="7" t="s">
        <v>47</v>
      </c>
      <c r="E16" s="7" t="s">
        <v>92</v>
      </c>
      <c r="F16" s="7" t="s">
        <v>195</v>
      </c>
      <c r="G16" s="7" t="s">
        <v>1125</v>
      </c>
      <c r="H16" s="7" t="s">
        <v>50</v>
      </c>
      <c r="I16" s="7">
        <v>10035977122</v>
      </c>
      <c r="J16" s="7" t="s">
        <v>56</v>
      </c>
      <c r="K16" s="7" t="s">
        <v>78</v>
      </c>
      <c r="L16" s="7">
        <v>1000</v>
      </c>
      <c r="M16" s="7">
        <v>1419</v>
      </c>
      <c r="N16" s="7" t="s">
        <v>188</v>
      </c>
      <c r="O16" s="7">
        <v>5</v>
      </c>
      <c r="P16" s="19">
        <v>45328</v>
      </c>
    </row>
    <row r="17" spans="1:16" ht="40.5" x14ac:dyDescent="0.25">
      <c r="A17" s="7" t="s">
        <v>882</v>
      </c>
      <c r="B17" s="7" t="s">
        <v>194</v>
      </c>
      <c r="C17" s="7" t="s">
        <v>46</v>
      </c>
      <c r="D17" s="7" t="s">
        <v>47</v>
      </c>
      <c r="E17" s="7" t="s">
        <v>92</v>
      </c>
      <c r="F17" s="7" t="s">
        <v>195</v>
      </c>
      <c r="G17" s="7" t="s">
        <v>1126</v>
      </c>
      <c r="H17" s="7" t="s">
        <v>50</v>
      </c>
      <c r="I17" s="7">
        <v>10035977130</v>
      </c>
      <c r="J17" s="7" t="s">
        <v>56</v>
      </c>
      <c r="K17" s="7" t="s">
        <v>78</v>
      </c>
      <c r="L17" s="7">
        <v>1000</v>
      </c>
      <c r="M17" s="7">
        <v>1419</v>
      </c>
      <c r="N17" s="7" t="s">
        <v>188</v>
      </c>
      <c r="O17" s="7">
        <v>5</v>
      </c>
      <c r="P17" s="19">
        <v>45328</v>
      </c>
    </row>
    <row r="18" spans="1:16" ht="40.5" x14ac:dyDescent="0.25">
      <c r="A18" s="7" t="s">
        <v>890</v>
      </c>
      <c r="B18" s="7" t="s">
        <v>194</v>
      </c>
      <c r="C18" s="7" t="s">
        <v>46</v>
      </c>
      <c r="D18" s="7" t="s">
        <v>47</v>
      </c>
      <c r="E18" s="7" t="s">
        <v>92</v>
      </c>
      <c r="F18" s="7" t="s">
        <v>195</v>
      </c>
      <c r="G18" s="7" t="s">
        <v>1127</v>
      </c>
      <c r="H18" s="7" t="s">
        <v>50</v>
      </c>
      <c r="I18" s="7">
        <v>10035977149</v>
      </c>
      <c r="J18" s="7" t="s">
        <v>56</v>
      </c>
      <c r="K18" s="7" t="s">
        <v>78</v>
      </c>
      <c r="L18" s="7">
        <v>1000</v>
      </c>
      <c r="M18" s="7">
        <v>1419</v>
      </c>
      <c r="N18" s="7" t="s">
        <v>188</v>
      </c>
      <c r="O18" s="7">
        <v>5</v>
      </c>
      <c r="P18" s="19">
        <v>45328</v>
      </c>
    </row>
    <row r="19" spans="1:16" ht="40.5" x14ac:dyDescent="0.25">
      <c r="A19" s="7" t="s">
        <v>896</v>
      </c>
      <c r="B19" s="7" t="s">
        <v>194</v>
      </c>
      <c r="C19" s="7" t="s">
        <v>46</v>
      </c>
      <c r="D19" s="7" t="s">
        <v>47</v>
      </c>
      <c r="E19" s="7" t="s">
        <v>92</v>
      </c>
      <c r="F19" s="7" t="s">
        <v>195</v>
      </c>
      <c r="G19" s="7" t="s">
        <v>1128</v>
      </c>
      <c r="H19" s="7" t="s">
        <v>50</v>
      </c>
      <c r="I19" s="7">
        <v>10035977157</v>
      </c>
      <c r="J19" s="7" t="s">
        <v>56</v>
      </c>
      <c r="K19" s="7" t="s">
        <v>78</v>
      </c>
      <c r="L19" s="7">
        <v>1000</v>
      </c>
      <c r="M19" s="7">
        <v>1419</v>
      </c>
      <c r="N19" s="7" t="s">
        <v>188</v>
      </c>
      <c r="O19" s="7">
        <v>5</v>
      </c>
      <c r="P19" s="19">
        <v>45328</v>
      </c>
    </row>
    <row r="20" spans="1:16" ht="40.5" x14ac:dyDescent="0.25">
      <c r="A20" s="7" t="s">
        <v>903</v>
      </c>
      <c r="B20" s="7" t="s">
        <v>194</v>
      </c>
      <c r="C20" s="7" t="s">
        <v>46</v>
      </c>
      <c r="D20" s="7" t="s">
        <v>47</v>
      </c>
      <c r="E20" s="7" t="s">
        <v>92</v>
      </c>
      <c r="F20" s="7" t="s">
        <v>195</v>
      </c>
      <c r="G20" s="7" t="s">
        <v>1129</v>
      </c>
      <c r="H20" s="7" t="s">
        <v>50</v>
      </c>
      <c r="I20" s="7">
        <v>10035977203</v>
      </c>
      <c r="J20" s="7" t="s">
        <v>56</v>
      </c>
      <c r="K20" s="7" t="s">
        <v>78</v>
      </c>
      <c r="L20" s="7">
        <v>1000</v>
      </c>
      <c r="M20" s="7">
        <v>1419</v>
      </c>
      <c r="N20" s="7" t="s">
        <v>188</v>
      </c>
      <c r="O20" s="7">
        <v>5</v>
      </c>
      <c r="P20" s="19">
        <v>45328</v>
      </c>
    </row>
    <row r="21" spans="1:16" ht="27" x14ac:dyDescent="0.25">
      <c r="A21" s="7" t="s">
        <v>797</v>
      </c>
      <c r="B21" s="7" t="s">
        <v>205</v>
      </c>
      <c r="C21" s="7" t="s">
        <v>46</v>
      </c>
      <c r="D21" s="7" t="s">
        <v>47</v>
      </c>
      <c r="E21" s="7" t="s">
        <v>73</v>
      </c>
      <c r="F21" s="7" t="s">
        <v>74</v>
      </c>
      <c r="G21" s="7" t="s">
        <v>1130</v>
      </c>
      <c r="H21" s="7" t="s">
        <v>50</v>
      </c>
      <c r="I21" s="7">
        <v>10035715993</v>
      </c>
      <c r="J21" s="7" t="s">
        <v>56</v>
      </c>
      <c r="K21" s="7" t="s">
        <v>78</v>
      </c>
      <c r="L21" s="7">
        <v>1000</v>
      </c>
      <c r="M21" s="7">
        <v>1288.98</v>
      </c>
      <c r="N21" s="7" t="s">
        <v>188</v>
      </c>
      <c r="O21" s="7">
        <v>5</v>
      </c>
      <c r="P21" s="19">
        <v>45434</v>
      </c>
    </row>
    <row r="22" spans="1:16" ht="54" x14ac:dyDescent="0.25">
      <c r="A22" s="7" t="s">
        <v>809</v>
      </c>
      <c r="B22" s="7" t="s">
        <v>205</v>
      </c>
      <c r="C22" s="7" t="s">
        <v>46</v>
      </c>
      <c r="D22" s="7" t="s">
        <v>47</v>
      </c>
      <c r="E22" s="7" t="s">
        <v>73</v>
      </c>
      <c r="F22" s="7" t="s">
        <v>74</v>
      </c>
      <c r="G22" s="7" t="s">
        <v>1131</v>
      </c>
      <c r="H22" s="7" t="s">
        <v>50</v>
      </c>
      <c r="I22" s="7">
        <v>10035715969</v>
      </c>
      <c r="J22" s="7" t="s">
        <v>56</v>
      </c>
      <c r="K22" s="7" t="s">
        <v>78</v>
      </c>
      <c r="L22" s="7">
        <v>500</v>
      </c>
      <c r="M22" s="7">
        <v>613.79999999999995</v>
      </c>
      <c r="N22" s="7" t="s">
        <v>193</v>
      </c>
      <c r="O22" s="7">
        <v>3</v>
      </c>
      <c r="P22" s="19">
        <v>45434</v>
      </c>
    </row>
    <row r="23" spans="1:16" ht="40.5" x14ac:dyDescent="0.25">
      <c r="A23" s="7" t="s">
        <v>815</v>
      </c>
      <c r="B23" s="7" t="s">
        <v>185</v>
      </c>
      <c r="C23" s="7" t="s">
        <v>46</v>
      </c>
      <c r="D23" s="7" t="s">
        <v>47</v>
      </c>
      <c r="E23" s="7" t="s">
        <v>186</v>
      </c>
      <c r="F23" s="7" t="s">
        <v>187</v>
      </c>
      <c r="G23" s="7" t="s">
        <v>1132</v>
      </c>
      <c r="H23" s="7" t="s">
        <v>50</v>
      </c>
      <c r="I23" s="7">
        <v>1003665285</v>
      </c>
      <c r="J23" s="7" t="s">
        <v>56</v>
      </c>
      <c r="K23" s="7" t="s">
        <v>78</v>
      </c>
      <c r="L23" s="7">
        <v>1000</v>
      </c>
      <c r="M23" s="7">
        <v>1391.28</v>
      </c>
      <c r="N23" s="7" t="s">
        <v>188</v>
      </c>
      <c r="O23" s="7">
        <v>5</v>
      </c>
      <c r="P23" s="19">
        <v>45287</v>
      </c>
    </row>
    <row r="24" spans="1:16" ht="40.5" x14ac:dyDescent="0.25">
      <c r="A24" s="7" t="s">
        <v>826</v>
      </c>
      <c r="B24" s="7" t="s">
        <v>185</v>
      </c>
      <c r="C24" s="7" t="s">
        <v>46</v>
      </c>
      <c r="D24" s="7" t="s">
        <v>47</v>
      </c>
      <c r="E24" s="7" t="s">
        <v>186</v>
      </c>
      <c r="F24" s="7" t="s">
        <v>187</v>
      </c>
      <c r="G24" s="7" t="s">
        <v>1133</v>
      </c>
      <c r="H24" s="7" t="s">
        <v>50</v>
      </c>
      <c r="I24" s="7">
        <v>1003665286</v>
      </c>
      <c r="J24" s="7" t="s">
        <v>56</v>
      </c>
      <c r="K24" s="7" t="s">
        <v>78</v>
      </c>
      <c r="L24" s="7">
        <v>1000</v>
      </c>
      <c r="M24" s="7">
        <v>1350.36</v>
      </c>
      <c r="N24" s="7" t="s">
        <v>188</v>
      </c>
      <c r="O24" s="7">
        <v>5</v>
      </c>
      <c r="P24" s="19">
        <v>45287</v>
      </c>
    </row>
    <row r="25" spans="1:16" ht="54" x14ac:dyDescent="0.25">
      <c r="A25" s="7" t="s">
        <v>837</v>
      </c>
      <c r="B25" s="7" t="s">
        <v>185</v>
      </c>
      <c r="C25" s="7" t="s">
        <v>46</v>
      </c>
      <c r="D25" s="7" t="s">
        <v>47</v>
      </c>
      <c r="E25" s="7" t="s">
        <v>186</v>
      </c>
      <c r="F25" s="7" t="s">
        <v>187</v>
      </c>
      <c r="G25" s="7" t="s">
        <v>1134</v>
      </c>
      <c r="H25" s="7" t="s">
        <v>50</v>
      </c>
      <c r="I25" s="7">
        <v>1003665288</v>
      </c>
      <c r="J25" s="7" t="s">
        <v>56</v>
      </c>
      <c r="K25" s="7" t="s">
        <v>78</v>
      </c>
      <c r="L25" s="7">
        <v>500</v>
      </c>
      <c r="M25" s="7">
        <v>695.64</v>
      </c>
      <c r="N25" s="7" t="s">
        <v>193</v>
      </c>
      <c r="O25" s="7">
        <v>3</v>
      </c>
      <c r="P25" s="19">
        <v>45287</v>
      </c>
    </row>
    <row r="26" spans="1:16" ht="40.5" x14ac:dyDescent="0.25">
      <c r="A26" s="7" t="s">
        <v>844</v>
      </c>
      <c r="B26" s="7" t="s">
        <v>191</v>
      </c>
      <c r="C26" s="7" t="s">
        <v>46</v>
      </c>
      <c r="D26" s="7" t="s">
        <v>47</v>
      </c>
      <c r="E26" s="7" t="s">
        <v>186</v>
      </c>
      <c r="F26" s="7" t="s">
        <v>187</v>
      </c>
      <c r="G26" s="7" t="s">
        <v>1135</v>
      </c>
      <c r="H26" s="7" t="s">
        <v>50</v>
      </c>
      <c r="I26" s="7">
        <v>10035751906</v>
      </c>
      <c r="J26" s="7" t="s">
        <v>56</v>
      </c>
      <c r="K26" s="7" t="s">
        <v>78</v>
      </c>
      <c r="L26" s="7">
        <v>1000</v>
      </c>
      <c r="M26" s="7">
        <v>1391.28</v>
      </c>
      <c r="N26" s="7" t="s">
        <v>188</v>
      </c>
      <c r="O26" s="7">
        <v>5</v>
      </c>
      <c r="P26" s="19">
        <v>45338</v>
      </c>
    </row>
    <row r="27" spans="1:16" ht="40.5" x14ac:dyDescent="0.25">
      <c r="A27" s="7" t="s">
        <v>852</v>
      </c>
      <c r="B27" s="7" t="s">
        <v>191</v>
      </c>
      <c r="C27" s="7" t="s">
        <v>46</v>
      </c>
      <c r="D27" s="7" t="s">
        <v>47</v>
      </c>
      <c r="E27" s="7" t="s">
        <v>186</v>
      </c>
      <c r="F27" s="7" t="s">
        <v>187</v>
      </c>
      <c r="G27" s="7" t="s">
        <v>1136</v>
      </c>
      <c r="H27" s="7" t="s">
        <v>50</v>
      </c>
      <c r="I27" s="7">
        <v>10035751914</v>
      </c>
      <c r="J27" s="7" t="s">
        <v>56</v>
      </c>
      <c r="K27" s="7" t="s">
        <v>78</v>
      </c>
      <c r="L27" s="7">
        <v>1000</v>
      </c>
      <c r="M27" s="7">
        <v>1350.36</v>
      </c>
      <c r="N27" s="7" t="s">
        <v>188</v>
      </c>
      <c r="O27" s="7">
        <v>5</v>
      </c>
      <c r="P27" s="19">
        <v>45338</v>
      </c>
    </row>
    <row r="28" spans="1:16" ht="54" x14ac:dyDescent="0.25">
      <c r="A28" s="7" t="s">
        <v>858</v>
      </c>
      <c r="B28" s="7" t="s">
        <v>191</v>
      </c>
      <c r="C28" s="7" t="s">
        <v>46</v>
      </c>
      <c r="D28" s="7" t="s">
        <v>47</v>
      </c>
      <c r="E28" s="7" t="s">
        <v>186</v>
      </c>
      <c r="F28" s="7" t="s">
        <v>187</v>
      </c>
      <c r="G28" s="7" t="s">
        <v>1137</v>
      </c>
      <c r="H28" s="7" t="s">
        <v>50</v>
      </c>
      <c r="I28" s="7">
        <v>10035751922</v>
      </c>
      <c r="J28" s="7" t="s">
        <v>56</v>
      </c>
      <c r="K28" s="7" t="s">
        <v>78</v>
      </c>
      <c r="L28" s="7">
        <v>500</v>
      </c>
      <c r="M28" s="7">
        <v>695.64</v>
      </c>
      <c r="N28" s="7" t="s">
        <v>193</v>
      </c>
      <c r="O28" s="7">
        <v>3</v>
      </c>
      <c r="P28" s="19">
        <v>45338</v>
      </c>
    </row>
    <row r="29" spans="1:16" ht="54" x14ac:dyDescent="0.25">
      <c r="A29" s="7" t="s">
        <v>910</v>
      </c>
      <c r="B29" s="7" t="s">
        <v>163</v>
      </c>
      <c r="C29" s="7" t="s">
        <v>46</v>
      </c>
      <c r="D29" s="7" t="s">
        <v>147</v>
      </c>
      <c r="E29" s="7" t="s">
        <v>164</v>
      </c>
      <c r="F29" s="7" t="s">
        <v>165</v>
      </c>
      <c r="G29" s="7" t="s">
        <v>1138</v>
      </c>
      <c r="H29" s="7" t="s">
        <v>150</v>
      </c>
      <c r="I29" s="7">
        <v>3014365852</v>
      </c>
      <c r="J29" s="7" t="s">
        <v>56</v>
      </c>
      <c r="K29" s="7" t="s">
        <v>78</v>
      </c>
      <c r="L29" s="7">
        <v>1000</v>
      </c>
      <c r="M29" s="7">
        <v>1358.9549999999999</v>
      </c>
      <c r="N29" s="7" t="s">
        <v>155</v>
      </c>
      <c r="O29" s="7">
        <v>5</v>
      </c>
      <c r="P29" s="19">
        <v>45082</v>
      </c>
    </row>
    <row r="30" spans="1:16" ht="54" x14ac:dyDescent="0.25">
      <c r="A30" s="7" t="s">
        <v>922</v>
      </c>
      <c r="B30" s="7" t="s">
        <v>163</v>
      </c>
      <c r="C30" s="7" t="s">
        <v>46</v>
      </c>
      <c r="D30" s="7" t="s">
        <v>147</v>
      </c>
      <c r="E30" s="7" t="s">
        <v>164</v>
      </c>
      <c r="F30" s="7" t="s">
        <v>165</v>
      </c>
      <c r="G30" s="7" t="s">
        <v>1139</v>
      </c>
      <c r="H30" s="7" t="s">
        <v>150</v>
      </c>
      <c r="I30" s="7">
        <v>3014365880</v>
      </c>
      <c r="J30" s="7" t="s">
        <v>56</v>
      </c>
      <c r="K30" s="7" t="s">
        <v>78</v>
      </c>
      <c r="L30" s="7">
        <v>1000</v>
      </c>
      <c r="M30" s="7">
        <v>1358.9549999999999</v>
      </c>
      <c r="N30" s="7" t="s">
        <v>155</v>
      </c>
      <c r="O30" s="7">
        <v>5</v>
      </c>
      <c r="P30" s="19">
        <v>45082</v>
      </c>
    </row>
    <row r="31" spans="1:16" ht="54" x14ac:dyDescent="0.25">
      <c r="A31" s="7" t="s">
        <v>933</v>
      </c>
      <c r="B31" s="7" t="s">
        <v>163</v>
      </c>
      <c r="C31" s="7" t="s">
        <v>46</v>
      </c>
      <c r="D31" s="7" t="s">
        <v>147</v>
      </c>
      <c r="E31" s="7" t="s">
        <v>164</v>
      </c>
      <c r="F31" s="7" t="s">
        <v>165</v>
      </c>
      <c r="G31" s="7" t="s">
        <v>1140</v>
      </c>
      <c r="H31" s="7" t="s">
        <v>150</v>
      </c>
      <c r="I31" s="7">
        <v>3014365849</v>
      </c>
      <c r="J31" s="7" t="s">
        <v>56</v>
      </c>
      <c r="K31" s="7" t="s">
        <v>78</v>
      </c>
      <c r="L31" s="7">
        <v>500</v>
      </c>
      <c r="M31" s="7">
        <v>669.24</v>
      </c>
      <c r="N31" s="7" t="s">
        <v>160</v>
      </c>
      <c r="O31" s="7">
        <v>3</v>
      </c>
      <c r="P31" s="19">
        <v>45082</v>
      </c>
    </row>
    <row r="32" spans="1:16" ht="54" x14ac:dyDescent="0.25">
      <c r="A32" s="7" t="s">
        <v>938</v>
      </c>
      <c r="B32" s="7" t="s">
        <v>167</v>
      </c>
      <c r="C32" s="7" t="s">
        <v>46</v>
      </c>
      <c r="D32" s="7" t="s">
        <v>147</v>
      </c>
      <c r="E32" s="7" t="s">
        <v>164</v>
      </c>
      <c r="F32" s="7" t="s">
        <v>170</v>
      </c>
      <c r="G32" s="7" t="s">
        <v>1141</v>
      </c>
      <c r="H32" s="7" t="s">
        <v>150</v>
      </c>
      <c r="I32" s="7">
        <v>3014367769</v>
      </c>
      <c r="J32" s="7" t="s">
        <v>56</v>
      </c>
      <c r="K32" s="7" t="s">
        <v>78</v>
      </c>
      <c r="L32" s="7">
        <v>1000</v>
      </c>
      <c r="M32" s="7">
        <v>1358.9549999999999</v>
      </c>
      <c r="N32" s="7" t="s">
        <v>155</v>
      </c>
      <c r="O32" s="7">
        <v>5</v>
      </c>
      <c r="P32" s="19">
        <v>45085</v>
      </c>
    </row>
    <row r="33" spans="1:16" ht="54" x14ac:dyDescent="0.25">
      <c r="A33" s="7" t="s">
        <v>944</v>
      </c>
      <c r="B33" s="7" t="s">
        <v>167</v>
      </c>
      <c r="C33" s="7" t="s">
        <v>46</v>
      </c>
      <c r="D33" s="7" t="s">
        <v>147</v>
      </c>
      <c r="E33" s="7" t="s">
        <v>164</v>
      </c>
      <c r="F33" s="7" t="s">
        <v>170</v>
      </c>
      <c r="G33" s="7" t="s">
        <v>1142</v>
      </c>
      <c r="H33" s="7" t="s">
        <v>150</v>
      </c>
      <c r="I33" s="7">
        <v>3014367806</v>
      </c>
      <c r="J33" s="7" t="s">
        <v>56</v>
      </c>
      <c r="K33" s="7" t="s">
        <v>78</v>
      </c>
      <c r="L33" s="7">
        <v>1000</v>
      </c>
      <c r="M33" s="7">
        <v>1358.9549999999999</v>
      </c>
      <c r="N33" s="7" t="s">
        <v>155</v>
      </c>
      <c r="O33" s="7">
        <v>5</v>
      </c>
      <c r="P33" s="19">
        <v>45085</v>
      </c>
    </row>
    <row r="34" spans="1:16" ht="54" x14ac:dyDescent="0.25">
      <c r="A34" s="7" t="s">
        <v>950</v>
      </c>
      <c r="B34" s="7" t="s">
        <v>167</v>
      </c>
      <c r="C34" s="7" t="s">
        <v>46</v>
      </c>
      <c r="D34" s="7" t="s">
        <v>147</v>
      </c>
      <c r="E34" s="7" t="s">
        <v>164</v>
      </c>
      <c r="F34" s="7" t="s">
        <v>170</v>
      </c>
      <c r="G34" s="7" t="s">
        <v>1143</v>
      </c>
      <c r="H34" s="7" t="s">
        <v>150</v>
      </c>
      <c r="I34" s="7">
        <v>3014367812</v>
      </c>
      <c r="J34" s="7" t="s">
        <v>56</v>
      </c>
      <c r="K34" s="7" t="s">
        <v>78</v>
      </c>
      <c r="L34" s="7">
        <v>500</v>
      </c>
      <c r="M34" s="7">
        <v>669.24</v>
      </c>
      <c r="N34" s="7" t="s">
        <v>160</v>
      </c>
      <c r="O34" s="7">
        <v>3</v>
      </c>
      <c r="P34" s="19">
        <v>45085</v>
      </c>
    </row>
    <row r="35" spans="1:16" ht="54" x14ac:dyDescent="0.25">
      <c r="A35" s="7" t="s">
        <v>955</v>
      </c>
      <c r="B35" s="7" t="s">
        <v>151</v>
      </c>
      <c r="C35" s="7" t="s">
        <v>46</v>
      </c>
      <c r="D35" s="7" t="s">
        <v>147</v>
      </c>
      <c r="E35" s="7" t="s">
        <v>148</v>
      </c>
      <c r="F35" s="7" t="s">
        <v>149</v>
      </c>
      <c r="G35" s="7" t="s">
        <v>1144</v>
      </c>
      <c r="H35" s="7" t="s">
        <v>150</v>
      </c>
      <c r="I35" s="7">
        <v>3014367827</v>
      </c>
      <c r="J35" s="7" t="s">
        <v>56</v>
      </c>
      <c r="K35" s="7" t="s">
        <v>78</v>
      </c>
      <c r="L35" s="7">
        <v>1000</v>
      </c>
      <c r="M35" s="7">
        <v>1307.4749999999999</v>
      </c>
      <c r="N35" s="7" t="s">
        <v>155</v>
      </c>
      <c r="O35" s="7">
        <v>5</v>
      </c>
      <c r="P35" s="19">
        <v>44897</v>
      </c>
    </row>
    <row r="36" spans="1:16" ht="54" x14ac:dyDescent="0.25">
      <c r="A36" s="7" t="s">
        <v>964</v>
      </c>
      <c r="B36" s="7" t="s">
        <v>151</v>
      </c>
      <c r="C36" s="7" t="s">
        <v>46</v>
      </c>
      <c r="D36" s="7" t="s">
        <v>147</v>
      </c>
      <c r="E36" s="7" t="s">
        <v>148</v>
      </c>
      <c r="F36" s="7" t="s">
        <v>149</v>
      </c>
      <c r="G36" s="7" t="s">
        <v>1145</v>
      </c>
      <c r="H36" s="7" t="s">
        <v>150</v>
      </c>
      <c r="I36" s="7">
        <v>3014367828</v>
      </c>
      <c r="J36" s="7" t="s">
        <v>56</v>
      </c>
      <c r="K36" s="7" t="s">
        <v>78</v>
      </c>
      <c r="L36" s="7">
        <v>1000</v>
      </c>
      <c r="M36" s="7">
        <v>1307.4749999999999</v>
      </c>
      <c r="N36" s="7" t="s">
        <v>155</v>
      </c>
      <c r="O36" s="7">
        <v>5</v>
      </c>
      <c r="P36" s="19">
        <v>44897</v>
      </c>
    </row>
    <row r="37" spans="1:16" ht="54" x14ac:dyDescent="0.25">
      <c r="A37" s="7" t="s">
        <v>973</v>
      </c>
      <c r="B37" s="7" t="s">
        <v>151</v>
      </c>
      <c r="C37" s="7" t="s">
        <v>46</v>
      </c>
      <c r="D37" s="7" t="s">
        <v>147</v>
      </c>
      <c r="E37" s="7" t="s">
        <v>148</v>
      </c>
      <c r="F37" s="7" t="s">
        <v>149</v>
      </c>
      <c r="G37" s="7" t="s">
        <v>1146</v>
      </c>
      <c r="H37" s="7" t="s">
        <v>150</v>
      </c>
      <c r="I37" s="7">
        <v>3014367829</v>
      </c>
      <c r="J37" s="7" t="s">
        <v>56</v>
      </c>
      <c r="K37" s="7" t="s">
        <v>78</v>
      </c>
      <c r="L37" s="7">
        <v>500</v>
      </c>
      <c r="M37" s="7">
        <v>645.84</v>
      </c>
      <c r="N37" s="7" t="s">
        <v>160</v>
      </c>
      <c r="O37" s="7">
        <v>3</v>
      </c>
      <c r="P37" s="19">
        <v>44897</v>
      </c>
    </row>
    <row r="38" spans="1:16" ht="54" x14ac:dyDescent="0.25">
      <c r="A38" s="7" t="s">
        <v>91</v>
      </c>
      <c r="B38" s="7" t="s">
        <v>91</v>
      </c>
      <c r="C38" s="7" t="s">
        <v>46</v>
      </c>
      <c r="D38" s="7" t="s">
        <v>47</v>
      </c>
      <c r="E38" s="7" t="s">
        <v>92</v>
      </c>
      <c r="F38" s="7" t="s">
        <v>93</v>
      </c>
      <c r="G38" s="7" t="s">
        <v>1147</v>
      </c>
      <c r="H38" s="7" t="s">
        <v>50</v>
      </c>
      <c r="I38" s="7">
        <v>10031246905</v>
      </c>
      <c r="J38" s="7" t="s">
        <v>56</v>
      </c>
      <c r="K38" s="7" t="s">
        <v>57</v>
      </c>
      <c r="L38" s="7">
        <v>610</v>
      </c>
      <c r="M38" s="7">
        <v>785.81</v>
      </c>
      <c r="N38" s="7" t="s">
        <v>94</v>
      </c>
      <c r="O38" s="7">
        <v>12</v>
      </c>
      <c r="P38" s="19">
        <v>44682</v>
      </c>
    </row>
    <row r="39" spans="1:16" ht="27" x14ac:dyDescent="0.25">
      <c r="A39" s="7" t="s">
        <v>119</v>
      </c>
      <c r="B39" s="7" t="s">
        <v>119</v>
      </c>
      <c r="C39" s="7" t="s">
        <v>46</v>
      </c>
      <c r="D39" s="7" t="s">
        <v>47</v>
      </c>
      <c r="E39" s="7" t="s">
        <v>48</v>
      </c>
      <c r="F39" s="7" t="s">
        <v>120</v>
      </c>
      <c r="G39" s="7" t="s">
        <v>1148</v>
      </c>
      <c r="H39" s="7" t="s">
        <v>50</v>
      </c>
      <c r="I39" s="7">
        <v>10035461975</v>
      </c>
      <c r="J39" s="7" t="s">
        <v>56</v>
      </c>
      <c r="K39" s="7" t="s">
        <v>57</v>
      </c>
      <c r="L39" s="7">
        <v>480</v>
      </c>
      <c r="M39" s="7">
        <v>696.6</v>
      </c>
      <c r="N39" s="7" t="s">
        <v>82</v>
      </c>
      <c r="O39" s="7">
        <v>8</v>
      </c>
      <c r="P39" s="19">
        <v>44767</v>
      </c>
    </row>
    <row r="40" spans="1:16" ht="27" x14ac:dyDescent="0.25">
      <c r="A40" s="7" t="s">
        <v>122</v>
      </c>
      <c r="B40" s="7" t="s">
        <v>119</v>
      </c>
      <c r="C40" s="7" t="s">
        <v>46</v>
      </c>
      <c r="D40" s="7" t="s">
        <v>47</v>
      </c>
      <c r="E40" s="7" t="s">
        <v>48</v>
      </c>
      <c r="F40" s="7" t="s">
        <v>120</v>
      </c>
      <c r="G40" s="7" t="s">
        <v>1149</v>
      </c>
      <c r="H40" s="7" t="s">
        <v>50</v>
      </c>
      <c r="I40" s="7">
        <v>10035461983</v>
      </c>
      <c r="J40" s="7" t="s">
        <v>56</v>
      </c>
      <c r="K40" s="7" t="s">
        <v>57</v>
      </c>
      <c r="L40" s="7">
        <v>420</v>
      </c>
      <c r="M40" s="7">
        <v>591.29999999999995</v>
      </c>
      <c r="N40" s="7" t="s">
        <v>82</v>
      </c>
      <c r="O40" s="7">
        <v>7</v>
      </c>
      <c r="P40" s="19">
        <v>44767</v>
      </c>
    </row>
    <row r="41" spans="1:16" ht="27" x14ac:dyDescent="0.25">
      <c r="A41" s="7" t="s">
        <v>123</v>
      </c>
      <c r="B41" s="7" t="s">
        <v>119</v>
      </c>
      <c r="C41" s="7" t="s">
        <v>46</v>
      </c>
      <c r="D41" s="7" t="s">
        <v>47</v>
      </c>
      <c r="E41" s="7" t="s">
        <v>48</v>
      </c>
      <c r="F41" s="7" t="s">
        <v>120</v>
      </c>
      <c r="G41" s="7" t="s">
        <v>1150</v>
      </c>
      <c r="H41" s="7" t="s">
        <v>50</v>
      </c>
      <c r="I41" s="7">
        <v>10035505336</v>
      </c>
      <c r="J41" s="7" t="s">
        <v>56</v>
      </c>
      <c r="K41" s="7" t="s">
        <v>57</v>
      </c>
      <c r="L41" s="7">
        <v>300</v>
      </c>
      <c r="M41" s="7">
        <v>437.4</v>
      </c>
      <c r="N41" s="7" t="s">
        <v>82</v>
      </c>
      <c r="O41" s="7">
        <v>5</v>
      </c>
      <c r="P41" s="19">
        <v>44767</v>
      </c>
    </row>
    <row r="42" spans="1:16" ht="27" x14ac:dyDescent="0.25">
      <c r="A42" s="7" t="s">
        <v>124</v>
      </c>
      <c r="B42" s="7" t="s">
        <v>119</v>
      </c>
      <c r="C42" s="7" t="s">
        <v>46</v>
      </c>
      <c r="D42" s="7" t="s">
        <v>47</v>
      </c>
      <c r="E42" s="7" t="s">
        <v>48</v>
      </c>
      <c r="F42" s="7" t="s">
        <v>120</v>
      </c>
      <c r="G42" s="7" t="s">
        <v>1151</v>
      </c>
      <c r="H42" s="7" t="s">
        <v>50</v>
      </c>
      <c r="I42" s="7">
        <v>10035462122</v>
      </c>
      <c r="J42" s="7" t="s">
        <v>56</v>
      </c>
      <c r="K42" s="7" t="s">
        <v>57</v>
      </c>
      <c r="L42" s="7">
        <v>240</v>
      </c>
      <c r="M42" s="7">
        <v>332.1</v>
      </c>
      <c r="N42" s="7" t="s">
        <v>82</v>
      </c>
      <c r="O42" s="7">
        <v>4</v>
      </c>
      <c r="P42" s="19">
        <v>44767</v>
      </c>
    </row>
    <row r="43" spans="1:16" ht="27" x14ac:dyDescent="0.25">
      <c r="A43" s="7" t="s">
        <v>125</v>
      </c>
      <c r="B43" s="7" t="s">
        <v>119</v>
      </c>
      <c r="C43" s="7" t="s">
        <v>46</v>
      </c>
      <c r="D43" s="7" t="s">
        <v>47</v>
      </c>
      <c r="E43" s="7" t="s">
        <v>48</v>
      </c>
      <c r="F43" s="7" t="s">
        <v>120</v>
      </c>
      <c r="G43" s="7" t="s">
        <v>1152</v>
      </c>
      <c r="H43" s="7" t="s">
        <v>50</v>
      </c>
      <c r="I43" s="7">
        <v>10035462130</v>
      </c>
      <c r="J43" s="7" t="s">
        <v>56</v>
      </c>
      <c r="K43" s="7" t="s">
        <v>57</v>
      </c>
      <c r="L43" s="7">
        <v>250</v>
      </c>
      <c r="M43" s="7">
        <v>369.8</v>
      </c>
      <c r="N43" s="7" t="s">
        <v>79</v>
      </c>
      <c r="O43" s="7">
        <v>5</v>
      </c>
      <c r="P43" s="19">
        <v>44767</v>
      </c>
    </row>
    <row r="44" spans="1:16" ht="40.5" x14ac:dyDescent="0.25">
      <c r="A44" s="7" t="s">
        <v>127</v>
      </c>
      <c r="B44" s="7" t="s">
        <v>127</v>
      </c>
      <c r="C44" s="7" t="s">
        <v>46</v>
      </c>
      <c r="D44" s="7" t="s">
        <v>47</v>
      </c>
      <c r="E44" s="7" t="s">
        <v>128</v>
      </c>
      <c r="F44" s="7" t="s">
        <v>129</v>
      </c>
      <c r="G44" s="7" t="s">
        <v>1153</v>
      </c>
      <c r="H44" s="7" t="s">
        <v>50</v>
      </c>
      <c r="I44" s="7">
        <v>10035154517</v>
      </c>
      <c r="J44" s="7" t="s">
        <v>56</v>
      </c>
      <c r="K44" s="7" t="s">
        <v>57</v>
      </c>
      <c r="L44" s="7">
        <v>60</v>
      </c>
      <c r="M44" s="7">
        <v>72.900000000000006</v>
      </c>
      <c r="N44" s="7" t="s">
        <v>82</v>
      </c>
      <c r="O44" s="7">
        <v>1</v>
      </c>
      <c r="P44" s="19">
        <v>44798</v>
      </c>
    </row>
    <row r="45" spans="1:16" ht="40.5" x14ac:dyDescent="0.25">
      <c r="A45" s="7" t="s">
        <v>131</v>
      </c>
      <c r="B45" s="7" t="s">
        <v>127</v>
      </c>
      <c r="C45" s="7" t="s">
        <v>46</v>
      </c>
      <c r="D45" s="7" t="s">
        <v>47</v>
      </c>
      <c r="E45" s="7" t="s">
        <v>128</v>
      </c>
      <c r="F45" s="7" t="s">
        <v>132</v>
      </c>
      <c r="G45" s="7" t="s">
        <v>1154</v>
      </c>
      <c r="H45" s="7" t="s">
        <v>50</v>
      </c>
      <c r="I45" s="7">
        <v>10034908372</v>
      </c>
      <c r="J45" s="7" t="s">
        <v>56</v>
      </c>
      <c r="K45" s="7" t="s">
        <v>57</v>
      </c>
      <c r="L45" s="7">
        <v>50</v>
      </c>
      <c r="M45" s="7">
        <v>66.78</v>
      </c>
      <c r="N45" s="7" t="s">
        <v>79</v>
      </c>
      <c r="O45" s="7">
        <v>1</v>
      </c>
      <c r="P45" s="19">
        <v>44798</v>
      </c>
    </row>
    <row r="46" spans="1:16" ht="40.5" x14ac:dyDescent="0.25">
      <c r="A46" s="7" t="s">
        <v>134</v>
      </c>
      <c r="B46" s="7" t="s">
        <v>127</v>
      </c>
      <c r="C46" s="7" t="s">
        <v>46</v>
      </c>
      <c r="D46" s="7" t="s">
        <v>47</v>
      </c>
      <c r="E46" s="7" t="s">
        <v>128</v>
      </c>
      <c r="F46" s="7" t="s">
        <v>135</v>
      </c>
      <c r="G46" s="7" t="s">
        <v>1155</v>
      </c>
      <c r="H46" s="7" t="s">
        <v>50</v>
      </c>
      <c r="I46" s="7">
        <v>10035156587</v>
      </c>
      <c r="J46" s="7" t="s">
        <v>56</v>
      </c>
      <c r="K46" s="7" t="s">
        <v>57</v>
      </c>
      <c r="L46" s="7">
        <v>60</v>
      </c>
      <c r="M46" s="7">
        <v>72.900000000000006</v>
      </c>
      <c r="N46" s="7" t="s">
        <v>82</v>
      </c>
      <c r="O46" s="7">
        <v>1</v>
      </c>
      <c r="P46" s="19">
        <v>44798</v>
      </c>
    </row>
    <row r="47" spans="1:16" ht="40.5" x14ac:dyDescent="0.25">
      <c r="A47" s="7" t="s">
        <v>136</v>
      </c>
      <c r="B47" s="7" t="s">
        <v>127</v>
      </c>
      <c r="C47" s="7" t="s">
        <v>46</v>
      </c>
      <c r="D47" s="7" t="s">
        <v>47</v>
      </c>
      <c r="E47" s="7" t="s">
        <v>128</v>
      </c>
      <c r="F47" s="7" t="s">
        <v>137</v>
      </c>
      <c r="G47" s="7" t="s">
        <v>1156</v>
      </c>
      <c r="H47" s="7" t="s">
        <v>50</v>
      </c>
      <c r="I47" s="7">
        <v>10035106113</v>
      </c>
      <c r="J47" s="7" t="s">
        <v>56</v>
      </c>
      <c r="K47" s="7" t="s">
        <v>57</v>
      </c>
      <c r="L47" s="7">
        <v>60</v>
      </c>
      <c r="M47" s="7">
        <v>72.900000000000006</v>
      </c>
      <c r="N47" s="7" t="s">
        <v>82</v>
      </c>
      <c r="O47" s="7">
        <v>1</v>
      </c>
      <c r="P47" s="19">
        <v>44798</v>
      </c>
    </row>
    <row r="48" spans="1:16" ht="40.5" x14ac:dyDescent="0.25">
      <c r="A48" s="7" t="s">
        <v>138</v>
      </c>
      <c r="B48" s="7" t="s">
        <v>127</v>
      </c>
      <c r="C48" s="7" t="s">
        <v>46</v>
      </c>
      <c r="D48" s="7" t="s">
        <v>47</v>
      </c>
      <c r="E48" s="7" t="s">
        <v>128</v>
      </c>
      <c r="F48" s="7" t="s">
        <v>139</v>
      </c>
      <c r="G48" s="7" t="s">
        <v>1157</v>
      </c>
      <c r="H48" s="7" t="s">
        <v>50</v>
      </c>
      <c r="I48" s="7">
        <v>10034913074</v>
      </c>
      <c r="J48" s="7" t="s">
        <v>56</v>
      </c>
      <c r="K48" s="7" t="s">
        <v>57</v>
      </c>
      <c r="L48" s="7">
        <v>50</v>
      </c>
      <c r="M48" s="7">
        <v>66.78</v>
      </c>
      <c r="N48" s="7" t="s">
        <v>79</v>
      </c>
      <c r="O48" s="7">
        <v>1</v>
      </c>
      <c r="P48" s="19">
        <v>44798</v>
      </c>
    </row>
    <row r="49" spans="1:16" ht="40.5" x14ac:dyDescent="0.25">
      <c r="A49" s="7" t="s">
        <v>140</v>
      </c>
      <c r="B49" s="7" t="s">
        <v>127</v>
      </c>
      <c r="C49" s="7" t="s">
        <v>46</v>
      </c>
      <c r="D49" s="7" t="s">
        <v>47</v>
      </c>
      <c r="E49" s="7" t="s">
        <v>128</v>
      </c>
      <c r="F49" s="7" t="s">
        <v>141</v>
      </c>
      <c r="G49" s="7" t="s">
        <v>1158</v>
      </c>
      <c r="H49" s="7" t="s">
        <v>50</v>
      </c>
      <c r="I49" s="7">
        <v>10034908402</v>
      </c>
      <c r="J49" s="7" t="s">
        <v>56</v>
      </c>
      <c r="K49" s="7" t="s">
        <v>57</v>
      </c>
      <c r="L49" s="7">
        <v>50</v>
      </c>
      <c r="M49" s="7">
        <v>66.78</v>
      </c>
      <c r="N49" s="7" t="s">
        <v>79</v>
      </c>
      <c r="O49" s="7">
        <v>1</v>
      </c>
      <c r="P49" s="19">
        <v>44798</v>
      </c>
    </row>
    <row r="50" spans="1:16" ht="40.5" x14ac:dyDescent="0.25">
      <c r="A50" s="7" t="s">
        <v>142</v>
      </c>
      <c r="B50" s="7" t="s">
        <v>127</v>
      </c>
      <c r="C50" s="7" t="s">
        <v>46</v>
      </c>
      <c r="D50" s="7" t="s">
        <v>47</v>
      </c>
      <c r="E50" s="7" t="s">
        <v>128</v>
      </c>
      <c r="F50" s="7" t="s">
        <v>143</v>
      </c>
      <c r="G50" s="7" t="s">
        <v>1159</v>
      </c>
      <c r="H50" s="7" t="s">
        <v>50</v>
      </c>
      <c r="I50" s="7">
        <v>10035156609</v>
      </c>
      <c r="J50" s="7" t="s">
        <v>56</v>
      </c>
      <c r="K50" s="7" t="s">
        <v>57</v>
      </c>
      <c r="L50" s="7">
        <v>60</v>
      </c>
      <c r="M50" s="7">
        <v>72.900000000000006</v>
      </c>
      <c r="N50" s="7" t="s">
        <v>82</v>
      </c>
      <c r="O50" s="7">
        <v>1</v>
      </c>
      <c r="P50" s="19">
        <v>44798</v>
      </c>
    </row>
    <row r="51" spans="1:16" ht="40.5" x14ac:dyDescent="0.25">
      <c r="A51" s="7" t="s">
        <v>96</v>
      </c>
      <c r="B51" s="7" t="s">
        <v>96</v>
      </c>
      <c r="C51" s="7" t="s">
        <v>46</v>
      </c>
      <c r="D51" s="7" t="s">
        <v>97</v>
      </c>
      <c r="E51" s="7" t="s">
        <v>98</v>
      </c>
      <c r="F51" s="7" t="s">
        <v>99</v>
      </c>
      <c r="G51" s="7" t="s">
        <v>1160</v>
      </c>
      <c r="H51" s="7" t="s">
        <v>100</v>
      </c>
      <c r="I51" s="7" t="s">
        <v>101</v>
      </c>
      <c r="J51" s="7" t="s">
        <v>56</v>
      </c>
      <c r="K51" s="7" t="s">
        <v>57</v>
      </c>
      <c r="L51" s="7">
        <v>530</v>
      </c>
      <c r="M51" s="7">
        <v>689.04</v>
      </c>
      <c r="N51" s="7" t="s">
        <v>84</v>
      </c>
      <c r="O51" s="7">
        <v>9</v>
      </c>
      <c r="P51" s="19">
        <v>44756</v>
      </c>
    </row>
    <row r="52" spans="1:16" ht="40.5" x14ac:dyDescent="0.25">
      <c r="A52" s="7" t="s">
        <v>103</v>
      </c>
      <c r="B52" s="7" t="s">
        <v>96</v>
      </c>
      <c r="C52" s="7" t="s">
        <v>46</v>
      </c>
      <c r="D52" s="7" t="s">
        <v>97</v>
      </c>
      <c r="E52" s="7" t="s">
        <v>98</v>
      </c>
      <c r="F52" s="7" t="s">
        <v>99</v>
      </c>
      <c r="G52" s="7" t="s">
        <v>1161</v>
      </c>
      <c r="H52" s="7" t="s">
        <v>100</v>
      </c>
      <c r="I52" s="7" t="s">
        <v>104</v>
      </c>
      <c r="J52" s="7" t="s">
        <v>56</v>
      </c>
      <c r="K52" s="7" t="s">
        <v>57</v>
      </c>
      <c r="L52" s="7">
        <v>280</v>
      </c>
      <c r="M52" s="7">
        <v>391.5</v>
      </c>
      <c r="N52" s="7" t="s">
        <v>105</v>
      </c>
      <c r="O52" s="7">
        <v>5</v>
      </c>
      <c r="P52" s="19">
        <v>44756</v>
      </c>
    </row>
    <row r="53" spans="1:16" ht="40.5" x14ac:dyDescent="0.25">
      <c r="A53" s="7" t="s">
        <v>106</v>
      </c>
      <c r="B53" s="7" t="s">
        <v>96</v>
      </c>
      <c r="C53" s="7" t="s">
        <v>46</v>
      </c>
      <c r="D53" s="7" t="s">
        <v>97</v>
      </c>
      <c r="E53" s="7" t="s">
        <v>98</v>
      </c>
      <c r="F53" s="7" t="s">
        <v>99</v>
      </c>
      <c r="G53" s="7" t="s">
        <v>1162</v>
      </c>
      <c r="H53" s="7" t="s">
        <v>100</v>
      </c>
      <c r="I53" s="7" t="s">
        <v>107</v>
      </c>
      <c r="J53" s="7" t="s">
        <v>56</v>
      </c>
      <c r="K53" s="7" t="s">
        <v>57</v>
      </c>
      <c r="L53" s="7">
        <v>320</v>
      </c>
      <c r="M53" s="7">
        <v>422.82</v>
      </c>
      <c r="N53" s="7" t="s">
        <v>105</v>
      </c>
      <c r="O53" s="7">
        <v>6</v>
      </c>
      <c r="P53" s="19">
        <v>44756</v>
      </c>
    </row>
    <row r="54" spans="1:16" ht="40.5" x14ac:dyDescent="0.25">
      <c r="A54" s="7" t="s">
        <v>108</v>
      </c>
      <c r="B54" s="7" t="s">
        <v>96</v>
      </c>
      <c r="C54" s="7" t="s">
        <v>46</v>
      </c>
      <c r="D54" s="7" t="s">
        <v>97</v>
      </c>
      <c r="E54" s="7" t="s">
        <v>98</v>
      </c>
      <c r="F54" s="7" t="s">
        <v>99</v>
      </c>
      <c r="G54" s="7" t="s">
        <v>1163</v>
      </c>
      <c r="H54" s="7" t="s">
        <v>100</v>
      </c>
      <c r="I54" s="7" t="s">
        <v>109</v>
      </c>
      <c r="J54" s="7" t="s">
        <v>56</v>
      </c>
      <c r="K54" s="7" t="s">
        <v>57</v>
      </c>
      <c r="L54" s="7">
        <v>360</v>
      </c>
      <c r="M54" s="7">
        <v>468</v>
      </c>
      <c r="N54" s="7" t="s">
        <v>82</v>
      </c>
      <c r="O54" s="7">
        <v>6</v>
      </c>
      <c r="P54" s="19">
        <v>44756</v>
      </c>
    </row>
    <row r="55" spans="1:16" ht="40.5" x14ac:dyDescent="0.25">
      <c r="A55" s="7" t="s">
        <v>110</v>
      </c>
      <c r="B55" s="7" t="s">
        <v>96</v>
      </c>
      <c r="C55" s="7" t="s">
        <v>46</v>
      </c>
      <c r="D55" s="7" t="s">
        <v>97</v>
      </c>
      <c r="E55" s="7" t="s">
        <v>98</v>
      </c>
      <c r="F55" s="7" t="s">
        <v>99</v>
      </c>
      <c r="G55" s="7" t="s">
        <v>1164</v>
      </c>
      <c r="H55" s="7" t="s">
        <v>100</v>
      </c>
      <c r="I55" s="7" t="s">
        <v>111</v>
      </c>
      <c r="J55" s="7" t="s">
        <v>56</v>
      </c>
      <c r="K55" s="7" t="s">
        <v>57</v>
      </c>
      <c r="L55" s="7">
        <v>170</v>
      </c>
      <c r="M55" s="7">
        <v>217.8</v>
      </c>
      <c r="N55" s="7" t="s">
        <v>84</v>
      </c>
      <c r="O55" s="7">
        <v>3</v>
      </c>
      <c r="P55" s="19">
        <v>44756</v>
      </c>
    </row>
    <row r="56" spans="1:16" ht="40.5" x14ac:dyDescent="0.25">
      <c r="A56" s="7" t="s">
        <v>113</v>
      </c>
      <c r="B56" s="7" t="s">
        <v>96</v>
      </c>
      <c r="C56" s="7" t="s">
        <v>46</v>
      </c>
      <c r="D56" s="7" t="s">
        <v>97</v>
      </c>
      <c r="E56" s="7" t="s">
        <v>98</v>
      </c>
      <c r="F56" s="7" t="s">
        <v>99</v>
      </c>
      <c r="G56" s="7" t="s">
        <v>1165</v>
      </c>
      <c r="H56" s="7" t="s">
        <v>100</v>
      </c>
      <c r="I56" s="7" t="s">
        <v>114</v>
      </c>
      <c r="J56" s="7" t="s">
        <v>56</v>
      </c>
      <c r="K56" s="7" t="s">
        <v>57</v>
      </c>
      <c r="L56" s="7">
        <v>170</v>
      </c>
      <c r="M56" s="7">
        <v>217.8</v>
      </c>
      <c r="N56" s="7" t="s">
        <v>84</v>
      </c>
      <c r="O56" s="7">
        <v>3</v>
      </c>
      <c r="P56" s="19">
        <v>44756</v>
      </c>
    </row>
    <row r="57" spans="1:16" ht="40.5" x14ac:dyDescent="0.25">
      <c r="A57" s="7" t="s">
        <v>115</v>
      </c>
      <c r="B57" s="7" t="s">
        <v>96</v>
      </c>
      <c r="C57" s="7" t="s">
        <v>46</v>
      </c>
      <c r="D57" s="7" t="s">
        <v>97</v>
      </c>
      <c r="E57" s="7" t="s">
        <v>98</v>
      </c>
      <c r="F57" s="7" t="s">
        <v>99</v>
      </c>
      <c r="G57" s="7" t="s">
        <v>1166</v>
      </c>
      <c r="H57" s="7" t="s">
        <v>100</v>
      </c>
      <c r="I57" s="7" t="s">
        <v>116</v>
      </c>
      <c r="J57" s="7" t="s">
        <v>56</v>
      </c>
      <c r="K57" s="7" t="s">
        <v>57</v>
      </c>
      <c r="L57" s="7">
        <v>360</v>
      </c>
      <c r="M57" s="7">
        <v>475.2</v>
      </c>
      <c r="N57" s="7" t="s">
        <v>82</v>
      </c>
      <c r="O57" s="7">
        <v>6</v>
      </c>
      <c r="P57" s="19">
        <v>44756</v>
      </c>
    </row>
    <row r="58" spans="1:16" ht="40.5" x14ac:dyDescent="0.25">
      <c r="A58" s="7" t="s">
        <v>117</v>
      </c>
      <c r="B58" s="7" t="s">
        <v>96</v>
      </c>
      <c r="C58" s="7" t="s">
        <v>46</v>
      </c>
      <c r="D58" s="7" t="s">
        <v>97</v>
      </c>
      <c r="E58" s="7" t="s">
        <v>98</v>
      </c>
      <c r="F58" s="7" t="s">
        <v>99</v>
      </c>
      <c r="G58" s="7" t="s">
        <v>1167</v>
      </c>
      <c r="H58" s="7" t="s">
        <v>100</v>
      </c>
      <c r="I58" s="7" t="s">
        <v>118</v>
      </c>
      <c r="J58" s="7" t="s">
        <v>56</v>
      </c>
      <c r="K58" s="7" t="s">
        <v>57</v>
      </c>
      <c r="L58" s="7">
        <v>160</v>
      </c>
      <c r="M58" s="7">
        <v>242.73</v>
      </c>
      <c r="N58" s="7" t="s">
        <v>84</v>
      </c>
      <c r="O58" s="7">
        <v>3</v>
      </c>
      <c r="P58" s="19">
        <v>44756</v>
      </c>
    </row>
    <row r="59" spans="1:16" ht="27" x14ac:dyDescent="0.25">
      <c r="A59" s="7" t="s">
        <v>55</v>
      </c>
      <c r="B59" s="7" t="s">
        <v>55</v>
      </c>
      <c r="C59" s="7" t="s">
        <v>46</v>
      </c>
      <c r="D59" s="7" t="s">
        <v>47</v>
      </c>
      <c r="E59" s="7" t="s">
        <v>48</v>
      </c>
      <c r="F59" s="7" t="s">
        <v>49</v>
      </c>
      <c r="G59" s="7" t="s">
        <v>1168</v>
      </c>
      <c r="H59" s="7" t="s">
        <v>50</v>
      </c>
      <c r="I59" s="7">
        <v>10029355760</v>
      </c>
      <c r="J59" s="7" t="s">
        <v>56</v>
      </c>
      <c r="K59" s="7" t="s">
        <v>57</v>
      </c>
      <c r="L59" s="7">
        <v>996</v>
      </c>
      <c r="M59" s="7">
        <v>1269.5999999999999</v>
      </c>
      <c r="N59" s="7" t="s">
        <v>58</v>
      </c>
      <c r="O59" s="7">
        <v>17</v>
      </c>
      <c r="P59" s="19">
        <v>43629</v>
      </c>
    </row>
    <row r="60" spans="1:16" ht="27" x14ac:dyDescent="0.25">
      <c r="A60" s="7" t="s">
        <v>161</v>
      </c>
      <c r="B60" s="7" t="s">
        <v>161</v>
      </c>
      <c r="C60" s="7" t="s">
        <v>46</v>
      </c>
      <c r="D60" s="7" t="s">
        <v>47</v>
      </c>
      <c r="E60" s="7" t="s">
        <v>48</v>
      </c>
      <c r="F60" s="7" t="s">
        <v>49</v>
      </c>
      <c r="G60" s="7" t="s">
        <v>1169</v>
      </c>
      <c r="H60" s="7" t="s">
        <v>50</v>
      </c>
      <c r="I60" s="7">
        <v>10035716108</v>
      </c>
      <c r="J60" s="7" t="s">
        <v>56</v>
      </c>
      <c r="K60" s="7" t="s">
        <v>57</v>
      </c>
      <c r="L60" s="7">
        <v>300</v>
      </c>
      <c r="M60" s="7">
        <v>421.2</v>
      </c>
      <c r="N60" s="7" t="s">
        <v>64</v>
      </c>
      <c r="O60" s="7">
        <v>4</v>
      </c>
      <c r="P60" s="19">
        <v>45002</v>
      </c>
    </row>
    <row r="61" spans="1:16" ht="27" x14ac:dyDescent="0.25">
      <c r="A61" s="7" t="s">
        <v>62</v>
      </c>
      <c r="B61" s="7" t="s">
        <v>62</v>
      </c>
      <c r="C61" s="7" t="s">
        <v>46</v>
      </c>
      <c r="D61" s="7" t="s">
        <v>47</v>
      </c>
      <c r="E61" s="7" t="s">
        <v>48</v>
      </c>
      <c r="F61" s="7" t="s">
        <v>63</v>
      </c>
      <c r="G61" s="7" t="s">
        <v>1170</v>
      </c>
      <c r="H61" s="7" t="s">
        <v>50</v>
      </c>
      <c r="I61" s="7">
        <v>10029848863</v>
      </c>
      <c r="J61" s="7" t="s">
        <v>56</v>
      </c>
      <c r="K61" s="7" t="s">
        <v>57</v>
      </c>
      <c r="L61" s="7">
        <v>75</v>
      </c>
      <c r="M61" s="7">
        <v>107.78</v>
      </c>
      <c r="N61" s="7" t="s">
        <v>64</v>
      </c>
      <c r="O61" s="7">
        <v>1</v>
      </c>
      <c r="P61" s="19">
        <v>43784</v>
      </c>
    </row>
    <row r="62" spans="1:16" ht="27" x14ac:dyDescent="0.25">
      <c r="A62" s="7" t="s">
        <v>68</v>
      </c>
      <c r="B62" s="7" t="s">
        <v>62</v>
      </c>
      <c r="C62" s="7" t="s">
        <v>46</v>
      </c>
      <c r="D62" s="7" t="s">
        <v>47</v>
      </c>
      <c r="E62" s="7" t="s">
        <v>48</v>
      </c>
      <c r="F62" s="7" t="s">
        <v>63</v>
      </c>
      <c r="G62" s="7" t="s">
        <v>1171</v>
      </c>
      <c r="H62" s="7" t="s">
        <v>50</v>
      </c>
      <c r="I62" s="7">
        <v>10029848855</v>
      </c>
      <c r="J62" s="7" t="s">
        <v>56</v>
      </c>
      <c r="K62" s="7" t="s">
        <v>57</v>
      </c>
      <c r="L62" s="7">
        <f>SUMIFS(Tabela3[Potência Nominal '[kW']],Tabela3[Usina],Tabela1[[#This Row],[Usinas]])</f>
        <v>340</v>
      </c>
      <c r="M62" s="7">
        <v>435</v>
      </c>
      <c r="N62" s="7" t="s">
        <v>1172</v>
      </c>
      <c r="O62" s="7">
        <v>6</v>
      </c>
      <c r="P62" s="19">
        <v>43784</v>
      </c>
    </row>
    <row r="63" spans="1:16" ht="27" x14ac:dyDescent="0.25">
      <c r="A63" s="7" t="s">
        <v>70</v>
      </c>
      <c r="B63" s="7" t="s">
        <v>62</v>
      </c>
      <c r="C63" s="7" t="s">
        <v>46</v>
      </c>
      <c r="D63" s="7" t="s">
        <v>47</v>
      </c>
      <c r="E63" s="7" t="s">
        <v>48</v>
      </c>
      <c r="F63" s="7" t="s">
        <v>63</v>
      </c>
      <c r="G63" s="7" t="s">
        <v>1173</v>
      </c>
      <c r="H63" s="7" t="s">
        <v>50</v>
      </c>
      <c r="I63" s="7">
        <v>10029848820</v>
      </c>
      <c r="J63" s="7" t="s">
        <v>56</v>
      </c>
      <c r="K63" s="7" t="s">
        <v>57</v>
      </c>
      <c r="L63" s="7">
        <v>600</v>
      </c>
      <c r="M63" s="7">
        <v>795</v>
      </c>
      <c r="N63" s="7" t="s">
        <v>71</v>
      </c>
      <c r="O63" s="7">
        <v>10</v>
      </c>
      <c r="P63" s="19">
        <v>43784</v>
      </c>
    </row>
    <row r="64" spans="1:16" ht="54" x14ac:dyDescent="0.25">
      <c r="A64" s="7" t="s">
        <v>146</v>
      </c>
      <c r="B64" s="7" t="s">
        <v>146</v>
      </c>
      <c r="C64" s="7" t="s">
        <v>46</v>
      </c>
      <c r="D64" s="7" t="s">
        <v>147</v>
      </c>
      <c r="E64" s="7" t="s">
        <v>148</v>
      </c>
      <c r="F64" s="7" t="s">
        <v>149</v>
      </c>
      <c r="G64" s="7" t="s">
        <v>1174</v>
      </c>
      <c r="H64" s="7" t="s">
        <v>150</v>
      </c>
      <c r="I64" s="7">
        <v>3014367788</v>
      </c>
      <c r="J64" s="7" t="s">
        <v>56</v>
      </c>
      <c r="K64" s="7" t="s">
        <v>78</v>
      </c>
      <c r="L64" s="7">
        <v>1000</v>
      </c>
      <c r="M64" s="7">
        <v>1312.2</v>
      </c>
      <c r="N64" s="7" t="s">
        <v>105</v>
      </c>
      <c r="O64" s="7">
        <v>17</v>
      </c>
      <c r="P64" s="19">
        <v>44883</v>
      </c>
    </row>
    <row r="65" spans="1:16" ht="54" x14ac:dyDescent="0.25">
      <c r="A65" s="7" t="s">
        <v>151</v>
      </c>
      <c r="B65" s="7" t="s">
        <v>146</v>
      </c>
      <c r="C65" s="7" t="s">
        <v>46</v>
      </c>
      <c r="D65" s="7" t="s">
        <v>147</v>
      </c>
      <c r="E65" s="7" t="s">
        <v>148</v>
      </c>
      <c r="F65" s="7" t="s">
        <v>149</v>
      </c>
      <c r="G65" s="7" t="s">
        <v>1175</v>
      </c>
      <c r="H65" s="7" t="s">
        <v>150</v>
      </c>
      <c r="I65" s="7">
        <v>3014367836</v>
      </c>
      <c r="J65" s="7" t="s">
        <v>56</v>
      </c>
      <c r="K65" s="7" t="s">
        <v>78</v>
      </c>
      <c r="L65" s="7">
        <v>1000</v>
      </c>
      <c r="M65" s="7">
        <v>1313.64</v>
      </c>
      <c r="N65" s="7" t="s">
        <v>105</v>
      </c>
      <c r="O65" s="7">
        <v>17</v>
      </c>
      <c r="P65" s="19">
        <v>44883</v>
      </c>
    </row>
    <row r="66" spans="1:16" ht="54" x14ac:dyDescent="0.25">
      <c r="A66" s="7" t="s">
        <v>153</v>
      </c>
      <c r="B66" s="7" t="s">
        <v>146</v>
      </c>
      <c r="C66" s="7" t="s">
        <v>46</v>
      </c>
      <c r="D66" s="7" t="s">
        <v>147</v>
      </c>
      <c r="E66" s="7" t="s">
        <v>148</v>
      </c>
      <c r="F66" s="7" t="s">
        <v>149</v>
      </c>
      <c r="G66" s="7" t="s">
        <v>1176</v>
      </c>
      <c r="H66" s="7" t="s">
        <v>150</v>
      </c>
      <c r="I66" s="7">
        <v>3014367837</v>
      </c>
      <c r="J66" s="7" t="s">
        <v>56</v>
      </c>
      <c r="K66" s="7" t="s">
        <v>78</v>
      </c>
      <c r="L66" s="7">
        <v>500</v>
      </c>
      <c r="M66" s="7">
        <v>656.1</v>
      </c>
      <c r="N66" s="7" t="s">
        <v>105</v>
      </c>
      <c r="O66" s="7">
        <v>9</v>
      </c>
      <c r="P66" s="19">
        <v>44883</v>
      </c>
    </row>
    <row r="67" spans="1:16" ht="27" x14ac:dyDescent="0.25">
      <c r="A67" s="35" t="s">
        <v>1011</v>
      </c>
      <c r="B67" s="7" t="s">
        <v>85</v>
      </c>
      <c r="C67" s="7" t="s">
        <v>46</v>
      </c>
      <c r="D67" s="7" t="s">
        <v>47</v>
      </c>
      <c r="E67" s="7" t="s">
        <v>73</v>
      </c>
      <c r="F67" s="7" t="s">
        <v>74</v>
      </c>
      <c r="G67" s="7"/>
      <c r="H67" s="7" t="s">
        <v>50</v>
      </c>
      <c r="I67" s="7">
        <v>10036981336</v>
      </c>
      <c r="J67" s="7" t="s">
        <v>56</v>
      </c>
      <c r="K67" s="7" t="s">
        <v>78</v>
      </c>
      <c r="L67" s="55">
        <v>200</v>
      </c>
      <c r="M67" s="55">
        <v>282.17</v>
      </c>
      <c r="N67" s="56" t="s">
        <v>215</v>
      </c>
      <c r="O67" s="7">
        <v>1</v>
      </c>
      <c r="P67" s="19"/>
    </row>
    <row r="68" spans="1:16" ht="27" x14ac:dyDescent="0.25">
      <c r="A68" s="35" t="s">
        <v>1013</v>
      </c>
      <c r="B68" s="7" t="s">
        <v>85</v>
      </c>
      <c r="C68" s="7" t="s">
        <v>46</v>
      </c>
      <c r="D68" s="7" t="s">
        <v>47</v>
      </c>
      <c r="E68" s="7" t="s">
        <v>73</v>
      </c>
      <c r="F68" s="7" t="s">
        <v>74</v>
      </c>
      <c r="G68" s="7"/>
      <c r="H68" s="7" t="s">
        <v>50</v>
      </c>
      <c r="I68" s="7">
        <v>10036981344</v>
      </c>
      <c r="J68" s="7" t="s">
        <v>56</v>
      </c>
      <c r="K68" s="7" t="s">
        <v>78</v>
      </c>
      <c r="L68" s="55">
        <v>200</v>
      </c>
      <c r="M68" s="55">
        <v>282.17</v>
      </c>
      <c r="N68" s="56" t="s">
        <v>215</v>
      </c>
      <c r="O68" s="7">
        <v>1</v>
      </c>
      <c r="P68" s="19"/>
    </row>
    <row r="69" spans="1:16" ht="27" x14ac:dyDescent="0.25">
      <c r="A69" s="35" t="s">
        <v>1015</v>
      </c>
      <c r="B69" s="7" t="s">
        <v>85</v>
      </c>
      <c r="C69" s="7" t="s">
        <v>46</v>
      </c>
      <c r="D69" s="7" t="s">
        <v>47</v>
      </c>
      <c r="E69" s="7" t="s">
        <v>73</v>
      </c>
      <c r="F69" s="7" t="s">
        <v>74</v>
      </c>
      <c r="G69" s="7"/>
      <c r="H69" s="7" t="s">
        <v>50</v>
      </c>
      <c r="I69" s="7">
        <v>10036981352</v>
      </c>
      <c r="J69" s="7" t="s">
        <v>56</v>
      </c>
      <c r="K69" s="7" t="s">
        <v>78</v>
      </c>
      <c r="L69" s="55">
        <v>200</v>
      </c>
      <c r="M69" s="55">
        <v>282.17</v>
      </c>
      <c r="N69" s="56" t="s">
        <v>215</v>
      </c>
      <c r="O69" s="7">
        <v>1</v>
      </c>
      <c r="P69" s="19"/>
    </row>
    <row r="70" spans="1:16" ht="27" x14ac:dyDescent="0.25">
      <c r="A70" s="35" t="s">
        <v>1017</v>
      </c>
      <c r="B70" s="7" t="s">
        <v>85</v>
      </c>
      <c r="C70" s="7" t="s">
        <v>46</v>
      </c>
      <c r="D70" s="7" t="s">
        <v>47</v>
      </c>
      <c r="E70" s="7" t="s">
        <v>73</v>
      </c>
      <c r="F70" s="7" t="s">
        <v>74</v>
      </c>
      <c r="G70" s="7"/>
      <c r="H70" s="7" t="s">
        <v>50</v>
      </c>
      <c r="I70" s="7">
        <v>10036981387</v>
      </c>
      <c r="J70" s="7" t="s">
        <v>56</v>
      </c>
      <c r="K70" s="7" t="s">
        <v>78</v>
      </c>
      <c r="L70" s="55">
        <v>200</v>
      </c>
      <c r="M70" s="55">
        <v>282.17</v>
      </c>
      <c r="N70" s="56" t="s">
        <v>215</v>
      </c>
      <c r="O70" s="7">
        <v>1</v>
      </c>
      <c r="P70" s="19"/>
    </row>
    <row r="71" spans="1:16" ht="27" x14ac:dyDescent="0.25">
      <c r="A71" s="35" t="s">
        <v>1019</v>
      </c>
      <c r="B71" s="7" t="s">
        <v>85</v>
      </c>
      <c r="C71" s="7" t="s">
        <v>46</v>
      </c>
      <c r="D71" s="7" t="s">
        <v>47</v>
      </c>
      <c r="E71" s="7" t="s">
        <v>73</v>
      </c>
      <c r="F71" s="7" t="s">
        <v>74</v>
      </c>
      <c r="G71" s="7"/>
      <c r="H71" s="7" t="s">
        <v>50</v>
      </c>
      <c r="I71" s="7">
        <v>10036981573</v>
      </c>
      <c r="J71" s="7" t="s">
        <v>56</v>
      </c>
      <c r="K71" s="7" t="s">
        <v>78</v>
      </c>
      <c r="L71" s="55">
        <v>200</v>
      </c>
      <c r="M71" s="55">
        <v>282.17</v>
      </c>
      <c r="N71" s="56" t="s">
        <v>215</v>
      </c>
      <c r="O71" s="7">
        <v>1</v>
      </c>
      <c r="P71" s="19"/>
    </row>
    <row r="72" spans="1:16" ht="40.5" x14ac:dyDescent="0.25">
      <c r="A72" s="35" t="s">
        <v>1021</v>
      </c>
      <c r="B72" s="7" t="s">
        <v>232</v>
      </c>
      <c r="C72" s="7" t="s">
        <v>46</v>
      </c>
      <c r="D72" s="7" t="s">
        <v>47</v>
      </c>
      <c r="E72" s="7" t="s">
        <v>233</v>
      </c>
      <c r="F72" s="7" t="s">
        <v>234</v>
      </c>
      <c r="G72" s="7"/>
      <c r="H72" s="7" t="s">
        <v>50</v>
      </c>
      <c r="I72" s="7">
        <v>10036748080</v>
      </c>
      <c r="J72" s="7" t="s">
        <v>56</v>
      </c>
      <c r="K72" s="7" t="s">
        <v>78</v>
      </c>
      <c r="L72" s="55">
        <v>1000</v>
      </c>
      <c r="M72" s="55">
        <v>1451.16</v>
      </c>
      <c r="N72" s="56" t="s">
        <v>215</v>
      </c>
      <c r="O72" s="7">
        <v>4</v>
      </c>
      <c r="P72" s="19"/>
    </row>
    <row r="73" spans="1:16" ht="40.5" x14ac:dyDescent="0.25">
      <c r="A73" s="35" t="s">
        <v>1026</v>
      </c>
      <c r="B73" s="7" t="s">
        <v>232</v>
      </c>
      <c r="C73" s="7" t="s">
        <v>46</v>
      </c>
      <c r="D73" s="7" t="s">
        <v>47</v>
      </c>
      <c r="E73" s="7" t="s">
        <v>233</v>
      </c>
      <c r="F73" s="7" t="s">
        <v>237</v>
      </c>
      <c r="G73" s="7"/>
      <c r="H73" s="7" t="s">
        <v>50</v>
      </c>
      <c r="I73" s="7">
        <v>10036748090</v>
      </c>
      <c r="J73" s="7" t="s">
        <v>56</v>
      </c>
      <c r="K73" s="7" t="s">
        <v>78</v>
      </c>
      <c r="L73" s="55">
        <v>1000</v>
      </c>
      <c r="M73" s="55">
        <v>1451.16</v>
      </c>
      <c r="N73" s="56" t="s">
        <v>215</v>
      </c>
      <c r="O73" s="7">
        <v>4</v>
      </c>
      <c r="P73" s="19"/>
    </row>
    <row r="74" spans="1:16" ht="40.5" x14ac:dyDescent="0.25">
      <c r="A74" s="35" t="s">
        <v>1031</v>
      </c>
      <c r="B74" s="57" t="s">
        <v>232</v>
      </c>
      <c r="C74" s="57" t="s">
        <v>46</v>
      </c>
      <c r="D74" s="57" t="s">
        <v>47</v>
      </c>
      <c r="E74" s="57" t="s">
        <v>233</v>
      </c>
      <c r="F74" s="57" t="s">
        <v>239</v>
      </c>
      <c r="G74" s="57"/>
      <c r="H74" s="57" t="s">
        <v>50</v>
      </c>
      <c r="I74" s="57">
        <v>10036748130</v>
      </c>
      <c r="J74" s="57" t="s">
        <v>56</v>
      </c>
      <c r="K74" s="57" t="s">
        <v>78</v>
      </c>
      <c r="L74" s="58">
        <v>500</v>
      </c>
      <c r="M74" s="58">
        <v>725.58</v>
      </c>
      <c r="N74" s="59" t="s">
        <v>215</v>
      </c>
      <c r="O74" s="57">
        <v>2</v>
      </c>
      <c r="P74" s="60"/>
    </row>
    <row r="75" spans="1:16" ht="40.5" x14ac:dyDescent="0.25">
      <c r="A75" s="35" t="s">
        <v>1034</v>
      </c>
      <c r="B75" s="7" t="s">
        <v>236</v>
      </c>
      <c r="C75" s="7" t="s">
        <v>46</v>
      </c>
      <c r="D75" s="7" t="s">
        <v>47</v>
      </c>
      <c r="E75" s="7" t="s">
        <v>233</v>
      </c>
      <c r="F75" s="7" t="s">
        <v>241</v>
      </c>
      <c r="G75" s="7"/>
      <c r="H75" s="7" t="s">
        <v>50</v>
      </c>
      <c r="I75" s="7">
        <v>10036750940</v>
      </c>
      <c r="J75" s="7" t="s">
        <v>56</v>
      </c>
      <c r="K75" s="7" t="s">
        <v>78</v>
      </c>
      <c r="L75" s="55">
        <v>1000</v>
      </c>
      <c r="M75" s="55">
        <v>1451.16</v>
      </c>
      <c r="N75" s="56" t="s">
        <v>215</v>
      </c>
      <c r="O75" s="7">
        <v>4</v>
      </c>
      <c r="P75" s="19"/>
    </row>
    <row r="76" spans="1:16" ht="40.5" x14ac:dyDescent="0.25">
      <c r="A76" s="35" t="s">
        <v>1039</v>
      </c>
      <c r="B76" s="7" t="s">
        <v>236</v>
      </c>
      <c r="C76" s="7" t="s">
        <v>46</v>
      </c>
      <c r="D76" s="7" t="s">
        <v>47</v>
      </c>
      <c r="E76" s="7" t="s">
        <v>233</v>
      </c>
      <c r="F76" s="7" t="s">
        <v>243</v>
      </c>
      <c r="G76" s="7"/>
      <c r="H76" s="7" t="s">
        <v>50</v>
      </c>
      <c r="I76" s="7">
        <v>10036750980</v>
      </c>
      <c r="J76" s="7" t="s">
        <v>56</v>
      </c>
      <c r="K76" s="7" t="s">
        <v>78</v>
      </c>
      <c r="L76" s="55">
        <v>1000</v>
      </c>
      <c r="M76" s="55">
        <v>1451.16</v>
      </c>
      <c r="N76" s="56" t="s">
        <v>215</v>
      </c>
      <c r="O76" s="7">
        <v>4</v>
      </c>
      <c r="P76" s="19"/>
    </row>
    <row r="77" spans="1:16" ht="40.5" x14ac:dyDescent="0.25">
      <c r="A77" s="35" t="s">
        <v>1044</v>
      </c>
      <c r="B77" s="7" t="s">
        <v>236</v>
      </c>
      <c r="C77" s="7" t="s">
        <v>46</v>
      </c>
      <c r="D77" s="7" t="s">
        <v>47</v>
      </c>
      <c r="E77" s="7" t="s">
        <v>233</v>
      </c>
      <c r="F77" s="7" t="s">
        <v>245</v>
      </c>
      <c r="G77" s="7"/>
      <c r="H77" s="7" t="s">
        <v>50</v>
      </c>
      <c r="I77" s="7">
        <v>10036751030</v>
      </c>
      <c r="J77" s="7" t="s">
        <v>56</v>
      </c>
      <c r="K77" s="7" t="s">
        <v>78</v>
      </c>
      <c r="L77" s="55">
        <v>500</v>
      </c>
      <c r="M77" s="55">
        <v>725.58</v>
      </c>
      <c r="N77" s="56" t="s">
        <v>215</v>
      </c>
      <c r="O77" s="7">
        <v>2</v>
      </c>
      <c r="P77" s="19"/>
    </row>
    <row r="78" spans="1:16" ht="40.5" x14ac:dyDescent="0.25">
      <c r="A78" s="4" t="s">
        <v>978</v>
      </c>
      <c r="B78" s="7" t="s">
        <v>272</v>
      </c>
      <c r="C78" s="7" t="s">
        <v>46</v>
      </c>
      <c r="D78" s="7" t="s">
        <v>47</v>
      </c>
      <c r="E78" s="7" t="s">
        <v>273</v>
      </c>
      <c r="F78" s="7" t="s">
        <v>274</v>
      </c>
      <c r="G78" s="7"/>
      <c r="H78" s="7" t="s">
        <v>50</v>
      </c>
      <c r="I78" s="7">
        <v>10036976782</v>
      </c>
      <c r="J78" s="7" t="s">
        <v>56</v>
      </c>
      <c r="K78" s="7" t="s">
        <v>78</v>
      </c>
      <c r="L78" s="55">
        <v>1000</v>
      </c>
      <c r="M78" s="55">
        <v>1451.16</v>
      </c>
      <c r="N78" s="56" t="s">
        <v>215</v>
      </c>
      <c r="O78" s="7">
        <v>4</v>
      </c>
      <c r="P78" s="19"/>
    </row>
    <row r="79" spans="1:16" ht="40.5" x14ac:dyDescent="0.25">
      <c r="A79" s="4" t="s">
        <v>984</v>
      </c>
      <c r="B79" s="7" t="s">
        <v>272</v>
      </c>
      <c r="C79" s="7" t="s">
        <v>46</v>
      </c>
      <c r="D79" s="7" t="s">
        <v>47</v>
      </c>
      <c r="E79" s="7" t="s">
        <v>273</v>
      </c>
      <c r="F79" s="7" t="s">
        <v>277</v>
      </c>
      <c r="G79" s="7"/>
      <c r="H79" s="7" t="s">
        <v>50</v>
      </c>
      <c r="I79" s="7">
        <v>10036976790</v>
      </c>
      <c r="J79" s="7" t="s">
        <v>56</v>
      </c>
      <c r="K79" s="7" t="s">
        <v>78</v>
      </c>
      <c r="L79" s="55">
        <v>1000</v>
      </c>
      <c r="M79" s="55">
        <v>1451.16</v>
      </c>
      <c r="N79" s="56" t="s">
        <v>215</v>
      </c>
      <c r="O79" s="7">
        <v>4</v>
      </c>
      <c r="P79" s="19"/>
    </row>
    <row r="80" spans="1:16" ht="40.5" x14ac:dyDescent="0.25">
      <c r="A80" s="4" t="s">
        <v>989</v>
      </c>
      <c r="B80" s="7" t="s">
        <v>272</v>
      </c>
      <c r="C80" s="7" t="s">
        <v>46</v>
      </c>
      <c r="D80" s="7" t="s">
        <v>47</v>
      </c>
      <c r="E80" s="7" t="s">
        <v>273</v>
      </c>
      <c r="F80" s="7" t="s">
        <v>279</v>
      </c>
      <c r="G80" s="7"/>
      <c r="H80" s="7" t="s">
        <v>50</v>
      </c>
      <c r="I80" s="7">
        <v>10036976804</v>
      </c>
      <c r="J80" s="7" t="s">
        <v>56</v>
      </c>
      <c r="K80" s="7" t="s">
        <v>78</v>
      </c>
      <c r="L80" s="55">
        <v>1000</v>
      </c>
      <c r="M80" s="55">
        <v>1451.16</v>
      </c>
      <c r="N80" s="56" t="s">
        <v>215</v>
      </c>
      <c r="O80" s="7">
        <v>4</v>
      </c>
      <c r="P80" s="19"/>
    </row>
    <row r="81" spans="1:16" ht="40.5" x14ac:dyDescent="0.25">
      <c r="A81" s="4" t="s">
        <v>994</v>
      </c>
      <c r="B81" s="7" t="s">
        <v>272</v>
      </c>
      <c r="C81" s="7" t="s">
        <v>46</v>
      </c>
      <c r="D81" s="7" t="s">
        <v>47</v>
      </c>
      <c r="E81" s="7" t="s">
        <v>273</v>
      </c>
      <c r="F81" s="7" t="s">
        <v>281</v>
      </c>
      <c r="G81" s="7"/>
      <c r="H81" s="7" t="s">
        <v>50</v>
      </c>
      <c r="I81" s="7">
        <v>10036976812</v>
      </c>
      <c r="J81" s="7" t="s">
        <v>56</v>
      </c>
      <c r="K81" s="7" t="s">
        <v>78</v>
      </c>
      <c r="L81" s="55">
        <v>1000</v>
      </c>
      <c r="M81" s="55">
        <v>1451.16</v>
      </c>
      <c r="N81" s="56" t="s">
        <v>215</v>
      </c>
      <c r="O81" s="7">
        <v>4</v>
      </c>
      <c r="P81" s="19"/>
    </row>
    <row r="82" spans="1:16" ht="40.5" x14ac:dyDescent="0.25">
      <c r="A82" s="4" t="s">
        <v>999</v>
      </c>
      <c r="B82" s="7" t="s">
        <v>272</v>
      </c>
      <c r="C82" s="7" t="s">
        <v>46</v>
      </c>
      <c r="D82" s="7" t="s">
        <v>47</v>
      </c>
      <c r="E82" s="7" t="s">
        <v>273</v>
      </c>
      <c r="F82" s="7" t="s">
        <v>283</v>
      </c>
      <c r="G82" s="7"/>
      <c r="H82" s="7" t="s">
        <v>50</v>
      </c>
      <c r="I82" s="7">
        <v>10036976839</v>
      </c>
      <c r="J82" s="7" t="s">
        <v>56</v>
      </c>
      <c r="K82" s="7" t="s">
        <v>78</v>
      </c>
      <c r="L82" s="55">
        <v>1000</v>
      </c>
      <c r="M82" s="55">
        <v>1451.16</v>
      </c>
      <c r="N82" s="56" t="s">
        <v>215</v>
      </c>
      <c r="O82" s="7">
        <v>4</v>
      </c>
      <c r="P82" s="19"/>
    </row>
    <row r="83" spans="1:16" ht="54" x14ac:dyDescent="0.25">
      <c r="A83" s="4" t="s">
        <v>1006</v>
      </c>
      <c r="B83" s="7" t="s">
        <v>290</v>
      </c>
      <c r="C83" s="7" t="s">
        <v>46</v>
      </c>
      <c r="D83" s="7" t="s">
        <v>291</v>
      </c>
      <c r="E83" s="7" t="s">
        <v>292</v>
      </c>
      <c r="F83" s="7" t="s">
        <v>293</v>
      </c>
      <c r="G83" s="7"/>
      <c r="H83" s="7" t="s">
        <v>294</v>
      </c>
      <c r="I83" s="7">
        <v>4003703994</v>
      </c>
      <c r="J83" s="7" t="s">
        <v>56</v>
      </c>
      <c r="K83" s="7" t="s">
        <v>78</v>
      </c>
      <c r="L83" s="55">
        <v>1000</v>
      </c>
      <c r="M83" s="55">
        <v>1451.16</v>
      </c>
      <c r="N83" s="56" t="s">
        <v>215</v>
      </c>
      <c r="O83" s="7">
        <v>4</v>
      </c>
      <c r="P83" s="19"/>
    </row>
    <row r="84" spans="1:16" ht="27" x14ac:dyDescent="0.25">
      <c r="A84" s="35" t="s">
        <v>1048</v>
      </c>
      <c r="B84" s="7" t="s">
        <v>295</v>
      </c>
      <c r="C84" s="7" t="s">
        <v>46</v>
      </c>
      <c r="D84" s="7" t="s">
        <v>296</v>
      </c>
      <c r="E84" s="7" t="s">
        <v>297</v>
      </c>
      <c r="F84" s="7" t="s">
        <v>298</v>
      </c>
      <c r="G84" s="7"/>
      <c r="H84" s="7" t="s">
        <v>299</v>
      </c>
      <c r="I84" s="7">
        <v>834669283</v>
      </c>
      <c r="J84" s="7" t="s">
        <v>56</v>
      </c>
      <c r="K84" s="7" t="s">
        <v>78</v>
      </c>
      <c r="L84" s="55">
        <v>1000</v>
      </c>
      <c r="M84" s="55">
        <v>1451.16</v>
      </c>
      <c r="N84" s="56" t="s">
        <v>215</v>
      </c>
      <c r="O84" s="7">
        <v>4</v>
      </c>
      <c r="P84" s="19"/>
    </row>
    <row r="85" spans="1:16" ht="27" x14ac:dyDescent="0.25">
      <c r="A85" s="35" t="s">
        <v>1053</v>
      </c>
      <c r="B85" s="7" t="s">
        <v>295</v>
      </c>
      <c r="C85" s="7" t="s">
        <v>46</v>
      </c>
      <c r="D85" s="7" t="s">
        <v>296</v>
      </c>
      <c r="E85" s="7" t="s">
        <v>297</v>
      </c>
      <c r="F85" s="7" t="s">
        <v>298</v>
      </c>
      <c r="G85" s="7"/>
      <c r="H85" s="7" t="s">
        <v>299</v>
      </c>
      <c r="I85" s="7">
        <v>834669341</v>
      </c>
      <c r="J85" s="7" t="s">
        <v>56</v>
      </c>
      <c r="K85" s="7" t="s">
        <v>78</v>
      </c>
      <c r="L85" s="55">
        <v>1000</v>
      </c>
      <c r="M85" s="55">
        <v>1451.16</v>
      </c>
      <c r="N85" s="56" t="s">
        <v>215</v>
      </c>
      <c r="O85" s="7">
        <v>4</v>
      </c>
      <c r="P85" s="19"/>
    </row>
    <row r="86" spans="1:16" ht="27" x14ac:dyDescent="0.25">
      <c r="A86" s="35" t="s">
        <v>1058</v>
      </c>
      <c r="B86" s="7" t="s">
        <v>295</v>
      </c>
      <c r="C86" s="7" t="s">
        <v>46</v>
      </c>
      <c r="D86" s="7" t="s">
        <v>296</v>
      </c>
      <c r="E86" s="7" t="s">
        <v>297</v>
      </c>
      <c r="F86" s="7" t="s">
        <v>298</v>
      </c>
      <c r="G86" s="7"/>
      <c r="H86" s="7" t="s">
        <v>299</v>
      </c>
      <c r="I86" s="7">
        <v>834669366</v>
      </c>
      <c r="J86" s="7" t="s">
        <v>56</v>
      </c>
      <c r="K86" s="7" t="s">
        <v>78</v>
      </c>
      <c r="L86" s="55">
        <v>500</v>
      </c>
      <c r="M86" s="55">
        <v>725.58</v>
      </c>
      <c r="N86" s="56" t="s">
        <v>215</v>
      </c>
      <c r="O86" s="7">
        <v>2</v>
      </c>
      <c r="P86" s="19"/>
    </row>
    <row r="87" spans="1:16" ht="27" x14ac:dyDescent="0.25">
      <c r="A87" s="35" t="s">
        <v>1062</v>
      </c>
      <c r="B87" s="7" t="s">
        <v>300</v>
      </c>
      <c r="C87" s="7" t="s">
        <v>46</v>
      </c>
      <c r="D87" s="7" t="s">
        <v>296</v>
      </c>
      <c r="E87" s="7" t="s">
        <v>297</v>
      </c>
      <c r="F87" s="7" t="s">
        <v>298</v>
      </c>
      <c r="G87" s="7"/>
      <c r="H87" s="7" t="s">
        <v>299</v>
      </c>
      <c r="I87" s="7">
        <v>834669374</v>
      </c>
      <c r="J87" s="7" t="s">
        <v>56</v>
      </c>
      <c r="K87" s="7" t="s">
        <v>78</v>
      </c>
      <c r="L87" s="55">
        <v>1000</v>
      </c>
      <c r="M87" s="55">
        <v>1451.16</v>
      </c>
      <c r="N87" s="56" t="s">
        <v>215</v>
      </c>
      <c r="O87" s="7">
        <v>4</v>
      </c>
      <c r="P87" s="19"/>
    </row>
    <row r="88" spans="1:16" ht="27" x14ac:dyDescent="0.25">
      <c r="A88" s="35" t="s">
        <v>1067</v>
      </c>
      <c r="B88" s="7" t="s">
        <v>300</v>
      </c>
      <c r="C88" s="7" t="s">
        <v>46</v>
      </c>
      <c r="D88" s="7" t="s">
        <v>296</v>
      </c>
      <c r="E88" s="7" t="s">
        <v>297</v>
      </c>
      <c r="F88" s="7" t="s">
        <v>298</v>
      </c>
      <c r="G88" s="7"/>
      <c r="H88" s="7" t="s">
        <v>299</v>
      </c>
      <c r="I88" s="7">
        <v>834669390</v>
      </c>
      <c r="J88" s="7" t="s">
        <v>56</v>
      </c>
      <c r="K88" s="7" t="s">
        <v>78</v>
      </c>
      <c r="L88" s="55">
        <v>1000</v>
      </c>
      <c r="M88" s="55">
        <v>1451.16</v>
      </c>
      <c r="N88" s="56" t="s">
        <v>215</v>
      </c>
      <c r="O88" s="7">
        <v>4</v>
      </c>
      <c r="P88" s="19"/>
    </row>
    <row r="89" spans="1:16" ht="27" x14ac:dyDescent="0.25">
      <c r="A89" s="35" t="s">
        <v>1072</v>
      </c>
      <c r="B89" s="7" t="s">
        <v>300</v>
      </c>
      <c r="C89" s="7" t="s">
        <v>46</v>
      </c>
      <c r="D89" s="7" t="s">
        <v>296</v>
      </c>
      <c r="E89" s="7" t="s">
        <v>297</v>
      </c>
      <c r="F89" s="7" t="s">
        <v>298</v>
      </c>
      <c r="G89" s="7"/>
      <c r="H89" s="7" t="s">
        <v>299</v>
      </c>
      <c r="I89" s="7">
        <v>834669424</v>
      </c>
      <c r="J89" s="7" t="s">
        <v>56</v>
      </c>
      <c r="K89" s="7" t="s">
        <v>78</v>
      </c>
      <c r="L89" s="55">
        <v>500</v>
      </c>
      <c r="M89" s="55">
        <v>725.58</v>
      </c>
      <c r="N89" s="56" t="s">
        <v>215</v>
      </c>
      <c r="O89" s="7">
        <v>2</v>
      </c>
      <c r="P89" s="19"/>
    </row>
    <row r="90" spans="1:16" ht="27" x14ac:dyDescent="0.25">
      <c r="A90" s="39" t="s">
        <v>1075</v>
      </c>
      <c r="B90" s="7" t="s">
        <v>305</v>
      </c>
      <c r="C90" s="7" t="s">
        <v>46</v>
      </c>
      <c r="D90" s="7" t="s">
        <v>291</v>
      </c>
      <c r="E90" s="7" t="s">
        <v>306</v>
      </c>
      <c r="F90" s="7" t="s">
        <v>307</v>
      </c>
      <c r="G90" s="7"/>
      <c r="H90" s="7" t="s">
        <v>294</v>
      </c>
      <c r="I90" s="7">
        <v>4003840967</v>
      </c>
      <c r="J90" s="7" t="s">
        <v>56</v>
      </c>
      <c r="K90" s="7" t="s">
        <v>78</v>
      </c>
      <c r="L90" s="55">
        <v>1000</v>
      </c>
      <c r="M90" s="55">
        <v>1451.16</v>
      </c>
      <c r="N90" s="56" t="s">
        <v>215</v>
      </c>
      <c r="O90" s="7">
        <v>0</v>
      </c>
      <c r="P90" s="19"/>
    </row>
    <row r="91" spans="1:16" ht="27" x14ac:dyDescent="0.25">
      <c r="A91" s="39" t="s">
        <v>1081</v>
      </c>
      <c r="B91" s="57" t="s">
        <v>305</v>
      </c>
      <c r="C91" s="57" t="s">
        <v>46</v>
      </c>
      <c r="D91" s="57" t="s">
        <v>291</v>
      </c>
      <c r="E91" s="57" t="s">
        <v>306</v>
      </c>
      <c r="F91" s="57" t="s">
        <v>307</v>
      </c>
      <c r="G91" s="57"/>
      <c r="H91" s="57" t="s">
        <v>294</v>
      </c>
      <c r="I91" s="57">
        <v>4003887456</v>
      </c>
      <c r="J91" s="57" t="s">
        <v>56</v>
      </c>
      <c r="K91" s="57" t="s">
        <v>78</v>
      </c>
      <c r="L91" s="58">
        <v>1000</v>
      </c>
      <c r="M91" s="58">
        <v>1451.16</v>
      </c>
      <c r="N91" s="59" t="s">
        <v>215</v>
      </c>
      <c r="O91" s="57">
        <v>0</v>
      </c>
      <c r="P91" s="60"/>
    </row>
    <row r="92" spans="1:16" x14ac:dyDescent="0.25"/>
    <row r="93" spans="1:16" x14ac:dyDescent="0.25"/>
    <row r="94" spans="1:16" x14ac:dyDescent="0.25"/>
    <row r="95" spans="1:16" x14ac:dyDescent="0.25"/>
    <row r="96" spans="1:1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</sheetData>
  <phoneticPr fontId="5" type="noConversion"/>
  <dataValidations count="6">
    <dataValidation type="list" allowBlank="1" showInputMessage="1" showErrorMessage="1" sqref="K2:K91" xr:uid="{E417CAC3-5D47-403E-886F-5EA90ED75036}">
      <formula1>"FIXA,TRACKER,HIDRÁULICA"</formula1>
    </dataValidation>
    <dataValidation type="list" allowBlank="1" showInputMessage="1" showErrorMessage="1" sqref="D2:D91" xr:uid="{F778ACA8-833D-456B-B0D6-BA5202FAF0C2}">
      <formula1>ESTADOS_ÁREA</formula1>
    </dataValidation>
    <dataValidation type="list" allowBlank="1" showInputMessage="1" showErrorMessage="1" sqref="H2:H91" xr:uid="{71B81673-8C1C-460F-9438-20074FFF932E}">
      <formula1>concessionaria</formula1>
    </dataValidation>
    <dataValidation type="list" allowBlank="1" showInputMessage="1" showErrorMessage="1" sqref="C2:C91" xr:uid="{AB1D9EBE-48C6-4C92-99EC-5E63CA25867B}">
      <formula1>SITUACAO_USINA</formula1>
    </dataValidation>
    <dataValidation type="list" allowBlank="1" showInputMessage="1" showErrorMessage="1" sqref="J2:J91" xr:uid="{E71AF501-4600-44C3-B098-F6AE480A89E0}">
      <formula1>"UFV,CGH"</formula1>
    </dataValidation>
    <dataValidation type="decimal" operator="greaterThan" allowBlank="1" showInputMessage="1" showErrorMessage="1" sqref="L2:M91" xr:uid="{17DE9BD9-4D83-4C40-A8AE-10FDB3E9A20D}">
      <formula1>0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2034E-95DC-49D7-A883-11F534899BFA}">
  <sheetPr codeName="Planilha5"/>
  <dimension ref="A1:K104"/>
  <sheetViews>
    <sheetView topLeftCell="A49" workbookViewId="0">
      <selection activeCell="A79" sqref="A79:K83"/>
    </sheetView>
  </sheetViews>
  <sheetFormatPr defaultRowHeight="15" x14ac:dyDescent="0.25"/>
  <cols>
    <col min="1" max="11" width="30.85546875" customWidth="1"/>
  </cols>
  <sheetData>
    <row r="1" spans="1:11" x14ac:dyDescent="0.25">
      <c r="A1" s="10" t="s">
        <v>1177</v>
      </c>
      <c r="B1" s="10" t="s">
        <v>1178</v>
      </c>
      <c r="C1" s="10" t="s">
        <v>1179</v>
      </c>
      <c r="D1" s="10" t="s">
        <v>1180</v>
      </c>
      <c r="E1" s="10" t="s">
        <v>1181</v>
      </c>
      <c r="F1" s="10" t="s">
        <v>1182</v>
      </c>
      <c r="G1" s="10" t="s">
        <v>1183</v>
      </c>
      <c r="H1" s="10" t="s">
        <v>1184</v>
      </c>
      <c r="I1" s="10" t="s">
        <v>1185</v>
      </c>
      <c r="J1" s="10" t="s">
        <v>375</v>
      </c>
      <c r="K1" s="10" t="s">
        <v>1186</v>
      </c>
    </row>
    <row r="2" spans="1:11" x14ac:dyDescent="0.25">
      <c r="A2" s="11" t="s">
        <v>1187</v>
      </c>
      <c r="B2" s="11" t="s">
        <v>842</v>
      </c>
      <c r="C2" s="11" t="s">
        <v>1188</v>
      </c>
      <c r="D2" s="11" t="s">
        <v>313</v>
      </c>
      <c r="E2" s="11" t="s">
        <v>1189</v>
      </c>
      <c r="F2" s="11" t="s">
        <v>843</v>
      </c>
      <c r="G2" s="11" t="s">
        <v>1190</v>
      </c>
      <c r="H2" s="11" t="s">
        <v>1191</v>
      </c>
      <c r="I2" s="11" t="s">
        <v>1191</v>
      </c>
      <c r="J2" s="11" t="s">
        <v>812</v>
      </c>
      <c r="K2" s="11" t="s">
        <v>1192</v>
      </c>
    </row>
    <row r="3" spans="1:11" x14ac:dyDescent="0.25">
      <c r="A3" s="11" t="s">
        <v>1187</v>
      </c>
      <c r="B3" s="11" t="s">
        <v>838</v>
      </c>
      <c r="C3" s="11" t="s">
        <v>1188</v>
      </c>
      <c r="D3" s="11" t="s">
        <v>313</v>
      </c>
      <c r="E3" s="11" t="s">
        <v>1193</v>
      </c>
      <c r="F3" s="11" t="s">
        <v>839</v>
      </c>
      <c r="G3" s="11" t="s">
        <v>1190</v>
      </c>
      <c r="H3" s="11" t="s">
        <v>1191</v>
      </c>
      <c r="I3" s="11" t="s">
        <v>1191</v>
      </c>
      <c r="J3" s="11" t="s">
        <v>799</v>
      </c>
      <c r="K3" s="11" t="s">
        <v>1194</v>
      </c>
    </row>
    <row r="4" spans="1:11" x14ac:dyDescent="0.25">
      <c r="A4" s="11" t="s">
        <v>1187</v>
      </c>
      <c r="B4" s="11" t="s">
        <v>840</v>
      </c>
      <c r="C4" s="11" t="s">
        <v>1188</v>
      </c>
      <c r="D4" s="11" t="s">
        <v>313</v>
      </c>
      <c r="E4" s="11" t="s">
        <v>1193</v>
      </c>
      <c r="F4" s="11" t="s">
        <v>841</v>
      </c>
      <c r="G4" s="11" t="s">
        <v>1190</v>
      </c>
      <c r="H4" s="11" t="s">
        <v>1191</v>
      </c>
      <c r="I4" s="11" t="s">
        <v>1191</v>
      </c>
      <c r="J4" s="11" t="s">
        <v>799</v>
      </c>
      <c r="K4" s="11" t="s">
        <v>1195</v>
      </c>
    </row>
    <row r="5" spans="1:11" x14ac:dyDescent="0.25">
      <c r="A5" s="11" t="s">
        <v>1187</v>
      </c>
      <c r="B5" s="11" t="s">
        <v>824</v>
      </c>
      <c r="C5" s="11" t="s">
        <v>1196</v>
      </c>
      <c r="D5" s="11" t="s">
        <v>313</v>
      </c>
      <c r="E5" s="11" t="s">
        <v>1193</v>
      </c>
      <c r="F5" s="11" t="s">
        <v>825</v>
      </c>
      <c r="G5" s="11" t="s">
        <v>1190</v>
      </c>
      <c r="H5" s="11" t="s">
        <v>1197</v>
      </c>
      <c r="I5" s="11" t="s">
        <v>1197</v>
      </c>
      <c r="J5" s="11" t="s">
        <v>799</v>
      </c>
      <c r="K5" s="11" t="s">
        <v>1198</v>
      </c>
    </row>
    <row r="6" spans="1:11" x14ac:dyDescent="0.25">
      <c r="A6" s="11" t="s">
        <v>1187</v>
      </c>
      <c r="B6" s="11" t="s">
        <v>822</v>
      </c>
      <c r="C6" s="11" t="s">
        <v>1196</v>
      </c>
      <c r="D6" s="11" t="s">
        <v>313</v>
      </c>
      <c r="E6" s="11" t="s">
        <v>1193</v>
      </c>
      <c r="F6" s="11" t="s">
        <v>823</v>
      </c>
      <c r="G6" s="11" t="s">
        <v>1190</v>
      </c>
      <c r="H6" s="11" t="s">
        <v>1197</v>
      </c>
      <c r="I6" s="11" t="s">
        <v>1197</v>
      </c>
      <c r="J6" s="11" t="s">
        <v>799</v>
      </c>
      <c r="K6" s="11" t="s">
        <v>1199</v>
      </c>
    </row>
    <row r="7" spans="1:11" x14ac:dyDescent="0.25">
      <c r="A7" s="11" t="s">
        <v>1187</v>
      </c>
      <c r="B7" s="11" t="s">
        <v>818</v>
      </c>
      <c r="C7" s="11" t="s">
        <v>1196</v>
      </c>
      <c r="D7" s="11" t="s">
        <v>313</v>
      </c>
      <c r="E7" s="11" t="s">
        <v>1200</v>
      </c>
      <c r="F7" s="11" t="s">
        <v>819</v>
      </c>
      <c r="G7" s="11" t="s">
        <v>1190</v>
      </c>
      <c r="H7" s="11" t="s">
        <v>1197</v>
      </c>
      <c r="I7" s="11" t="s">
        <v>1197</v>
      </c>
      <c r="J7" s="11" t="s">
        <v>799</v>
      </c>
      <c r="K7" s="11" t="s">
        <v>1201</v>
      </c>
    </row>
    <row r="8" spans="1:11" x14ac:dyDescent="0.25">
      <c r="A8" s="11" t="s">
        <v>1187</v>
      </c>
      <c r="B8" s="11" t="s">
        <v>816</v>
      </c>
      <c r="C8" s="11" t="s">
        <v>1196</v>
      </c>
      <c r="D8" s="11" t="s">
        <v>313</v>
      </c>
      <c r="E8" s="11" t="s">
        <v>1193</v>
      </c>
      <c r="F8" s="11" t="s">
        <v>817</v>
      </c>
      <c r="G8" s="11" t="s">
        <v>1190</v>
      </c>
      <c r="H8" s="11" t="s">
        <v>1197</v>
      </c>
      <c r="I8" s="11" t="s">
        <v>1197</v>
      </c>
      <c r="J8" s="11" t="s">
        <v>799</v>
      </c>
      <c r="K8" s="11" t="s">
        <v>1202</v>
      </c>
    </row>
    <row r="9" spans="1:11" x14ac:dyDescent="0.25">
      <c r="A9" s="11" t="s">
        <v>1187</v>
      </c>
      <c r="B9" s="11" t="s">
        <v>820</v>
      </c>
      <c r="C9" s="11" t="s">
        <v>1196</v>
      </c>
      <c r="D9" s="11" t="s">
        <v>313</v>
      </c>
      <c r="E9" s="11" t="s">
        <v>1193</v>
      </c>
      <c r="F9" s="11" t="s">
        <v>821</v>
      </c>
      <c r="G9" s="11" t="s">
        <v>1190</v>
      </c>
      <c r="H9" s="11" t="s">
        <v>1197</v>
      </c>
      <c r="I9" s="11" t="s">
        <v>1197</v>
      </c>
      <c r="J9" s="11" t="s">
        <v>799</v>
      </c>
      <c r="K9" s="11" t="s">
        <v>1203</v>
      </c>
    </row>
    <row r="10" spans="1:11" x14ac:dyDescent="0.25">
      <c r="A10" s="11" t="s">
        <v>1187</v>
      </c>
      <c r="B10" s="11" t="s">
        <v>829</v>
      </c>
      <c r="C10" s="11" t="s">
        <v>1204</v>
      </c>
      <c r="D10" s="11" t="s">
        <v>313</v>
      </c>
      <c r="E10" s="11" t="s">
        <v>1193</v>
      </c>
      <c r="F10" s="11" t="s">
        <v>830</v>
      </c>
      <c r="G10" s="11" t="s">
        <v>1190</v>
      </c>
      <c r="H10" s="11" t="s">
        <v>1205</v>
      </c>
      <c r="I10" s="11" t="s">
        <v>1205</v>
      </c>
      <c r="J10" s="11" t="s">
        <v>799</v>
      </c>
      <c r="K10" s="11" t="s">
        <v>1206</v>
      </c>
    </row>
    <row r="11" spans="1:11" x14ac:dyDescent="0.25">
      <c r="A11" s="11" t="s">
        <v>1187</v>
      </c>
      <c r="B11" s="11" t="s">
        <v>831</v>
      </c>
      <c r="C11" s="11" t="s">
        <v>1204</v>
      </c>
      <c r="D11" s="11" t="s">
        <v>313</v>
      </c>
      <c r="E11" s="11" t="s">
        <v>1193</v>
      </c>
      <c r="F11" s="11" t="s">
        <v>832</v>
      </c>
      <c r="G11" s="11" t="s">
        <v>1190</v>
      </c>
      <c r="H11" s="11" t="s">
        <v>1205</v>
      </c>
      <c r="I11" s="11" t="s">
        <v>1205</v>
      </c>
      <c r="J11" s="11" t="s">
        <v>799</v>
      </c>
      <c r="K11" s="11" t="s">
        <v>1207</v>
      </c>
    </row>
    <row r="12" spans="1:11" x14ac:dyDescent="0.25">
      <c r="A12" s="11" t="s">
        <v>1187</v>
      </c>
      <c r="B12" s="11" t="s">
        <v>827</v>
      </c>
      <c r="C12" s="11" t="s">
        <v>1204</v>
      </c>
      <c r="D12" s="11" t="s">
        <v>313</v>
      </c>
      <c r="E12" s="11" t="s">
        <v>1193</v>
      </c>
      <c r="F12" s="11" t="s">
        <v>828</v>
      </c>
      <c r="G12" s="11" t="s">
        <v>1190</v>
      </c>
      <c r="H12" s="11" t="s">
        <v>1205</v>
      </c>
      <c r="I12" s="11" t="s">
        <v>1205</v>
      </c>
      <c r="J12" s="11" t="s">
        <v>799</v>
      </c>
      <c r="K12" s="11" t="s">
        <v>1208</v>
      </c>
    </row>
    <row r="13" spans="1:11" x14ac:dyDescent="0.25">
      <c r="A13" s="11" t="s">
        <v>1187</v>
      </c>
      <c r="B13" s="11" t="s">
        <v>833</v>
      </c>
      <c r="C13" s="11" t="s">
        <v>1204</v>
      </c>
      <c r="D13" s="11" t="s">
        <v>313</v>
      </c>
      <c r="E13" s="11" t="s">
        <v>1193</v>
      </c>
      <c r="F13" s="11" t="s">
        <v>834</v>
      </c>
      <c r="G13" s="11" t="s">
        <v>1190</v>
      </c>
      <c r="H13" s="11" t="s">
        <v>1205</v>
      </c>
      <c r="I13" s="11" t="s">
        <v>1205</v>
      </c>
      <c r="J13" s="11" t="s">
        <v>799</v>
      </c>
      <c r="K13" s="11" t="s">
        <v>1209</v>
      </c>
    </row>
    <row r="14" spans="1:11" x14ac:dyDescent="0.25">
      <c r="A14" s="11" t="s">
        <v>1187</v>
      </c>
      <c r="B14" s="11" t="s">
        <v>835</v>
      </c>
      <c r="C14" s="11" t="s">
        <v>1204</v>
      </c>
      <c r="D14" s="11" t="s">
        <v>313</v>
      </c>
      <c r="E14" s="11" t="s">
        <v>1193</v>
      </c>
      <c r="F14" s="11" t="s">
        <v>836</v>
      </c>
      <c r="G14" s="11" t="s">
        <v>1190</v>
      </c>
      <c r="H14" s="11" t="s">
        <v>1205</v>
      </c>
      <c r="I14" s="11" t="s">
        <v>1205</v>
      </c>
      <c r="J14" s="11" t="s">
        <v>799</v>
      </c>
      <c r="K14" s="11" t="s">
        <v>1210</v>
      </c>
    </row>
    <row r="15" spans="1:11" x14ac:dyDescent="0.25">
      <c r="A15" s="11" t="s">
        <v>1187</v>
      </c>
      <c r="B15" s="11" t="s">
        <v>357</v>
      </c>
      <c r="C15" s="11" t="s">
        <v>1211</v>
      </c>
      <c r="D15" s="11" t="s">
        <v>313</v>
      </c>
      <c r="E15" s="11" t="s">
        <v>1193</v>
      </c>
      <c r="F15" s="11" t="s">
        <v>879</v>
      </c>
      <c r="G15" s="11" t="s">
        <v>1190</v>
      </c>
      <c r="H15" s="11" t="s">
        <v>1212</v>
      </c>
      <c r="I15" s="11" t="s">
        <v>1212</v>
      </c>
      <c r="J15" s="11" t="s">
        <v>799</v>
      </c>
      <c r="K15" s="11" t="s">
        <v>1213</v>
      </c>
    </row>
    <row r="16" spans="1:11" x14ac:dyDescent="0.25">
      <c r="A16" s="11" t="s">
        <v>1187</v>
      </c>
      <c r="B16" s="11" t="s">
        <v>356</v>
      </c>
      <c r="C16" s="11" t="s">
        <v>1211</v>
      </c>
      <c r="D16" s="11" t="s">
        <v>313</v>
      </c>
      <c r="E16" s="11" t="s">
        <v>1214</v>
      </c>
      <c r="F16" s="11" t="s">
        <v>1215</v>
      </c>
      <c r="G16" s="11" t="s">
        <v>1190</v>
      </c>
      <c r="H16" s="11" t="s">
        <v>1212</v>
      </c>
      <c r="I16" s="11" t="s">
        <v>1212</v>
      </c>
      <c r="J16" s="11" t="s">
        <v>799</v>
      </c>
      <c r="K16" s="11" t="s">
        <v>1216</v>
      </c>
    </row>
    <row r="17" spans="1:11" x14ac:dyDescent="0.25">
      <c r="A17" s="11" t="s">
        <v>1187</v>
      </c>
      <c r="B17" s="11" t="s">
        <v>359</v>
      </c>
      <c r="C17" s="11" t="s">
        <v>1211</v>
      </c>
      <c r="D17" s="11" t="s">
        <v>313</v>
      </c>
      <c r="E17" s="11" t="s">
        <v>1193</v>
      </c>
      <c r="F17" s="11" t="s">
        <v>881</v>
      </c>
      <c r="G17" s="11" t="s">
        <v>1190</v>
      </c>
      <c r="H17" s="11" t="s">
        <v>1212</v>
      </c>
      <c r="I17" s="11" t="s">
        <v>1212</v>
      </c>
      <c r="J17" s="11" t="s">
        <v>799</v>
      </c>
      <c r="K17" s="11" t="s">
        <v>1217</v>
      </c>
    </row>
    <row r="18" spans="1:11" x14ac:dyDescent="0.25">
      <c r="A18" s="11" t="s">
        <v>1187</v>
      </c>
      <c r="B18" s="11" t="s">
        <v>360</v>
      </c>
      <c r="C18" s="11" t="s">
        <v>1211</v>
      </c>
      <c r="D18" s="11" t="s">
        <v>313</v>
      </c>
      <c r="E18" s="11" t="s">
        <v>1193</v>
      </c>
      <c r="F18" s="11" t="s">
        <v>880</v>
      </c>
      <c r="G18" s="11" t="s">
        <v>1190</v>
      </c>
      <c r="H18" s="11" t="s">
        <v>1212</v>
      </c>
      <c r="I18" s="11" t="s">
        <v>1212</v>
      </c>
      <c r="J18" s="11" t="s">
        <v>799</v>
      </c>
      <c r="K18" s="11" t="s">
        <v>1218</v>
      </c>
    </row>
    <row r="19" spans="1:11" x14ac:dyDescent="0.25">
      <c r="A19" s="11" t="s">
        <v>1187</v>
      </c>
      <c r="B19" s="11" t="s">
        <v>884</v>
      </c>
      <c r="C19" s="11" t="s">
        <v>1219</v>
      </c>
      <c r="D19" s="11" t="s">
        <v>313</v>
      </c>
      <c r="E19" s="11" t="s">
        <v>1193</v>
      </c>
      <c r="F19" s="11" t="s">
        <v>885</v>
      </c>
      <c r="G19" s="11" t="s">
        <v>1190</v>
      </c>
      <c r="H19" s="11" t="s">
        <v>1220</v>
      </c>
      <c r="I19" s="11" t="s">
        <v>1220</v>
      </c>
      <c r="J19" s="11" t="s">
        <v>799</v>
      </c>
      <c r="K19" s="11" t="s">
        <v>1221</v>
      </c>
    </row>
    <row r="20" spans="1:11" x14ac:dyDescent="0.25">
      <c r="A20" s="11" t="s">
        <v>1187</v>
      </c>
      <c r="B20" s="11" t="s">
        <v>886</v>
      </c>
      <c r="C20" s="11" t="s">
        <v>1219</v>
      </c>
      <c r="D20" s="11" t="s">
        <v>313</v>
      </c>
      <c r="E20" s="11" t="s">
        <v>1193</v>
      </c>
      <c r="F20" s="11" t="s">
        <v>887</v>
      </c>
      <c r="G20" s="11" t="s">
        <v>1190</v>
      </c>
      <c r="H20" s="11" t="s">
        <v>1220</v>
      </c>
      <c r="I20" s="11" t="s">
        <v>1220</v>
      </c>
      <c r="J20" s="11" t="s">
        <v>799</v>
      </c>
      <c r="K20" s="11" t="s">
        <v>1222</v>
      </c>
    </row>
    <row r="21" spans="1:11" x14ac:dyDescent="0.25">
      <c r="A21" s="11" t="s">
        <v>1187</v>
      </c>
      <c r="B21" s="11" t="s">
        <v>359</v>
      </c>
      <c r="C21" s="11" t="s">
        <v>1223</v>
      </c>
      <c r="D21" s="11" t="s">
        <v>313</v>
      </c>
      <c r="E21" s="11" t="s">
        <v>1193</v>
      </c>
      <c r="F21" s="11" t="s">
        <v>893</v>
      </c>
      <c r="G21" s="11" t="s">
        <v>1190</v>
      </c>
      <c r="H21" s="11" t="s">
        <v>1224</v>
      </c>
      <c r="I21" s="11" t="s">
        <v>1224</v>
      </c>
      <c r="J21" s="11" t="s">
        <v>799</v>
      </c>
      <c r="K21" s="11" t="s">
        <v>1225</v>
      </c>
    </row>
    <row r="22" spans="1:11" x14ac:dyDescent="0.25">
      <c r="A22" s="11" t="s">
        <v>1187</v>
      </c>
      <c r="B22" s="11" t="s">
        <v>356</v>
      </c>
      <c r="C22" s="11" t="s">
        <v>1223</v>
      </c>
      <c r="D22" s="11" t="s">
        <v>313</v>
      </c>
      <c r="E22" s="11" t="s">
        <v>1193</v>
      </c>
      <c r="F22" s="11" t="s">
        <v>892</v>
      </c>
      <c r="G22" s="11" t="s">
        <v>1190</v>
      </c>
      <c r="H22" s="11" t="s">
        <v>1224</v>
      </c>
      <c r="I22" s="11" t="s">
        <v>1224</v>
      </c>
      <c r="J22" s="11" t="s">
        <v>799</v>
      </c>
      <c r="K22" s="11" t="s">
        <v>1226</v>
      </c>
    </row>
    <row r="23" spans="1:11" x14ac:dyDescent="0.25">
      <c r="A23" s="11" t="s">
        <v>1187</v>
      </c>
      <c r="B23" s="11" t="s">
        <v>357</v>
      </c>
      <c r="C23" s="11" t="s">
        <v>1223</v>
      </c>
      <c r="D23" s="11" t="s">
        <v>313</v>
      </c>
      <c r="E23" s="11" t="s">
        <v>1193</v>
      </c>
      <c r="F23" s="11" t="s">
        <v>895</v>
      </c>
      <c r="G23" s="11" t="s">
        <v>1190</v>
      </c>
      <c r="H23" s="11" t="s">
        <v>1224</v>
      </c>
      <c r="I23" s="11" t="s">
        <v>1224</v>
      </c>
      <c r="J23" s="11" t="s">
        <v>799</v>
      </c>
      <c r="K23" s="11" t="s">
        <v>1227</v>
      </c>
    </row>
    <row r="24" spans="1:11" x14ac:dyDescent="0.25">
      <c r="A24" s="11" t="s">
        <v>1187</v>
      </c>
      <c r="B24" s="11" t="s">
        <v>358</v>
      </c>
      <c r="C24" s="11" t="s">
        <v>1223</v>
      </c>
      <c r="D24" s="11" t="s">
        <v>313</v>
      </c>
      <c r="E24" s="11" t="s">
        <v>1193</v>
      </c>
      <c r="F24" s="11" t="s">
        <v>894</v>
      </c>
      <c r="G24" s="11" t="s">
        <v>1190</v>
      </c>
      <c r="H24" s="11" t="s">
        <v>1224</v>
      </c>
      <c r="I24" s="11" t="s">
        <v>1224</v>
      </c>
      <c r="J24" s="11" t="s">
        <v>799</v>
      </c>
      <c r="K24" s="11" t="s">
        <v>1228</v>
      </c>
    </row>
    <row r="25" spans="1:11" x14ac:dyDescent="0.25">
      <c r="A25" s="11" t="s">
        <v>1187</v>
      </c>
      <c r="B25" s="11" t="s">
        <v>360</v>
      </c>
      <c r="C25" s="11" t="s">
        <v>1223</v>
      </c>
      <c r="D25" s="11" t="s">
        <v>313</v>
      </c>
      <c r="E25" s="11" t="s">
        <v>1193</v>
      </c>
      <c r="F25" s="11" t="s">
        <v>891</v>
      </c>
      <c r="G25" s="11" t="s">
        <v>1190</v>
      </c>
      <c r="H25" s="11" t="s">
        <v>1224</v>
      </c>
      <c r="I25" s="11" t="s">
        <v>1224</v>
      </c>
      <c r="J25" s="11" t="s">
        <v>799</v>
      </c>
      <c r="K25" s="11" t="s">
        <v>1229</v>
      </c>
    </row>
    <row r="26" spans="1:11" x14ac:dyDescent="0.25">
      <c r="A26" s="11" t="s">
        <v>1187</v>
      </c>
      <c r="B26" s="11" t="s">
        <v>357</v>
      </c>
      <c r="C26" s="11" t="s">
        <v>1230</v>
      </c>
      <c r="D26" s="11" t="s">
        <v>313</v>
      </c>
      <c r="E26" s="11" t="s">
        <v>1193</v>
      </c>
      <c r="F26" s="11" t="s">
        <v>900</v>
      </c>
      <c r="G26" s="11" t="s">
        <v>1190</v>
      </c>
      <c r="H26" s="11" t="s">
        <v>1231</v>
      </c>
      <c r="I26" s="11" t="s">
        <v>1231</v>
      </c>
      <c r="J26" s="11" t="s">
        <v>799</v>
      </c>
      <c r="K26" s="11" t="s">
        <v>1232</v>
      </c>
    </row>
    <row r="27" spans="1:11" x14ac:dyDescent="0.25">
      <c r="A27" s="11" t="s">
        <v>1187</v>
      </c>
      <c r="B27" s="11" t="s">
        <v>356</v>
      </c>
      <c r="C27" s="11" t="s">
        <v>1230</v>
      </c>
      <c r="D27" s="11" t="s">
        <v>313</v>
      </c>
      <c r="E27" s="11" t="s">
        <v>1200</v>
      </c>
      <c r="F27" s="11" t="s">
        <v>899</v>
      </c>
      <c r="G27" s="11" t="s">
        <v>1190</v>
      </c>
      <c r="H27" s="11" t="s">
        <v>1231</v>
      </c>
      <c r="I27" s="11" t="s">
        <v>1231</v>
      </c>
      <c r="J27" s="11" t="s">
        <v>799</v>
      </c>
      <c r="K27" s="11" t="s">
        <v>1233</v>
      </c>
    </row>
    <row r="28" spans="1:11" x14ac:dyDescent="0.25">
      <c r="A28" s="11" t="s">
        <v>1187</v>
      </c>
      <c r="B28" s="11" t="s">
        <v>359</v>
      </c>
      <c r="C28" s="11" t="s">
        <v>1230</v>
      </c>
      <c r="D28" s="11" t="s">
        <v>313</v>
      </c>
      <c r="E28" s="11" t="s">
        <v>1193</v>
      </c>
      <c r="F28" s="11" t="s">
        <v>902</v>
      </c>
      <c r="G28" s="11" t="s">
        <v>1190</v>
      </c>
      <c r="H28" s="11" t="s">
        <v>1231</v>
      </c>
      <c r="I28" s="11" t="s">
        <v>1231</v>
      </c>
      <c r="J28" s="11" t="s">
        <v>799</v>
      </c>
      <c r="K28" s="11" t="s">
        <v>1234</v>
      </c>
    </row>
    <row r="29" spans="1:11" x14ac:dyDescent="0.25">
      <c r="A29" s="11" t="s">
        <v>1187</v>
      </c>
      <c r="B29" s="11" t="s">
        <v>360</v>
      </c>
      <c r="C29" s="11" t="s">
        <v>1230</v>
      </c>
      <c r="D29" s="11" t="s">
        <v>313</v>
      </c>
      <c r="E29" s="11" t="s">
        <v>1193</v>
      </c>
      <c r="F29" s="11" t="s">
        <v>901</v>
      </c>
      <c r="G29" s="11" t="s">
        <v>1190</v>
      </c>
      <c r="H29" s="11" t="s">
        <v>1231</v>
      </c>
      <c r="I29" s="11" t="s">
        <v>1231</v>
      </c>
      <c r="J29" s="11" t="s">
        <v>799</v>
      </c>
      <c r="K29" s="11" t="s">
        <v>1235</v>
      </c>
    </row>
    <row r="30" spans="1:11" x14ac:dyDescent="0.25">
      <c r="A30" s="11" t="s">
        <v>1187</v>
      </c>
      <c r="B30" s="11" t="s">
        <v>359</v>
      </c>
      <c r="C30" s="11" t="s">
        <v>1236</v>
      </c>
      <c r="D30" s="11" t="s">
        <v>313</v>
      </c>
      <c r="E30" s="11" t="s">
        <v>1200</v>
      </c>
      <c r="F30" s="11" t="s">
        <v>904</v>
      </c>
      <c r="G30" s="11" t="s">
        <v>1190</v>
      </c>
      <c r="H30" s="11" t="s">
        <v>1237</v>
      </c>
      <c r="I30" s="11" t="s">
        <v>1237</v>
      </c>
      <c r="J30" s="11" t="s">
        <v>799</v>
      </c>
      <c r="K30" s="11" t="s">
        <v>1238</v>
      </c>
    </row>
    <row r="31" spans="1:11" x14ac:dyDescent="0.25">
      <c r="A31" s="11" t="s">
        <v>1187</v>
      </c>
      <c r="B31" s="11" t="s">
        <v>357</v>
      </c>
      <c r="C31" s="11" t="s">
        <v>1236</v>
      </c>
      <c r="D31" s="11" t="s">
        <v>313</v>
      </c>
      <c r="E31" s="11" t="s">
        <v>1200</v>
      </c>
      <c r="F31" s="11" t="s">
        <v>905</v>
      </c>
      <c r="G31" s="11" t="s">
        <v>1190</v>
      </c>
      <c r="H31" s="11" t="s">
        <v>1237</v>
      </c>
      <c r="I31" s="11" t="s">
        <v>1237</v>
      </c>
      <c r="J31" s="11" t="s">
        <v>799</v>
      </c>
      <c r="K31" s="11" t="s">
        <v>1239</v>
      </c>
    </row>
    <row r="32" spans="1:11" x14ac:dyDescent="0.25">
      <c r="A32" s="11" t="s">
        <v>1187</v>
      </c>
      <c r="B32" s="11" t="s">
        <v>358</v>
      </c>
      <c r="C32" s="11" t="s">
        <v>1236</v>
      </c>
      <c r="D32" s="11" t="s">
        <v>313</v>
      </c>
      <c r="E32" s="11" t="s">
        <v>1200</v>
      </c>
      <c r="F32" s="11" t="s">
        <v>906</v>
      </c>
      <c r="G32" s="11" t="s">
        <v>1190</v>
      </c>
      <c r="H32" s="11" t="s">
        <v>1237</v>
      </c>
      <c r="I32" s="11" t="s">
        <v>1237</v>
      </c>
      <c r="J32" s="11" t="s">
        <v>799</v>
      </c>
      <c r="K32" s="11" t="s">
        <v>1240</v>
      </c>
    </row>
    <row r="33" spans="1:11" x14ac:dyDescent="0.25">
      <c r="A33" s="11" t="s">
        <v>1187</v>
      </c>
      <c r="B33" s="11" t="s">
        <v>805</v>
      </c>
      <c r="C33" s="11" t="s">
        <v>1241</v>
      </c>
      <c r="D33" s="11" t="s">
        <v>313</v>
      </c>
      <c r="E33" s="11" t="s">
        <v>1193</v>
      </c>
      <c r="F33" s="11" t="s">
        <v>846</v>
      </c>
      <c r="G33" s="11" t="s">
        <v>1190</v>
      </c>
      <c r="H33" s="11" t="s">
        <v>1242</v>
      </c>
      <c r="I33" s="11" t="s">
        <v>1242</v>
      </c>
      <c r="J33" s="11" t="s">
        <v>799</v>
      </c>
      <c r="K33" s="11" t="s">
        <v>1243</v>
      </c>
    </row>
    <row r="34" spans="1:11" x14ac:dyDescent="0.25">
      <c r="A34" s="11" t="s">
        <v>1187</v>
      </c>
      <c r="B34" s="11" t="s">
        <v>803</v>
      </c>
      <c r="C34" s="11" t="s">
        <v>1241</v>
      </c>
      <c r="D34" s="11" t="s">
        <v>313</v>
      </c>
      <c r="E34" s="11" t="s">
        <v>1200</v>
      </c>
      <c r="F34" s="11" t="s">
        <v>845</v>
      </c>
      <c r="G34" s="11" t="s">
        <v>1190</v>
      </c>
      <c r="H34" s="11" t="s">
        <v>1242</v>
      </c>
      <c r="I34" s="11" t="s">
        <v>1242</v>
      </c>
      <c r="J34" s="11" t="s">
        <v>799</v>
      </c>
      <c r="K34" s="11" t="s">
        <v>1244</v>
      </c>
    </row>
    <row r="35" spans="1:11" x14ac:dyDescent="0.25">
      <c r="A35" s="11" t="s">
        <v>1187</v>
      </c>
      <c r="B35" s="11" t="s">
        <v>848</v>
      </c>
      <c r="C35" s="11" t="s">
        <v>1241</v>
      </c>
      <c r="D35" s="11" t="s">
        <v>313</v>
      </c>
      <c r="E35" s="11" t="s">
        <v>1193</v>
      </c>
      <c r="F35" s="11" t="s">
        <v>849</v>
      </c>
      <c r="G35" s="11" t="s">
        <v>1190</v>
      </c>
      <c r="H35" s="11" t="s">
        <v>1242</v>
      </c>
      <c r="I35" s="11" t="s">
        <v>1242</v>
      </c>
      <c r="J35" s="11" t="s">
        <v>799</v>
      </c>
      <c r="K35" s="11" t="s">
        <v>1245</v>
      </c>
    </row>
    <row r="36" spans="1:11" x14ac:dyDescent="0.25">
      <c r="A36" s="11" t="s">
        <v>1187</v>
      </c>
      <c r="B36" s="11" t="s">
        <v>850</v>
      </c>
      <c r="C36" s="11" t="s">
        <v>1241</v>
      </c>
      <c r="D36" s="11" t="s">
        <v>313</v>
      </c>
      <c r="E36" s="11" t="s">
        <v>1200</v>
      </c>
      <c r="F36" s="11" t="s">
        <v>851</v>
      </c>
      <c r="G36" s="11" t="s">
        <v>1190</v>
      </c>
      <c r="H36" s="11" t="s">
        <v>1242</v>
      </c>
      <c r="I36" s="11" t="s">
        <v>1242</v>
      </c>
      <c r="J36" s="11" t="s">
        <v>799</v>
      </c>
      <c r="K36" s="11" t="s">
        <v>1246</v>
      </c>
    </row>
    <row r="37" spans="1:11" x14ac:dyDescent="0.25">
      <c r="A37" s="11" t="s">
        <v>1187</v>
      </c>
      <c r="B37" s="11" t="s">
        <v>807</v>
      </c>
      <c r="C37" s="11" t="s">
        <v>1241</v>
      </c>
      <c r="D37" s="11" t="s">
        <v>313</v>
      </c>
      <c r="E37" s="11" t="s">
        <v>1193</v>
      </c>
      <c r="F37" s="11" t="s">
        <v>847</v>
      </c>
      <c r="G37" s="11" t="s">
        <v>1190</v>
      </c>
      <c r="H37" s="11" t="s">
        <v>1242</v>
      </c>
      <c r="I37" s="11" t="s">
        <v>1242</v>
      </c>
      <c r="J37" s="11" t="s">
        <v>799</v>
      </c>
      <c r="K37" s="11" t="s">
        <v>1247</v>
      </c>
    </row>
    <row r="38" spans="1:11" x14ac:dyDescent="0.25">
      <c r="A38" s="11" t="s">
        <v>1187</v>
      </c>
      <c r="B38" s="11" t="s">
        <v>833</v>
      </c>
      <c r="C38" s="11" t="s">
        <v>1248</v>
      </c>
      <c r="D38" s="11" t="s">
        <v>313</v>
      </c>
      <c r="E38" s="11" t="s">
        <v>1193</v>
      </c>
      <c r="F38" s="11" t="s">
        <v>856</v>
      </c>
      <c r="G38" s="11" t="s">
        <v>1190</v>
      </c>
      <c r="H38" s="11" t="s">
        <v>1249</v>
      </c>
      <c r="I38" s="11" t="s">
        <v>1249</v>
      </c>
      <c r="J38" s="11" t="s">
        <v>799</v>
      </c>
      <c r="K38" s="11" t="s">
        <v>1250</v>
      </c>
    </row>
    <row r="39" spans="1:11" x14ac:dyDescent="0.25">
      <c r="A39" s="11" t="s">
        <v>1187</v>
      </c>
      <c r="B39" s="11" t="s">
        <v>831</v>
      </c>
      <c r="C39" s="11" t="s">
        <v>1248</v>
      </c>
      <c r="D39" s="11" t="s">
        <v>313</v>
      </c>
      <c r="E39" s="11" t="s">
        <v>1200</v>
      </c>
      <c r="F39" s="11" t="s">
        <v>855</v>
      </c>
      <c r="G39" s="11" t="s">
        <v>1190</v>
      </c>
      <c r="H39" s="11" t="s">
        <v>1249</v>
      </c>
      <c r="I39" s="11" t="s">
        <v>1249</v>
      </c>
      <c r="J39" s="11" t="s">
        <v>799</v>
      </c>
      <c r="K39" s="11" t="s">
        <v>1251</v>
      </c>
    </row>
    <row r="40" spans="1:11" x14ac:dyDescent="0.25">
      <c r="A40" s="11" t="s">
        <v>1187</v>
      </c>
      <c r="B40" s="11" t="s">
        <v>835</v>
      </c>
      <c r="C40" s="11" t="s">
        <v>1248</v>
      </c>
      <c r="D40" s="11" t="s">
        <v>313</v>
      </c>
      <c r="E40" s="11" t="s">
        <v>1193</v>
      </c>
      <c r="F40" s="11" t="s">
        <v>857</v>
      </c>
      <c r="G40" s="11" t="s">
        <v>1190</v>
      </c>
      <c r="H40" s="11" t="s">
        <v>1249</v>
      </c>
      <c r="I40" s="11" t="s">
        <v>1249</v>
      </c>
      <c r="J40" s="11" t="s">
        <v>799</v>
      </c>
      <c r="K40" s="11" t="s">
        <v>1252</v>
      </c>
    </row>
    <row r="41" spans="1:11" x14ac:dyDescent="0.25">
      <c r="A41" s="11" t="s">
        <v>1187</v>
      </c>
      <c r="B41" s="11" t="s">
        <v>829</v>
      </c>
      <c r="C41" s="11" t="s">
        <v>1248</v>
      </c>
      <c r="D41" s="11" t="s">
        <v>313</v>
      </c>
      <c r="E41" s="11" t="s">
        <v>1193</v>
      </c>
      <c r="F41" s="11" t="s">
        <v>854</v>
      </c>
      <c r="G41" s="11" t="s">
        <v>1190</v>
      </c>
      <c r="H41" s="11" t="s">
        <v>1249</v>
      </c>
      <c r="I41" s="11" t="s">
        <v>1249</v>
      </c>
      <c r="J41" s="11" t="s">
        <v>799</v>
      </c>
      <c r="K41" s="11" t="s">
        <v>1253</v>
      </c>
    </row>
    <row r="42" spans="1:11" x14ac:dyDescent="0.25">
      <c r="A42" s="11" t="s">
        <v>1187</v>
      </c>
      <c r="B42" s="11" t="s">
        <v>827</v>
      </c>
      <c r="C42" s="11" t="s">
        <v>1248</v>
      </c>
      <c r="D42" s="11" t="s">
        <v>313</v>
      </c>
      <c r="E42" s="11" t="s">
        <v>1193</v>
      </c>
      <c r="F42" s="11" t="s">
        <v>1254</v>
      </c>
      <c r="G42" s="11" t="s">
        <v>1190</v>
      </c>
      <c r="H42" s="11" t="s">
        <v>1249</v>
      </c>
      <c r="I42" s="11" t="s">
        <v>1249</v>
      </c>
      <c r="J42" s="11" t="s">
        <v>799</v>
      </c>
      <c r="K42" s="11" t="s">
        <v>1255</v>
      </c>
    </row>
    <row r="43" spans="1:11" x14ac:dyDescent="0.25">
      <c r="A43" s="11" t="s">
        <v>1187</v>
      </c>
      <c r="B43" s="11" t="s">
        <v>838</v>
      </c>
      <c r="C43" s="11" t="s">
        <v>1256</v>
      </c>
      <c r="D43" s="11" t="s">
        <v>313</v>
      </c>
      <c r="E43" s="11" t="s">
        <v>1193</v>
      </c>
      <c r="F43" s="11" t="s">
        <v>859</v>
      </c>
      <c r="G43" s="11" t="s">
        <v>1190</v>
      </c>
      <c r="H43" s="11" t="s">
        <v>1257</v>
      </c>
      <c r="I43" s="11" t="s">
        <v>1257</v>
      </c>
      <c r="J43" s="11" t="s">
        <v>799</v>
      </c>
      <c r="K43" s="11" t="s">
        <v>1258</v>
      </c>
    </row>
    <row r="44" spans="1:11" x14ac:dyDescent="0.25">
      <c r="A44" s="11" t="s">
        <v>1187</v>
      </c>
      <c r="B44" s="11" t="s">
        <v>840</v>
      </c>
      <c r="C44" s="11" t="s">
        <v>1256</v>
      </c>
      <c r="D44" s="11" t="s">
        <v>313</v>
      </c>
      <c r="E44" s="11" t="s">
        <v>1193</v>
      </c>
      <c r="F44" s="11" t="s">
        <v>860</v>
      </c>
      <c r="G44" s="11" t="s">
        <v>1190</v>
      </c>
      <c r="H44" s="11" t="s">
        <v>1257</v>
      </c>
      <c r="I44" s="11" t="s">
        <v>1257</v>
      </c>
      <c r="J44" s="11" t="s">
        <v>799</v>
      </c>
      <c r="K44" s="11" t="s">
        <v>1259</v>
      </c>
    </row>
    <row r="45" spans="1:11" x14ac:dyDescent="0.25">
      <c r="A45" s="11" t="s">
        <v>1187</v>
      </c>
      <c r="B45" s="11" t="s">
        <v>798</v>
      </c>
      <c r="C45" s="11" t="s">
        <v>1219</v>
      </c>
      <c r="D45" s="11" t="s">
        <v>313</v>
      </c>
      <c r="E45" s="11" t="s">
        <v>1193</v>
      </c>
      <c r="F45" s="11" t="s">
        <v>889</v>
      </c>
      <c r="G45" s="11" t="s">
        <v>1190</v>
      </c>
      <c r="H45" s="11" t="s">
        <v>1220</v>
      </c>
      <c r="I45" s="11" t="s">
        <v>1220</v>
      </c>
      <c r="J45" s="11" t="s">
        <v>799</v>
      </c>
      <c r="K45" s="11" t="s">
        <v>1260</v>
      </c>
    </row>
    <row r="46" spans="1:11" x14ac:dyDescent="0.25">
      <c r="A46" s="11" t="s">
        <v>1187</v>
      </c>
      <c r="B46" s="11" t="s">
        <v>358</v>
      </c>
      <c r="C46" s="11" t="s">
        <v>1211</v>
      </c>
      <c r="D46" s="11" t="s">
        <v>313</v>
      </c>
      <c r="E46" s="11" t="s">
        <v>1193</v>
      </c>
      <c r="F46" s="11" t="s">
        <v>878</v>
      </c>
      <c r="G46" s="11" t="s">
        <v>1190</v>
      </c>
      <c r="H46" s="11" t="s">
        <v>1212</v>
      </c>
      <c r="I46" s="11" t="s">
        <v>1212</v>
      </c>
      <c r="J46" s="11" t="s">
        <v>799</v>
      </c>
      <c r="K46" s="11" t="s">
        <v>1261</v>
      </c>
    </row>
    <row r="47" spans="1:11" x14ac:dyDescent="0.25">
      <c r="A47" s="11" t="s">
        <v>1187</v>
      </c>
      <c r="B47" s="11" t="s">
        <v>897</v>
      </c>
      <c r="C47" s="11" t="s">
        <v>1230</v>
      </c>
      <c r="D47" s="11" t="s">
        <v>313</v>
      </c>
      <c r="E47" s="11" t="s">
        <v>1193</v>
      </c>
      <c r="F47" s="11" t="s">
        <v>898</v>
      </c>
      <c r="G47" s="11" t="s">
        <v>1190</v>
      </c>
      <c r="H47" s="11" t="s">
        <v>1231</v>
      </c>
      <c r="I47" s="11" t="s">
        <v>1231</v>
      </c>
      <c r="J47" s="11" t="s">
        <v>799</v>
      </c>
      <c r="K47" s="11" t="s">
        <v>1262</v>
      </c>
    </row>
    <row r="48" spans="1:11" x14ac:dyDescent="0.25">
      <c r="A48" s="11" t="s">
        <v>1187</v>
      </c>
      <c r="B48" s="11" t="s">
        <v>807</v>
      </c>
      <c r="C48" s="11" t="s">
        <v>1219</v>
      </c>
      <c r="D48" s="11" t="s">
        <v>313</v>
      </c>
      <c r="E48" s="11" t="s">
        <v>1200</v>
      </c>
      <c r="F48" s="11" t="s">
        <v>888</v>
      </c>
      <c r="G48" s="11" t="s">
        <v>1190</v>
      </c>
      <c r="H48" s="11" t="s">
        <v>1220</v>
      </c>
      <c r="I48" s="11" t="s">
        <v>1220</v>
      </c>
      <c r="J48" s="11" t="s">
        <v>799</v>
      </c>
      <c r="K48" s="11" t="s">
        <v>1263</v>
      </c>
    </row>
    <row r="49" spans="1:11" x14ac:dyDescent="0.25">
      <c r="A49" s="11" t="s">
        <v>1264</v>
      </c>
      <c r="B49" s="11" t="s">
        <v>840</v>
      </c>
      <c r="C49" s="11" t="s">
        <v>1236</v>
      </c>
      <c r="D49" s="11" t="s">
        <v>313</v>
      </c>
      <c r="E49" s="11" t="s">
        <v>1193</v>
      </c>
      <c r="F49" s="11" t="s">
        <v>1265</v>
      </c>
      <c r="G49" s="11" t="s">
        <v>1190</v>
      </c>
      <c r="H49" s="11" t="s">
        <v>1237</v>
      </c>
      <c r="I49" s="11" t="s">
        <v>1237</v>
      </c>
      <c r="J49" s="11" t="s">
        <v>799</v>
      </c>
      <c r="K49" s="11" t="s">
        <v>1266</v>
      </c>
    </row>
    <row r="50" spans="1:11" x14ac:dyDescent="0.25">
      <c r="A50" s="11" t="s">
        <v>1187</v>
      </c>
      <c r="B50" s="11" t="s">
        <v>842</v>
      </c>
      <c r="C50" s="11" t="s">
        <v>1256</v>
      </c>
      <c r="D50" s="11" t="s">
        <v>313</v>
      </c>
      <c r="E50" s="11" t="s">
        <v>1189</v>
      </c>
      <c r="F50" s="11" t="s">
        <v>861</v>
      </c>
      <c r="G50" s="11" t="s">
        <v>1190</v>
      </c>
      <c r="H50" s="11" t="s">
        <v>1257</v>
      </c>
      <c r="I50" s="11" t="s">
        <v>1257</v>
      </c>
      <c r="J50" s="11" t="s">
        <v>812</v>
      </c>
      <c r="K50" s="11" t="s">
        <v>1267</v>
      </c>
    </row>
    <row r="51" spans="1:11" x14ac:dyDescent="0.25">
      <c r="A51" s="11" t="s">
        <v>1264</v>
      </c>
      <c r="B51" s="11" t="s">
        <v>907</v>
      </c>
      <c r="C51" s="11" t="s">
        <v>1236</v>
      </c>
      <c r="D51" s="11" t="s">
        <v>313</v>
      </c>
      <c r="E51" s="11" t="s">
        <v>1268</v>
      </c>
      <c r="F51" s="11" t="s">
        <v>1269</v>
      </c>
      <c r="G51" s="11" t="s">
        <v>1190</v>
      </c>
      <c r="H51" s="11" t="s">
        <v>1237</v>
      </c>
      <c r="I51" s="11" t="s">
        <v>1237</v>
      </c>
      <c r="J51" s="11" t="s">
        <v>799</v>
      </c>
      <c r="K51" s="11" t="s">
        <v>1270</v>
      </c>
    </row>
    <row r="52" spans="1:11" x14ac:dyDescent="0.25">
      <c r="A52" s="11" t="s">
        <v>1264</v>
      </c>
      <c r="B52" s="11" t="s">
        <v>1088</v>
      </c>
      <c r="C52" s="11" t="s">
        <v>1219</v>
      </c>
      <c r="D52" s="11" t="s">
        <v>313</v>
      </c>
      <c r="E52" s="11" t="s">
        <v>1271</v>
      </c>
      <c r="F52" s="11" t="s">
        <v>1272</v>
      </c>
      <c r="G52" s="11" t="s">
        <v>1190</v>
      </c>
      <c r="H52" s="11" t="s">
        <v>1220</v>
      </c>
      <c r="I52" s="11" t="s">
        <v>1220</v>
      </c>
      <c r="J52" s="11" t="s">
        <v>799</v>
      </c>
      <c r="K52" s="11" t="s">
        <v>1273</v>
      </c>
    </row>
    <row r="53" spans="1:11" x14ac:dyDescent="0.25">
      <c r="A53" s="11" t="s">
        <v>1264</v>
      </c>
      <c r="B53" s="11" t="s">
        <v>838</v>
      </c>
      <c r="C53" s="11" t="s">
        <v>1204</v>
      </c>
      <c r="D53" s="11" t="s">
        <v>313</v>
      </c>
      <c r="E53" s="11" t="s">
        <v>1193</v>
      </c>
      <c r="F53" s="11" t="s">
        <v>839</v>
      </c>
      <c r="G53" s="11" t="s">
        <v>1190</v>
      </c>
      <c r="H53" s="11" t="s">
        <v>1205</v>
      </c>
      <c r="I53" s="11" t="s">
        <v>1205</v>
      </c>
      <c r="J53" s="11" t="s">
        <v>799</v>
      </c>
      <c r="K53" s="11" t="s">
        <v>1274</v>
      </c>
    </row>
    <row r="54" spans="1:11" x14ac:dyDescent="0.25">
      <c r="A54" s="11" t="s">
        <v>1264</v>
      </c>
      <c r="B54" s="11" t="s">
        <v>842</v>
      </c>
      <c r="C54" s="11" t="s">
        <v>1204</v>
      </c>
      <c r="D54" s="11" t="s">
        <v>313</v>
      </c>
      <c r="E54" s="11" t="s">
        <v>1189</v>
      </c>
      <c r="F54" s="11" t="s">
        <v>843</v>
      </c>
      <c r="G54" s="11" t="s">
        <v>1190</v>
      </c>
      <c r="H54" s="11" t="s">
        <v>1205</v>
      </c>
      <c r="I54" s="11" t="s">
        <v>1205</v>
      </c>
      <c r="J54" s="11" t="s">
        <v>812</v>
      </c>
      <c r="K54" s="11" t="s">
        <v>1275</v>
      </c>
    </row>
    <row r="55" spans="1:11" x14ac:dyDescent="0.25">
      <c r="A55" s="11" t="s">
        <v>1187</v>
      </c>
      <c r="B55" s="11" t="s">
        <v>798</v>
      </c>
      <c r="C55" s="11" t="s">
        <v>1276</v>
      </c>
      <c r="D55" s="11" t="s">
        <v>313</v>
      </c>
      <c r="E55" s="11" t="s">
        <v>1193</v>
      </c>
      <c r="F55" s="11" t="s">
        <v>800</v>
      </c>
      <c r="G55" s="11" t="s">
        <v>1190</v>
      </c>
      <c r="H55" s="11" t="s">
        <v>1277</v>
      </c>
      <c r="I55" s="11" t="s">
        <v>1277</v>
      </c>
      <c r="J55" s="11" t="s">
        <v>799</v>
      </c>
      <c r="K55" s="11" t="s">
        <v>1278</v>
      </c>
    </row>
    <row r="56" spans="1:11" x14ac:dyDescent="0.25">
      <c r="A56" s="11" t="s">
        <v>1187</v>
      </c>
      <c r="B56" s="11" t="s">
        <v>801</v>
      </c>
      <c r="C56" s="11" t="s">
        <v>1276</v>
      </c>
      <c r="D56" s="11" t="s">
        <v>313</v>
      </c>
      <c r="E56" s="11" t="s">
        <v>1193</v>
      </c>
      <c r="F56" s="11" t="s">
        <v>802</v>
      </c>
      <c r="G56" s="11" t="s">
        <v>1190</v>
      </c>
      <c r="H56" s="11" t="s">
        <v>1277</v>
      </c>
      <c r="I56" s="11" t="s">
        <v>1277</v>
      </c>
      <c r="J56" s="11" t="s">
        <v>799</v>
      </c>
      <c r="K56" s="11" t="s">
        <v>1279</v>
      </c>
    </row>
    <row r="57" spans="1:11" x14ac:dyDescent="0.25">
      <c r="A57" s="11" t="s">
        <v>1187</v>
      </c>
      <c r="B57" s="11" t="s">
        <v>803</v>
      </c>
      <c r="C57" s="11" t="s">
        <v>1276</v>
      </c>
      <c r="D57" s="11" t="s">
        <v>313</v>
      </c>
      <c r="E57" s="11" t="s">
        <v>1193</v>
      </c>
      <c r="F57" s="11" t="s">
        <v>804</v>
      </c>
      <c r="G57" s="11" t="s">
        <v>1190</v>
      </c>
      <c r="H57" s="11" t="s">
        <v>1277</v>
      </c>
      <c r="I57" s="11" t="s">
        <v>1277</v>
      </c>
      <c r="J57" s="11" t="s">
        <v>799</v>
      </c>
      <c r="K57" s="11" t="s">
        <v>1280</v>
      </c>
    </row>
    <row r="58" spans="1:11" x14ac:dyDescent="0.25">
      <c r="A58" s="11" t="s">
        <v>1187</v>
      </c>
      <c r="B58" s="11" t="s">
        <v>805</v>
      </c>
      <c r="C58" s="11" t="s">
        <v>1276</v>
      </c>
      <c r="D58" s="11" t="s">
        <v>313</v>
      </c>
      <c r="E58" s="11" t="s">
        <v>1193</v>
      </c>
      <c r="F58" s="11" t="s">
        <v>806</v>
      </c>
      <c r="G58" s="11" t="s">
        <v>1190</v>
      </c>
      <c r="H58" s="11" t="s">
        <v>1277</v>
      </c>
      <c r="I58" s="11" t="s">
        <v>1277</v>
      </c>
      <c r="J58" s="11" t="s">
        <v>799</v>
      </c>
      <c r="K58" s="11" t="s">
        <v>1281</v>
      </c>
    </row>
    <row r="59" spans="1:11" x14ac:dyDescent="0.25">
      <c r="A59" s="11" t="s">
        <v>1187</v>
      </c>
      <c r="B59" s="11" t="s">
        <v>807</v>
      </c>
      <c r="C59" s="11" t="s">
        <v>1276</v>
      </c>
      <c r="D59" s="11" t="s">
        <v>313</v>
      </c>
      <c r="E59" s="11" t="s">
        <v>1193</v>
      </c>
      <c r="F59" s="11" t="s">
        <v>808</v>
      </c>
      <c r="G59" s="11" t="s">
        <v>1190</v>
      </c>
      <c r="H59" s="11" t="s">
        <v>1277</v>
      </c>
      <c r="I59" s="11" t="s">
        <v>1277</v>
      </c>
      <c r="J59" s="11" t="s">
        <v>799</v>
      </c>
      <c r="K59" s="11" t="s">
        <v>1282</v>
      </c>
    </row>
    <row r="60" spans="1:11" x14ac:dyDescent="0.25">
      <c r="A60" s="11" t="s">
        <v>1187</v>
      </c>
      <c r="B60" s="11" t="s">
        <v>811</v>
      </c>
      <c r="C60" s="11" t="s">
        <v>1283</v>
      </c>
      <c r="D60" s="11" t="s">
        <v>313</v>
      </c>
      <c r="E60" s="11" t="s">
        <v>1189</v>
      </c>
      <c r="F60" s="11" t="s">
        <v>813</v>
      </c>
      <c r="G60" s="11" t="s">
        <v>1190</v>
      </c>
      <c r="H60" s="11" t="s">
        <v>1284</v>
      </c>
      <c r="I60" s="11" t="s">
        <v>1284</v>
      </c>
      <c r="J60" s="11" t="s">
        <v>812</v>
      </c>
      <c r="K60" s="11" t="s">
        <v>1285</v>
      </c>
    </row>
    <row r="61" spans="1:11" x14ac:dyDescent="0.25">
      <c r="A61" s="11" t="s">
        <v>1187</v>
      </c>
      <c r="B61" s="11" t="s">
        <v>357</v>
      </c>
      <c r="C61" s="11" t="s">
        <v>1283</v>
      </c>
      <c r="D61" s="11" t="s">
        <v>313</v>
      </c>
      <c r="E61" s="11" t="s">
        <v>1193</v>
      </c>
      <c r="F61" s="11" t="s">
        <v>814</v>
      </c>
      <c r="G61" s="11" t="s">
        <v>1190</v>
      </c>
      <c r="H61" s="11" t="s">
        <v>1284</v>
      </c>
      <c r="I61" s="11" t="s">
        <v>1284</v>
      </c>
      <c r="J61" s="11" t="s">
        <v>799</v>
      </c>
      <c r="K61" s="11" t="s">
        <v>1286</v>
      </c>
    </row>
    <row r="62" spans="1:11" x14ac:dyDescent="0.25">
      <c r="A62" s="11" t="s">
        <v>1187</v>
      </c>
      <c r="B62" s="11" t="s">
        <v>358</v>
      </c>
      <c r="C62" s="11" t="s">
        <v>1283</v>
      </c>
      <c r="D62" s="11" t="s">
        <v>313</v>
      </c>
      <c r="E62" s="11" t="s">
        <v>1193</v>
      </c>
      <c r="F62" s="11" t="s">
        <v>810</v>
      </c>
      <c r="G62" s="11" t="s">
        <v>1190</v>
      </c>
      <c r="H62" s="11" t="s">
        <v>1284</v>
      </c>
      <c r="I62" s="11" t="s">
        <v>1284</v>
      </c>
      <c r="J62" s="11" t="s">
        <v>799</v>
      </c>
      <c r="K62" s="11" t="s">
        <v>1287</v>
      </c>
    </row>
    <row r="63" spans="1:11" x14ac:dyDescent="0.25">
      <c r="A63" s="11" t="s">
        <v>1187</v>
      </c>
      <c r="B63" s="11" t="s">
        <v>358</v>
      </c>
      <c r="C63" s="11" t="s">
        <v>354</v>
      </c>
      <c r="D63" s="11" t="s">
        <v>313</v>
      </c>
      <c r="E63" s="11" t="s">
        <v>1193</v>
      </c>
      <c r="F63" s="11" t="s">
        <v>368</v>
      </c>
      <c r="G63" s="11" t="s">
        <v>1190</v>
      </c>
      <c r="H63" s="11" t="s">
        <v>1288</v>
      </c>
      <c r="I63" s="11" t="s">
        <v>1288</v>
      </c>
      <c r="J63" s="11" t="s">
        <v>799</v>
      </c>
      <c r="K63" s="11" t="s">
        <v>1289</v>
      </c>
    </row>
    <row r="64" spans="1:11" x14ac:dyDescent="0.25">
      <c r="A64" s="11" t="s">
        <v>1187</v>
      </c>
      <c r="B64" s="11" t="s">
        <v>360</v>
      </c>
      <c r="C64" s="11" t="s">
        <v>354</v>
      </c>
      <c r="D64" s="11" t="s">
        <v>313</v>
      </c>
      <c r="E64" s="11" t="s">
        <v>1193</v>
      </c>
      <c r="F64" s="11" t="s">
        <v>372</v>
      </c>
      <c r="G64" s="11" t="s">
        <v>1190</v>
      </c>
      <c r="H64" s="11" t="s">
        <v>1288</v>
      </c>
      <c r="I64" s="11" t="s">
        <v>1288</v>
      </c>
      <c r="J64" s="11" t="s">
        <v>799</v>
      </c>
      <c r="K64" s="11" t="s">
        <v>1290</v>
      </c>
    </row>
    <row r="65" spans="1:11" x14ac:dyDescent="0.25">
      <c r="A65" s="11" t="s">
        <v>1187</v>
      </c>
      <c r="B65" s="11" t="s">
        <v>359</v>
      </c>
      <c r="C65" s="11" t="s">
        <v>354</v>
      </c>
      <c r="D65" s="11" t="s">
        <v>313</v>
      </c>
      <c r="E65" s="11" t="s">
        <v>1193</v>
      </c>
      <c r="F65" s="11" t="s">
        <v>370</v>
      </c>
      <c r="G65" s="11" t="s">
        <v>1190</v>
      </c>
      <c r="H65" s="11" t="s">
        <v>1288</v>
      </c>
      <c r="I65" s="11" t="s">
        <v>1288</v>
      </c>
      <c r="J65" s="11" t="s">
        <v>799</v>
      </c>
      <c r="K65" s="11" t="s">
        <v>1291</v>
      </c>
    </row>
    <row r="66" spans="1:11" x14ac:dyDescent="0.25">
      <c r="A66" s="11" t="s">
        <v>1187</v>
      </c>
      <c r="B66" s="11" t="s">
        <v>357</v>
      </c>
      <c r="C66" s="11" t="s">
        <v>354</v>
      </c>
      <c r="D66" s="11" t="s">
        <v>313</v>
      </c>
      <c r="E66" s="11" t="s">
        <v>1193</v>
      </c>
      <c r="F66" s="11" t="s">
        <v>366</v>
      </c>
      <c r="G66" s="11" t="s">
        <v>1190</v>
      </c>
      <c r="H66" s="11" t="s">
        <v>1288</v>
      </c>
      <c r="I66" s="11" t="s">
        <v>1288</v>
      </c>
      <c r="J66" s="11" t="s">
        <v>799</v>
      </c>
      <c r="K66" s="11" t="s">
        <v>1292</v>
      </c>
    </row>
    <row r="67" spans="1:11" x14ac:dyDescent="0.25">
      <c r="A67" s="11" t="s">
        <v>1187</v>
      </c>
      <c r="B67" s="11" t="s">
        <v>356</v>
      </c>
      <c r="C67" s="11" t="s">
        <v>354</v>
      </c>
      <c r="D67" s="11" t="s">
        <v>313</v>
      </c>
      <c r="E67" s="11" t="s">
        <v>1193</v>
      </c>
      <c r="F67" s="11" t="s">
        <v>364</v>
      </c>
      <c r="G67" s="11" t="s">
        <v>1190</v>
      </c>
      <c r="H67" s="11" t="s">
        <v>1288</v>
      </c>
      <c r="I67" s="11" t="s">
        <v>1288</v>
      </c>
      <c r="J67" s="11" t="s">
        <v>799</v>
      </c>
      <c r="K67" s="11" t="s">
        <v>1293</v>
      </c>
    </row>
    <row r="68" spans="1:11" x14ac:dyDescent="0.25">
      <c r="A68" s="11" t="s">
        <v>1187</v>
      </c>
      <c r="B68" s="11" t="s">
        <v>359</v>
      </c>
      <c r="C68" s="11" t="s">
        <v>1294</v>
      </c>
      <c r="D68" s="11" t="s">
        <v>313</v>
      </c>
      <c r="E68" s="11" t="s">
        <v>1193</v>
      </c>
      <c r="F68" s="11" t="s">
        <v>873</v>
      </c>
      <c r="G68" s="11" t="s">
        <v>1190</v>
      </c>
      <c r="H68" s="11" t="s">
        <v>1295</v>
      </c>
      <c r="I68" s="11" t="s">
        <v>1295</v>
      </c>
      <c r="J68" s="11" t="s">
        <v>799</v>
      </c>
      <c r="K68" s="11" t="s">
        <v>1296</v>
      </c>
    </row>
    <row r="69" spans="1:11" x14ac:dyDescent="0.25">
      <c r="A69" s="11" t="s">
        <v>1187</v>
      </c>
      <c r="B69" s="11" t="s">
        <v>356</v>
      </c>
      <c r="C69" s="11" t="s">
        <v>1294</v>
      </c>
      <c r="D69" s="11" t="s">
        <v>313</v>
      </c>
      <c r="E69" s="11" t="s">
        <v>1193</v>
      </c>
      <c r="F69" s="11" t="s">
        <v>872</v>
      </c>
      <c r="G69" s="11" t="s">
        <v>1190</v>
      </c>
      <c r="H69" s="11" t="s">
        <v>1295</v>
      </c>
      <c r="I69" s="11" t="s">
        <v>1295</v>
      </c>
      <c r="J69" s="11" t="s">
        <v>799</v>
      </c>
      <c r="K69" s="11" t="s">
        <v>1297</v>
      </c>
    </row>
    <row r="70" spans="1:11" x14ac:dyDescent="0.25">
      <c r="A70" s="11" t="s">
        <v>1187</v>
      </c>
      <c r="B70" s="11" t="s">
        <v>357</v>
      </c>
      <c r="C70" s="11" t="s">
        <v>1294</v>
      </c>
      <c r="D70" s="11" t="s">
        <v>313</v>
      </c>
      <c r="E70" s="11" t="s">
        <v>1193</v>
      </c>
      <c r="F70" s="11" t="s">
        <v>871</v>
      </c>
      <c r="G70" s="11" t="s">
        <v>1190</v>
      </c>
      <c r="H70" s="11" t="s">
        <v>1295</v>
      </c>
      <c r="I70" s="11" t="s">
        <v>1295</v>
      </c>
      <c r="J70" s="11" t="s">
        <v>799</v>
      </c>
      <c r="K70" s="11" t="s">
        <v>1298</v>
      </c>
    </row>
    <row r="71" spans="1:11" x14ac:dyDescent="0.25">
      <c r="A71" s="11" t="s">
        <v>1187</v>
      </c>
      <c r="B71" s="11" t="s">
        <v>358</v>
      </c>
      <c r="C71" s="11" t="s">
        <v>1294</v>
      </c>
      <c r="D71" s="11" t="s">
        <v>313</v>
      </c>
      <c r="E71" s="11" t="s">
        <v>1193</v>
      </c>
      <c r="F71" s="11" t="s">
        <v>870</v>
      </c>
      <c r="G71" s="11" t="s">
        <v>1190</v>
      </c>
      <c r="H71" s="11" t="s">
        <v>1295</v>
      </c>
      <c r="I71" s="11" t="s">
        <v>1295</v>
      </c>
      <c r="J71" s="11" t="s">
        <v>799</v>
      </c>
      <c r="K71" s="11" t="s">
        <v>1299</v>
      </c>
    </row>
    <row r="72" spans="1:11" x14ac:dyDescent="0.25">
      <c r="A72" s="11" t="s">
        <v>1187</v>
      </c>
      <c r="B72" s="11" t="s">
        <v>360</v>
      </c>
      <c r="C72" s="11" t="s">
        <v>1294</v>
      </c>
      <c r="D72" s="11" t="s">
        <v>313</v>
      </c>
      <c r="E72" s="11" t="s">
        <v>1193</v>
      </c>
      <c r="F72" s="11" t="s">
        <v>874</v>
      </c>
      <c r="G72" s="11" t="s">
        <v>1190</v>
      </c>
      <c r="H72" s="11" t="s">
        <v>1295</v>
      </c>
      <c r="I72" s="11" t="s">
        <v>1295</v>
      </c>
      <c r="J72" s="11" t="s">
        <v>799</v>
      </c>
      <c r="K72" s="11" t="s">
        <v>1300</v>
      </c>
    </row>
    <row r="73" spans="1:11" x14ac:dyDescent="0.25">
      <c r="A73" s="11" t="s">
        <v>1187</v>
      </c>
      <c r="B73" s="11" t="s">
        <v>359</v>
      </c>
      <c r="C73" s="11" t="s">
        <v>1301</v>
      </c>
      <c r="D73" s="11" t="s">
        <v>313</v>
      </c>
      <c r="E73" s="11" t="s">
        <v>1193</v>
      </c>
      <c r="F73" s="11" t="s">
        <v>867</v>
      </c>
      <c r="G73" s="11" t="s">
        <v>1190</v>
      </c>
      <c r="H73" s="11" t="s">
        <v>1302</v>
      </c>
      <c r="I73" s="11" t="s">
        <v>1302</v>
      </c>
      <c r="J73" s="11" t="s">
        <v>799</v>
      </c>
      <c r="K73" s="11" t="s">
        <v>1303</v>
      </c>
    </row>
    <row r="74" spans="1:11" x14ac:dyDescent="0.25">
      <c r="A74" s="11" t="s">
        <v>1187</v>
      </c>
      <c r="B74" s="11" t="s">
        <v>356</v>
      </c>
      <c r="C74" s="11" t="s">
        <v>1301</v>
      </c>
      <c r="D74" s="11" t="s">
        <v>313</v>
      </c>
      <c r="E74" s="11" t="s">
        <v>1193</v>
      </c>
      <c r="F74" s="11" t="s">
        <v>866</v>
      </c>
      <c r="G74" s="11" t="s">
        <v>1190</v>
      </c>
      <c r="H74" s="11" t="s">
        <v>1302</v>
      </c>
      <c r="I74" s="11" t="s">
        <v>1302</v>
      </c>
      <c r="J74" s="11" t="s">
        <v>799</v>
      </c>
      <c r="K74" s="11" t="s">
        <v>1304</v>
      </c>
    </row>
    <row r="75" spans="1:11" x14ac:dyDescent="0.25">
      <c r="A75" s="11" t="s">
        <v>1187</v>
      </c>
      <c r="B75" s="11" t="s">
        <v>357</v>
      </c>
      <c r="C75" s="11" t="s">
        <v>1301</v>
      </c>
      <c r="D75" s="11" t="s">
        <v>313</v>
      </c>
      <c r="E75" s="11" t="s">
        <v>1193</v>
      </c>
      <c r="F75" s="11" t="s">
        <v>865</v>
      </c>
      <c r="G75" s="11" t="s">
        <v>1190</v>
      </c>
      <c r="H75" s="11" t="s">
        <v>1302</v>
      </c>
      <c r="I75" s="11" t="s">
        <v>1302</v>
      </c>
      <c r="J75" s="11" t="s">
        <v>799</v>
      </c>
      <c r="K75" s="11" t="s">
        <v>1305</v>
      </c>
    </row>
    <row r="76" spans="1:11" x14ac:dyDescent="0.25">
      <c r="A76" s="11" t="s">
        <v>1187</v>
      </c>
      <c r="B76" s="11" t="s">
        <v>358</v>
      </c>
      <c r="C76" s="11" t="s">
        <v>1301</v>
      </c>
      <c r="D76" s="11" t="s">
        <v>313</v>
      </c>
      <c r="E76" s="11" t="s">
        <v>1193</v>
      </c>
      <c r="F76" s="11" t="s">
        <v>864</v>
      </c>
      <c r="G76" s="11" t="s">
        <v>1190</v>
      </c>
      <c r="H76" s="11" t="s">
        <v>1302</v>
      </c>
      <c r="I76" s="11" t="s">
        <v>1302</v>
      </c>
      <c r="J76" s="11" t="s">
        <v>799</v>
      </c>
      <c r="K76" s="11" t="s">
        <v>1306</v>
      </c>
    </row>
    <row r="77" spans="1:11" x14ac:dyDescent="0.25">
      <c r="A77" s="11" t="s">
        <v>1187</v>
      </c>
      <c r="B77" s="11" t="s">
        <v>360</v>
      </c>
      <c r="C77" s="11" t="s">
        <v>1301</v>
      </c>
      <c r="D77" s="11" t="s">
        <v>313</v>
      </c>
      <c r="E77" s="11" t="s">
        <v>1193</v>
      </c>
      <c r="F77" s="11" t="s">
        <v>868</v>
      </c>
      <c r="G77" s="11" t="s">
        <v>1190</v>
      </c>
      <c r="H77" s="11" t="s">
        <v>1302</v>
      </c>
      <c r="I77" s="11" t="s">
        <v>1302</v>
      </c>
      <c r="J77" s="11" t="s">
        <v>799</v>
      </c>
      <c r="K77" s="11" t="s">
        <v>1307</v>
      </c>
    </row>
    <row r="78" spans="1:11" x14ac:dyDescent="0.25">
      <c r="A78" s="11" t="s">
        <v>1187</v>
      </c>
      <c r="B78" s="11" t="s">
        <v>1308</v>
      </c>
      <c r="C78" s="11" t="s">
        <v>1219</v>
      </c>
      <c r="D78" s="11" t="s">
        <v>313</v>
      </c>
      <c r="E78" s="11" t="s">
        <v>1200</v>
      </c>
      <c r="F78" s="11" t="s">
        <v>1309</v>
      </c>
      <c r="G78" s="11" t="s">
        <v>1190</v>
      </c>
      <c r="H78" s="11" t="s">
        <v>1220</v>
      </c>
      <c r="I78" s="11" t="s">
        <v>1220</v>
      </c>
      <c r="J78" s="11" t="s">
        <v>799</v>
      </c>
      <c r="K78" s="11" t="s">
        <v>1310</v>
      </c>
    </row>
    <row r="79" spans="1:11" x14ac:dyDescent="0.25">
      <c r="A79" s="11" t="s">
        <v>1187</v>
      </c>
      <c r="B79" s="11" t="s">
        <v>801</v>
      </c>
      <c r="C79" s="11" t="s">
        <v>1311</v>
      </c>
      <c r="D79" s="11" t="s">
        <v>313</v>
      </c>
      <c r="E79" s="11" t="s">
        <v>1312</v>
      </c>
      <c r="F79" s="11" t="s">
        <v>1007</v>
      </c>
      <c r="G79" s="11" t="s">
        <v>1190</v>
      </c>
      <c r="H79" s="11" t="s">
        <v>1313</v>
      </c>
      <c r="I79" s="11" t="s">
        <v>1313</v>
      </c>
      <c r="J79" s="11" t="s">
        <v>979</v>
      </c>
      <c r="K79" s="11" t="s">
        <v>1314</v>
      </c>
    </row>
    <row r="80" spans="1:11" x14ac:dyDescent="0.25">
      <c r="A80" s="11" t="s">
        <v>1187</v>
      </c>
      <c r="B80" s="11" t="s">
        <v>803</v>
      </c>
      <c r="C80" s="11" t="s">
        <v>1311</v>
      </c>
      <c r="D80" s="11" t="s">
        <v>313</v>
      </c>
      <c r="E80" s="11" t="s">
        <v>1312</v>
      </c>
      <c r="F80" s="11" t="s">
        <v>1008</v>
      </c>
      <c r="G80" s="11" t="s">
        <v>1190</v>
      </c>
      <c r="H80" s="11" t="s">
        <v>1313</v>
      </c>
      <c r="I80" s="11" t="s">
        <v>1313</v>
      </c>
      <c r="J80" s="11" t="s">
        <v>979</v>
      </c>
      <c r="K80" s="11" t="s">
        <v>1315</v>
      </c>
    </row>
    <row r="81" spans="1:11" x14ac:dyDescent="0.25">
      <c r="A81" s="11" t="s">
        <v>1187</v>
      </c>
      <c r="B81" s="11" t="s">
        <v>798</v>
      </c>
      <c r="C81" s="11" t="s">
        <v>1311</v>
      </c>
      <c r="D81" s="11" t="s">
        <v>313</v>
      </c>
      <c r="E81" s="11" t="s">
        <v>1312</v>
      </c>
      <c r="F81" s="11" t="s">
        <v>1009</v>
      </c>
      <c r="G81" s="11" t="s">
        <v>1190</v>
      </c>
      <c r="H81" s="11" t="s">
        <v>1313</v>
      </c>
      <c r="I81" s="11" t="s">
        <v>1313</v>
      </c>
      <c r="J81" s="11" t="s">
        <v>979</v>
      </c>
      <c r="K81" s="11" t="s">
        <v>1316</v>
      </c>
    </row>
    <row r="82" spans="1:11" x14ac:dyDescent="0.25">
      <c r="A82" s="11" t="s">
        <v>1187</v>
      </c>
      <c r="B82" s="11" t="s">
        <v>805</v>
      </c>
      <c r="C82" s="11" t="s">
        <v>1311</v>
      </c>
      <c r="D82" s="11" t="s">
        <v>313</v>
      </c>
      <c r="E82" s="11" t="s">
        <v>1312</v>
      </c>
      <c r="F82" s="11" t="s">
        <v>1010</v>
      </c>
      <c r="G82" s="11" t="s">
        <v>1190</v>
      </c>
      <c r="H82" s="11" t="s">
        <v>1313</v>
      </c>
      <c r="I82" s="11" t="s">
        <v>1313</v>
      </c>
      <c r="J82" s="11" t="s">
        <v>979</v>
      </c>
      <c r="K82" s="11" t="s">
        <v>1317</v>
      </c>
    </row>
    <row r="83" spans="1:11" x14ac:dyDescent="0.25">
      <c r="A83" s="11" t="s">
        <v>1187</v>
      </c>
      <c r="B83" s="11" t="s">
        <v>803</v>
      </c>
      <c r="C83" s="11" t="s">
        <v>1318</v>
      </c>
      <c r="D83" s="11" t="s">
        <v>313</v>
      </c>
      <c r="E83" s="11" t="s">
        <v>1319</v>
      </c>
      <c r="F83" s="11" t="s">
        <v>985</v>
      </c>
      <c r="G83" s="11" t="s">
        <v>1190</v>
      </c>
      <c r="H83" s="11" t="s">
        <v>1320</v>
      </c>
      <c r="I83" s="11" t="s">
        <v>1320</v>
      </c>
      <c r="J83" s="11" t="s">
        <v>979</v>
      </c>
      <c r="K83" s="11" t="s">
        <v>1321</v>
      </c>
    </row>
    <row r="84" spans="1:11" x14ac:dyDescent="0.25">
      <c r="A84" s="11" t="s">
        <v>1187</v>
      </c>
      <c r="B84" s="11" t="s">
        <v>801</v>
      </c>
      <c r="C84" s="11" t="s">
        <v>1318</v>
      </c>
      <c r="D84" s="11" t="s">
        <v>313</v>
      </c>
      <c r="E84" s="11" t="s">
        <v>1319</v>
      </c>
      <c r="F84" s="11" t="s">
        <v>986</v>
      </c>
      <c r="G84" s="11" t="s">
        <v>1190</v>
      </c>
      <c r="H84" s="11" t="s">
        <v>1320</v>
      </c>
      <c r="I84" s="11" t="s">
        <v>1320</v>
      </c>
      <c r="J84" s="11" t="s">
        <v>979</v>
      </c>
      <c r="K84" s="11" t="s">
        <v>1322</v>
      </c>
    </row>
    <row r="85" spans="1:11" x14ac:dyDescent="0.25">
      <c r="A85" s="11" t="s">
        <v>1187</v>
      </c>
      <c r="B85" s="11" t="s">
        <v>798</v>
      </c>
      <c r="C85" s="11" t="s">
        <v>1318</v>
      </c>
      <c r="D85" s="11" t="s">
        <v>313</v>
      </c>
      <c r="E85" s="11" t="s">
        <v>1319</v>
      </c>
      <c r="F85" s="11" t="s">
        <v>987</v>
      </c>
      <c r="G85" s="11" t="s">
        <v>1190</v>
      </c>
      <c r="H85" s="11" t="s">
        <v>1320</v>
      </c>
      <c r="I85" s="11" t="s">
        <v>1320</v>
      </c>
      <c r="J85" s="11" t="s">
        <v>979</v>
      </c>
      <c r="K85" s="11" t="s">
        <v>1323</v>
      </c>
    </row>
    <row r="86" spans="1:11" x14ac:dyDescent="0.25">
      <c r="A86" s="11" t="s">
        <v>1187</v>
      </c>
      <c r="B86" s="11" t="s">
        <v>805</v>
      </c>
      <c r="C86" s="11" t="s">
        <v>1318</v>
      </c>
      <c r="D86" s="11" t="s">
        <v>313</v>
      </c>
      <c r="E86" s="11" t="s">
        <v>1319</v>
      </c>
      <c r="F86" s="11" t="s">
        <v>988</v>
      </c>
      <c r="G86" s="11" t="s">
        <v>1190</v>
      </c>
      <c r="H86" s="11" t="s">
        <v>1320</v>
      </c>
      <c r="I86" s="11" t="s">
        <v>1320</v>
      </c>
      <c r="J86" s="11" t="s">
        <v>979</v>
      </c>
      <c r="K86" s="11" t="s">
        <v>1324</v>
      </c>
    </row>
    <row r="87" spans="1:11" x14ac:dyDescent="0.25">
      <c r="A87" s="11" t="s">
        <v>1187</v>
      </c>
      <c r="B87" s="11" t="s">
        <v>798</v>
      </c>
      <c r="C87" s="11" t="s">
        <v>1325</v>
      </c>
      <c r="D87" s="11" t="s">
        <v>313</v>
      </c>
      <c r="E87" s="11" t="s">
        <v>1319</v>
      </c>
      <c r="F87" s="11" t="s">
        <v>1326</v>
      </c>
      <c r="G87" s="11" t="s">
        <v>1190</v>
      </c>
      <c r="H87" s="11" t="s">
        <v>1327</v>
      </c>
      <c r="I87" s="11" t="s">
        <v>1327</v>
      </c>
      <c r="J87" s="11" t="s">
        <v>979</v>
      </c>
      <c r="K87" s="11" t="s">
        <v>1328</v>
      </c>
    </row>
    <row r="88" spans="1:11" x14ac:dyDescent="0.25">
      <c r="A88" s="11" t="s">
        <v>1187</v>
      </c>
      <c r="B88" s="11" t="s">
        <v>801</v>
      </c>
      <c r="C88" s="11" t="s">
        <v>1325</v>
      </c>
      <c r="D88" s="11" t="s">
        <v>313</v>
      </c>
      <c r="E88" s="11" t="s">
        <v>1319</v>
      </c>
      <c r="F88" s="11" t="s">
        <v>990</v>
      </c>
      <c r="G88" s="11" t="s">
        <v>1190</v>
      </c>
      <c r="H88" s="11" t="s">
        <v>1327</v>
      </c>
      <c r="I88" s="11" t="s">
        <v>1327</v>
      </c>
      <c r="J88" s="11" t="s">
        <v>979</v>
      </c>
      <c r="K88" s="11" t="s">
        <v>1329</v>
      </c>
    </row>
    <row r="89" spans="1:11" x14ac:dyDescent="0.25">
      <c r="A89" s="11" t="s">
        <v>1187</v>
      </c>
      <c r="B89" s="11" t="s">
        <v>803</v>
      </c>
      <c r="C89" s="11" t="s">
        <v>1325</v>
      </c>
      <c r="D89" s="11" t="s">
        <v>313</v>
      </c>
      <c r="E89" s="11" t="s">
        <v>1319</v>
      </c>
      <c r="F89" s="11" t="s">
        <v>991</v>
      </c>
      <c r="G89" s="11" t="s">
        <v>1190</v>
      </c>
      <c r="H89" s="11" t="s">
        <v>1327</v>
      </c>
      <c r="I89" s="11" t="s">
        <v>1327</v>
      </c>
      <c r="J89" s="11" t="s">
        <v>979</v>
      </c>
      <c r="K89" s="11" t="s">
        <v>1330</v>
      </c>
    </row>
    <row r="90" spans="1:11" x14ac:dyDescent="0.25">
      <c r="A90" s="11" t="s">
        <v>1187</v>
      </c>
      <c r="B90" s="11" t="s">
        <v>805</v>
      </c>
      <c r="C90" s="11" t="s">
        <v>1325</v>
      </c>
      <c r="D90" s="11" t="s">
        <v>313</v>
      </c>
      <c r="E90" s="11" t="s">
        <v>1319</v>
      </c>
      <c r="F90" s="11" t="s">
        <v>992</v>
      </c>
      <c r="G90" s="11" t="s">
        <v>1190</v>
      </c>
      <c r="H90" s="11" t="s">
        <v>1327</v>
      </c>
      <c r="I90" s="11" t="s">
        <v>1327</v>
      </c>
      <c r="J90" s="11" t="s">
        <v>979</v>
      </c>
      <c r="K90" s="11" t="s">
        <v>1331</v>
      </c>
    </row>
    <row r="91" spans="1:11" x14ac:dyDescent="0.25">
      <c r="A91" s="11" t="s">
        <v>1187</v>
      </c>
      <c r="B91" s="11" t="s">
        <v>801</v>
      </c>
      <c r="C91" s="11" t="s">
        <v>1332</v>
      </c>
      <c r="D91" s="11" t="s">
        <v>313</v>
      </c>
      <c r="E91" s="11" t="s">
        <v>1319</v>
      </c>
      <c r="F91" s="11" t="s">
        <v>1000</v>
      </c>
      <c r="G91" s="11" t="s">
        <v>1190</v>
      </c>
      <c r="H91" s="11" t="s">
        <v>1333</v>
      </c>
      <c r="I91" s="11" t="s">
        <v>1333</v>
      </c>
      <c r="J91" s="11" t="s">
        <v>979</v>
      </c>
      <c r="K91" s="11" t="s">
        <v>1334</v>
      </c>
    </row>
    <row r="92" spans="1:11" x14ac:dyDescent="0.25">
      <c r="A92" s="11" t="s">
        <v>1187</v>
      </c>
      <c r="B92" s="11" t="s">
        <v>798</v>
      </c>
      <c r="C92" s="11" t="s">
        <v>1332</v>
      </c>
      <c r="D92" s="11" t="s">
        <v>313</v>
      </c>
      <c r="E92" s="11" t="s">
        <v>1319</v>
      </c>
      <c r="F92" s="11" t="s">
        <v>1001</v>
      </c>
      <c r="G92" s="11" t="s">
        <v>1190</v>
      </c>
      <c r="H92" s="11" t="s">
        <v>1333</v>
      </c>
      <c r="I92" s="11" t="s">
        <v>1333</v>
      </c>
      <c r="J92" s="11" t="s">
        <v>979</v>
      </c>
      <c r="K92" s="11" t="s">
        <v>1335</v>
      </c>
    </row>
    <row r="93" spans="1:11" x14ac:dyDescent="0.25">
      <c r="A93" s="11" t="s">
        <v>1187</v>
      </c>
      <c r="B93" s="11" t="s">
        <v>803</v>
      </c>
      <c r="C93" s="11" t="s">
        <v>1332</v>
      </c>
      <c r="D93" s="11" t="s">
        <v>313</v>
      </c>
      <c r="E93" s="11" t="s">
        <v>1319</v>
      </c>
      <c r="F93" s="11" t="s">
        <v>1002</v>
      </c>
      <c r="G93" s="11" t="s">
        <v>1190</v>
      </c>
      <c r="H93" s="11" t="s">
        <v>1333</v>
      </c>
      <c r="I93" s="11" t="s">
        <v>1333</v>
      </c>
      <c r="J93" s="11" t="s">
        <v>979</v>
      </c>
      <c r="K93" s="11" t="s">
        <v>1336</v>
      </c>
    </row>
    <row r="94" spans="1:11" x14ac:dyDescent="0.25">
      <c r="A94" s="11" t="s">
        <v>1187</v>
      </c>
      <c r="B94" s="11" t="s">
        <v>876</v>
      </c>
      <c r="C94" s="11" t="s">
        <v>1332</v>
      </c>
      <c r="D94" s="11" t="s">
        <v>313</v>
      </c>
      <c r="E94" s="11" t="s">
        <v>1319</v>
      </c>
      <c r="F94" s="11" t="s">
        <v>1003</v>
      </c>
      <c r="G94" s="11" t="s">
        <v>1190</v>
      </c>
      <c r="H94" s="11" t="s">
        <v>1333</v>
      </c>
      <c r="I94" s="11" t="s">
        <v>1333</v>
      </c>
      <c r="J94" s="11" t="s">
        <v>979</v>
      </c>
      <c r="K94" s="11" t="s">
        <v>1337</v>
      </c>
    </row>
    <row r="95" spans="1:11" x14ac:dyDescent="0.25">
      <c r="A95" s="11" t="s">
        <v>1187</v>
      </c>
      <c r="B95" s="11" t="s">
        <v>798</v>
      </c>
      <c r="C95" s="11" t="s">
        <v>1338</v>
      </c>
      <c r="D95" s="11" t="s">
        <v>313</v>
      </c>
      <c r="E95" s="11" t="s">
        <v>1319</v>
      </c>
      <c r="F95" s="11" t="s">
        <v>982</v>
      </c>
      <c r="G95" s="11" t="s">
        <v>1190</v>
      </c>
      <c r="H95" s="11" t="s">
        <v>1339</v>
      </c>
      <c r="I95" s="11" t="s">
        <v>1339</v>
      </c>
      <c r="J95" s="11" t="s">
        <v>979</v>
      </c>
      <c r="K95" s="11" t="s">
        <v>1340</v>
      </c>
    </row>
    <row r="96" spans="1:11" x14ac:dyDescent="0.25">
      <c r="A96" s="11" t="s">
        <v>1187</v>
      </c>
      <c r="B96" s="11" t="s">
        <v>801</v>
      </c>
      <c r="C96" s="11" t="s">
        <v>1338</v>
      </c>
      <c r="D96" s="11" t="s">
        <v>313</v>
      </c>
      <c r="E96" s="11" t="s">
        <v>1319</v>
      </c>
      <c r="F96" s="11" t="s">
        <v>983</v>
      </c>
      <c r="G96" s="11" t="s">
        <v>1190</v>
      </c>
      <c r="H96" s="11" t="s">
        <v>1339</v>
      </c>
      <c r="I96" s="11" t="s">
        <v>1339</v>
      </c>
      <c r="J96" s="11" t="s">
        <v>979</v>
      </c>
      <c r="K96" s="11" t="s">
        <v>1341</v>
      </c>
    </row>
    <row r="97" spans="1:11" x14ac:dyDescent="0.25">
      <c r="A97" s="11" t="s">
        <v>1187</v>
      </c>
      <c r="B97" s="11" t="s">
        <v>803</v>
      </c>
      <c r="C97" s="11" t="s">
        <v>1338</v>
      </c>
      <c r="D97" s="11" t="s">
        <v>313</v>
      </c>
      <c r="E97" s="11" t="s">
        <v>1319</v>
      </c>
      <c r="F97" s="11" t="s">
        <v>980</v>
      </c>
      <c r="G97" s="11" t="s">
        <v>1190</v>
      </c>
      <c r="H97" s="11" t="s">
        <v>1339</v>
      </c>
      <c r="I97" s="11" t="s">
        <v>1339</v>
      </c>
      <c r="J97" s="11" t="s">
        <v>979</v>
      </c>
      <c r="K97" s="11" t="s">
        <v>1342</v>
      </c>
    </row>
    <row r="98" spans="1:11" x14ac:dyDescent="0.25">
      <c r="A98" s="11" t="s">
        <v>1187</v>
      </c>
      <c r="B98" s="11" t="s">
        <v>805</v>
      </c>
      <c r="C98" s="11" t="s">
        <v>1338</v>
      </c>
      <c r="D98" s="11" t="s">
        <v>313</v>
      </c>
      <c r="E98" s="11" t="s">
        <v>1319</v>
      </c>
      <c r="F98" s="11" t="s">
        <v>981</v>
      </c>
      <c r="G98" s="11" t="s">
        <v>1190</v>
      </c>
      <c r="H98" s="11" t="s">
        <v>1339</v>
      </c>
      <c r="I98" s="11" t="s">
        <v>1339</v>
      </c>
      <c r="J98" s="11" t="s">
        <v>979</v>
      </c>
      <c r="K98" s="11" t="s">
        <v>1343</v>
      </c>
    </row>
    <row r="99" spans="1:11" x14ac:dyDescent="0.25">
      <c r="A99" s="11" t="s">
        <v>1187</v>
      </c>
      <c r="B99" s="11" t="s">
        <v>803</v>
      </c>
      <c r="C99" s="11" t="s">
        <v>1344</v>
      </c>
      <c r="D99" s="11" t="s">
        <v>313</v>
      </c>
      <c r="E99" s="11" t="s">
        <v>1319</v>
      </c>
      <c r="F99" s="11" t="s">
        <v>995</v>
      </c>
      <c r="G99" s="11" t="s">
        <v>1190</v>
      </c>
      <c r="H99" s="11" t="s">
        <v>1345</v>
      </c>
      <c r="I99" s="11" t="s">
        <v>1345</v>
      </c>
      <c r="J99" s="11" t="s">
        <v>979</v>
      </c>
      <c r="K99" s="11" t="s">
        <v>1346</v>
      </c>
    </row>
    <row r="100" spans="1:11" x14ac:dyDescent="0.25">
      <c r="A100" s="11" t="s">
        <v>1187</v>
      </c>
      <c r="B100" s="11" t="s">
        <v>805</v>
      </c>
      <c r="C100" s="11" t="s">
        <v>1344</v>
      </c>
      <c r="D100" s="11" t="s">
        <v>313</v>
      </c>
      <c r="E100" s="11" t="s">
        <v>1319</v>
      </c>
      <c r="F100" s="11" t="s">
        <v>996</v>
      </c>
      <c r="G100" s="11" t="s">
        <v>1190</v>
      </c>
      <c r="H100" s="11" t="s">
        <v>1345</v>
      </c>
      <c r="I100" s="11" t="s">
        <v>1345</v>
      </c>
      <c r="J100" s="11" t="s">
        <v>979</v>
      </c>
      <c r="K100" s="11" t="s">
        <v>1347</v>
      </c>
    </row>
    <row r="101" spans="1:11" x14ac:dyDescent="0.25">
      <c r="A101" s="11" t="s">
        <v>1187</v>
      </c>
      <c r="B101" s="11" t="s">
        <v>801</v>
      </c>
      <c r="C101" s="11" t="s">
        <v>1344</v>
      </c>
      <c r="D101" s="11" t="s">
        <v>313</v>
      </c>
      <c r="E101" s="11" t="s">
        <v>1319</v>
      </c>
      <c r="F101" s="11" t="s">
        <v>997</v>
      </c>
      <c r="G101" s="11" t="s">
        <v>1190</v>
      </c>
      <c r="H101" s="11" t="s">
        <v>1345</v>
      </c>
      <c r="I101" s="11" t="s">
        <v>1345</v>
      </c>
      <c r="J101" s="11" t="s">
        <v>979</v>
      </c>
      <c r="K101" s="11" t="s">
        <v>1348</v>
      </c>
    </row>
    <row r="102" spans="1:11" x14ac:dyDescent="0.25">
      <c r="A102" s="11" t="s">
        <v>1187</v>
      </c>
      <c r="B102" s="11" t="s">
        <v>798</v>
      </c>
      <c r="C102" s="11" t="s">
        <v>1344</v>
      </c>
      <c r="D102" s="11" t="s">
        <v>313</v>
      </c>
      <c r="E102" s="11" t="s">
        <v>1319</v>
      </c>
      <c r="F102" s="11" t="s">
        <v>998</v>
      </c>
      <c r="G102" s="11" t="s">
        <v>1190</v>
      </c>
      <c r="H102" s="11" t="s">
        <v>1345</v>
      </c>
      <c r="I102" s="11" t="s">
        <v>1345</v>
      </c>
      <c r="J102" s="11" t="s">
        <v>979</v>
      </c>
      <c r="K102" s="11" t="s">
        <v>1349</v>
      </c>
    </row>
    <row r="103" spans="1:11" x14ac:dyDescent="0.25">
      <c r="A103" s="11" t="s">
        <v>1187</v>
      </c>
      <c r="B103" s="11" t="s">
        <v>907</v>
      </c>
      <c r="C103" s="11" t="s">
        <v>1236</v>
      </c>
      <c r="D103" s="11" t="s">
        <v>313</v>
      </c>
      <c r="E103" s="11" t="s">
        <v>1268</v>
      </c>
      <c r="F103" s="11" t="s">
        <v>908</v>
      </c>
      <c r="G103" s="11" t="s">
        <v>1190</v>
      </c>
      <c r="H103" s="11" t="s">
        <v>1237</v>
      </c>
      <c r="I103" s="11" t="s">
        <v>1237</v>
      </c>
      <c r="J103" s="11" t="s">
        <v>799</v>
      </c>
      <c r="K103" s="11" t="s">
        <v>1350</v>
      </c>
    </row>
    <row r="104" spans="1:11" x14ac:dyDescent="0.25">
      <c r="A104" s="11" t="s">
        <v>1187</v>
      </c>
      <c r="B104" s="11" t="s">
        <v>356</v>
      </c>
      <c r="C104" s="11" t="s">
        <v>1236</v>
      </c>
      <c r="D104" s="11" t="s">
        <v>313</v>
      </c>
      <c r="E104" s="11" t="s">
        <v>1351</v>
      </c>
      <c r="F104" s="11" t="s">
        <v>909</v>
      </c>
      <c r="G104" s="11" t="s">
        <v>1190</v>
      </c>
      <c r="H104" s="11" t="s">
        <v>1237</v>
      </c>
      <c r="I104" s="11" t="s">
        <v>1237</v>
      </c>
      <c r="J104" s="11" t="s">
        <v>799</v>
      </c>
      <c r="K104" s="11" t="s">
        <v>1352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3906AF5772244692FE229650D5062F" ma:contentTypeVersion="12" ma:contentTypeDescription="Crie um novo documento." ma:contentTypeScope="" ma:versionID="7c57761251376a69a76e2567a972edd6">
  <xsd:schema xmlns:xsd="http://www.w3.org/2001/XMLSchema" xmlns:xs="http://www.w3.org/2001/XMLSchema" xmlns:p="http://schemas.microsoft.com/office/2006/metadata/properties" xmlns:ns2="8e7e3203-3efa-47a6-abc8-0ccec7eee051" xmlns:ns3="c1724d12-5a26-41a3-848a-c8ca2d384104" targetNamespace="http://schemas.microsoft.com/office/2006/metadata/properties" ma:root="true" ma:fieldsID="cb83cd2672f9d45b31a8b27ba66d27f8" ns2:_="" ns3:_="">
    <xsd:import namespace="8e7e3203-3efa-47a6-abc8-0ccec7eee051"/>
    <xsd:import namespace="c1724d12-5a26-41a3-848a-c8ca2d3841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7e3203-3efa-47a6-abc8-0ccec7eee0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18f2713c-041b-42da-bb5a-d1146dd826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724d12-5a26-41a3-848a-c8ca2d38410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5bc9c8f-7206-4272-b8e7-37c9f9d3b777}" ma:internalName="TaxCatchAll" ma:showField="CatchAllData" ma:web="c1724d12-5a26-41a3-848a-c8ca2d3841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7e3203-3efa-47a6-abc8-0ccec7eee051">
      <Terms xmlns="http://schemas.microsoft.com/office/infopath/2007/PartnerControls"/>
    </lcf76f155ced4ddcb4097134ff3c332f>
    <TaxCatchAll xmlns="c1724d12-5a26-41a3-848a-c8ca2d384104" xsi:nil="true"/>
  </documentManagement>
</p:properties>
</file>

<file path=customXml/itemProps1.xml><?xml version="1.0" encoding="utf-8"?>
<ds:datastoreItem xmlns:ds="http://schemas.openxmlformats.org/officeDocument/2006/customXml" ds:itemID="{B14FAABA-25DD-4275-99BF-573970DCD1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003757-DB30-46DC-8F95-EE79DE55E2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7e3203-3efa-47a6-abc8-0ccec7eee051"/>
    <ds:schemaRef ds:uri="c1724d12-5a26-41a3-848a-c8ca2d3841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116F1F-B62E-4ECE-BA6B-1516CCC56E2B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AD33857D-F6B9-4C3E-BEC4-C518C52AF500}">
  <ds:schemaRefs>
    <ds:schemaRef ds:uri="http://schemas.microsoft.com/office/2006/metadata/properties"/>
    <ds:schemaRef ds:uri="http://schemas.microsoft.com/office/infopath/2007/PartnerControls"/>
    <ds:schemaRef ds:uri="8e7e3203-3efa-47a6-abc8-0ccec7eee051"/>
    <ds:schemaRef ds:uri="c1724d12-5a26-41a3-848a-c8ca2d38410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Informações_Usinas</vt:lpstr>
      <vt:lpstr>Exemplo de padrão de nomes</vt:lpstr>
      <vt:lpstr>Dados Inversores</vt:lpstr>
      <vt:lpstr>Relação_Monitoramento</vt:lpstr>
      <vt:lpstr>RESUMO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O&amp;M 1 Grupo BC Energia</dc:creator>
  <cp:keywords/>
  <dc:description/>
  <cp:lastModifiedBy>Rafael Batista</cp:lastModifiedBy>
  <cp:revision/>
  <dcterms:created xsi:type="dcterms:W3CDTF">2024-09-26T19:03:03Z</dcterms:created>
  <dcterms:modified xsi:type="dcterms:W3CDTF">2026-02-20T12:40:24Z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0x010100AE3906AF5772244692FE229650D5062F</vt:lpwstr>
  </property>
  <property fmtid="{D5CDD505-2E9C-101B-9397-08002B2CF9AE}" pid="3" name="MediaServiceImageTags">
    <vt:lpwstr/>
  </property>
</Properties>
</file>